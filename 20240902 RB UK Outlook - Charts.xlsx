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6.xml" ContentType="application/vnd.openxmlformats-officedocument.spreadsheetml.chart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10.xml" ContentType="application/vnd.openxmlformats-officedocument.drawingml.chartshapes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11.xml" ContentType="application/vnd.openxmlformats-officedocument.drawingml.chartshape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12.xml" ContentType="application/vnd.openxmlformats-officedocument.drawing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drawings/drawing1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F9D7377F-22C6-46BD-9F7F-844ABB75C7D1}" xr6:coauthVersionLast="47" xr6:coauthVersionMax="47" xr10:uidLastSave="{00000000-0000-0000-0000-000000000000}"/>
  <bookViews>
    <workbookView xWindow="-120" yWindow="-120" windowWidth="29040" windowHeight="15840" firstSheet="1" activeTab="1" xr2:uid="{77807240-F918-451F-8819-C05E78A7558A}"/>
  </bookViews>
  <sheets>
    <sheet name="&gt;&gt; CHARTS" sheetId="15" r:id="rId1"/>
    <sheet name="Chart - GDP OE &amp; Consensus" sheetId="13" r:id="rId2"/>
    <sheet name="Chart - Conts to inflation" sheetId="22" r:id="rId3"/>
    <sheet name="Chart - Real wages" sheetId="19" r:id="rId4"/>
    <sheet name="Chart - Interest rates change" sheetId="25" r:id="rId5"/>
    <sheet name="Chart - Mortgage rates fcst" sheetId="24" r:id="rId6"/>
    <sheet name="&gt;&gt; DATA" sheetId="16" r:id="rId7"/>
    <sheet name="Chart Data" sheetId="11" r:id="rId8"/>
    <sheet name="DataA" sheetId="8" r:id="rId9"/>
    <sheet name="DataQ" sheetId="5" r:id="rId10"/>
    <sheet name="GMW" sheetId="2" r:id="rId11"/>
    <sheet name="HAVERQ" sheetId="21" r:id="rId12"/>
    <sheet name="HAVERM" sheetId="23" r:id="rId13"/>
    <sheet name="&gt;&gt; NOT USED" sheetId="14" r:id="rId14"/>
    <sheet name="Chart - GDP vs consensus" sheetId="12" r:id="rId15"/>
  </sheets>
  <externalReferences>
    <externalReference r:id="rId16"/>
    <externalReference r:id="rId17"/>
  </externalReferences>
  <definedNames>
    <definedName name="_DLX1.INC">HAVERQ!$B$1:$K$6</definedName>
    <definedName name="_DLX2.INC">HAVERM!$A$1:$H$6</definedName>
    <definedName name="Data">[1]sheet0!$C$2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B35" i="11" l="1"/>
  <c r="CC35" i="11"/>
  <c r="R5" i="8" l="1"/>
  <c r="R4" i="8"/>
  <c r="R3" i="8"/>
  <c r="R2" i="8"/>
  <c r="R1" i="8"/>
  <c r="T7" i="5" a="1"/>
  <c r="T7" i="5" s="1"/>
  <c r="CB5" i="11"/>
  <c r="CC5" i="11"/>
  <c r="CB6" i="11"/>
  <c r="CC6" i="11"/>
  <c r="CB7" i="11"/>
  <c r="CC7" i="11"/>
  <c r="CB8" i="11"/>
  <c r="CC8" i="11"/>
  <c r="CB9" i="11"/>
  <c r="CC9" i="11"/>
  <c r="CB10" i="11"/>
  <c r="CC10" i="11"/>
  <c r="CB11" i="11"/>
  <c r="CC11" i="11"/>
  <c r="CB12" i="11"/>
  <c r="CC12" i="11"/>
  <c r="CB13" i="11"/>
  <c r="CC13" i="11"/>
  <c r="CB14" i="11"/>
  <c r="CC14" i="11"/>
  <c r="CB15" i="11"/>
  <c r="CC15" i="11"/>
  <c r="CB16" i="11"/>
  <c r="CC16" i="11"/>
  <c r="CB17" i="11"/>
  <c r="CC17" i="11"/>
  <c r="CB18" i="11"/>
  <c r="CC18" i="11"/>
  <c r="CB19" i="11"/>
  <c r="CC19" i="11"/>
  <c r="CB20" i="11"/>
  <c r="CC20" i="11"/>
  <c r="CB21" i="11"/>
  <c r="CC21" i="11"/>
  <c r="CB22" i="11"/>
  <c r="CC22" i="11"/>
  <c r="CB23" i="11"/>
  <c r="CC23" i="11"/>
  <c r="CB24" i="11"/>
  <c r="CC24" i="11"/>
  <c r="CB25" i="11"/>
  <c r="CC25" i="11"/>
  <c r="CB26" i="11"/>
  <c r="CC26" i="11"/>
  <c r="CB27" i="11"/>
  <c r="CC27" i="11"/>
  <c r="CB28" i="11"/>
  <c r="CC28" i="11"/>
  <c r="CB29" i="11"/>
  <c r="CC29" i="11"/>
  <c r="CB30" i="11"/>
  <c r="CC30" i="11"/>
  <c r="CB31" i="11"/>
  <c r="CC31" i="11"/>
  <c r="CB32" i="11"/>
  <c r="CC32" i="11"/>
  <c r="CB33" i="11"/>
  <c r="CC33" i="11"/>
  <c r="CB34" i="11"/>
  <c r="CC34" i="11"/>
  <c r="CC4" i="11"/>
  <c r="CB4" i="11"/>
  <c r="BR149" i="11"/>
  <c r="BR146" i="11"/>
  <c r="BR143" i="11"/>
  <c r="BR140" i="11"/>
  <c r="BR137" i="11"/>
  <c r="BR134" i="11"/>
  <c r="BR131" i="11"/>
  <c r="BQ149" i="11"/>
  <c r="BQ146" i="11"/>
  <c r="BQ143" i="11"/>
  <c r="BQ140" i="11"/>
  <c r="BQ137" i="11"/>
  <c r="BQ134" i="11"/>
  <c r="BQ131" i="11"/>
  <c r="BL130" i="11" l="1"/>
  <c r="AE5" i="8"/>
  <c r="AD5" i="8"/>
  <c r="AE4" i="8"/>
  <c r="AD4" i="8"/>
  <c r="AE3" i="8"/>
  <c r="AD3" i="8"/>
  <c r="AE2" i="8"/>
  <c r="AD2" i="8"/>
  <c r="AE1" i="8"/>
  <c r="AD1" i="8"/>
  <c r="AG7" i="5" a="1"/>
  <c r="AG7" i="5" s="1"/>
  <c r="AF7" i="5" a="1"/>
  <c r="AF7" i="5" s="1"/>
  <c r="BT5" i="11"/>
  <c r="BU5" i="11"/>
  <c r="BT6" i="11"/>
  <c r="BU6" i="11"/>
  <c r="BT7" i="11"/>
  <c r="BU7" i="11"/>
  <c r="BT8" i="11"/>
  <c r="BU8" i="11"/>
  <c r="BT9" i="11"/>
  <c r="BU9" i="11"/>
  <c r="BT10" i="11"/>
  <c r="BU10" i="11"/>
  <c r="BT11" i="11"/>
  <c r="BU11" i="11"/>
  <c r="BT12" i="11"/>
  <c r="BU12" i="11"/>
  <c r="BT13" i="11"/>
  <c r="BU13" i="11"/>
  <c r="BT14" i="11"/>
  <c r="BU14" i="11"/>
  <c r="BT15" i="11"/>
  <c r="BU15" i="11"/>
  <c r="BT16" i="11"/>
  <c r="BU16" i="11"/>
  <c r="BT17" i="11"/>
  <c r="BU17" i="11"/>
  <c r="BT18" i="11"/>
  <c r="BU18" i="11"/>
  <c r="BT19" i="11"/>
  <c r="BU19" i="11"/>
  <c r="BT20" i="11"/>
  <c r="BU20" i="11"/>
  <c r="BT21" i="11"/>
  <c r="BU21" i="11"/>
  <c r="BT22" i="11"/>
  <c r="BU22" i="11"/>
  <c r="BT23" i="11"/>
  <c r="BU23" i="11"/>
  <c r="BT24" i="11"/>
  <c r="BU24" i="11"/>
  <c r="BT25" i="11"/>
  <c r="BU25" i="11"/>
  <c r="BT26" i="11"/>
  <c r="BU26" i="11"/>
  <c r="BT27" i="11"/>
  <c r="BU27" i="11"/>
  <c r="BT28" i="11"/>
  <c r="BU28" i="11"/>
  <c r="BT29" i="11"/>
  <c r="BU29" i="11"/>
  <c r="BT30" i="11"/>
  <c r="BU30" i="11"/>
  <c r="BT31" i="11"/>
  <c r="BU31" i="11"/>
  <c r="BT32" i="11"/>
  <c r="BU32" i="11"/>
  <c r="BT33" i="11"/>
  <c r="BU33" i="11"/>
  <c r="BT34" i="11"/>
  <c r="BU34" i="11"/>
  <c r="BT35" i="11"/>
  <c r="BU35" i="11"/>
  <c r="BT36" i="11"/>
  <c r="BU36" i="11"/>
  <c r="BT37" i="11"/>
  <c r="BU37" i="11"/>
  <c r="BT38" i="11"/>
  <c r="BU38" i="11"/>
  <c r="BT39" i="11"/>
  <c r="BU39" i="11"/>
  <c r="BT40" i="11"/>
  <c r="BU40" i="11"/>
  <c r="BT41" i="11"/>
  <c r="BU41" i="11"/>
  <c r="BT42" i="11"/>
  <c r="BU42" i="11"/>
  <c r="BT43" i="11"/>
  <c r="BU43" i="11"/>
  <c r="BT44" i="11"/>
  <c r="BU44" i="11"/>
  <c r="BT45" i="11"/>
  <c r="BU45" i="11"/>
  <c r="BT46" i="11"/>
  <c r="BU46" i="11"/>
  <c r="BT47" i="11"/>
  <c r="BU47" i="11"/>
  <c r="BT48" i="11"/>
  <c r="BU48" i="11"/>
  <c r="BT49" i="11"/>
  <c r="BU49" i="11"/>
  <c r="BT50" i="11"/>
  <c r="BU50" i="11"/>
  <c r="BT51" i="11"/>
  <c r="BU51" i="11"/>
  <c r="BT52" i="11"/>
  <c r="BU52" i="11"/>
  <c r="BT53" i="11"/>
  <c r="BU53" i="11"/>
  <c r="BT54" i="11"/>
  <c r="BU54" i="11"/>
  <c r="BT55" i="11"/>
  <c r="BU55" i="11"/>
  <c r="BT56" i="11"/>
  <c r="BU56" i="11"/>
  <c r="BT57" i="11"/>
  <c r="BU57" i="11"/>
  <c r="BT58" i="11"/>
  <c r="BU58" i="11"/>
  <c r="BT59" i="11"/>
  <c r="BU59" i="11"/>
  <c r="BT60" i="11"/>
  <c r="BU60" i="11"/>
  <c r="BT61" i="11"/>
  <c r="BU61" i="11"/>
  <c r="BT62" i="11"/>
  <c r="BU62" i="11"/>
  <c r="BT63" i="11"/>
  <c r="BU63" i="11"/>
  <c r="BT64" i="11"/>
  <c r="BU64" i="11"/>
  <c r="BT65" i="11"/>
  <c r="BU65" i="11"/>
  <c r="BT66" i="11"/>
  <c r="BU66" i="11"/>
  <c r="BT67" i="11"/>
  <c r="BU67" i="11"/>
  <c r="BT68" i="11"/>
  <c r="BU68" i="11"/>
  <c r="BT69" i="11"/>
  <c r="BU69" i="11"/>
  <c r="BT70" i="11"/>
  <c r="BU70" i="11"/>
  <c r="BT71" i="11"/>
  <c r="BU71" i="11"/>
  <c r="BT72" i="11"/>
  <c r="BU72" i="11"/>
  <c r="BT73" i="11"/>
  <c r="BU73" i="11"/>
  <c r="BT74" i="11"/>
  <c r="BU74" i="11"/>
  <c r="BT75" i="11"/>
  <c r="BU75" i="11"/>
  <c r="BT76" i="11"/>
  <c r="BU76" i="11"/>
  <c r="BT77" i="11"/>
  <c r="BU77" i="11"/>
  <c r="BT78" i="11"/>
  <c r="BU78" i="11"/>
  <c r="BT79" i="11"/>
  <c r="BU79" i="11"/>
  <c r="BT80" i="11"/>
  <c r="BU80" i="11"/>
  <c r="BT81" i="11"/>
  <c r="BU81" i="11"/>
  <c r="BT82" i="11"/>
  <c r="BU82" i="11"/>
  <c r="BT83" i="11"/>
  <c r="BU83" i="11"/>
  <c r="BT84" i="11"/>
  <c r="BU84" i="11"/>
  <c r="BT85" i="11"/>
  <c r="BU85" i="11"/>
  <c r="BT86" i="11"/>
  <c r="BU86" i="11"/>
  <c r="BT87" i="11"/>
  <c r="BU87" i="11"/>
  <c r="BT88" i="11"/>
  <c r="BU88" i="11"/>
  <c r="BT89" i="11"/>
  <c r="BU89" i="11"/>
  <c r="BT90" i="11"/>
  <c r="BU90" i="11"/>
  <c r="BT91" i="11"/>
  <c r="BU91" i="11"/>
  <c r="BT92" i="11"/>
  <c r="BU92" i="11"/>
  <c r="BT93" i="11"/>
  <c r="BU93" i="11"/>
  <c r="BT94" i="11"/>
  <c r="BU94" i="11"/>
  <c r="BT95" i="11"/>
  <c r="BU95" i="11"/>
  <c r="BT96" i="11"/>
  <c r="BU96" i="11"/>
  <c r="BT97" i="11"/>
  <c r="BU97" i="11"/>
  <c r="BT98" i="11"/>
  <c r="BU98" i="11"/>
  <c r="BT99" i="11"/>
  <c r="BU99" i="11"/>
  <c r="BT100" i="11"/>
  <c r="BU100" i="11"/>
  <c r="BT101" i="11"/>
  <c r="BU101" i="11"/>
  <c r="BT102" i="11"/>
  <c r="BU102" i="11"/>
  <c r="BT103" i="11"/>
  <c r="BU103" i="11"/>
  <c r="BT104" i="11"/>
  <c r="BU104" i="11"/>
  <c r="BT105" i="11"/>
  <c r="BU105" i="11"/>
  <c r="BT106" i="11"/>
  <c r="BU106" i="11"/>
  <c r="BT107" i="11"/>
  <c r="BU107" i="11"/>
  <c r="BT108" i="11"/>
  <c r="BU108" i="11"/>
  <c r="BT109" i="11"/>
  <c r="BU109" i="11"/>
  <c r="BT110" i="11"/>
  <c r="BU110" i="11"/>
  <c r="BT111" i="11"/>
  <c r="BU111" i="11"/>
  <c r="BT112" i="11"/>
  <c r="BU112" i="11"/>
  <c r="BT113" i="11"/>
  <c r="BU113" i="11"/>
  <c r="BT114" i="11"/>
  <c r="BU114" i="11"/>
  <c r="BT115" i="11"/>
  <c r="BU115" i="11"/>
  <c r="BT116" i="11"/>
  <c r="BU116" i="11"/>
  <c r="BT117" i="11"/>
  <c r="BU117" i="11"/>
  <c r="BT118" i="11"/>
  <c r="BU118" i="11"/>
  <c r="BT119" i="11"/>
  <c r="BU119" i="11"/>
  <c r="BT120" i="11"/>
  <c r="BU120" i="11"/>
  <c r="BT121" i="11"/>
  <c r="BU121" i="11"/>
  <c r="BT122" i="11"/>
  <c r="BU122" i="11"/>
  <c r="BT123" i="11"/>
  <c r="BU123" i="11"/>
  <c r="BT124" i="11"/>
  <c r="BU124" i="11"/>
  <c r="BT125" i="11"/>
  <c r="BU125" i="11"/>
  <c r="BT126" i="11"/>
  <c r="BU126" i="11"/>
  <c r="BT127" i="11"/>
  <c r="BU127" i="11"/>
  <c r="BT128" i="11"/>
  <c r="BU128" i="11"/>
  <c r="BT129" i="11"/>
  <c r="BU129" i="11"/>
  <c r="BT130" i="11"/>
  <c r="BU130" i="11"/>
  <c r="BU4" i="11"/>
  <c r="BT4" i="11"/>
  <c r="BL5" i="11"/>
  <c r="BQ5" i="11" s="1"/>
  <c r="BM5" i="11"/>
  <c r="BR5" i="11" s="1"/>
  <c r="BL6" i="11"/>
  <c r="BQ6" i="11" s="1"/>
  <c r="BM6" i="11"/>
  <c r="BL7" i="11"/>
  <c r="BM7" i="11"/>
  <c r="BR7" i="11" s="1"/>
  <c r="BL8" i="11"/>
  <c r="BM8" i="11"/>
  <c r="BL9" i="11"/>
  <c r="BQ9" i="11" s="1"/>
  <c r="BM9" i="11"/>
  <c r="BR9" i="11" s="1"/>
  <c r="BL10" i="11"/>
  <c r="BM10" i="11"/>
  <c r="BL11" i="11"/>
  <c r="BM11" i="11"/>
  <c r="BR11" i="11" s="1"/>
  <c r="BL12" i="11"/>
  <c r="BQ12" i="11" s="1"/>
  <c r="BM12" i="11"/>
  <c r="BL13" i="11"/>
  <c r="BQ13" i="11" s="1"/>
  <c r="BM13" i="11"/>
  <c r="BL14" i="11"/>
  <c r="BM14" i="11"/>
  <c r="BL15" i="11"/>
  <c r="BM15" i="11"/>
  <c r="BR15" i="11" s="1"/>
  <c r="BL16" i="11"/>
  <c r="BM16" i="11"/>
  <c r="BL17" i="11"/>
  <c r="BM17" i="11"/>
  <c r="BR17" i="11" s="1"/>
  <c r="BL18" i="11"/>
  <c r="BQ18" i="11" s="1"/>
  <c r="BM18" i="11"/>
  <c r="BL19" i="11"/>
  <c r="BM19" i="11"/>
  <c r="BR19" i="11" s="1"/>
  <c r="BL20" i="11"/>
  <c r="BM20" i="11"/>
  <c r="BL21" i="11"/>
  <c r="BQ21" i="11" s="1"/>
  <c r="BM21" i="11"/>
  <c r="BR21" i="11" s="1"/>
  <c r="BL22" i="11"/>
  <c r="BQ22" i="11" s="1"/>
  <c r="BM22" i="11"/>
  <c r="BL23" i="11"/>
  <c r="BM23" i="11"/>
  <c r="BR23" i="11" s="1"/>
  <c r="BL24" i="11"/>
  <c r="BM24" i="11"/>
  <c r="BL25" i="11"/>
  <c r="BM25" i="11"/>
  <c r="BR25" i="11" s="1"/>
  <c r="BL26" i="11"/>
  <c r="BM26" i="11"/>
  <c r="BL27" i="11"/>
  <c r="BM27" i="11"/>
  <c r="BR27" i="11" s="1"/>
  <c r="BL28" i="11"/>
  <c r="BM28" i="11"/>
  <c r="BL29" i="11"/>
  <c r="BQ29" i="11" s="1"/>
  <c r="BM29" i="11"/>
  <c r="BR29" i="11" s="1"/>
  <c r="BL30" i="11"/>
  <c r="BM30" i="11"/>
  <c r="BR30" i="11" s="1"/>
  <c r="BL31" i="11"/>
  <c r="BM31" i="11"/>
  <c r="BR31" i="11" s="1"/>
  <c r="BL32" i="11"/>
  <c r="BW32" i="11" s="1"/>
  <c r="BM32" i="11"/>
  <c r="BL33" i="11"/>
  <c r="BM33" i="11"/>
  <c r="BR33" i="11" s="1"/>
  <c r="BL34" i="11"/>
  <c r="BW34" i="11" s="1"/>
  <c r="BM34" i="11"/>
  <c r="BL35" i="11"/>
  <c r="BM35" i="11"/>
  <c r="BL36" i="11"/>
  <c r="BW36" i="11" s="1"/>
  <c r="BM36" i="11"/>
  <c r="BL37" i="11"/>
  <c r="BW37" i="11" s="1"/>
  <c r="BM37" i="11"/>
  <c r="BR37" i="11" s="1"/>
  <c r="BL38" i="11"/>
  <c r="BM38" i="11"/>
  <c r="BR38" i="11" s="1"/>
  <c r="BL39" i="11"/>
  <c r="BM39" i="11"/>
  <c r="BR39" i="11" s="1"/>
  <c r="BL40" i="11"/>
  <c r="BM40" i="11"/>
  <c r="BL41" i="11"/>
  <c r="BM41" i="11"/>
  <c r="BR41" i="11" s="1"/>
  <c r="BL42" i="11"/>
  <c r="BM42" i="11"/>
  <c r="BL43" i="11"/>
  <c r="BM43" i="11"/>
  <c r="BL44" i="11"/>
  <c r="BM44" i="11"/>
  <c r="BL45" i="11"/>
  <c r="BM45" i="11"/>
  <c r="BR45" i="11" s="1"/>
  <c r="BL46" i="11"/>
  <c r="BM46" i="11"/>
  <c r="BR46" i="11" s="1"/>
  <c r="BL47" i="11"/>
  <c r="BM47" i="11"/>
  <c r="BR47" i="11" s="1"/>
  <c r="BL48" i="11"/>
  <c r="BM48" i="11"/>
  <c r="BL49" i="11"/>
  <c r="BW49" i="11" s="1"/>
  <c r="BM49" i="11"/>
  <c r="BR49" i="11" s="1"/>
  <c r="BL50" i="11"/>
  <c r="BW50" i="11" s="1"/>
  <c r="BM50" i="11"/>
  <c r="BL51" i="11"/>
  <c r="BM51" i="11"/>
  <c r="BL52" i="11"/>
  <c r="BM52" i="11"/>
  <c r="BL53" i="11"/>
  <c r="BW53" i="11" s="1"/>
  <c r="BM53" i="11"/>
  <c r="BR53" i="11" s="1"/>
  <c r="BL54" i="11"/>
  <c r="BM54" i="11"/>
  <c r="BL55" i="11"/>
  <c r="BM55" i="11"/>
  <c r="BR55" i="11" s="1"/>
  <c r="BL56" i="11"/>
  <c r="BW56" i="11" s="1"/>
  <c r="BM56" i="11"/>
  <c r="BL57" i="11"/>
  <c r="BM57" i="11"/>
  <c r="BL58" i="11"/>
  <c r="BM58" i="11"/>
  <c r="BR58" i="11" s="1"/>
  <c r="BL59" i="11"/>
  <c r="BM59" i="11"/>
  <c r="BL60" i="11"/>
  <c r="BW60" i="11" s="1"/>
  <c r="BM60" i="11"/>
  <c r="BL61" i="11"/>
  <c r="BM61" i="11"/>
  <c r="BR61" i="11" s="1"/>
  <c r="BL62" i="11"/>
  <c r="BM62" i="11"/>
  <c r="BR62" i="11" s="1"/>
  <c r="BL63" i="11"/>
  <c r="BM63" i="11"/>
  <c r="BL64" i="11"/>
  <c r="BM64" i="11"/>
  <c r="BL65" i="11"/>
  <c r="BW65" i="11" s="1"/>
  <c r="BM65" i="11"/>
  <c r="BX65" i="11" s="1"/>
  <c r="BL66" i="11"/>
  <c r="BW66" i="11" s="1"/>
  <c r="BM66" i="11"/>
  <c r="BL67" i="11"/>
  <c r="BM67" i="11"/>
  <c r="BR67" i="11" s="1"/>
  <c r="BL68" i="11"/>
  <c r="BM68" i="11"/>
  <c r="BL69" i="11"/>
  <c r="BW69" i="11" s="1"/>
  <c r="BM69" i="11"/>
  <c r="BR69" i="11" s="1"/>
  <c r="BL70" i="11"/>
  <c r="BM70" i="11"/>
  <c r="BL71" i="11"/>
  <c r="BM71" i="11"/>
  <c r="BR71" i="11" s="1"/>
  <c r="BL72" i="11"/>
  <c r="BW72" i="11" s="1"/>
  <c r="BM72" i="11"/>
  <c r="BX72" i="11" s="1"/>
  <c r="BL73" i="11"/>
  <c r="BQ73" i="11" s="1"/>
  <c r="BM73" i="11"/>
  <c r="BL74" i="11"/>
  <c r="BM74" i="11"/>
  <c r="BL75" i="11"/>
  <c r="BM75" i="11"/>
  <c r="BX75" i="11" s="1"/>
  <c r="BL76" i="11"/>
  <c r="BM76" i="11"/>
  <c r="BL77" i="11"/>
  <c r="BW77" i="11" s="1"/>
  <c r="BM77" i="11"/>
  <c r="BL78" i="11"/>
  <c r="BM78" i="11"/>
  <c r="BX78" i="11" s="1"/>
  <c r="BL79" i="11"/>
  <c r="BW79" i="11" s="1"/>
  <c r="BM79" i="11"/>
  <c r="BR79" i="11" s="1"/>
  <c r="BL80" i="11"/>
  <c r="BW80" i="11" s="1"/>
  <c r="BM80" i="11"/>
  <c r="BX80" i="11" s="1"/>
  <c r="BL81" i="11"/>
  <c r="BM81" i="11"/>
  <c r="BR81" i="11" s="1"/>
  <c r="BL82" i="11"/>
  <c r="BM82" i="11"/>
  <c r="BL83" i="11"/>
  <c r="BM83" i="11"/>
  <c r="BR83" i="11" s="1"/>
  <c r="BL84" i="11"/>
  <c r="BM84" i="11"/>
  <c r="BL85" i="11"/>
  <c r="BW85" i="11" s="1"/>
  <c r="BM85" i="11"/>
  <c r="BL86" i="11"/>
  <c r="BM86" i="11"/>
  <c r="BX86" i="11" s="1"/>
  <c r="BL87" i="11"/>
  <c r="BW87" i="11" s="1"/>
  <c r="BM87" i="11"/>
  <c r="BX87" i="11" s="1"/>
  <c r="BL88" i="11"/>
  <c r="BW88" i="11" s="1"/>
  <c r="BM88" i="11"/>
  <c r="BX88" i="11" s="1"/>
  <c r="BL89" i="11"/>
  <c r="BW89" i="11" s="1"/>
  <c r="BM89" i="11"/>
  <c r="BX89" i="11" s="1"/>
  <c r="BL90" i="11"/>
  <c r="BQ90" i="11" s="1"/>
  <c r="BM90" i="11"/>
  <c r="BX90" i="11" s="1"/>
  <c r="BL91" i="11"/>
  <c r="BM91" i="11"/>
  <c r="BR91" i="11" s="1"/>
  <c r="BL92" i="11"/>
  <c r="BQ92" i="11" s="1"/>
  <c r="BM92" i="11"/>
  <c r="BX92" i="11" s="1"/>
  <c r="BL93" i="11"/>
  <c r="BW93" i="11" s="1"/>
  <c r="BM93" i="11"/>
  <c r="BX93" i="11" s="1"/>
  <c r="BL94" i="11"/>
  <c r="BW94" i="11" s="1"/>
  <c r="BM94" i="11"/>
  <c r="BX94" i="11" s="1"/>
  <c r="BL95" i="11"/>
  <c r="BW95" i="11" s="1"/>
  <c r="BM95" i="11"/>
  <c r="BR95" i="11" s="1"/>
  <c r="BL96" i="11"/>
  <c r="BW96" i="11" s="1"/>
  <c r="BM96" i="11"/>
  <c r="BX96" i="11" s="1"/>
  <c r="BL97" i="11"/>
  <c r="BW97" i="11" s="1"/>
  <c r="BM97" i="11"/>
  <c r="BR97" i="11" s="1"/>
  <c r="BL98" i="11"/>
  <c r="BQ98" i="11" s="1"/>
  <c r="BM98" i="11"/>
  <c r="BL99" i="11"/>
  <c r="BM99" i="11"/>
  <c r="BX99" i="11" s="1"/>
  <c r="BL100" i="11"/>
  <c r="BM100" i="11"/>
  <c r="BL101" i="11"/>
  <c r="BW101" i="11" s="1"/>
  <c r="BM101" i="11"/>
  <c r="BR101" i="11" s="1"/>
  <c r="BL102" i="11"/>
  <c r="BW102" i="11" s="1"/>
  <c r="BM102" i="11"/>
  <c r="BX102" i="11" s="1"/>
  <c r="BL103" i="11"/>
  <c r="BW103" i="11" s="1"/>
  <c r="BM103" i="11"/>
  <c r="BR103" i="11" s="1"/>
  <c r="BL104" i="11"/>
  <c r="BW104" i="11" s="1"/>
  <c r="BM104" i="11"/>
  <c r="BX104" i="11" s="1"/>
  <c r="BL105" i="11"/>
  <c r="BM105" i="11"/>
  <c r="BX105" i="11" s="1"/>
  <c r="BL106" i="11"/>
  <c r="BM106" i="11"/>
  <c r="BX106" i="11" s="1"/>
  <c r="BL107" i="11"/>
  <c r="BM107" i="11"/>
  <c r="BR107" i="11" s="1"/>
  <c r="BL108" i="11"/>
  <c r="BM108" i="11"/>
  <c r="BX108" i="11" s="1"/>
  <c r="BL109" i="11"/>
  <c r="BW109" i="11" s="1"/>
  <c r="BM109" i="11"/>
  <c r="BR109" i="11" s="1"/>
  <c r="BL110" i="11"/>
  <c r="BM110" i="11"/>
  <c r="BX110" i="11" s="1"/>
  <c r="BL111" i="11"/>
  <c r="BW111" i="11" s="1"/>
  <c r="BM111" i="11"/>
  <c r="BX111" i="11" s="1"/>
  <c r="BL112" i="11"/>
  <c r="BW112" i="11" s="1"/>
  <c r="BM112" i="11"/>
  <c r="BX112" i="11" s="1"/>
  <c r="BL113" i="11"/>
  <c r="BW113" i="11" s="1"/>
  <c r="BM113" i="11"/>
  <c r="BR113" i="11" s="1"/>
  <c r="BL114" i="11"/>
  <c r="BM114" i="11"/>
  <c r="BX114" i="11" s="1"/>
  <c r="BL115" i="11"/>
  <c r="BM115" i="11"/>
  <c r="BX115" i="11" s="1"/>
  <c r="BL116" i="11"/>
  <c r="BM116" i="11"/>
  <c r="BX116" i="11" s="1"/>
  <c r="BL117" i="11"/>
  <c r="BW117" i="11" s="1"/>
  <c r="BM117" i="11"/>
  <c r="BX117" i="11" s="1"/>
  <c r="BL118" i="11"/>
  <c r="BW118" i="11" s="1"/>
  <c r="BM118" i="11"/>
  <c r="BL119" i="11"/>
  <c r="BM119" i="11"/>
  <c r="BR119" i="11" s="1"/>
  <c r="BL120" i="11"/>
  <c r="BM120" i="11"/>
  <c r="BL121" i="11"/>
  <c r="BW121" i="11" s="1"/>
  <c r="BM121" i="11"/>
  <c r="BR121" i="11" s="1"/>
  <c r="BL122" i="11"/>
  <c r="BM122" i="11"/>
  <c r="BX122" i="11" s="1"/>
  <c r="BL123" i="11"/>
  <c r="BM123" i="11"/>
  <c r="BR123" i="11" s="1"/>
  <c r="BL124" i="11"/>
  <c r="BM124" i="11"/>
  <c r="BL125" i="11"/>
  <c r="BM125" i="11"/>
  <c r="BX125" i="11" s="1"/>
  <c r="BL126" i="11"/>
  <c r="BM126" i="11"/>
  <c r="BX126" i="11" s="1"/>
  <c r="BL127" i="11"/>
  <c r="BM127" i="11"/>
  <c r="BR127" i="11" s="1"/>
  <c r="BL128" i="11"/>
  <c r="BM128" i="11"/>
  <c r="BL129" i="11"/>
  <c r="BQ129" i="11" s="1"/>
  <c r="BM129" i="11"/>
  <c r="BM130" i="11"/>
  <c r="BM4" i="11"/>
  <c r="BL4" i="11"/>
  <c r="BQ4" i="11" s="1"/>
  <c r="BR147" i="11"/>
  <c r="BQ147" i="11"/>
  <c r="BR144" i="11"/>
  <c r="BQ144" i="11"/>
  <c r="BQ141" i="11"/>
  <c r="BR132" i="11"/>
  <c r="BQ132" i="11"/>
  <c r="BR126" i="11"/>
  <c r="BW119" i="11"/>
  <c r="BW105" i="11"/>
  <c r="BR105" i="11"/>
  <c r="BX98" i="11"/>
  <c r="BW120" i="11"/>
  <c r="BR93" i="11"/>
  <c r="BR85" i="11"/>
  <c r="BR82" i="11"/>
  <c r="BQ76" i="11"/>
  <c r="BQ75" i="11"/>
  <c r="BR73" i="11"/>
  <c r="BR65" i="11"/>
  <c r="BW64" i="11"/>
  <c r="BX118" i="11"/>
  <c r="BR57" i="11"/>
  <c r="BW52" i="11"/>
  <c r="BW48" i="11"/>
  <c r="BQ47" i="11"/>
  <c r="BW45" i="11"/>
  <c r="BR42" i="11"/>
  <c r="BX101" i="11"/>
  <c r="BW41" i="11"/>
  <c r="BQ36" i="11"/>
  <c r="BW59" i="11"/>
  <c r="BQ31" i="11"/>
  <c r="BW29" i="11"/>
  <c r="BW51" i="11"/>
  <c r="BQ23" i="11"/>
  <c r="BR13" i="11"/>
  <c r="BX70" i="11"/>
  <c r="BQ8" i="11"/>
  <c r="BR6" i="11"/>
  <c r="BR130" i="11" l="1"/>
  <c r="BR87" i="11"/>
  <c r="BR114" i="11"/>
  <c r="BQ89" i="11"/>
  <c r="BQ53" i="11"/>
  <c r="BQ37" i="11"/>
  <c r="BQ25" i="11"/>
  <c r="BQ17" i="11"/>
  <c r="BR125" i="11"/>
  <c r="BQ83" i="11"/>
  <c r="BQ67" i="11"/>
  <c r="BQ39" i="11"/>
  <c r="BR122" i="11"/>
  <c r="BR118" i="11"/>
  <c r="BR110" i="11"/>
  <c r="BR106" i="11"/>
  <c r="BR102" i="11"/>
  <c r="BR98" i="11"/>
  <c r="BR94" i="11"/>
  <c r="BR90" i="11"/>
  <c r="BR86" i="11"/>
  <c r="BR78" i="11"/>
  <c r="BR74" i="11"/>
  <c r="BR70" i="11"/>
  <c r="BR66" i="11"/>
  <c r="BQ61" i="11"/>
  <c r="BX97" i="11"/>
  <c r="BX113" i="11"/>
  <c r="BR77" i="11"/>
  <c r="BR89" i="11"/>
  <c r="BX107" i="11"/>
  <c r="BR128" i="11"/>
  <c r="BR124" i="11"/>
  <c r="BR100" i="11"/>
  <c r="BR84" i="11"/>
  <c r="BR76" i="11"/>
  <c r="BR68" i="11"/>
  <c r="BW58" i="11"/>
  <c r="BQ97" i="11"/>
  <c r="BQ81" i="11"/>
  <c r="BQ33" i="11"/>
  <c r="BX121" i="11"/>
  <c r="BQ128" i="11"/>
  <c r="BQ60" i="11"/>
  <c r="BQ48" i="11"/>
  <c r="BQ16" i="11"/>
  <c r="BX109" i="11"/>
  <c r="BW110" i="11"/>
  <c r="BR54" i="11"/>
  <c r="BR50" i="11"/>
  <c r="BR34" i="11"/>
  <c r="BR22" i="11"/>
  <c r="BR14" i="11"/>
  <c r="BR117" i="11"/>
  <c r="BQ57" i="11"/>
  <c r="BQ41" i="11"/>
  <c r="BQ64" i="11"/>
  <c r="BQ44" i="11"/>
  <c r="BQ32" i="11"/>
  <c r="BQ20" i="11"/>
  <c r="BQ49" i="11"/>
  <c r="BQ56" i="11"/>
  <c r="BX91" i="11"/>
  <c r="BQ127" i="11"/>
  <c r="BQ99" i="11"/>
  <c r="BQ91" i="11"/>
  <c r="BQ59" i="11"/>
  <c r="BQ51" i="11"/>
  <c r="BQ43" i="11"/>
  <c r="BQ35" i="11"/>
  <c r="BQ15" i="11"/>
  <c r="BQ7" i="11"/>
  <c r="BQ82" i="11"/>
  <c r="BQ66" i="11"/>
  <c r="BQ46" i="11"/>
  <c r="BQ30" i="11"/>
  <c r="BQ26" i="11"/>
  <c r="BQ14" i="11"/>
  <c r="BQ10" i="11"/>
  <c r="BQ45" i="11"/>
  <c r="BQ84" i="11"/>
  <c r="BQ68" i="11"/>
  <c r="BQ52" i="11"/>
  <c r="BQ40" i="11"/>
  <c r="BQ24" i="11"/>
  <c r="BW44" i="11"/>
  <c r="BW40" i="11"/>
  <c r="BX123" i="11"/>
  <c r="BX103" i="11"/>
  <c r="BR75" i="11"/>
  <c r="BR115" i="11"/>
  <c r="BQ122" i="11"/>
  <c r="BQ114" i="11"/>
  <c r="BQ106" i="11"/>
  <c r="BQ74" i="11"/>
  <c r="BQ62" i="11"/>
  <c r="BQ54" i="11"/>
  <c r="BQ38" i="11"/>
  <c r="BW43" i="11"/>
  <c r="BX95" i="11"/>
  <c r="BX71" i="11"/>
  <c r="BR99" i="11"/>
  <c r="BR111" i="11"/>
  <c r="BW127" i="11"/>
  <c r="BR92" i="11"/>
  <c r="BR80" i="11"/>
  <c r="BR44" i="11"/>
  <c r="BX119" i="11"/>
  <c r="BX83" i="11"/>
  <c r="BX67" i="11"/>
  <c r="BW35" i="11"/>
  <c r="BX79" i="11"/>
  <c r="BX68" i="11"/>
  <c r="BR96" i="11"/>
  <c r="BW28" i="11"/>
  <c r="BR135" i="11"/>
  <c r="BX76" i="11"/>
  <c r="BX84" i="11"/>
  <c r="BW33" i="11"/>
  <c r="BQ65" i="11"/>
  <c r="BR104" i="11"/>
  <c r="BR112" i="11"/>
  <c r="BR120" i="11"/>
  <c r="BR8" i="11"/>
  <c r="BR12" i="11"/>
  <c r="BQ28" i="11"/>
  <c r="BR36" i="11"/>
  <c r="BX100" i="11"/>
  <c r="BW61" i="11"/>
  <c r="BR72" i="11"/>
  <c r="BR108" i="11"/>
  <c r="BR116" i="11"/>
  <c r="BR16" i="11"/>
  <c r="BR20" i="11"/>
  <c r="BW57" i="11"/>
  <c r="BR60" i="11"/>
  <c r="BR88" i="11"/>
  <c r="BR28" i="11"/>
  <c r="BX120" i="11"/>
  <c r="BR24" i="11"/>
  <c r="BR52" i="11"/>
  <c r="BR4" i="11"/>
  <c r="BW31" i="11"/>
  <c r="BW39" i="11"/>
  <c r="BW47" i="11"/>
  <c r="BW55" i="11"/>
  <c r="BW63" i="11"/>
  <c r="BX64" i="11"/>
  <c r="BX66" i="11"/>
  <c r="BW73" i="11"/>
  <c r="BX74" i="11"/>
  <c r="BW81" i="11"/>
  <c r="BX82" i="11"/>
  <c r="BQ100" i="11"/>
  <c r="BQ108" i="11"/>
  <c r="BQ116" i="11"/>
  <c r="BR138" i="11"/>
  <c r="BR141" i="11"/>
  <c r="BQ11" i="11"/>
  <c r="BQ19" i="11"/>
  <c r="BQ27" i="11"/>
  <c r="BW30" i="11"/>
  <c r="BQ34" i="11"/>
  <c r="BR35" i="11"/>
  <c r="BW38" i="11"/>
  <c r="BQ42" i="11"/>
  <c r="BR43" i="11"/>
  <c r="BW46" i="11"/>
  <c r="BQ50" i="11"/>
  <c r="BR51" i="11"/>
  <c r="BW54" i="11"/>
  <c r="BQ58" i="11"/>
  <c r="BR59" i="11"/>
  <c r="BW62" i="11"/>
  <c r="BX73" i="11"/>
  <c r="BX81" i="11"/>
  <c r="BQ107" i="11"/>
  <c r="BQ115" i="11"/>
  <c r="BW123" i="11"/>
  <c r="BQ123" i="11"/>
  <c r="BQ145" i="11"/>
  <c r="BW71" i="11"/>
  <c r="BW70" i="11"/>
  <c r="BR10" i="11"/>
  <c r="BR18" i="11"/>
  <c r="BR26" i="11"/>
  <c r="BR32" i="11"/>
  <c r="BR40" i="11"/>
  <c r="BR48" i="11"/>
  <c r="BQ55" i="11"/>
  <c r="BR56" i="11"/>
  <c r="BQ63" i="11"/>
  <c r="BR64" i="11"/>
  <c r="BQ72" i="11"/>
  <c r="BQ80" i="11"/>
  <c r="BQ88" i="11"/>
  <c r="BQ96" i="11"/>
  <c r="BQ104" i="11"/>
  <c r="BQ112" i="11"/>
  <c r="BQ120" i="11"/>
  <c r="BX124" i="11"/>
  <c r="BR133" i="11"/>
  <c r="BQ142" i="11"/>
  <c r="BW78" i="11"/>
  <c r="BW86" i="11"/>
  <c r="BW42" i="11"/>
  <c r="BR63" i="11"/>
  <c r="BW68" i="11"/>
  <c r="BX69" i="11"/>
  <c r="BQ71" i="11"/>
  <c r="BW76" i="11"/>
  <c r="BX77" i="11"/>
  <c r="BQ79" i="11"/>
  <c r="BW84" i="11"/>
  <c r="BX85" i="11"/>
  <c r="BQ87" i="11"/>
  <c r="BW92" i="11"/>
  <c r="BQ95" i="11"/>
  <c r="BW100" i="11"/>
  <c r="BQ103" i="11"/>
  <c r="BW108" i="11"/>
  <c r="BQ111" i="11"/>
  <c r="BW116" i="11"/>
  <c r="BQ119" i="11"/>
  <c r="BW125" i="11"/>
  <c r="BQ125" i="11"/>
  <c r="BW129" i="11"/>
  <c r="BQ135" i="11"/>
  <c r="BQ138" i="11"/>
  <c r="BQ105" i="11"/>
  <c r="BQ113" i="11"/>
  <c r="BQ121" i="11"/>
  <c r="BW126" i="11"/>
  <c r="BQ126" i="11"/>
  <c r="BW67" i="11"/>
  <c r="BQ70" i="11"/>
  <c r="BW75" i="11"/>
  <c r="BQ78" i="11"/>
  <c r="BW83" i="11"/>
  <c r="BQ86" i="11"/>
  <c r="BW91" i="11"/>
  <c r="BQ94" i="11"/>
  <c r="BW99" i="11"/>
  <c r="BQ102" i="11"/>
  <c r="BW107" i="11"/>
  <c r="BQ110" i="11"/>
  <c r="BW115" i="11"/>
  <c r="BQ118" i="11"/>
  <c r="BX129" i="11"/>
  <c r="BR129" i="11"/>
  <c r="BR145" i="11"/>
  <c r="BQ69" i="11"/>
  <c r="BW74" i="11"/>
  <c r="BQ77" i="11"/>
  <c r="BW82" i="11"/>
  <c r="BQ85" i="11"/>
  <c r="BW90" i="11"/>
  <c r="BQ93" i="11"/>
  <c r="BW98" i="11"/>
  <c r="BQ101" i="11"/>
  <c r="BW106" i="11"/>
  <c r="BQ109" i="11"/>
  <c r="BW114" i="11"/>
  <c r="BQ117" i="11"/>
  <c r="BW122" i="11"/>
  <c r="BW124" i="11"/>
  <c r="BQ124" i="11"/>
  <c r="BQ133" i="11"/>
  <c r="BX127" i="11"/>
  <c r="BW128" i="11"/>
  <c r="BX128" i="11"/>
  <c r="BR136" i="11" l="1"/>
  <c r="BQ136" i="11"/>
  <c r="BR142" i="11"/>
  <c r="BR139" i="11"/>
  <c r="BQ139" i="11"/>
  <c r="BX130" i="11" l="1"/>
  <c r="AC5" i="8" l="1"/>
  <c r="AB5" i="8"/>
  <c r="AA5" i="8"/>
  <c r="Z5" i="8"/>
  <c r="AC4" i="8"/>
  <c r="AB4" i="8"/>
  <c r="AA4" i="8"/>
  <c r="Z4" i="8"/>
  <c r="AC3" i="8"/>
  <c r="AB3" i="8"/>
  <c r="AA3" i="8"/>
  <c r="Z3" i="8"/>
  <c r="AC2" i="8"/>
  <c r="AB2" i="8"/>
  <c r="AA2" i="8"/>
  <c r="Z2" i="8"/>
  <c r="AC1" i="8"/>
  <c r="AB1" i="8"/>
  <c r="AA1" i="8"/>
  <c r="Z1" i="8"/>
  <c r="AE7" i="5" a="1"/>
  <c r="AE7" i="5" s="1"/>
  <c r="AD7" i="5" a="1"/>
  <c r="AD7" i="5" s="1"/>
  <c r="AC7" i="5" a="1"/>
  <c r="AC7" i="5" s="1"/>
  <c r="AB7" i="5" a="1"/>
  <c r="AB7" i="5" s="1"/>
  <c r="Y5" i="8"/>
  <c r="Y4" i="8"/>
  <c r="Y3" i="8"/>
  <c r="Y2" i="8"/>
  <c r="Y1" i="8"/>
  <c r="AA7" i="5" a="1"/>
  <c r="AA7" i="5" s="1"/>
  <c r="D107" i="21" l="1"/>
  <c r="D108" i="21" s="1"/>
  <c r="D109" i="21" s="1"/>
  <c r="D110" i="21" s="1"/>
  <c r="E107" i="21"/>
  <c r="E108" i="21" s="1"/>
  <c r="E109" i="21" s="1"/>
  <c r="E110" i="21" s="1"/>
  <c r="C107" i="21"/>
  <c r="C108" i="21" s="1"/>
  <c r="C109" i="21" s="1"/>
  <c r="C110" i="21" s="1"/>
  <c r="X5" i="8" l="1"/>
  <c r="X4" i="8"/>
  <c r="X3" i="8"/>
  <c r="X2" i="8"/>
  <c r="X1" i="8"/>
  <c r="W5" i="8"/>
  <c r="V5" i="8"/>
  <c r="U5" i="8"/>
  <c r="T5" i="8"/>
  <c r="W4" i="8"/>
  <c r="V4" i="8"/>
  <c r="U4" i="8"/>
  <c r="T4" i="8"/>
  <c r="W3" i="8"/>
  <c r="V3" i="8"/>
  <c r="U3" i="8"/>
  <c r="T3" i="8"/>
  <c r="W2" i="8"/>
  <c r="V2" i="8"/>
  <c r="U2" i="8"/>
  <c r="T2" i="8"/>
  <c r="W1" i="8"/>
  <c r="V1" i="8"/>
  <c r="U1" i="8"/>
  <c r="T1" i="8"/>
  <c r="S5" i="8"/>
  <c r="S4" i="8"/>
  <c r="S3" i="8"/>
  <c r="S2" i="8"/>
  <c r="S1" i="8"/>
  <c r="Z7" i="5" a="1"/>
  <c r="Z7" i="5" s="1"/>
  <c r="Y7" i="5" a="1"/>
  <c r="Y7" i="5" s="1"/>
  <c r="X7" i="5" a="1"/>
  <c r="X7" i="5" s="1"/>
  <c r="W7" i="5" a="1"/>
  <c r="W7" i="5" s="1"/>
  <c r="U7" i="5" a="1"/>
  <c r="U7" i="5" s="1"/>
  <c r="V7" i="5" a="1"/>
  <c r="V7" i="5" s="1"/>
  <c r="O6" i="11"/>
  <c r="P6" i="11" s="1"/>
  <c r="Q6" i="11" s="1"/>
  <c r="M6" i="11"/>
  <c r="K6" i="11"/>
  <c r="I6" i="11"/>
  <c r="G6" i="11"/>
  <c r="E6" i="11"/>
  <c r="C6" i="11"/>
  <c r="N3" i="11"/>
  <c r="L3" i="11"/>
  <c r="M3" i="11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Q1" i="8"/>
  <c r="P3" i="11" s="1"/>
  <c r="P1" i="8"/>
  <c r="O3" i="11" s="1"/>
  <c r="O1" i="8"/>
  <c r="N1" i="8"/>
  <c r="M1" i="8"/>
  <c r="L1" i="8"/>
  <c r="K3" i="11" s="1"/>
  <c r="K1" i="8"/>
  <c r="J3" i="11" s="1"/>
  <c r="J1" i="8"/>
  <c r="I3" i="11" s="1"/>
  <c r="I1" i="8"/>
  <c r="H3" i="11" s="1"/>
  <c r="H1" i="8"/>
  <c r="G3" i="11" s="1"/>
  <c r="G1" i="8"/>
  <c r="F3" i="11" s="1"/>
  <c r="F1" i="8"/>
  <c r="E3" i="11" s="1"/>
  <c r="E1" i="8"/>
  <c r="D3" i="11" s="1"/>
  <c r="D1" i="8"/>
  <c r="C3" i="11" s="1"/>
  <c r="S7" i="5" a="1"/>
  <c r="S7" i="5" s="1"/>
  <c r="C5" i="8"/>
  <c r="C4" i="8"/>
  <c r="C3" i="8"/>
  <c r="C2" i="8"/>
  <c r="C1" i="8"/>
  <c r="B3" i="11" s="1"/>
  <c r="B2" i="8"/>
  <c r="B3" i="8"/>
  <c r="B4" i="8"/>
  <c r="B5" i="8"/>
  <c r="B1" i="8"/>
  <c r="Q3" i="11" s="1"/>
  <c r="A8" i="8"/>
  <c r="B11" i="5"/>
  <c r="B15" i="5" s="1"/>
  <c r="B19" i="5" s="1"/>
  <c r="B23" i="5" s="1"/>
  <c r="B27" i="5" s="1"/>
  <c r="B31" i="5" s="1"/>
  <c r="B35" i="5" s="1"/>
  <c r="B39" i="5" s="1"/>
  <c r="B43" i="5" s="1"/>
  <c r="B47" i="5" s="1"/>
  <c r="B51" i="5" s="1"/>
  <c r="B55" i="5" s="1"/>
  <c r="B59" i="5" s="1"/>
  <c r="B63" i="5" s="1"/>
  <c r="B67" i="5" s="1"/>
  <c r="B71" i="5" s="1"/>
  <c r="B75" i="5" s="1"/>
  <c r="B79" i="5" s="1"/>
  <c r="B83" i="5" s="1"/>
  <c r="B87" i="5" s="1"/>
  <c r="B91" i="5" s="1"/>
  <c r="B95" i="5" s="1"/>
  <c r="B99" i="5" s="1"/>
  <c r="B103" i="5" s="1"/>
  <c r="B107" i="5" s="1"/>
  <c r="B111" i="5" s="1"/>
  <c r="B115" i="5" s="1"/>
  <c r="B119" i="5" s="1"/>
  <c r="B123" i="5" s="1"/>
  <c r="B127" i="5" s="1"/>
  <c r="B131" i="5" s="1"/>
  <c r="B135" i="5" s="1"/>
  <c r="B139" i="5" s="1"/>
  <c r="B143" i="5" s="1"/>
  <c r="B147" i="5" s="1"/>
  <c r="B151" i="5" s="1"/>
  <c r="B155" i="5" s="1"/>
  <c r="B159" i="5" s="1"/>
  <c r="B163" i="5" s="1"/>
  <c r="B167" i="5" s="1"/>
  <c r="B171" i="5" s="1"/>
  <c r="B175" i="5" s="1"/>
  <c r="B179" i="5" s="1"/>
  <c r="B183" i="5" s="1"/>
  <c r="B187" i="5" s="1"/>
  <c r="B191" i="5" s="1"/>
  <c r="B195" i="5" s="1"/>
  <c r="B199" i="5" s="1"/>
  <c r="B203" i="5" s="1"/>
  <c r="B207" i="5" s="1"/>
  <c r="B211" i="5" s="1"/>
  <c r="B215" i="5" s="1"/>
  <c r="B219" i="5" s="1"/>
  <c r="B223" i="5" s="1"/>
  <c r="B227" i="5" s="1"/>
  <c r="B231" i="5" s="1"/>
  <c r="B235" i="5" s="1"/>
  <c r="B239" i="5" s="1"/>
  <c r="B243" i="5" s="1"/>
  <c r="B247" i="5" s="1"/>
  <c r="B251" i="5" s="1"/>
  <c r="B255" i="5" s="1"/>
  <c r="B259" i="5" s="1"/>
  <c r="B263" i="5" s="1"/>
  <c r="B267" i="5" s="1"/>
  <c r="B271" i="5" s="1"/>
  <c r="B275" i="5" s="1"/>
  <c r="B279" i="5" s="1"/>
  <c r="B283" i="5" s="1"/>
  <c r="B287" i="5" s="1"/>
  <c r="B291" i="5" s="1"/>
  <c r="B295" i="5" s="1"/>
  <c r="B299" i="5" s="1"/>
  <c r="B303" i="5" s="1"/>
  <c r="B307" i="5" s="1"/>
  <c r="B311" i="5" s="1"/>
  <c r="B315" i="5" s="1"/>
  <c r="B8" i="5"/>
  <c r="E7" i="5" a="1"/>
  <c r="E7" i="5" s="1"/>
  <c r="D7" i="5" a="1"/>
  <c r="D7" i="5" s="1"/>
  <c r="C8" i="5"/>
  <c r="Z8" i="5" s="1" a="1"/>
  <c r="Z8" i="5" s="1"/>
  <c r="A9" i="8" l="1"/>
  <c r="B9" i="5"/>
  <c r="W8" i="5" a="1"/>
  <c r="W8" i="5" s="1"/>
  <c r="X8" i="5" a="1"/>
  <c r="X8" i="5" s="1"/>
  <c r="Y8" i="5" a="1"/>
  <c r="Y8" i="5" s="1"/>
  <c r="U8" i="5" a="1"/>
  <c r="U8" i="5" s="1"/>
  <c r="T8" i="5" a="1"/>
  <c r="T8" i="5" s="1"/>
  <c r="AG8" i="5" a="1"/>
  <c r="AG8" i="5" s="1"/>
  <c r="AF8" i="5" a="1"/>
  <c r="AF8" i="5" s="1"/>
  <c r="AE8" i="5" a="1"/>
  <c r="AE8" i="5" s="1"/>
  <c r="AD8" i="5" a="1"/>
  <c r="AD8" i="5" s="1"/>
  <c r="AC8" i="5" a="1"/>
  <c r="AC8" i="5" s="1"/>
  <c r="AB8" i="5" a="1"/>
  <c r="AB8" i="5" s="1"/>
  <c r="AA8" i="5" a="1"/>
  <c r="AA8" i="5" s="1"/>
  <c r="B10" i="5"/>
  <c r="B14" i="5" s="1"/>
  <c r="B18" i="5" s="1"/>
  <c r="B22" i="5" s="1"/>
  <c r="B26" i="5" s="1"/>
  <c r="B30" i="5" s="1"/>
  <c r="B34" i="5" s="1"/>
  <c r="B38" i="5" s="1"/>
  <c r="B42" i="5" s="1"/>
  <c r="B46" i="5" s="1"/>
  <c r="B50" i="5" s="1"/>
  <c r="B54" i="5" s="1"/>
  <c r="B58" i="5" s="1"/>
  <c r="B62" i="5" s="1"/>
  <c r="B66" i="5" s="1"/>
  <c r="B70" i="5" s="1"/>
  <c r="B74" i="5" s="1"/>
  <c r="B78" i="5" s="1"/>
  <c r="B82" i="5" s="1"/>
  <c r="B86" i="5" s="1"/>
  <c r="B90" i="5" s="1"/>
  <c r="B94" i="5" s="1"/>
  <c r="B98" i="5" s="1"/>
  <c r="B102" i="5" s="1"/>
  <c r="B106" i="5" s="1"/>
  <c r="B110" i="5" s="1"/>
  <c r="B114" i="5" s="1"/>
  <c r="B118" i="5" s="1"/>
  <c r="B122" i="5" s="1"/>
  <c r="B126" i="5" s="1"/>
  <c r="B130" i="5" s="1"/>
  <c r="B134" i="5" s="1"/>
  <c r="B138" i="5" s="1"/>
  <c r="B142" i="5" s="1"/>
  <c r="B146" i="5" s="1"/>
  <c r="B150" i="5" s="1"/>
  <c r="B154" i="5" s="1"/>
  <c r="B158" i="5" s="1"/>
  <c r="B162" i="5" s="1"/>
  <c r="B166" i="5" s="1"/>
  <c r="B170" i="5" s="1"/>
  <c r="B174" i="5" s="1"/>
  <c r="B178" i="5" s="1"/>
  <c r="B182" i="5" s="1"/>
  <c r="B186" i="5" s="1"/>
  <c r="B190" i="5" s="1"/>
  <c r="B194" i="5" s="1"/>
  <c r="B198" i="5" s="1"/>
  <c r="B202" i="5" s="1"/>
  <c r="B206" i="5" s="1"/>
  <c r="B210" i="5" s="1"/>
  <c r="B214" i="5" s="1"/>
  <c r="B218" i="5" s="1"/>
  <c r="B222" i="5" s="1"/>
  <c r="B226" i="5" s="1"/>
  <c r="B230" i="5" s="1"/>
  <c r="B234" i="5" s="1"/>
  <c r="B238" i="5" s="1"/>
  <c r="B242" i="5" s="1"/>
  <c r="B246" i="5" s="1"/>
  <c r="B250" i="5" s="1"/>
  <c r="B254" i="5" s="1"/>
  <c r="B258" i="5" s="1"/>
  <c r="B262" i="5" s="1"/>
  <c r="B266" i="5" s="1"/>
  <c r="B270" i="5" s="1"/>
  <c r="B274" i="5" s="1"/>
  <c r="B278" i="5" s="1"/>
  <c r="B282" i="5" s="1"/>
  <c r="B286" i="5" s="1"/>
  <c r="B290" i="5" s="1"/>
  <c r="B294" i="5" s="1"/>
  <c r="B298" i="5" s="1"/>
  <c r="B302" i="5" s="1"/>
  <c r="B306" i="5" s="1"/>
  <c r="B310" i="5" s="1"/>
  <c r="B314" i="5" s="1"/>
  <c r="B318" i="5" s="1"/>
  <c r="B13" i="5"/>
  <c r="B17" i="5" s="1"/>
  <c r="B21" i="5" s="1"/>
  <c r="B25" i="5" s="1"/>
  <c r="B29" i="5" s="1"/>
  <c r="B33" i="5" s="1"/>
  <c r="B37" i="5" s="1"/>
  <c r="B41" i="5" s="1"/>
  <c r="B45" i="5" s="1"/>
  <c r="B49" i="5" s="1"/>
  <c r="B53" i="5" s="1"/>
  <c r="B57" i="5" s="1"/>
  <c r="B61" i="5" s="1"/>
  <c r="B65" i="5" s="1"/>
  <c r="B69" i="5" s="1"/>
  <c r="B73" i="5" s="1"/>
  <c r="B77" i="5" s="1"/>
  <c r="B81" i="5" s="1"/>
  <c r="B85" i="5" s="1"/>
  <c r="B89" i="5" s="1"/>
  <c r="B93" i="5" s="1"/>
  <c r="B97" i="5" s="1"/>
  <c r="B101" i="5" s="1"/>
  <c r="B105" i="5" s="1"/>
  <c r="B109" i="5" s="1"/>
  <c r="B113" i="5" s="1"/>
  <c r="B117" i="5" s="1"/>
  <c r="B121" i="5" s="1"/>
  <c r="B125" i="5" s="1"/>
  <c r="B129" i="5" s="1"/>
  <c r="B133" i="5" s="1"/>
  <c r="B137" i="5" s="1"/>
  <c r="B141" i="5" s="1"/>
  <c r="B145" i="5" s="1"/>
  <c r="B149" i="5" s="1"/>
  <c r="B153" i="5" s="1"/>
  <c r="B157" i="5" s="1"/>
  <c r="B161" i="5" s="1"/>
  <c r="B165" i="5" s="1"/>
  <c r="B169" i="5" s="1"/>
  <c r="B173" i="5" s="1"/>
  <c r="B177" i="5" s="1"/>
  <c r="B181" i="5" s="1"/>
  <c r="B185" i="5" s="1"/>
  <c r="B189" i="5" s="1"/>
  <c r="B193" i="5" s="1"/>
  <c r="B197" i="5" s="1"/>
  <c r="B201" i="5" s="1"/>
  <c r="B205" i="5" s="1"/>
  <c r="B209" i="5" s="1"/>
  <c r="B213" i="5" s="1"/>
  <c r="B217" i="5" s="1"/>
  <c r="B221" i="5" s="1"/>
  <c r="B225" i="5" s="1"/>
  <c r="B229" i="5" s="1"/>
  <c r="B233" i="5" s="1"/>
  <c r="B237" i="5" s="1"/>
  <c r="B241" i="5" s="1"/>
  <c r="B245" i="5" s="1"/>
  <c r="B249" i="5" s="1"/>
  <c r="B253" i="5" s="1"/>
  <c r="B257" i="5" s="1"/>
  <c r="B261" i="5" s="1"/>
  <c r="B265" i="5" s="1"/>
  <c r="B269" i="5" s="1"/>
  <c r="B273" i="5" s="1"/>
  <c r="B277" i="5" s="1"/>
  <c r="B281" i="5" s="1"/>
  <c r="B285" i="5" s="1"/>
  <c r="B289" i="5" s="1"/>
  <c r="B293" i="5" s="1"/>
  <c r="B297" i="5" s="1"/>
  <c r="B301" i="5" s="1"/>
  <c r="B305" i="5" s="1"/>
  <c r="B309" i="5" s="1"/>
  <c r="B313" i="5" s="1"/>
  <c r="B317" i="5" s="1"/>
  <c r="B12" i="5"/>
  <c r="B16" i="5" s="1"/>
  <c r="B20" i="5" s="1"/>
  <c r="B24" i="5" s="1"/>
  <c r="B28" i="5" s="1"/>
  <c r="B32" i="5" s="1"/>
  <c r="B36" i="5" s="1"/>
  <c r="B40" i="5" s="1"/>
  <c r="B44" i="5" s="1"/>
  <c r="B48" i="5" s="1"/>
  <c r="B52" i="5" s="1"/>
  <c r="B56" i="5" s="1"/>
  <c r="B60" i="5" s="1"/>
  <c r="B64" i="5" s="1"/>
  <c r="B68" i="5" s="1"/>
  <c r="B72" i="5" s="1"/>
  <c r="B76" i="5" s="1"/>
  <c r="B80" i="5" s="1"/>
  <c r="B84" i="5" s="1"/>
  <c r="B88" i="5" s="1"/>
  <c r="B92" i="5" s="1"/>
  <c r="B96" i="5" s="1"/>
  <c r="B100" i="5" s="1"/>
  <c r="B104" i="5" s="1"/>
  <c r="B108" i="5" s="1"/>
  <c r="B112" i="5" s="1"/>
  <c r="B116" i="5" s="1"/>
  <c r="B120" i="5" s="1"/>
  <c r="B124" i="5" s="1"/>
  <c r="B128" i="5" s="1"/>
  <c r="B132" i="5" s="1"/>
  <c r="B136" i="5" s="1"/>
  <c r="B140" i="5" s="1"/>
  <c r="B144" i="5" s="1"/>
  <c r="B148" i="5" s="1"/>
  <c r="B152" i="5" s="1"/>
  <c r="B156" i="5" s="1"/>
  <c r="B160" i="5" s="1"/>
  <c r="B164" i="5" s="1"/>
  <c r="B168" i="5" s="1"/>
  <c r="B172" i="5" s="1"/>
  <c r="B176" i="5" s="1"/>
  <c r="B180" i="5" s="1"/>
  <c r="B184" i="5" s="1"/>
  <c r="B188" i="5" s="1"/>
  <c r="B192" i="5" s="1"/>
  <c r="B196" i="5" s="1"/>
  <c r="B200" i="5" s="1"/>
  <c r="B204" i="5" s="1"/>
  <c r="B208" i="5" s="1"/>
  <c r="B212" i="5" s="1"/>
  <c r="B216" i="5" s="1"/>
  <c r="B220" i="5" s="1"/>
  <c r="B224" i="5" s="1"/>
  <c r="B228" i="5" s="1"/>
  <c r="B232" i="5" s="1"/>
  <c r="B236" i="5" s="1"/>
  <c r="B240" i="5" s="1"/>
  <c r="B244" i="5" s="1"/>
  <c r="B248" i="5" s="1"/>
  <c r="B252" i="5" s="1"/>
  <c r="B256" i="5" s="1"/>
  <c r="B260" i="5" s="1"/>
  <c r="B264" i="5" s="1"/>
  <c r="B268" i="5" s="1"/>
  <c r="B272" i="5" s="1"/>
  <c r="B276" i="5" s="1"/>
  <c r="B280" i="5" s="1"/>
  <c r="B284" i="5" s="1"/>
  <c r="B288" i="5" s="1"/>
  <c r="B292" i="5" s="1"/>
  <c r="B296" i="5" s="1"/>
  <c r="B300" i="5" s="1"/>
  <c r="B304" i="5" s="1"/>
  <c r="B308" i="5" s="1"/>
  <c r="B312" i="5" s="1"/>
  <c r="B316" i="5" s="1"/>
  <c r="C9" i="5"/>
  <c r="S8" i="5" a="1"/>
  <c r="S8" i="5" s="1"/>
  <c r="V8" i="5" a="1"/>
  <c r="V8" i="5" s="1"/>
  <c r="C10" i="5"/>
  <c r="E9" i="5" a="1"/>
  <c r="E9" i="5" s="1"/>
  <c r="H8" i="5" a="1"/>
  <c r="H8" i="5" s="1"/>
  <c r="H9" i="5" a="1"/>
  <c r="H9" i="5" s="1"/>
  <c r="H7" i="5" a="1"/>
  <c r="H7" i="5" s="1"/>
  <c r="D8" i="5" a="1"/>
  <c r="D8" i="5" s="1"/>
  <c r="E8" i="5" a="1"/>
  <c r="E8" i="5" s="1"/>
  <c r="D9" i="5" a="1"/>
  <c r="D9" i="5" s="1"/>
  <c r="A10" i="8" l="1"/>
  <c r="T10" i="5" a="1"/>
  <c r="T10" i="5" s="1"/>
  <c r="AG10" i="5" a="1"/>
  <c r="AG10" i="5" s="1"/>
  <c r="AF10" i="5" a="1"/>
  <c r="AF10" i="5" s="1"/>
  <c r="AE10" i="5" a="1"/>
  <c r="AE10" i="5" s="1"/>
  <c r="AA10" i="5" a="1"/>
  <c r="AA10" i="5" s="1"/>
  <c r="AD10" i="5" a="1"/>
  <c r="AD10" i="5" s="1"/>
  <c r="AC10" i="5" a="1"/>
  <c r="AC10" i="5" s="1"/>
  <c r="AB10" i="5" a="1"/>
  <c r="AB10" i="5" s="1"/>
  <c r="Z10" i="5" a="1"/>
  <c r="Z10" i="5" s="1"/>
  <c r="Y10" i="5" a="1"/>
  <c r="Y10" i="5" s="1"/>
  <c r="X10" i="5" a="1"/>
  <c r="X10" i="5" s="1"/>
  <c r="W10" i="5" a="1"/>
  <c r="W10" i="5" s="1"/>
  <c r="T9" i="5" a="1"/>
  <c r="T9" i="5" s="1"/>
  <c r="R7" i="8" s="1"/>
  <c r="AG9" i="5" a="1"/>
  <c r="AG9" i="5" s="1"/>
  <c r="AE7" i="8" s="1"/>
  <c r="AF9" i="5" a="1"/>
  <c r="AF9" i="5" s="1"/>
  <c r="AD7" i="8" s="1"/>
  <c r="AA9" i="5" a="1"/>
  <c r="AA9" i="5" s="1"/>
  <c r="AE9" i="5" a="1"/>
  <c r="AE9" i="5" s="1"/>
  <c r="AC7" i="8" s="1"/>
  <c r="AD9" i="5" a="1"/>
  <c r="AD9" i="5" s="1"/>
  <c r="AB7" i="8" s="1"/>
  <c r="AC9" i="5" a="1"/>
  <c r="AC9" i="5" s="1"/>
  <c r="AB9" i="5" a="1"/>
  <c r="AB9" i="5" s="1"/>
  <c r="Z7" i="8" s="1"/>
  <c r="Z9" i="5" a="1"/>
  <c r="Z9" i="5" s="1"/>
  <c r="X7" i="8" s="1"/>
  <c r="Y9" i="5" a="1"/>
  <c r="Y9" i="5" s="1"/>
  <c r="W7" i="8" s="1"/>
  <c r="X9" i="5" a="1"/>
  <c r="X9" i="5" s="1"/>
  <c r="V7" i="8" s="1"/>
  <c r="W9" i="5" a="1"/>
  <c r="W9" i="5" s="1"/>
  <c r="U7" i="8" s="1"/>
  <c r="U9" i="5" a="1"/>
  <c r="U9" i="5" s="1"/>
  <c r="S9" i="5" a="1"/>
  <c r="S9" i="5" s="1"/>
  <c r="V9" i="5" a="1"/>
  <c r="V9" i="5" s="1"/>
  <c r="H10" i="5" a="1"/>
  <c r="H10" i="5" s="1"/>
  <c r="F7" i="8" s="1"/>
  <c r="V10" i="5" a="1"/>
  <c r="V10" i="5" s="1"/>
  <c r="U10" i="5" a="1"/>
  <c r="U10" i="5" s="1"/>
  <c r="S10" i="5" a="1"/>
  <c r="S10" i="5" s="1"/>
  <c r="Q7" i="8" s="1"/>
  <c r="Q7" i="5" a="1"/>
  <c r="Q7" i="5" s="1"/>
  <c r="Q8" i="5" a="1"/>
  <c r="Q8" i="5" s="1"/>
  <c r="Q9" i="5" a="1"/>
  <c r="Q9" i="5" s="1"/>
  <c r="Q10" i="5" a="1"/>
  <c r="Q10" i="5" s="1"/>
  <c r="I9" i="5" a="1"/>
  <c r="I9" i="5" s="1"/>
  <c r="I10" i="5" a="1"/>
  <c r="I10" i="5" s="1"/>
  <c r="I8" i="5" a="1"/>
  <c r="I8" i="5" s="1"/>
  <c r="I7" i="5" a="1"/>
  <c r="I7" i="5" s="1"/>
  <c r="O9" i="5" a="1"/>
  <c r="O9" i="5" s="1"/>
  <c r="O10" i="5" a="1"/>
  <c r="O10" i="5" s="1"/>
  <c r="O7" i="5" a="1"/>
  <c r="O7" i="5" s="1"/>
  <c r="O8" i="5" a="1"/>
  <c r="O8" i="5" s="1"/>
  <c r="K10" i="5" a="1"/>
  <c r="K10" i="5" s="1"/>
  <c r="K8" i="5" a="1"/>
  <c r="K8" i="5" s="1"/>
  <c r="K7" i="5" a="1"/>
  <c r="K7" i="5" s="1"/>
  <c r="K9" i="5" a="1"/>
  <c r="K9" i="5" s="1"/>
  <c r="F7" i="5" a="1"/>
  <c r="F7" i="5" s="1"/>
  <c r="F8" i="5" a="1"/>
  <c r="F8" i="5" s="1"/>
  <c r="F9" i="5" a="1"/>
  <c r="F9" i="5" s="1"/>
  <c r="F10" i="5" a="1"/>
  <c r="F10" i="5" s="1"/>
  <c r="P10" i="5" a="1"/>
  <c r="P10" i="5" s="1"/>
  <c r="P8" i="5" a="1"/>
  <c r="P8" i="5" s="1"/>
  <c r="P7" i="5" a="1"/>
  <c r="P7" i="5" s="1"/>
  <c r="P9" i="5" a="1"/>
  <c r="P9" i="5" s="1"/>
  <c r="R7" i="5" a="1"/>
  <c r="R7" i="5" s="1"/>
  <c r="R9" i="5" a="1"/>
  <c r="R9" i="5" s="1"/>
  <c r="R8" i="5" a="1"/>
  <c r="R8" i="5" s="1"/>
  <c r="R10" i="5" a="1"/>
  <c r="R10" i="5" s="1"/>
  <c r="N9" i="5" a="1"/>
  <c r="N9" i="5" s="1"/>
  <c r="N10" i="5" a="1"/>
  <c r="N10" i="5" s="1"/>
  <c r="N7" i="5" a="1"/>
  <c r="N7" i="5" s="1"/>
  <c r="N8" i="5" a="1"/>
  <c r="N8" i="5" s="1"/>
  <c r="J7" i="5" a="1"/>
  <c r="J7" i="5" s="1"/>
  <c r="J8" i="5" a="1"/>
  <c r="J8" i="5" s="1"/>
  <c r="J10" i="5" a="1"/>
  <c r="J10" i="5" s="1"/>
  <c r="J9" i="5" a="1"/>
  <c r="J9" i="5" s="1"/>
  <c r="L8" i="5" a="1"/>
  <c r="L8" i="5" s="1"/>
  <c r="L9" i="5" a="1"/>
  <c r="L9" i="5" s="1"/>
  <c r="L7" i="5" a="1"/>
  <c r="L7" i="5" s="1"/>
  <c r="L10" i="5" a="1"/>
  <c r="L10" i="5" s="1"/>
  <c r="C11" i="5"/>
  <c r="E10" i="5" a="1"/>
  <c r="E10" i="5" s="1"/>
  <c r="C7" i="8" s="1"/>
  <c r="M8" i="5" a="1"/>
  <c r="M8" i="5" s="1"/>
  <c r="M9" i="5" a="1"/>
  <c r="M9" i="5" s="1"/>
  <c r="M10" i="5" a="1"/>
  <c r="M10" i="5" s="1"/>
  <c r="M7" i="5" a="1"/>
  <c r="M7" i="5" s="1"/>
  <c r="G8" i="5" a="1"/>
  <c r="G8" i="5" s="1"/>
  <c r="G9" i="5" a="1"/>
  <c r="G9" i="5" s="1"/>
  <c r="G10" i="5" a="1"/>
  <c r="G10" i="5" s="1"/>
  <c r="G11" i="5" a="1"/>
  <c r="G11" i="5" s="1"/>
  <c r="G7" i="5" a="1"/>
  <c r="G7" i="5" s="1"/>
  <c r="D10" i="5" a="1"/>
  <c r="D10" i="5" s="1"/>
  <c r="B7" i="8" s="1"/>
  <c r="AA7" i="8" l="1"/>
  <c r="Y7" i="8"/>
  <c r="A11" i="8"/>
  <c r="N11" i="5" a="1"/>
  <c r="N11" i="5" s="1"/>
  <c r="T11" i="5" a="1"/>
  <c r="T11" i="5" s="1"/>
  <c r="AG11" i="5" a="1"/>
  <c r="AG11" i="5" s="1"/>
  <c r="AF11" i="5" a="1"/>
  <c r="AF11" i="5" s="1"/>
  <c r="AE11" i="5" a="1"/>
  <c r="AE11" i="5" s="1"/>
  <c r="AA11" i="5" a="1"/>
  <c r="AA11" i="5" s="1"/>
  <c r="AD11" i="5" a="1"/>
  <c r="AD11" i="5" s="1"/>
  <c r="AC11" i="5" a="1"/>
  <c r="AC11" i="5" s="1"/>
  <c r="AB11" i="5" a="1"/>
  <c r="AB11" i="5" s="1"/>
  <c r="Z11" i="5" a="1"/>
  <c r="Z11" i="5" s="1"/>
  <c r="Y11" i="5" a="1"/>
  <c r="Y11" i="5" s="1"/>
  <c r="X11" i="5" a="1"/>
  <c r="X11" i="5" s="1"/>
  <c r="W11" i="5" a="1"/>
  <c r="W11" i="5" s="1"/>
  <c r="S7" i="8"/>
  <c r="T7" i="8"/>
  <c r="E7" i="8"/>
  <c r="M7" i="8"/>
  <c r="V11" i="5" a="1"/>
  <c r="V11" i="5" s="1"/>
  <c r="U11" i="5" a="1"/>
  <c r="U11" i="5" s="1"/>
  <c r="S11" i="5" a="1"/>
  <c r="S11" i="5" s="1"/>
  <c r="H7" i="8"/>
  <c r="P7" i="8"/>
  <c r="D7" i="8"/>
  <c r="O7" i="8"/>
  <c r="J7" i="8"/>
  <c r="L7" i="8"/>
  <c r="G7" i="8"/>
  <c r="K7" i="8"/>
  <c r="N7" i="8"/>
  <c r="I7" i="8"/>
  <c r="C12" i="5"/>
  <c r="E11" i="5" a="1"/>
  <c r="E11" i="5" s="1"/>
  <c r="D11" i="5" a="1"/>
  <c r="D11" i="5" s="1"/>
  <c r="H11" i="5" a="1"/>
  <c r="H11" i="5" s="1"/>
  <c r="Q11" i="5" a="1"/>
  <c r="Q11" i="5" s="1"/>
  <c r="I11" i="5" a="1"/>
  <c r="I11" i="5" s="1"/>
  <c r="O11" i="5" a="1"/>
  <c r="O11" i="5" s="1"/>
  <c r="P11" i="5" a="1"/>
  <c r="P11" i="5" s="1"/>
  <c r="F11" i="5" a="1"/>
  <c r="F11" i="5" s="1"/>
  <c r="K11" i="5" a="1"/>
  <c r="K11" i="5" s="1"/>
  <c r="R11" i="5" a="1"/>
  <c r="R11" i="5" s="1"/>
  <c r="J11" i="5" a="1"/>
  <c r="J11" i="5" s="1"/>
  <c r="M11" i="5" a="1"/>
  <c r="M11" i="5" s="1"/>
  <c r="L11" i="5" a="1"/>
  <c r="L11" i="5" s="1"/>
  <c r="A12" i="8" l="1"/>
  <c r="T12" i="5" a="1"/>
  <c r="T12" i="5" s="1"/>
  <c r="AG12" i="5" a="1"/>
  <c r="AG12" i="5" s="1"/>
  <c r="AF12" i="5" a="1"/>
  <c r="AF12" i="5" s="1"/>
  <c r="AE12" i="5" a="1"/>
  <c r="AE12" i="5" s="1"/>
  <c r="AD12" i="5" a="1"/>
  <c r="AD12" i="5" s="1"/>
  <c r="AC12" i="5" a="1"/>
  <c r="AC12" i="5" s="1"/>
  <c r="AB12" i="5" a="1"/>
  <c r="AB12" i="5" s="1"/>
  <c r="AA12" i="5" a="1"/>
  <c r="AA12" i="5" s="1"/>
  <c r="Z12" i="5" a="1"/>
  <c r="Z12" i="5" s="1"/>
  <c r="Y12" i="5" a="1"/>
  <c r="Y12" i="5" s="1"/>
  <c r="X12" i="5" a="1"/>
  <c r="X12" i="5" s="1"/>
  <c r="W12" i="5" a="1"/>
  <c r="W12" i="5" s="1"/>
  <c r="V12" i="5" a="1"/>
  <c r="V12" i="5" s="1"/>
  <c r="U12" i="5" a="1"/>
  <c r="U12" i="5" s="1"/>
  <c r="S12" i="5" a="1"/>
  <c r="S12" i="5" s="1"/>
  <c r="C13" i="5"/>
  <c r="E12" i="5" a="1"/>
  <c r="E12" i="5" s="1"/>
  <c r="H12" i="5" a="1"/>
  <c r="H12" i="5" s="1"/>
  <c r="D12" i="5" a="1"/>
  <c r="D12" i="5" s="1"/>
  <c r="O12" i="5" a="1"/>
  <c r="O12" i="5" s="1"/>
  <c r="Q12" i="5" a="1"/>
  <c r="Q12" i="5" s="1"/>
  <c r="I12" i="5" a="1"/>
  <c r="I12" i="5" s="1"/>
  <c r="F12" i="5" a="1"/>
  <c r="F12" i="5" s="1"/>
  <c r="P12" i="5" a="1"/>
  <c r="P12" i="5" s="1"/>
  <c r="R12" i="5" a="1"/>
  <c r="R12" i="5" s="1"/>
  <c r="M12" i="5" a="1"/>
  <c r="M12" i="5" s="1"/>
  <c r="K12" i="5" a="1"/>
  <c r="K12" i="5" s="1"/>
  <c r="N12" i="5" a="1"/>
  <c r="N12" i="5" s="1"/>
  <c r="L12" i="5" a="1"/>
  <c r="L12" i="5" s="1"/>
  <c r="J12" i="5" a="1"/>
  <c r="J12" i="5" s="1"/>
  <c r="G12" i="5" a="1"/>
  <c r="G12" i="5" s="1"/>
  <c r="A13" i="8" l="1"/>
  <c r="T13" i="5" a="1"/>
  <c r="T13" i="5" s="1"/>
  <c r="AG13" i="5" a="1"/>
  <c r="AG13" i="5" s="1"/>
  <c r="AF13" i="5" a="1"/>
  <c r="AF13" i="5" s="1"/>
  <c r="AA13" i="5" a="1"/>
  <c r="AA13" i="5" s="1"/>
  <c r="AE13" i="5" a="1"/>
  <c r="AE13" i="5" s="1"/>
  <c r="AD13" i="5" a="1"/>
  <c r="AD13" i="5" s="1"/>
  <c r="AC13" i="5" a="1"/>
  <c r="AC13" i="5" s="1"/>
  <c r="AB13" i="5" a="1"/>
  <c r="AB13" i="5" s="1"/>
  <c r="Z13" i="5" a="1"/>
  <c r="Z13" i="5" s="1"/>
  <c r="Y13" i="5" a="1"/>
  <c r="Y13" i="5" s="1"/>
  <c r="X13" i="5" a="1"/>
  <c r="X13" i="5" s="1"/>
  <c r="W13" i="5" a="1"/>
  <c r="W13" i="5" s="1"/>
  <c r="V13" i="5" a="1"/>
  <c r="V13" i="5" s="1"/>
  <c r="U13" i="5" a="1"/>
  <c r="U13" i="5" s="1"/>
  <c r="S13" i="5" a="1"/>
  <c r="S13" i="5" s="1"/>
  <c r="C14" i="5"/>
  <c r="E13" i="5" a="1"/>
  <c r="E13" i="5" s="1"/>
  <c r="D13" i="5" a="1"/>
  <c r="D13" i="5" s="1"/>
  <c r="H13" i="5" a="1"/>
  <c r="H13" i="5" s="1"/>
  <c r="I13" i="5" a="1"/>
  <c r="I13" i="5" s="1"/>
  <c r="Q13" i="5" a="1"/>
  <c r="Q13" i="5" s="1"/>
  <c r="F13" i="5" a="1"/>
  <c r="F13" i="5" s="1"/>
  <c r="K13" i="5" a="1"/>
  <c r="K13" i="5" s="1"/>
  <c r="P13" i="5" a="1"/>
  <c r="P13" i="5" s="1"/>
  <c r="J13" i="5" a="1"/>
  <c r="J13" i="5" s="1"/>
  <c r="O13" i="5" a="1"/>
  <c r="O13" i="5" s="1"/>
  <c r="M13" i="5" a="1"/>
  <c r="M13" i="5" s="1"/>
  <c r="N13" i="5" a="1"/>
  <c r="N13" i="5" s="1"/>
  <c r="L13" i="5" a="1"/>
  <c r="L13" i="5" s="1"/>
  <c r="R13" i="5" a="1"/>
  <c r="R13" i="5" s="1"/>
  <c r="G13" i="5" a="1"/>
  <c r="G13" i="5" s="1"/>
  <c r="A14" i="8" l="1"/>
  <c r="T14" i="5" a="1"/>
  <c r="T14" i="5" s="1"/>
  <c r="AG14" i="5" a="1"/>
  <c r="AG14" i="5" s="1"/>
  <c r="AE8" i="8" s="1"/>
  <c r="AF14" i="5" a="1"/>
  <c r="AF14" i="5" s="1"/>
  <c r="AE14" i="5" a="1"/>
  <c r="AE14" i="5" s="1"/>
  <c r="AC8" i="8" s="1"/>
  <c r="AD14" i="5" a="1"/>
  <c r="AD14" i="5" s="1"/>
  <c r="AB8" i="8" s="1"/>
  <c r="AA14" i="5" a="1"/>
  <c r="AA14" i="5" s="1"/>
  <c r="AC14" i="5" a="1"/>
  <c r="AC14" i="5" s="1"/>
  <c r="AB14" i="5" a="1"/>
  <c r="AB14" i="5" s="1"/>
  <c r="Z14" i="5" a="1"/>
  <c r="Z14" i="5" s="1"/>
  <c r="Y14" i="5" a="1"/>
  <c r="Y14" i="5" s="1"/>
  <c r="X14" i="5" a="1"/>
  <c r="X14" i="5" s="1"/>
  <c r="W14" i="5" a="1"/>
  <c r="W14" i="5" s="1"/>
  <c r="AA8" i="8"/>
  <c r="U14" i="5" a="1"/>
  <c r="U14" i="5" s="1"/>
  <c r="S14" i="5" a="1"/>
  <c r="S14" i="5" s="1"/>
  <c r="V14" i="5" a="1"/>
  <c r="V14" i="5" s="1"/>
  <c r="C15" i="5"/>
  <c r="E14" i="5" a="1"/>
  <c r="E14" i="5" s="1"/>
  <c r="H14" i="5" a="1"/>
  <c r="H14" i="5" s="1"/>
  <c r="D14" i="5" a="1"/>
  <c r="D14" i="5" s="1"/>
  <c r="Q14" i="5" a="1"/>
  <c r="Q14" i="5" s="1"/>
  <c r="I14" i="5" a="1"/>
  <c r="I14" i="5" s="1"/>
  <c r="O14" i="5" a="1"/>
  <c r="O14" i="5" s="1"/>
  <c r="K14" i="5" a="1"/>
  <c r="K14" i="5" s="1"/>
  <c r="R14" i="5" a="1"/>
  <c r="R14" i="5" s="1"/>
  <c r="J14" i="5" a="1"/>
  <c r="J14" i="5" s="1"/>
  <c r="M14" i="5" a="1"/>
  <c r="M14" i="5" s="1"/>
  <c r="P14" i="5" a="1"/>
  <c r="P14" i="5" s="1"/>
  <c r="N14" i="5" a="1"/>
  <c r="N14" i="5" s="1"/>
  <c r="L8" i="8" s="1"/>
  <c r="L14" i="5" a="1"/>
  <c r="L14" i="5" s="1"/>
  <c r="G14" i="5" a="1"/>
  <c r="G14" i="5" s="1"/>
  <c r="F14" i="5" a="1"/>
  <c r="F14" i="5" s="1"/>
  <c r="A15" i="8" l="1"/>
  <c r="T15" i="5" a="1"/>
  <c r="T15" i="5" s="1"/>
  <c r="AG15" i="5" a="1"/>
  <c r="AG15" i="5" s="1"/>
  <c r="AF15" i="5" a="1"/>
  <c r="AF15" i="5" s="1"/>
  <c r="AD15" i="5" a="1"/>
  <c r="AD15" i="5" s="1"/>
  <c r="AC15" i="5" a="1"/>
  <c r="AC15" i="5" s="1"/>
  <c r="AE15" i="5" a="1"/>
  <c r="AE15" i="5" s="1"/>
  <c r="AA15" i="5" a="1"/>
  <c r="AA15" i="5" s="1"/>
  <c r="AB15" i="5" a="1"/>
  <c r="AB15" i="5" s="1"/>
  <c r="Z15" i="5" a="1"/>
  <c r="Z15" i="5" s="1"/>
  <c r="Y15" i="5" a="1"/>
  <c r="Y15" i="5" s="1"/>
  <c r="X15" i="5" a="1"/>
  <c r="X15" i="5" s="1"/>
  <c r="W15" i="5" a="1"/>
  <c r="W15" i="5" s="1"/>
  <c r="V15" i="5" a="1"/>
  <c r="V15" i="5" s="1"/>
  <c r="U15" i="5" a="1"/>
  <c r="U15" i="5" s="1"/>
  <c r="S15" i="5" a="1"/>
  <c r="S15" i="5" s="1"/>
  <c r="C16" i="5"/>
  <c r="E15" i="5" a="1"/>
  <c r="E15" i="5" s="1"/>
  <c r="H15" i="5" a="1"/>
  <c r="H15" i="5" s="1"/>
  <c r="D15" i="5" a="1"/>
  <c r="D15" i="5" s="1"/>
  <c r="I15" i="5" a="1"/>
  <c r="I15" i="5" s="1"/>
  <c r="O15" i="5" a="1"/>
  <c r="O15" i="5" s="1"/>
  <c r="Q15" i="5" a="1"/>
  <c r="Q15" i="5" s="1"/>
  <c r="K15" i="5" a="1"/>
  <c r="K15" i="5" s="1"/>
  <c r="P15" i="5" a="1"/>
  <c r="P15" i="5" s="1"/>
  <c r="F15" i="5" a="1"/>
  <c r="F15" i="5" s="1"/>
  <c r="L15" i="5" a="1"/>
  <c r="L15" i="5" s="1"/>
  <c r="M15" i="5" a="1"/>
  <c r="M15" i="5" s="1"/>
  <c r="R15" i="5" a="1"/>
  <c r="R15" i="5" s="1"/>
  <c r="N15" i="5" a="1"/>
  <c r="N15" i="5" s="1"/>
  <c r="J15" i="5" a="1"/>
  <c r="J15" i="5" s="1"/>
  <c r="G15" i="5" a="1"/>
  <c r="G15" i="5" s="1"/>
  <c r="A16" i="8" l="1"/>
  <c r="T16" i="5" a="1"/>
  <c r="T16" i="5" s="1"/>
  <c r="AG16" i="5" a="1"/>
  <c r="AG16" i="5" s="1"/>
  <c r="AF16" i="5" a="1"/>
  <c r="AF16" i="5" s="1"/>
  <c r="AE16" i="5" a="1"/>
  <c r="AE16" i="5" s="1"/>
  <c r="AD16" i="5" a="1"/>
  <c r="AD16" i="5" s="1"/>
  <c r="AC16" i="5" a="1"/>
  <c r="AC16" i="5" s="1"/>
  <c r="AB16" i="5" a="1"/>
  <c r="AB16" i="5" s="1"/>
  <c r="AA16" i="5" a="1"/>
  <c r="AA16" i="5" s="1"/>
  <c r="Z16" i="5" a="1"/>
  <c r="Z16" i="5" s="1"/>
  <c r="Y16" i="5" a="1"/>
  <c r="Y16" i="5" s="1"/>
  <c r="X16" i="5" a="1"/>
  <c r="X16" i="5" s="1"/>
  <c r="W16" i="5" a="1"/>
  <c r="W16" i="5" s="1"/>
  <c r="U16" i="5" a="1"/>
  <c r="U16" i="5" s="1"/>
  <c r="S16" i="5" a="1"/>
  <c r="S16" i="5" s="1"/>
  <c r="V16" i="5" a="1"/>
  <c r="V16" i="5" s="1"/>
  <c r="C17" i="5"/>
  <c r="E16" i="5" a="1"/>
  <c r="E16" i="5" s="1"/>
  <c r="D16" i="5" a="1"/>
  <c r="D16" i="5" s="1"/>
  <c r="H16" i="5" a="1"/>
  <c r="H16" i="5" s="1"/>
  <c r="Q16" i="5" a="1"/>
  <c r="Q16" i="5" s="1"/>
  <c r="P16" i="5" a="1"/>
  <c r="P16" i="5" s="1"/>
  <c r="R16" i="5" a="1"/>
  <c r="R16" i="5" s="1"/>
  <c r="K16" i="5" a="1"/>
  <c r="K16" i="5" s="1"/>
  <c r="F16" i="5" a="1"/>
  <c r="F16" i="5" s="1"/>
  <c r="I16" i="5" a="1"/>
  <c r="I16" i="5" s="1"/>
  <c r="O16" i="5" a="1"/>
  <c r="O16" i="5" s="1"/>
  <c r="L16" i="5" a="1"/>
  <c r="L16" i="5" s="1"/>
  <c r="N16" i="5" a="1"/>
  <c r="N16" i="5" s="1"/>
  <c r="J16" i="5" a="1"/>
  <c r="J16" i="5" s="1"/>
  <c r="G16" i="5" a="1"/>
  <c r="G16" i="5" s="1"/>
  <c r="M16" i="5" a="1"/>
  <c r="M16" i="5" s="1"/>
  <c r="A17" i="8" l="1"/>
  <c r="T17" i="5" a="1"/>
  <c r="T17" i="5" s="1"/>
  <c r="AG17" i="5" a="1"/>
  <c r="AG17" i="5" s="1"/>
  <c r="AF17" i="5" a="1"/>
  <c r="AF17" i="5" s="1"/>
  <c r="AD17" i="5" a="1"/>
  <c r="AD17" i="5" s="1"/>
  <c r="AC17" i="5" a="1"/>
  <c r="AC17" i="5" s="1"/>
  <c r="AB17" i="5" a="1"/>
  <c r="AB17" i="5" s="1"/>
  <c r="AA17" i="5" a="1"/>
  <c r="AA17" i="5" s="1"/>
  <c r="AE17" i="5" a="1"/>
  <c r="AE17" i="5" s="1"/>
  <c r="Z17" i="5" a="1"/>
  <c r="Z17" i="5" s="1"/>
  <c r="Y17" i="5" a="1"/>
  <c r="Y17" i="5" s="1"/>
  <c r="X17" i="5" a="1"/>
  <c r="X17" i="5" s="1"/>
  <c r="W17" i="5" a="1"/>
  <c r="W17" i="5" s="1"/>
  <c r="U17" i="5" a="1"/>
  <c r="U17" i="5" s="1"/>
  <c r="V17" i="5" a="1"/>
  <c r="V17" i="5" s="1"/>
  <c r="S17" i="5" a="1"/>
  <c r="S17" i="5" s="1"/>
  <c r="D17" i="5" a="1"/>
  <c r="D17" i="5" s="1"/>
  <c r="E17" i="5" a="1"/>
  <c r="E17" i="5" s="1"/>
  <c r="H17" i="5" a="1"/>
  <c r="H17" i="5" s="1"/>
  <c r="C18" i="5"/>
  <c r="Q17" i="5" a="1"/>
  <c r="Q17" i="5" s="1"/>
  <c r="I17" i="5" a="1"/>
  <c r="I17" i="5" s="1"/>
  <c r="O17" i="5" a="1"/>
  <c r="O17" i="5" s="1"/>
  <c r="P17" i="5" a="1"/>
  <c r="P17" i="5" s="1"/>
  <c r="F17" i="5" a="1"/>
  <c r="F17" i="5" s="1"/>
  <c r="R17" i="5" a="1"/>
  <c r="R17" i="5" s="1"/>
  <c r="N17" i="5" a="1"/>
  <c r="N17" i="5" s="1"/>
  <c r="J17" i="5" a="1"/>
  <c r="J17" i="5" s="1"/>
  <c r="M17" i="5" a="1"/>
  <c r="M17" i="5" s="1"/>
  <c r="K17" i="5" a="1"/>
  <c r="K17" i="5" s="1"/>
  <c r="G17" i="5" a="1"/>
  <c r="G17" i="5" s="1"/>
  <c r="L17" i="5" a="1"/>
  <c r="L17" i="5" s="1"/>
  <c r="A18" i="8" l="1"/>
  <c r="T18" i="5" a="1"/>
  <c r="T18" i="5" s="1"/>
  <c r="AG18" i="5" a="1"/>
  <c r="AG18" i="5" s="1"/>
  <c r="AF18" i="5" a="1"/>
  <c r="AF18" i="5" s="1"/>
  <c r="AE18" i="5" a="1"/>
  <c r="AE18" i="5" s="1"/>
  <c r="AD18" i="5" a="1"/>
  <c r="AD18" i="5" s="1"/>
  <c r="AB18" i="5" a="1"/>
  <c r="AB18" i="5" s="1"/>
  <c r="AA18" i="5" a="1"/>
  <c r="AA18" i="5" s="1"/>
  <c r="AC18" i="5" a="1"/>
  <c r="AC18" i="5" s="1"/>
  <c r="Z18" i="5" a="1"/>
  <c r="Z18" i="5" s="1"/>
  <c r="Y18" i="5" a="1"/>
  <c r="Y18" i="5" s="1"/>
  <c r="X18" i="5" a="1"/>
  <c r="X18" i="5" s="1"/>
  <c r="W18" i="5" a="1"/>
  <c r="W18" i="5" s="1"/>
  <c r="V18" i="5" a="1"/>
  <c r="V18" i="5" s="1"/>
  <c r="S18" i="5" a="1"/>
  <c r="S18" i="5" s="1"/>
  <c r="U18" i="5" a="1"/>
  <c r="U18" i="5" s="1"/>
  <c r="E18" i="5" a="1"/>
  <c r="E18" i="5" s="1"/>
  <c r="H18" i="5" a="1"/>
  <c r="H18" i="5" s="1"/>
  <c r="I18" i="5" a="1"/>
  <c r="I18" i="5" s="1"/>
  <c r="Q18" i="5" a="1"/>
  <c r="Q18" i="5" s="1"/>
  <c r="O18" i="5" a="1"/>
  <c r="O18" i="5" s="1"/>
  <c r="F18" i="5" a="1"/>
  <c r="F18" i="5" s="1"/>
  <c r="K18" i="5" a="1"/>
  <c r="K18" i="5" s="1"/>
  <c r="P18" i="5" a="1"/>
  <c r="P18" i="5" s="1"/>
  <c r="N18" i="5" a="1"/>
  <c r="N18" i="5" s="1"/>
  <c r="M18" i="5" a="1"/>
  <c r="M18" i="5" s="1"/>
  <c r="R18" i="5" a="1"/>
  <c r="R18" i="5" s="1"/>
  <c r="J18" i="5" a="1"/>
  <c r="J18" i="5" s="1"/>
  <c r="L18" i="5" a="1"/>
  <c r="L18" i="5" s="1"/>
  <c r="C19" i="5"/>
  <c r="D18" i="5" a="1"/>
  <c r="D18" i="5" s="1"/>
  <c r="G18" i="5" a="1"/>
  <c r="G18" i="5" s="1"/>
  <c r="A19" i="8" l="1"/>
  <c r="T19" i="5" a="1"/>
  <c r="T19" i="5" s="1"/>
  <c r="AG19" i="5" a="1"/>
  <c r="AG19" i="5" s="1"/>
  <c r="AF19" i="5" a="1"/>
  <c r="AF19" i="5" s="1"/>
  <c r="AD19" i="5" a="1"/>
  <c r="AD19" i="5" s="1"/>
  <c r="AC19" i="5" a="1"/>
  <c r="AC19" i="5" s="1"/>
  <c r="AB19" i="5" a="1"/>
  <c r="AB19" i="5" s="1"/>
  <c r="AE19" i="5" a="1"/>
  <c r="AE19" i="5" s="1"/>
  <c r="AA19" i="5" a="1"/>
  <c r="AA19" i="5" s="1"/>
  <c r="Z19" i="5" a="1"/>
  <c r="Z19" i="5" s="1"/>
  <c r="Y19" i="5" a="1"/>
  <c r="Y19" i="5" s="1"/>
  <c r="X19" i="5" a="1"/>
  <c r="X19" i="5" s="1"/>
  <c r="W19" i="5" a="1"/>
  <c r="W19" i="5" s="1"/>
  <c r="V19" i="5" a="1"/>
  <c r="V19" i="5" s="1"/>
  <c r="U19" i="5" a="1"/>
  <c r="U19" i="5" s="1"/>
  <c r="S19" i="5" a="1"/>
  <c r="S19" i="5" s="1"/>
  <c r="E19" i="5" a="1"/>
  <c r="E19" i="5" s="1"/>
  <c r="H19" i="5" a="1"/>
  <c r="H19" i="5" s="1"/>
  <c r="Q19" i="5" a="1"/>
  <c r="Q19" i="5" s="1"/>
  <c r="O19" i="5" a="1"/>
  <c r="O19" i="5" s="1"/>
  <c r="I19" i="5" a="1"/>
  <c r="I19" i="5" s="1"/>
  <c r="P19" i="5" a="1"/>
  <c r="P19" i="5" s="1"/>
  <c r="F19" i="5" a="1"/>
  <c r="F19" i="5" s="1"/>
  <c r="K19" i="5" a="1"/>
  <c r="K19" i="5" s="1"/>
  <c r="R19" i="5" a="1"/>
  <c r="R19" i="5" s="1"/>
  <c r="N19" i="5" a="1"/>
  <c r="N19" i="5" s="1"/>
  <c r="J19" i="5" a="1"/>
  <c r="J19" i="5" s="1"/>
  <c r="M19" i="5" a="1"/>
  <c r="M19" i="5" s="1"/>
  <c r="L19" i="5" a="1"/>
  <c r="L19" i="5" s="1"/>
  <c r="G19" i="5" a="1"/>
  <c r="G19" i="5" s="1"/>
  <c r="C20" i="5"/>
  <c r="D19" i="5" a="1"/>
  <c r="D19" i="5" s="1"/>
  <c r="A20" i="8" l="1"/>
  <c r="T20" i="5" a="1"/>
  <c r="T20" i="5" s="1"/>
  <c r="AG20" i="5" a="1"/>
  <c r="AG20" i="5" s="1"/>
  <c r="AF20" i="5" a="1"/>
  <c r="AF20" i="5" s="1"/>
  <c r="AE20" i="5" a="1"/>
  <c r="AE20" i="5" s="1"/>
  <c r="AD20" i="5" a="1"/>
  <c r="AD20" i="5" s="1"/>
  <c r="AC20" i="5" a="1"/>
  <c r="AC20" i="5" s="1"/>
  <c r="AB20" i="5" a="1"/>
  <c r="AB20" i="5" s="1"/>
  <c r="AA20" i="5" a="1"/>
  <c r="AA20" i="5" s="1"/>
  <c r="Z20" i="5" a="1"/>
  <c r="Z20" i="5" s="1"/>
  <c r="Y20" i="5" a="1"/>
  <c r="Y20" i="5" s="1"/>
  <c r="X20" i="5" a="1"/>
  <c r="X20" i="5" s="1"/>
  <c r="W20" i="5" a="1"/>
  <c r="W20" i="5" s="1"/>
  <c r="V20" i="5" a="1"/>
  <c r="V20" i="5" s="1"/>
  <c r="U20" i="5" a="1"/>
  <c r="U20" i="5" s="1"/>
  <c r="S20" i="5" a="1"/>
  <c r="S20" i="5" s="1"/>
  <c r="E20" i="5" a="1"/>
  <c r="E20" i="5" s="1"/>
  <c r="H20" i="5" a="1"/>
  <c r="H20" i="5" s="1"/>
  <c r="Q20" i="5" a="1"/>
  <c r="Q20" i="5" s="1"/>
  <c r="O20" i="5" a="1"/>
  <c r="O20" i="5" s="1"/>
  <c r="I20" i="5" a="1"/>
  <c r="I20" i="5" s="1"/>
  <c r="K20" i="5" a="1"/>
  <c r="K20" i="5" s="1"/>
  <c r="F20" i="5" a="1"/>
  <c r="F20" i="5" s="1"/>
  <c r="P20" i="5" a="1"/>
  <c r="P20" i="5" s="1"/>
  <c r="J20" i="5" a="1"/>
  <c r="J20" i="5" s="1"/>
  <c r="L20" i="5" a="1"/>
  <c r="L20" i="5" s="1"/>
  <c r="R20" i="5" a="1"/>
  <c r="R20" i="5" s="1"/>
  <c r="M20" i="5" a="1"/>
  <c r="M20" i="5" s="1"/>
  <c r="N20" i="5" a="1"/>
  <c r="N20" i="5" s="1"/>
  <c r="G20" i="5" a="1"/>
  <c r="G20" i="5" s="1"/>
  <c r="D20" i="5" a="1"/>
  <c r="D20" i="5" s="1"/>
  <c r="C21" i="5"/>
  <c r="A21" i="8" l="1"/>
  <c r="T21" i="5" a="1"/>
  <c r="T21" i="5" s="1"/>
  <c r="AG21" i="5" a="1"/>
  <c r="AG21" i="5" s="1"/>
  <c r="AF21" i="5" a="1"/>
  <c r="AF21" i="5" s="1"/>
  <c r="AD21" i="5" a="1"/>
  <c r="AD21" i="5" s="1"/>
  <c r="AC21" i="5" a="1"/>
  <c r="AC21" i="5" s="1"/>
  <c r="AB21" i="5" a="1"/>
  <c r="AB21" i="5" s="1"/>
  <c r="AE21" i="5" a="1"/>
  <c r="AE21" i="5" s="1"/>
  <c r="AA21" i="5" a="1"/>
  <c r="AA21" i="5" s="1"/>
  <c r="Z21" i="5" a="1"/>
  <c r="Z21" i="5" s="1"/>
  <c r="Y21" i="5" a="1"/>
  <c r="Y21" i="5" s="1"/>
  <c r="X21" i="5" a="1"/>
  <c r="X21" i="5" s="1"/>
  <c r="W21" i="5" a="1"/>
  <c r="W21" i="5" s="1"/>
  <c r="V21" i="5" a="1"/>
  <c r="V21" i="5" s="1"/>
  <c r="U21" i="5" a="1"/>
  <c r="U21" i="5" s="1"/>
  <c r="S21" i="5" a="1"/>
  <c r="S21" i="5" s="1"/>
  <c r="E21" i="5" a="1"/>
  <c r="E21" i="5" s="1"/>
  <c r="H21" i="5" a="1"/>
  <c r="H21" i="5" s="1"/>
  <c r="I21" i="5" a="1"/>
  <c r="I21" i="5" s="1"/>
  <c r="O21" i="5" a="1"/>
  <c r="O21" i="5" s="1"/>
  <c r="Q21" i="5" a="1"/>
  <c r="Q21" i="5" s="1"/>
  <c r="P21" i="5" a="1"/>
  <c r="P21" i="5" s="1"/>
  <c r="K21" i="5" a="1"/>
  <c r="K21" i="5" s="1"/>
  <c r="F21" i="5" a="1"/>
  <c r="F21" i="5" s="1"/>
  <c r="M21" i="5" a="1"/>
  <c r="M21" i="5" s="1"/>
  <c r="R21" i="5" a="1"/>
  <c r="R21" i="5" s="1"/>
  <c r="L21" i="5" a="1"/>
  <c r="L21" i="5" s="1"/>
  <c r="G21" i="5" a="1"/>
  <c r="G21" i="5" s="1"/>
  <c r="N21" i="5" a="1"/>
  <c r="N21" i="5" s="1"/>
  <c r="J21" i="5" a="1"/>
  <c r="J21" i="5" s="1"/>
  <c r="C22" i="5"/>
  <c r="D21" i="5" a="1"/>
  <c r="D21" i="5" s="1"/>
  <c r="A22" i="8" l="1"/>
  <c r="T22" i="5" a="1"/>
  <c r="T22" i="5" s="1"/>
  <c r="AF22" i="5" a="1"/>
  <c r="AF22" i="5" s="1"/>
  <c r="AG22" i="5" a="1"/>
  <c r="AG22" i="5" s="1"/>
  <c r="AE10" i="8" s="1"/>
  <c r="AE22" i="5" a="1"/>
  <c r="AE22" i="5" s="1"/>
  <c r="AD22" i="5" a="1"/>
  <c r="AD22" i="5" s="1"/>
  <c r="AC22" i="5" a="1"/>
  <c r="AC22" i="5" s="1"/>
  <c r="AA10" i="8" s="1"/>
  <c r="AB22" i="5" a="1"/>
  <c r="AB22" i="5" s="1"/>
  <c r="Z10" i="8" s="1"/>
  <c r="AA22" i="5" a="1"/>
  <c r="AA22" i="5" s="1"/>
  <c r="Z22" i="5" a="1"/>
  <c r="Z22" i="5" s="1"/>
  <c r="Y22" i="5" a="1"/>
  <c r="Y22" i="5" s="1"/>
  <c r="X22" i="5" a="1"/>
  <c r="X22" i="5" s="1"/>
  <c r="W22" i="5" a="1"/>
  <c r="W22" i="5" s="1"/>
  <c r="U22" i="5" a="1"/>
  <c r="U22" i="5" s="1"/>
  <c r="S22" i="5" a="1"/>
  <c r="S22" i="5" s="1"/>
  <c r="V22" i="5" a="1"/>
  <c r="V22" i="5" s="1"/>
  <c r="E22" i="5" a="1"/>
  <c r="E22" i="5" s="1"/>
  <c r="H22" i="5" a="1"/>
  <c r="H22" i="5" s="1"/>
  <c r="F10" i="8" s="1"/>
  <c r="O22" i="5" a="1"/>
  <c r="O22" i="5" s="1"/>
  <c r="Q22" i="5" a="1"/>
  <c r="Q22" i="5" s="1"/>
  <c r="O10" i="8" s="1"/>
  <c r="I22" i="5" a="1"/>
  <c r="I22" i="5" s="1"/>
  <c r="K22" i="5" a="1"/>
  <c r="K22" i="5" s="1"/>
  <c r="F22" i="5" a="1"/>
  <c r="F22" i="5" s="1"/>
  <c r="P22" i="5" a="1"/>
  <c r="P22" i="5" s="1"/>
  <c r="R22" i="5" a="1"/>
  <c r="R22" i="5" s="1"/>
  <c r="L22" i="5" a="1"/>
  <c r="L22" i="5" s="1"/>
  <c r="N22" i="5" a="1"/>
  <c r="N22" i="5" s="1"/>
  <c r="J22" i="5" a="1"/>
  <c r="J22" i="5" s="1"/>
  <c r="M22" i="5" a="1"/>
  <c r="M22" i="5" s="1"/>
  <c r="G22" i="5" a="1"/>
  <c r="G22" i="5" s="1"/>
  <c r="C23" i="5"/>
  <c r="D22" i="5" a="1"/>
  <c r="D22" i="5" s="1"/>
  <c r="A23" i="8" l="1"/>
  <c r="T23" i="5" a="1"/>
  <c r="T23" i="5" s="1"/>
  <c r="AG23" i="5" a="1"/>
  <c r="AG23" i="5" s="1"/>
  <c r="AF23" i="5" a="1"/>
  <c r="AF23" i="5" s="1"/>
  <c r="AD23" i="5" a="1"/>
  <c r="AD23" i="5" s="1"/>
  <c r="AC23" i="5" a="1"/>
  <c r="AC23" i="5" s="1"/>
  <c r="AB23" i="5" a="1"/>
  <c r="AB23" i="5" s="1"/>
  <c r="AE23" i="5" a="1"/>
  <c r="AE23" i="5" s="1"/>
  <c r="AA23" i="5" a="1"/>
  <c r="AA23" i="5" s="1"/>
  <c r="Z23" i="5" a="1"/>
  <c r="Z23" i="5" s="1"/>
  <c r="Y23" i="5" a="1"/>
  <c r="Y23" i="5" s="1"/>
  <c r="X23" i="5" a="1"/>
  <c r="X23" i="5" s="1"/>
  <c r="W23" i="5" a="1"/>
  <c r="W23" i="5" s="1"/>
  <c r="V23" i="5" a="1"/>
  <c r="V23" i="5" s="1"/>
  <c r="U23" i="5" a="1"/>
  <c r="U23" i="5" s="1"/>
  <c r="S23" i="5" a="1"/>
  <c r="S23" i="5" s="1"/>
  <c r="E23" i="5" a="1"/>
  <c r="E23" i="5" s="1"/>
  <c r="H23" i="5" a="1"/>
  <c r="H23" i="5" s="1"/>
  <c r="I23" i="5" a="1"/>
  <c r="I23" i="5" s="1"/>
  <c r="O23" i="5" a="1"/>
  <c r="O23" i="5" s="1"/>
  <c r="Q23" i="5" a="1"/>
  <c r="Q23" i="5" s="1"/>
  <c r="F23" i="5" a="1"/>
  <c r="F23" i="5" s="1"/>
  <c r="P23" i="5" a="1"/>
  <c r="P23" i="5" s="1"/>
  <c r="R23" i="5" a="1"/>
  <c r="R23" i="5" s="1"/>
  <c r="K23" i="5" a="1"/>
  <c r="K23" i="5" s="1"/>
  <c r="M23" i="5" a="1"/>
  <c r="M23" i="5" s="1"/>
  <c r="L23" i="5" a="1"/>
  <c r="L23" i="5" s="1"/>
  <c r="N23" i="5" a="1"/>
  <c r="N23" i="5" s="1"/>
  <c r="J23" i="5" a="1"/>
  <c r="J23" i="5" s="1"/>
  <c r="G23" i="5" a="1"/>
  <c r="G23" i="5" s="1"/>
  <c r="C24" i="5"/>
  <c r="D23" i="5" a="1"/>
  <c r="D23" i="5" s="1"/>
  <c r="A24" i="8" l="1"/>
  <c r="T24" i="5" a="1"/>
  <c r="T24" i="5" s="1"/>
  <c r="AG24" i="5" a="1"/>
  <c r="AG24" i="5" s="1"/>
  <c r="AF24" i="5" a="1"/>
  <c r="AF24" i="5" s="1"/>
  <c r="AE24" i="5" a="1"/>
  <c r="AE24" i="5" s="1"/>
  <c r="AD24" i="5" a="1"/>
  <c r="AD24" i="5" s="1"/>
  <c r="AC24" i="5" a="1"/>
  <c r="AC24" i="5" s="1"/>
  <c r="AB24" i="5" a="1"/>
  <c r="AB24" i="5" s="1"/>
  <c r="AA24" i="5" a="1"/>
  <c r="AA24" i="5" s="1"/>
  <c r="Z24" i="5" a="1"/>
  <c r="Z24" i="5" s="1"/>
  <c r="Y24" i="5" a="1"/>
  <c r="Y24" i="5" s="1"/>
  <c r="X24" i="5" a="1"/>
  <c r="X24" i="5" s="1"/>
  <c r="W24" i="5" a="1"/>
  <c r="W24" i="5" s="1"/>
  <c r="U24" i="5" a="1"/>
  <c r="U24" i="5" s="1"/>
  <c r="S24" i="5" a="1"/>
  <c r="S24" i="5" s="1"/>
  <c r="V24" i="5" a="1"/>
  <c r="V24" i="5" s="1"/>
  <c r="E24" i="5" a="1"/>
  <c r="E24" i="5" s="1"/>
  <c r="H24" i="5" a="1"/>
  <c r="H24" i="5" s="1"/>
  <c r="I24" i="5" a="1"/>
  <c r="I24" i="5" s="1"/>
  <c r="Q24" i="5" a="1"/>
  <c r="Q24" i="5" s="1"/>
  <c r="O24" i="5" a="1"/>
  <c r="O24" i="5" s="1"/>
  <c r="P24" i="5" a="1"/>
  <c r="P24" i="5" s="1"/>
  <c r="F24" i="5" a="1"/>
  <c r="F24" i="5" s="1"/>
  <c r="K24" i="5" a="1"/>
  <c r="K24" i="5" s="1"/>
  <c r="N24" i="5" a="1"/>
  <c r="N24" i="5" s="1"/>
  <c r="L24" i="5" a="1"/>
  <c r="L24" i="5" s="1"/>
  <c r="M24" i="5" a="1"/>
  <c r="M24" i="5" s="1"/>
  <c r="R24" i="5" a="1"/>
  <c r="R24" i="5" s="1"/>
  <c r="J24" i="5" a="1"/>
  <c r="J24" i="5" s="1"/>
  <c r="G24" i="5" a="1"/>
  <c r="G24" i="5" s="1"/>
  <c r="C25" i="5"/>
  <c r="D24" i="5" a="1"/>
  <c r="D24" i="5" s="1"/>
  <c r="A25" i="8" l="1"/>
  <c r="T25" i="5" a="1"/>
  <c r="T25" i="5" s="1"/>
  <c r="AG25" i="5" a="1"/>
  <c r="AG25" i="5" s="1"/>
  <c r="AF25" i="5" a="1"/>
  <c r="AF25" i="5" s="1"/>
  <c r="AD25" i="5" a="1"/>
  <c r="AD25" i="5" s="1"/>
  <c r="AC25" i="5" a="1"/>
  <c r="AC25" i="5" s="1"/>
  <c r="AB25" i="5" a="1"/>
  <c r="AB25" i="5" s="1"/>
  <c r="AE25" i="5" a="1"/>
  <c r="AE25" i="5" s="1"/>
  <c r="AA25" i="5" a="1"/>
  <c r="AA25" i="5" s="1"/>
  <c r="Z25" i="5" a="1"/>
  <c r="Z25" i="5" s="1"/>
  <c r="Y25" i="5" a="1"/>
  <c r="Y25" i="5" s="1"/>
  <c r="X25" i="5" a="1"/>
  <c r="X25" i="5" s="1"/>
  <c r="W25" i="5" a="1"/>
  <c r="W25" i="5" s="1"/>
  <c r="U25" i="5" a="1"/>
  <c r="U25" i="5" s="1"/>
  <c r="V25" i="5" a="1"/>
  <c r="V25" i="5" s="1"/>
  <c r="S25" i="5" a="1"/>
  <c r="S25" i="5" s="1"/>
  <c r="E25" i="5" a="1"/>
  <c r="E25" i="5" s="1"/>
  <c r="H25" i="5" a="1"/>
  <c r="H25" i="5" s="1"/>
  <c r="O25" i="5" a="1"/>
  <c r="O25" i="5" s="1"/>
  <c r="I25" i="5" a="1"/>
  <c r="I25" i="5" s="1"/>
  <c r="F25" i="5" a="1"/>
  <c r="F25" i="5" s="1"/>
  <c r="Q25" i="5" a="1"/>
  <c r="Q25" i="5" s="1"/>
  <c r="R25" i="5" a="1"/>
  <c r="R25" i="5" s="1"/>
  <c r="K25" i="5" a="1"/>
  <c r="K25" i="5" s="1"/>
  <c r="J25" i="5" a="1"/>
  <c r="J25" i="5" s="1"/>
  <c r="L25" i="5" a="1"/>
  <c r="L25" i="5" s="1"/>
  <c r="P25" i="5" a="1"/>
  <c r="P25" i="5" s="1"/>
  <c r="N25" i="5" a="1"/>
  <c r="N25" i="5" s="1"/>
  <c r="M25" i="5" a="1"/>
  <c r="M25" i="5" s="1"/>
  <c r="G25" i="5" a="1"/>
  <c r="G25" i="5" s="1"/>
  <c r="D25" i="5" a="1"/>
  <c r="D25" i="5" s="1"/>
  <c r="C26" i="5"/>
  <c r="A26" i="8" l="1"/>
  <c r="T26" i="5" a="1"/>
  <c r="T26" i="5" s="1"/>
  <c r="AG26" i="5" a="1"/>
  <c r="AG26" i="5" s="1"/>
  <c r="AE11" i="8" s="1"/>
  <c r="AF26" i="5" a="1"/>
  <c r="AF26" i="5" s="1"/>
  <c r="AE26" i="5" a="1"/>
  <c r="AE26" i="5" s="1"/>
  <c r="AD26" i="5" a="1"/>
  <c r="AD26" i="5" s="1"/>
  <c r="AC26" i="5" a="1"/>
  <c r="AC26" i="5" s="1"/>
  <c r="AA11" i="8" s="1"/>
  <c r="AB26" i="5" a="1"/>
  <c r="AB26" i="5" s="1"/>
  <c r="Z11" i="8" s="1"/>
  <c r="AA26" i="5" a="1"/>
  <c r="AA26" i="5" s="1"/>
  <c r="Z26" i="5" a="1"/>
  <c r="Z26" i="5" s="1"/>
  <c r="Y26" i="5" a="1"/>
  <c r="Y26" i="5" s="1"/>
  <c r="X26" i="5" a="1"/>
  <c r="X26" i="5" s="1"/>
  <c r="W26" i="5" a="1"/>
  <c r="W26" i="5" s="1"/>
  <c r="V26" i="5" a="1"/>
  <c r="V26" i="5" s="1"/>
  <c r="S26" i="5" a="1"/>
  <c r="S26" i="5" s="1"/>
  <c r="U26" i="5" a="1"/>
  <c r="U26" i="5" s="1"/>
  <c r="E26" i="5" a="1"/>
  <c r="E26" i="5" s="1"/>
  <c r="H26" i="5" a="1"/>
  <c r="H26" i="5" s="1"/>
  <c r="I26" i="5" a="1"/>
  <c r="I26" i="5" s="1"/>
  <c r="G11" i="8" s="1"/>
  <c r="O26" i="5" a="1"/>
  <c r="O26" i="5" s="1"/>
  <c r="Q26" i="5" a="1"/>
  <c r="Q26" i="5" s="1"/>
  <c r="R26" i="5" a="1"/>
  <c r="R26" i="5" s="1"/>
  <c r="K26" i="5" a="1"/>
  <c r="K26" i="5" s="1"/>
  <c r="P26" i="5" a="1"/>
  <c r="P26" i="5" s="1"/>
  <c r="J26" i="5" a="1"/>
  <c r="J26" i="5" s="1"/>
  <c r="F26" i="5" a="1"/>
  <c r="F26" i="5" s="1"/>
  <c r="M26" i="5" a="1"/>
  <c r="M26" i="5" s="1"/>
  <c r="L26" i="5" a="1"/>
  <c r="L26" i="5" s="1"/>
  <c r="N26" i="5" a="1"/>
  <c r="N26" i="5" s="1"/>
  <c r="G26" i="5" a="1"/>
  <c r="G26" i="5" s="1"/>
  <c r="C27" i="5"/>
  <c r="D26" i="5" a="1"/>
  <c r="D26" i="5" s="1"/>
  <c r="A27" i="8" l="1"/>
  <c r="T27" i="5" a="1"/>
  <c r="T27" i="5" s="1"/>
  <c r="AG27" i="5" a="1"/>
  <c r="AG27" i="5" s="1"/>
  <c r="AF27" i="5" a="1"/>
  <c r="AF27" i="5" s="1"/>
  <c r="AD27" i="5" a="1"/>
  <c r="AD27" i="5" s="1"/>
  <c r="AC27" i="5" a="1"/>
  <c r="AC27" i="5" s="1"/>
  <c r="AB27" i="5" a="1"/>
  <c r="AB27" i="5" s="1"/>
  <c r="AE27" i="5" a="1"/>
  <c r="AE27" i="5" s="1"/>
  <c r="AA27" i="5" a="1"/>
  <c r="AA27" i="5" s="1"/>
  <c r="Z27" i="5" a="1"/>
  <c r="Z27" i="5" s="1"/>
  <c r="Y27" i="5" a="1"/>
  <c r="Y27" i="5" s="1"/>
  <c r="X27" i="5" a="1"/>
  <c r="X27" i="5" s="1"/>
  <c r="W27" i="5" a="1"/>
  <c r="W27" i="5" s="1"/>
  <c r="V27" i="5" a="1"/>
  <c r="V27" i="5" s="1"/>
  <c r="U27" i="5" a="1"/>
  <c r="U27" i="5" s="1"/>
  <c r="S27" i="5" a="1"/>
  <c r="S27" i="5" s="1"/>
  <c r="E27" i="5" a="1"/>
  <c r="E27" i="5" s="1"/>
  <c r="H27" i="5" a="1"/>
  <c r="H27" i="5" s="1"/>
  <c r="O27" i="5" a="1"/>
  <c r="O27" i="5" s="1"/>
  <c r="Q27" i="5" a="1"/>
  <c r="Q27" i="5" s="1"/>
  <c r="I27" i="5" a="1"/>
  <c r="I27" i="5" s="1"/>
  <c r="K27" i="5" a="1"/>
  <c r="K27" i="5" s="1"/>
  <c r="F27" i="5" a="1"/>
  <c r="F27" i="5" s="1"/>
  <c r="P27" i="5" a="1"/>
  <c r="P27" i="5" s="1"/>
  <c r="L27" i="5" a="1"/>
  <c r="L27" i="5" s="1"/>
  <c r="R27" i="5" a="1"/>
  <c r="R27" i="5" s="1"/>
  <c r="N27" i="5" a="1"/>
  <c r="N27" i="5" s="1"/>
  <c r="J27" i="5" a="1"/>
  <c r="J27" i="5" s="1"/>
  <c r="M27" i="5" a="1"/>
  <c r="M27" i="5" s="1"/>
  <c r="G27" i="5" a="1"/>
  <c r="G27" i="5" s="1"/>
  <c r="C28" i="5"/>
  <c r="D27" i="5" a="1"/>
  <c r="D27" i="5" s="1"/>
  <c r="A28" i="8" l="1"/>
  <c r="T28" i="5" a="1"/>
  <c r="T28" i="5" s="1"/>
  <c r="AG28" i="5" a="1"/>
  <c r="AG28" i="5" s="1"/>
  <c r="AF28" i="5" a="1"/>
  <c r="AF28" i="5" s="1"/>
  <c r="AE28" i="5" a="1"/>
  <c r="AE28" i="5" s="1"/>
  <c r="AD28" i="5" a="1"/>
  <c r="AD28" i="5" s="1"/>
  <c r="AC28" i="5" a="1"/>
  <c r="AC28" i="5" s="1"/>
  <c r="AB28" i="5" a="1"/>
  <c r="AB28" i="5" s="1"/>
  <c r="AA28" i="5" a="1"/>
  <c r="AA28" i="5" s="1"/>
  <c r="Z28" i="5" a="1"/>
  <c r="Z28" i="5" s="1"/>
  <c r="Y28" i="5" a="1"/>
  <c r="Y28" i="5" s="1"/>
  <c r="X28" i="5" a="1"/>
  <c r="X28" i="5" s="1"/>
  <c r="W28" i="5" a="1"/>
  <c r="W28" i="5" s="1"/>
  <c r="V28" i="5" a="1"/>
  <c r="V28" i="5" s="1"/>
  <c r="U28" i="5" a="1"/>
  <c r="U28" i="5" s="1"/>
  <c r="S28" i="5" a="1"/>
  <c r="S28" i="5" s="1"/>
  <c r="E28" i="5" a="1"/>
  <c r="E28" i="5" s="1"/>
  <c r="H28" i="5" a="1"/>
  <c r="H28" i="5" s="1"/>
  <c r="Q28" i="5" a="1"/>
  <c r="Q28" i="5" s="1"/>
  <c r="O28" i="5" a="1"/>
  <c r="O28" i="5" s="1"/>
  <c r="K28" i="5" a="1"/>
  <c r="K28" i="5" s="1"/>
  <c r="F28" i="5" a="1"/>
  <c r="F28" i="5" s="1"/>
  <c r="P28" i="5" a="1"/>
  <c r="P28" i="5" s="1"/>
  <c r="I28" i="5" a="1"/>
  <c r="I28" i="5" s="1"/>
  <c r="R28" i="5" a="1"/>
  <c r="R28" i="5" s="1"/>
  <c r="J28" i="5" a="1"/>
  <c r="J28" i="5" s="1"/>
  <c r="L28" i="5" a="1"/>
  <c r="L28" i="5" s="1"/>
  <c r="N28" i="5" a="1"/>
  <c r="N28" i="5" s="1"/>
  <c r="M28" i="5" a="1"/>
  <c r="M28" i="5" s="1"/>
  <c r="G28" i="5" a="1"/>
  <c r="G28" i="5" s="1"/>
  <c r="D28" i="5" a="1"/>
  <c r="D28" i="5" s="1"/>
  <c r="C29" i="5"/>
  <c r="A29" i="8" l="1"/>
  <c r="T29" i="5" a="1"/>
  <c r="T29" i="5" s="1"/>
  <c r="AG29" i="5" a="1"/>
  <c r="AG29" i="5" s="1"/>
  <c r="AF29" i="5" a="1"/>
  <c r="AF29" i="5" s="1"/>
  <c r="AD29" i="5" a="1"/>
  <c r="AD29" i="5" s="1"/>
  <c r="AC29" i="5" a="1"/>
  <c r="AC29" i="5" s="1"/>
  <c r="AB29" i="5" a="1"/>
  <c r="AB29" i="5" s="1"/>
  <c r="AE29" i="5" a="1"/>
  <c r="AE29" i="5" s="1"/>
  <c r="AA29" i="5" a="1"/>
  <c r="AA29" i="5" s="1"/>
  <c r="Z29" i="5" a="1"/>
  <c r="Z29" i="5" s="1"/>
  <c r="Y29" i="5" a="1"/>
  <c r="Y29" i="5" s="1"/>
  <c r="X29" i="5" a="1"/>
  <c r="X29" i="5" s="1"/>
  <c r="W29" i="5" a="1"/>
  <c r="W29" i="5" s="1"/>
  <c r="V29" i="5" a="1"/>
  <c r="V29" i="5" s="1"/>
  <c r="U29" i="5" a="1"/>
  <c r="U29" i="5" s="1"/>
  <c r="S29" i="5" a="1"/>
  <c r="S29" i="5" s="1"/>
  <c r="E29" i="5" a="1"/>
  <c r="E29" i="5" s="1"/>
  <c r="H29" i="5" a="1"/>
  <c r="H29" i="5" s="1"/>
  <c r="O29" i="5" a="1"/>
  <c r="O29" i="5" s="1"/>
  <c r="I29" i="5" a="1"/>
  <c r="I29" i="5" s="1"/>
  <c r="P29" i="5" a="1"/>
  <c r="P29" i="5" s="1"/>
  <c r="Q29" i="5" a="1"/>
  <c r="Q29" i="5" s="1"/>
  <c r="K29" i="5" a="1"/>
  <c r="K29" i="5" s="1"/>
  <c r="F29" i="5" a="1"/>
  <c r="F29" i="5" s="1"/>
  <c r="J29" i="5" a="1"/>
  <c r="J29" i="5" s="1"/>
  <c r="M29" i="5" a="1"/>
  <c r="M29" i="5" s="1"/>
  <c r="N29" i="5" a="1"/>
  <c r="N29" i="5" s="1"/>
  <c r="G29" i="5" a="1"/>
  <c r="G29" i="5" s="1"/>
  <c r="R29" i="5" a="1"/>
  <c r="R29" i="5" s="1"/>
  <c r="L29" i="5" a="1"/>
  <c r="L29" i="5" s="1"/>
  <c r="D29" i="5" a="1"/>
  <c r="D29" i="5" s="1"/>
  <c r="C30" i="5"/>
  <c r="A30" i="8" l="1"/>
  <c r="T30" i="5" a="1"/>
  <c r="T30" i="5" s="1"/>
  <c r="AG30" i="5" a="1"/>
  <c r="AG30" i="5" s="1"/>
  <c r="AF30" i="5" a="1"/>
  <c r="AF30" i="5" s="1"/>
  <c r="AE30" i="5" a="1"/>
  <c r="AE30" i="5" s="1"/>
  <c r="AD30" i="5" a="1"/>
  <c r="AD30" i="5" s="1"/>
  <c r="AC30" i="5" a="1"/>
  <c r="AC30" i="5" s="1"/>
  <c r="AB30" i="5" a="1"/>
  <c r="AB30" i="5" s="1"/>
  <c r="AA30" i="5" a="1"/>
  <c r="AA30" i="5" s="1"/>
  <c r="Z30" i="5" a="1"/>
  <c r="Z30" i="5" s="1"/>
  <c r="Y30" i="5" a="1"/>
  <c r="Y30" i="5" s="1"/>
  <c r="X30" i="5" a="1"/>
  <c r="X30" i="5" s="1"/>
  <c r="W30" i="5" a="1"/>
  <c r="W30" i="5" s="1"/>
  <c r="Y12" i="8"/>
  <c r="U30" i="5" a="1"/>
  <c r="U30" i="5" s="1"/>
  <c r="V30" i="5" a="1"/>
  <c r="V30" i="5" s="1"/>
  <c r="S30" i="5" a="1"/>
  <c r="S30" i="5" s="1"/>
  <c r="E30" i="5" a="1"/>
  <c r="E30" i="5" s="1"/>
  <c r="H30" i="5" a="1"/>
  <c r="H30" i="5" s="1"/>
  <c r="F12" i="8" s="1"/>
  <c r="Q30" i="5" a="1"/>
  <c r="Q30" i="5" s="1"/>
  <c r="O30" i="5" a="1"/>
  <c r="O30" i="5" s="1"/>
  <c r="M12" i="8" s="1"/>
  <c r="I30" i="5" a="1"/>
  <c r="I30" i="5" s="1"/>
  <c r="P30" i="5" a="1"/>
  <c r="P30" i="5" s="1"/>
  <c r="F30" i="5" a="1"/>
  <c r="F30" i="5" s="1"/>
  <c r="R30" i="5" a="1"/>
  <c r="R30" i="5" s="1"/>
  <c r="K30" i="5" a="1"/>
  <c r="K30" i="5" s="1"/>
  <c r="L30" i="5" a="1"/>
  <c r="L30" i="5" s="1"/>
  <c r="M30" i="5" a="1"/>
  <c r="M30" i="5" s="1"/>
  <c r="J30" i="5" a="1"/>
  <c r="J30" i="5" s="1"/>
  <c r="N30" i="5" a="1"/>
  <c r="N30" i="5" s="1"/>
  <c r="G30" i="5" a="1"/>
  <c r="G30" i="5" s="1"/>
  <c r="D30" i="5" a="1"/>
  <c r="D30" i="5" s="1"/>
  <c r="C31" i="5"/>
  <c r="A31" i="8" l="1"/>
  <c r="T31" i="5" a="1"/>
  <c r="T31" i="5" s="1"/>
  <c r="AG31" i="5" a="1"/>
  <c r="AG31" i="5" s="1"/>
  <c r="AF31" i="5" a="1"/>
  <c r="AF31" i="5" s="1"/>
  <c r="AC31" i="5" a="1"/>
  <c r="AC31" i="5" s="1"/>
  <c r="AB31" i="5" a="1"/>
  <c r="AB31" i="5" s="1"/>
  <c r="AE31" i="5" a="1"/>
  <c r="AE31" i="5" s="1"/>
  <c r="AD31" i="5" a="1"/>
  <c r="AD31" i="5" s="1"/>
  <c r="AA31" i="5" a="1"/>
  <c r="AA31" i="5" s="1"/>
  <c r="Z31" i="5" a="1"/>
  <c r="Z31" i="5" s="1"/>
  <c r="Y31" i="5" a="1"/>
  <c r="Y31" i="5" s="1"/>
  <c r="X31" i="5" a="1"/>
  <c r="X31" i="5" s="1"/>
  <c r="W31" i="5" a="1"/>
  <c r="W31" i="5" s="1"/>
  <c r="V31" i="5" a="1"/>
  <c r="V31" i="5" s="1"/>
  <c r="U31" i="5" a="1"/>
  <c r="U31" i="5" s="1"/>
  <c r="S31" i="5" a="1"/>
  <c r="S31" i="5" s="1"/>
  <c r="E31" i="5" a="1"/>
  <c r="E31" i="5" s="1"/>
  <c r="H31" i="5" a="1"/>
  <c r="H31" i="5" s="1"/>
  <c r="Q31" i="5" a="1"/>
  <c r="Q31" i="5" s="1"/>
  <c r="O31" i="5" a="1"/>
  <c r="O31" i="5" s="1"/>
  <c r="I31" i="5" a="1"/>
  <c r="I31" i="5" s="1"/>
  <c r="R31" i="5" a="1"/>
  <c r="R31" i="5" s="1"/>
  <c r="F31" i="5" a="1"/>
  <c r="F31" i="5" s="1"/>
  <c r="K31" i="5" a="1"/>
  <c r="K31" i="5" s="1"/>
  <c r="N31" i="5" a="1"/>
  <c r="N31" i="5" s="1"/>
  <c r="J31" i="5" a="1"/>
  <c r="J31" i="5" s="1"/>
  <c r="M31" i="5" a="1"/>
  <c r="M31" i="5" s="1"/>
  <c r="L31" i="5" a="1"/>
  <c r="L31" i="5" s="1"/>
  <c r="G31" i="5" a="1"/>
  <c r="G31" i="5" s="1"/>
  <c r="P31" i="5" a="1"/>
  <c r="P31" i="5" s="1"/>
  <c r="D31" i="5" a="1"/>
  <c r="D31" i="5" s="1"/>
  <c r="C32" i="5"/>
  <c r="A32" i="8" l="1"/>
  <c r="T32" i="5" a="1"/>
  <c r="T32" i="5" s="1"/>
  <c r="AG32" i="5" a="1"/>
  <c r="AG32" i="5" s="1"/>
  <c r="AF32" i="5" a="1"/>
  <c r="AF32" i="5" s="1"/>
  <c r="AE32" i="5" a="1"/>
  <c r="AE32" i="5" s="1"/>
  <c r="AD32" i="5" a="1"/>
  <c r="AD32" i="5" s="1"/>
  <c r="AC32" i="5" a="1"/>
  <c r="AC32" i="5" s="1"/>
  <c r="AB32" i="5" a="1"/>
  <c r="AB32" i="5" s="1"/>
  <c r="AA32" i="5" a="1"/>
  <c r="AA32" i="5" s="1"/>
  <c r="Z32" i="5" a="1"/>
  <c r="Z32" i="5" s="1"/>
  <c r="Y32" i="5" a="1"/>
  <c r="Y32" i="5" s="1"/>
  <c r="X32" i="5" a="1"/>
  <c r="X32" i="5" s="1"/>
  <c r="W32" i="5" a="1"/>
  <c r="W32" i="5" s="1"/>
  <c r="U32" i="5" a="1"/>
  <c r="U32" i="5" s="1"/>
  <c r="V32" i="5" a="1"/>
  <c r="V32" i="5" s="1"/>
  <c r="S32" i="5" a="1"/>
  <c r="S32" i="5" s="1"/>
  <c r="E32" i="5" a="1"/>
  <c r="E32" i="5" s="1"/>
  <c r="H32" i="5" a="1"/>
  <c r="H32" i="5" s="1"/>
  <c r="O32" i="5" a="1"/>
  <c r="O32" i="5" s="1"/>
  <c r="Q32" i="5" a="1"/>
  <c r="Q32" i="5" s="1"/>
  <c r="I32" i="5" a="1"/>
  <c r="I32" i="5" s="1"/>
  <c r="K32" i="5" a="1"/>
  <c r="K32" i="5" s="1"/>
  <c r="P32" i="5" a="1"/>
  <c r="P32" i="5" s="1"/>
  <c r="R32" i="5" a="1"/>
  <c r="R32" i="5" s="1"/>
  <c r="F32" i="5" a="1"/>
  <c r="F32" i="5" s="1"/>
  <c r="M32" i="5" a="1"/>
  <c r="M32" i="5" s="1"/>
  <c r="J32" i="5" a="1"/>
  <c r="J32" i="5" s="1"/>
  <c r="L32" i="5" a="1"/>
  <c r="L32" i="5" s="1"/>
  <c r="N32" i="5" a="1"/>
  <c r="N32" i="5" s="1"/>
  <c r="G32" i="5" a="1"/>
  <c r="G32" i="5" s="1"/>
  <c r="D32" i="5" a="1"/>
  <c r="D32" i="5" s="1"/>
  <c r="C33" i="5"/>
  <c r="A33" i="8" l="1"/>
  <c r="T33" i="5" a="1"/>
  <c r="T33" i="5" s="1"/>
  <c r="AG33" i="5" a="1"/>
  <c r="AG33" i="5" s="1"/>
  <c r="AF33" i="5" a="1"/>
  <c r="AF33" i="5" s="1"/>
  <c r="AB33" i="5" a="1"/>
  <c r="AB33" i="5" s="1"/>
  <c r="AE33" i="5" a="1"/>
  <c r="AE33" i="5" s="1"/>
  <c r="AD33" i="5" a="1"/>
  <c r="AD33" i="5" s="1"/>
  <c r="AC33" i="5" a="1"/>
  <c r="AC33" i="5" s="1"/>
  <c r="AA33" i="5" a="1"/>
  <c r="AA33" i="5" s="1"/>
  <c r="Z33" i="5" a="1"/>
  <c r="Z33" i="5" s="1"/>
  <c r="Y33" i="5" a="1"/>
  <c r="Y33" i="5" s="1"/>
  <c r="X33" i="5" a="1"/>
  <c r="X33" i="5" s="1"/>
  <c r="W33" i="5" a="1"/>
  <c r="W33" i="5" s="1"/>
  <c r="U33" i="5" a="1"/>
  <c r="U33" i="5" s="1"/>
  <c r="V33" i="5" a="1"/>
  <c r="V33" i="5" s="1"/>
  <c r="S33" i="5" a="1"/>
  <c r="S33" i="5" s="1"/>
  <c r="E33" i="5" a="1"/>
  <c r="E33" i="5" s="1"/>
  <c r="H33" i="5" a="1"/>
  <c r="H33" i="5" s="1"/>
  <c r="I33" i="5" a="1"/>
  <c r="I33" i="5" s="1"/>
  <c r="Q33" i="5" a="1"/>
  <c r="Q33" i="5" s="1"/>
  <c r="O33" i="5" a="1"/>
  <c r="O33" i="5" s="1"/>
  <c r="R33" i="5" a="1"/>
  <c r="R33" i="5" s="1"/>
  <c r="P33" i="5" a="1"/>
  <c r="P33" i="5" s="1"/>
  <c r="F33" i="5" a="1"/>
  <c r="F33" i="5" s="1"/>
  <c r="K33" i="5" a="1"/>
  <c r="K33" i="5" s="1"/>
  <c r="N33" i="5" a="1"/>
  <c r="N33" i="5" s="1"/>
  <c r="L33" i="5" a="1"/>
  <c r="L33" i="5" s="1"/>
  <c r="M33" i="5" a="1"/>
  <c r="M33" i="5" s="1"/>
  <c r="J33" i="5" a="1"/>
  <c r="J33" i="5" s="1"/>
  <c r="G33" i="5" a="1"/>
  <c r="G33" i="5" s="1"/>
  <c r="D33" i="5" a="1"/>
  <c r="D33" i="5" s="1"/>
  <c r="C34" i="5"/>
  <c r="A34" i="8" l="1"/>
  <c r="T34" i="5" a="1"/>
  <c r="T34" i="5" s="1"/>
  <c r="AF34" i="5" a="1"/>
  <c r="AF34" i="5" s="1"/>
  <c r="AG34" i="5" a="1"/>
  <c r="AG34" i="5" s="1"/>
  <c r="AE13" i="8" s="1"/>
  <c r="AE34" i="5" a="1"/>
  <c r="AE34" i="5" s="1"/>
  <c r="AC13" i="8" s="1"/>
  <c r="AD34" i="5" a="1"/>
  <c r="AD34" i="5" s="1"/>
  <c r="AB13" i="8" s="1"/>
  <c r="AC34" i="5" a="1"/>
  <c r="AC34" i="5" s="1"/>
  <c r="AB34" i="5" a="1"/>
  <c r="AB34" i="5" s="1"/>
  <c r="Z13" i="8" s="1"/>
  <c r="AA34" i="5" a="1"/>
  <c r="AA34" i="5" s="1"/>
  <c r="Z34" i="5" a="1"/>
  <c r="Z34" i="5" s="1"/>
  <c r="Y34" i="5" a="1"/>
  <c r="Y34" i="5" s="1"/>
  <c r="X34" i="5" a="1"/>
  <c r="X34" i="5" s="1"/>
  <c r="W34" i="5" a="1"/>
  <c r="W34" i="5" s="1"/>
  <c r="AA13" i="8"/>
  <c r="V34" i="5" a="1"/>
  <c r="V34" i="5" s="1"/>
  <c r="U34" i="5" a="1"/>
  <c r="U34" i="5" s="1"/>
  <c r="S34" i="5" a="1"/>
  <c r="S34" i="5" s="1"/>
  <c r="E34" i="5" a="1"/>
  <c r="E34" i="5" s="1"/>
  <c r="H34" i="5" a="1"/>
  <c r="H34" i="5" s="1"/>
  <c r="Q34" i="5" a="1"/>
  <c r="Q34" i="5" s="1"/>
  <c r="O13" i="8" s="1"/>
  <c r="O34" i="5" a="1"/>
  <c r="O34" i="5" s="1"/>
  <c r="I34" i="5" a="1"/>
  <c r="I34" i="5" s="1"/>
  <c r="F34" i="5" a="1"/>
  <c r="F34" i="5" s="1"/>
  <c r="P34" i="5" a="1"/>
  <c r="P34" i="5" s="1"/>
  <c r="N13" i="8" s="1"/>
  <c r="R34" i="5" a="1"/>
  <c r="R34" i="5" s="1"/>
  <c r="K34" i="5" a="1"/>
  <c r="K34" i="5" s="1"/>
  <c r="M34" i="5" a="1"/>
  <c r="M34" i="5" s="1"/>
  <c r="L34" i="5" a="1"/>
  <c r="L34" i="5" s="1"/>
  <c r="J34" i="5" a="1"/>
  <c r="J34" i="5" s="1"/>
  <c r="N34" i="5" a="1"/>
  <c r="N34" i="5" s="1"/>
  <c r="G34" i="5" a="1"/>
  <c r="G34" i="5" s="1"/>
  <c r="D34" i="5" a="1"/>
  <c r="D34" i="5" s="1"/>
  <c r="C35" i="5"/>
  <c r="A35" i="8" l="1"/>
  <c r="T35" i="5" a="1"/>
  <c r="T35" i="5" s="1"/>
  <c r="AG35" i="5" a="1"/>
  <c r="AG35" i="5" s="1"/>
  <c r="AF35" i="5" a="1"/>
  <c r="AF35" i="5" s="1"/>
  <c r="AB35" i="5" a="1"/>
  <c r="AB35" i="5" s="1"/>
  <c r="AE35" i="5" a="1"/>
  <c r="AE35" i="5" s="1"/>
  <c r="AD35" i="5" a="1"/>
  <c r="AD35" i="5" s="1"/>
  <c r="AC35" i="5" a="1"/>
  <c r="AC35" i="5" s="1"/>
  <c r="AA35" i="5" a="1"/>
  <c r="AA35" i="5" s="1"/>
  <c r="Z35" i="5" a="1"/>
  <c r="Z35" i="5" s="1"/>
  <c r="Y35" i="5" a="1"/>
  <c r="Y35" i="5" s="1"/>
  <c r="X35" i="5" a="1"/>
  <c r="X35" i="5" s="1"/>
  <c r="W35" i="5" a="1"/>
  <c r="W35" i="5" s="1"/>
  <c r="V35" i="5" a="1"/>
  <c r="V35" i="5" s="1"/>
  <c r="U35" i="5" a="1"/>
  <c r="U35" i="5" s="1"/>
  <c r="S35" i="5" a="1"/>
  <c r="S35" i="5" s="1"/>
  <c r="E35" i="5" a="1"/>
  <c r="E35" i="5" s="1"/>
  <c r="H35" i="5" a="1"/>
  <c r="H35" i="5" s="1"/>
  <c r="Q35" i="5" a="1"/>
  <c r="Q35" i="5" s="1"/>
  <c r="O35" i="5" a="1"/>
  <c r="O35" i="5" s="1"/>
  <c r="I35" i="5" a="1"/>
  <c r="I35" i="5" s="1"/>
  <c r="F35" i="5" a="1"/>
  <c r="F35" i="5" s="1"/>
  <c r="P35" i="5" a="1"/>
  <c r="P35" i="5" s="1"/>
  <c r="R35" i="5" a="1"/>
  <c r="R35" i="5" s="1"/>
  <c r="K35" i="5" a="1"/>
  <c r="K35" i="5" s="1"/>
  <c r="J35" i="5" a="1"/>
  <c r="J35" i="5" s="1"/>
  <c r="M35" i="5" a="1"/>
  <c r="M35" i="5" s="1"/>
  <c r="N35" i="5" a="1"/>
  <c r="N35" i="5" s="1"/>
  <c r="G35" i="5" a="1"/>
  <c r="G35" i="5" s="1"/>
  <c r="L35" i="5" a="1"/>
  <c r="L35" i="5" s="1"/>
  <c r="D35" i="5" a="1"/>
  <c r="D35" i="5" s="1"/>
  <c r="C36" i="5"/>
  <c r="A36" i="8" l="1"/>
  <c r="T36" i="5" a="1"/>
  <c r="T36" i="5" s="1"/>
  <c r="AG36" i="5" a="1"/>
  <c r="AG36" i="5" s="1"/>
  <c r="AF36" i="5" a="1"/>
  <c r="AF36" i="5" s="1"/>
  <c r="AE36" i="5" a="1"/>
  <c r="AE36" i="5" s="1"/>
  <c r="AD36" i="5" a="1"/>
  <c r="AD36" i="5" s="1"/>
  <c r="AC36" i="5" a="1"/>
  <c r="AC36" i="5" s="1"/>
  <c r="AB36" i="5" a="1"/>
  <c r="AB36" i="5" s="1"/>
  <c r="AA36" i="5" a="1"/>
  <c r="AA36" i="5" s="1"/>
  <c r="Z36" i="5" a="1"/>
  <c r="Z36" i="5" s="1"/>
  <c r="Y36" i="5" a="1"/>
  <c r="Y36" i="5" s="1"/>
  <c r="X36" i="5" a="1"/>
  <c r="X36" i="5" s="1"/>
  <c r="W36" i="5" a="1"/>
  <c r="W36" i="5" s="1"/>
  <c r="V36" i="5" a="1"/>
  <c r="V36" i="5" s="1"/>
  <c r="U36" i="5" a="1"/>
  <c r="U36" i="5" s="1"/>
  <c r="S36" i="5" a="1"/>
  <c r="S36" i="5" s="1"/>
  <c r="E36" i="5" a="1"/>
  <c r="E36" i="5" s="1"/>
  <c r="H36" i="5" a="1"/>
  <c r="H36" i="5" s="1"/>
  <c r="Q36" i="5" a="1"/>
  <c r="Q36" i="5" s="1"/>
  <c r="I36" i="5" a="1"/>
  <c r="I36" i="5" s="1"/>
  <c r="O36" i="5" a="1"/>
  <c r="O36" i="5" s="1"/>
  <c r="P36" i="5" a="1"/>
  <c r="P36" i="5" s="1"/>
  <c r="R36" i="5" a="1"/>
  <c r="R36" i="5" s="1"/>
  <c r="K36" i="5" a="1"/>
  <c r="K36" i="5" s="1"/>
  <c r="N36" i="5" a="1"/>
  <c r="N36" i="5" s="1"/>
  <c r="J36" i="5" a="1"/>
  <c r="J36" i="5" s="1"/>
  <c r="M36" i="5" a="1"/>
  <c r="M36" i="5" s="1"/>
  <c r="L36" i="5" a="1"/>
  <c r="L36" i="5" s="1"/>
  <c r="F36" i="5" a="1"/>
  <c r="F36" i="5" s="1"/>
  <c r="G36" i="5" a="1"/>
  <c r="G36" i="5" s="1"/>
  <c r="D36" i="5" a="1"/>
  <c r="D36" i="5" s="1"/>
  <c r="C37" i="5"/>
  <c r="A37" i="8" l="1"/>
  <c r="T37" i="5" a="1"/>
  <c r="T37" i="5" s="1"/>
  <c r="AG37" i="5" a="1"/>
  <c r="AG37" i="5" s="1"/>
  <c r="AF37" i="5" a="1"/>
  <c r="AF37" i="5" s="1"/>
  <c r="AB37" i="5" a="1"/>
  <c r="AB37" i="5" s="1"/>
  <c r="AE37" i="5" a="1"/>
  <c r="AE37" i="5" s="1"/>
  <c r="AD37" i="5" a="1"/>
  <c r="AD37" i="5" s="1"/>
  <c r="AC37" i="5" a="1"/>
  <c r="AC37" i="5" s="1"/>
  <c r="AA37" i="5" a="1"/>
  <c r="AA37" i="5" s="1"/>
  <c r="Z37" i="5" a="1"/>
  <c r="Z37" i="5" s="1"/>
  <c r="Y37" i="5" a="1"/>
  <c r="Y37" i="5" s="1"/>
  <c r="X37" i="5" a="1"/>
  <c r="X37" i="5" s="1"/>
  <c r="W37" i="5" a="1"/>
  <c r="W37" i="5" s="1"/>
  <c r="U37" i="5" a="1"/>
  <c r="U37" i="5" s="1"/>
  <c r="S37" i="5" a="1"/>
  <c r="S37" i="5" s="1"/>
  <c r="V37" i="5" a="1"/>
  <c r="V37" i="5" s="1"/>
  <c r="E37" i="5" a="1"/>
  <c r="E37" i="5" s="1"/>
  <c r="H37" i="5" a="1"/>
  <c r="H37" i="5" s="1"/>
  <c r="I37" i="5" a="1"/>
  <c r="I37" i="5" s="1"/>
  <c r="Q37" i="5" a="1"/>
  <c r="Q37" i="5" s="1"/>
  <c r="O37" i="5" a="1"/>
  <c r="O37" i="5" s="1"/>
  <c r="P37" i="5" a="1"/>
  <c r="P37" i="5" s="1"/>
  <c r="F37" i="5" a="1"/>
  <c r="F37" i="5" s="1"/>
  <c r="J37" i="5" a="1"/>
  <c r="J37" i="5" s="1"/>
  <c r="K37" i="5" a="1"/>
  <c r="K37" i="5" s="1"/>
  <c r="N37" i="5" a="1"/>
  <c r="N37" i="5" s="1"/>
  <c r="M37" i="5" a="1"/>
  <c r="M37" i="5" s="1"/>
  <c r="R37" i="5" a="1"/>
  <c r="R37" i="5" s="1"/>
  <c r="L37" i="5" a="1"/>
  <c r="L37" i="5" s="1"/>
  <c r="G37" i="5" a="1"/>
  <c r="G37" i="5" s="1"/>
  <c r="D37" i="5" a="1"/>
  <c r="D37" i="5" s="1"/>
  <c r="C38" i="5"/>
  <c r="A38" i="8" l="1"/>
  <c r="T38" i="5" a="1"/>
  <c r="T38" i="5" s="1"/>
  <c r="AF38" i="5" a="1"/>
  <c r="AF38" i="5" s="1"/>
  <c r="AG38" i="5" a="1"/>
  <c r="AG38" i="5" s="1"/>
  <c r="AE14" i="8" s="1"/>
  <c r="AE38" i="5" a="1"/>
  <c r="AE38" i="5" s="1"/>
  <c r="AD38" i="5" a="1"/>
  <c r="AD38" i="5" s="1"/>
  <c r="AB14" i="8" s="1"/>
  <c r="AC38" i="5" a="1"/>
  <c r="AC38" i="5" s="1"/>
  <c r="AA14" i="8" s="1"/>
  <c r="AB38" i="5" a="1"/>
  <c r="AB38" i="5" s="1"/>
  <c r="AA38" i="5" a="1"/>
  <c r="AA38" i="5" s="1"/>
  <c r="Z38" i="5" a="1"/>
  <c r="Z38" i="5" s="1"/>
  <c r="Y38" i="5" a="1"/>
  <c r="Y38" i="5" s="1"/>
  <c r="X38" i="5" a="1"/>
  <c r="X38" i="5" s="1"/>
  <c r="W38" i="5" a="1"/>
  <c r="W38" i="5" s="1"/>
  <c r="V38" i="5" a="1"/>
  <c r="V38" i="5" s="1"/>
  <c r="U38" i="5" a="1"/>
  <c r="U38" i="5" s="1"/>
  <c r="S38" i="5" a="1"/>
  <c r="S38" i="5" s="1"/>
  <c r="E38" i="5" a="1"/>
  <c r="E38" i="5" s="1"/>
  <c r="H38" i="5" a="1"/>
  <c r="H38" i="5" s="1"/>
  <c r="Q38" i="5" a="1"/>
  <c r="Q38" i="5" s="1"/>
  <c r="O14" i="8" s="1"/>
  <c r="O38" i="5" a="1"/>
  <c r="O38" i="5" s="1"/>
  <c r="I38" i="5" a="1"/>
  <c r="I38" i="5" s="1"/>
  <c r="K38" i="5" a="1"/>
  <c r="K38" i="5" s="1"/>
  <c r="P38" i="5" a="1"/>
  <c r="P38" i="5" s="1"/>
  <c r="F38" i="5" a="1"/>
  <c r="F38" i="5" s="1"/>
  <c r="R38" i="5" a="1"/>
  <c r="R38" i="5" s="1"/>
  <c r="N38" i="5" a="1"/>
  <c r="N38" i="5" s="1"/>
  <c r="M38" i="5" a="1"/>
  <c r="M38" i="5" s="1"/>
  <c r="L38" i="5" a="1"/>
  <c r="L38" i="5" s="1"/>
  <c r="J38" i="5" a="1"/>
  <c r="J38" i="5" s="1"/>
  <c r="G38" i="5" a="1"/>
  <c r="G38" i="5" s="1"/>
  <c r="D38" i="5" a="1"/>
  <c r="D38" i="5" s="1"/>
  <c r="C39" i="5"/>
  <c r="A39" i="8" l="1"/>
  <c r="T39" i="5" a="1"/>
  <c r="T39" i="5" s="1"/>
  <c r="AG39" i="5" a="1"/>
  <c r="AG39" i="5" s="1"/>
  <c r="AF39" i="5" a="1"/>
  <c r="AF39" i="5" s="1"/>
  <c r="AB39" i="5" a="1"/>
  <c r="AB39" i="5" s="1"/>
  <c r="AE39" i="5" a="1"/>
  <c r="AE39" i="5" s="1"/>
  <c r="AD39" i="5" a="1"/>
  <c r="AD39" i="5" s="1"/>
  <c r="AC39" i="5" a="1"/>
  <c r="AC39" i="5" s="1"/>
  <c r="AA39" i="5" a="1"/>
  <c r="AA39" i="5" s="1"/>
  <c r="Z39" i="5" a="1"/>
  <c r="Z39" i="5" s="1"/>
  <c r="Y39" i="5" a="1"/>
  <c r="Y39" i="5" s="1"/>
  <c r="X39" i="5" a="1"/>
  <c r="X39" i="5" s="1"/>
  <c r="W39" i="5" a="1"/>
  <c r="W39" i="5" s="1"/>
  <c r="U39" i="5" a="1"/>
  <c r="U39" i="5" s="1"/>
  <c r="S39" i="5" a="1"/>
  <c r="S39" i="5" s="1"/>
  <c r="V39" i="5" a="1"/>
  <c r="V39" i="5" s="1"/>
  <c r="E39" i="5" a="1"/>
  <c r="E39" i="5" s="1"/>
  <c r="H39" i="5" a="1"/>
  <c r="H39" i="5" s="1"/>
  <c r="Q39" i="5" a="1"/>
  <c r="Q39" i="5" s="1"/>
  <c r="O39" i="5" a="1"/>
  <c r="O39" i="5" s="1"/>
  <c r="I39" i="5" a="1"/>
  <c r="I39" i="5" s="1"/>
  <c r="P39" i="5" a="1"/>
  <c r="P39" i="5" s="1"/>
  <c r="R39" i="5" a="1"/>
  <c r="R39" i="5" s="1"/>
  <c r="F39" i="5" a="1"/>
  <c r="F39" i="5" s="1"/>
  <c r="N39" i="5" a="1"/>
  <c r="N39" i="5" s="1"/>
  <c r="L39" i="5" a="1"/>
  <c r="L39" i="5" s="1"/>
  <c r="J39" i="5" a="1"/>
  <c r="J39" i="5" s="1"/>
  <c r="M39" i="5" a="1"/>
  <c r="M39" i="5" s="1"/>
  <c r="K39" i="5" a="1"/>
  <c r="K39" i="5" s="1"/>
  <c r="G39" i="5" a="1"/>
  <c r="G39" i="5" s="1"/>
  <c r="D39" i="5" a="1"/>
  <c r="D39" i="5" s="1"/>
  <c r="C40" i="5"/>
  <c r="A40" i="8" l="1"/>
  <c r="T40" i="5" a="1"/>
  <c r="T40" i="5" s="1"/>
  <c r="AG40" i="5" a="1"/>
  <c r="AG40" i="5" s="1"/>
  <c r="AF40" i="5" a="1"/>
  <c r="AF40" i="5" s="1"/>
  <c r="AE40" i="5" a="1"/>
  <c r="AE40" i="5" s="1"/>
  <c r="AD40" i="5" a="1"/>
  <c r="AD40" i="5" s="1"/>
  <c r="AC40" i="5" a="1"/>
  <c r="AC40" i="5" s="1"/>
  <c r="AB40" i="5" a="1"/>
  <c r="AB40" i="5" s="1"/>
  <c r="AA40" i="5" a="1"/>
  <c r="AA40" i="5" s="1"/>
  <c r="Z40" i="5" a="1"/>
  <c r="Z40" i="5" s="1"/>
  <c r="Y40" i="5" a="1"/>
  <c r="Y40" i="5" s="1"/>
  <c r="X40" i="5" a="1"/>
  <c r="X40" i="5" s="1"/>
  <c r="W40" i="5" a="1"/>
  <c r="W40" i="5" s="1"/>
  <c r="U40" i="5" a="1"/>
  <c r="U40" i="5" s="1"/>
  <c r="V40" i="5" a="1"/>
  <c r="V40" i="5" s="1"/>
  <c r="S40" i="5" a="1"/>
  <c r="S40" i="5" s="1"/>
  <c r="E40" i="5" a="1"/>
  <c r="E40" i="5" s="1"/>
  <c r="H40" i="5" a="1"/>
  <c r="H40" i="5" s="1"/>
  <c r="O40" i="5" a="1"/>
  <c r="O40" i="5" s="1"/>
  <c r="F40" i="5" a="1"/>
  <c r="F40" i="5" s="1"/>
  <c r="I40" i="5" a="1"/>
  <c r="I40" i="5" s="1"/>
  <c r="K40" i="5" a="1"/>
  <c r="K40" i="5" s="1"/>
  <c r="P40" i="5" a="1"/>
  <c r="P40" i="5" s="1"/>
  <c r="N40" i="5" a="1"/>
  <c r="N40" i="5" s="1"/>
  <c r="R40" i="5" a="1"/>
  <c r="R40" i="5" s="1"/>
  <c r="Q40" i="5" a="1"/>
  <c r="Q40" i="5" s="1"/>
  <c r="M40" i="5" a="1"/>
  <c r="M40" i="5" s="1"/>
  <c r="J40" i="5" a="1"/>
  <c r="J40" i="5" s="1"/>
  <c r="L40" i="5" a="1"/>
  <c r="L40" i="5" s="1"/>
  <c r="G40" i="5" a="1"/>
  <c r="G40" i="5" s="1"/>
  <c r="D40" i="5" a="1"/>
  <c r="D40" i="5" s="1"/>
  <c r="C41" i="5"/>
  <c r="A41" i="8" l="1"/>
  <c r="T41" i="5" a="1"/>
  <c r="T41" i="5" s="1"/>
  <c r="AG41" i="5" a="1"/>
  <c r="AG41" i="5" s="1"/>
  <c r="AF41" i="5" a="1"/>
  <c r="AF41" i="5" s="1"/>
  <c r="AB41" i="5" a="1"/>
  <c r="AB41" i="5" s="1"/>
  <c r="AE41" i="5" a="1"/>
  <c r="AE41" i="5" s="1"/>
  <c r="AD41" i="5" a="1"/>
  <c r="AD41" i="5" s="1"/>
  <c r="AC41" i="5" a="1"/>
  <c r="AC41" i="5" s="1"/>
  <c r="AA41" i="5" a="1"/>
  <c r="AA41" i="5" s="1"/>
  <c r="Z41" i="5" a="1"/>
  <c r="Z41" i="5" s="1"/>
  <c r="Y41" i="5" a="1"/>
  <c r="Y41" i="5" s="1"/>
  <c r="X41" i="5" a="1"/>
  <c r="X41" i="5" s="1"/>
  <c r="W41" i="5" a="1"/>
  <c r="W41" i="5" s="1"/>
  <c r="U41" i="5" a="1"/>
  <c r="U41" i="5" s="1"/>
  <c r="V41" i="5" a="1"/>
  <c r="V41" i="5" s="1"/>
  <c r="S41" i="5" a="1"/>
  <c r="S41" i="5" s="1"/>
  <c r="E41" i="5" a="1"/>
  <c r="E41" i="5" s="1"/>
  <c r="H41" i="5" a="1"/>
  <c r="H41" i="5" s="1"/>
  <c r="Q41" i="5" a="1"/>
  <c r="Q41" i="5" s="1"/>
  <c r="O41" i="5" a="1"/>
  <c r="O41" i="5" s="1"/>
  <c r="I41" i="5" a="1"/>
  <c r="I41" i="5" s="1"/>
  <c r="K41" i="5" a="1"/>
  <c r="K41" i="5" s="1"/>
  <c r="P41" i="5" a="1"/>
  <c r="P41" i="5" s="1"/>
  <c r="J41" i="5" a="1"/>
  <c r="J41" i="5" s="1"/>
  <c r="N41" i="5" a="1"/>
  <c r="N41" i="5" s="1"/>
  <c r="L41" i="5" a="1"/>
  <c r="L41" i="5" s="1"/>
  <c r="F41" i="5" a="1"/>
  <c r="F41" i="5" s="1"/>
  <c r="M41" i="5" a="1"/>
  <c r="M41" i="5" s="1"/>
  <c r="R41" i="5" a="1"/>
  <c r="R41" i="5" s="1"/>
  <c r="G41" i="5" a="1"/>
  <c r="G41" i="5" s="1"/>
  <c r="D41" i="5" a="1"/>
  <c r="D41" i="5" s="1"/>
  <c r="C42" i="5"/>
  <c r="A42" i="8" l="1"/>
  <c r="T42" i="5" a="1"/>
  <c r="T42" i="5" s="1"/>
  <c r="AG42" i="5" a="1"/>
  <c r="AG42" i="5" s="1"/>
  <c r="AE15" i="8" s="1"/>
  <c r="AF42" i="5" a="1"/>
  <c r="AF42" i="5" s="1"/>
  <c r="AE42" i="5" a="1"/>
  <c r="AE42" i="5" s="1"/>
  <c r="AD42" i="5" a="1"/>
  <c r="AD42" i="5" s="1"/>
  <c r="AC42" i="5" a="1"/>
  <c r="AC42" i="5" s="1"/>
  <c r="AB42" i="5" a="1"/>
  <c r="AB42" i="5" s="1"/>
  <c r="AA42" i="5" a="1"/>
  <c r="AA42" i="5" s="1"/>
  <c r="Z42" i="5" a="1"/>
  <c r="Z42" i="5" s="1"/>
  <c r="X15" i="8" s="1"/>
  <c r="Y42" i="5" a="1"/>
  <c r="Y42" i="5" s="1"/>
  <c r="X42" i="5" a="1"/>
  <c r="X42" i="5" s="1"/>
  <c r="W42" i="5" a="1"/>
  <c r="W42" i="5" s="1"/>
  <c r="V42" i="5" a="1"/>
  <c r="V42" i="5" s="1"/>
  <c r="U42" i="5" a="1"/>
  <c r="U42" i="5" s="1"/>
  <c r="S42" i="5" a="1"/>
  <c r="S42" i="5" s="1"/>
  <c r="E42" i="5" a="1"/>
  <c r="E42" i="5" s="1"/>
  <c r="H42" i="5" a="1"/>
  <c r="H42" i="5" s="1"/>
  <c r="I42" i="5" a="1"/>
  <c r="I42" i="5" s="1"/>
  <c r="Q42" i="5" a="1"/>
  <c r="Q42" i="5" s="1"/>
  <c r="O15" i="8" s="1"/>
  <c r="O42" i="5" a="1"/>
  <c r="O42" i="5" s="1"/>
  <c r="K42" i="5" a="1"/>
  <c r="K42" i="5" s="1"/>
  <c r="F42" i="5" a="1"/>
  <c r="F42" i="5" s="1"/>
  <c r="P42" i="5" a="1"/>
  <c r="P42" i="5" s="1"/>
  <c r="R42" i="5" a="1"/>
  <c r="R42" i="5" s="1"/>
  <c r="M42" i="5" a="1"/>
  <c r="M42" i="5" s="1"/>
  <c r="J42" i="5" a="1"/>
  <c r="J42" i="5" s="1"/>
  <c r="G42" i="5" a="1"/>
  <c r="G42" i="5" s="1"/>
  <c r="L42" i="5" a="1"/>
  <c r="L42" i="5" s="1"/>
  <c r="N42" i="5" a="1"/>
  <c r="N42" i="5" s="1"/>
  <c r="D42" i="5" a="1"/>
  <c r="D42" i="5" s="1"/>
  <c r="C43" i="5"/>
  <c r="A43" i="8" l="1"/>
  <c r="T43" i="5" a="1"/>
  <c r="T43" i="5" s="1"/>
  <c r="AG43" i="5" a="1"/>
  <c r="AG43" i="5" s="1"/>
  <c r="AF43" i="5" a="1"/>
  <c r="AF43" i="5" s="1"/>
  <c r="AB43" i="5" a="1"/>
  <c r="AB43" i="5" s="1"/>
  <c r="AE43" i="5" a="1"/>
  <c r="AE43" i="5" s="1"/>
  <c r="AD43" i="5" a="1"/>
  <c r="AD43" i="5" s="1"/>
  <c r="AC43" i="5" a="1"/>
  <c r="AC43" i="5" s="1"/>
  <c r="AA43" i="5" a="1"/>
  <c r="AA43" i="5" s="1"/>
  <c r="Z43" i="5" a="1"/>
  <c r="Z43" i="5" s="1"/>
  <c r="Y43" i="5" a="1"/>
  <c r="Y43" i="5" s="1"/>
  <c r="X43" i="5" a="1"/>
  <c r="X43" i="5" s="1"/>
  <c r="W43" i="5" a="1"/>
  <c r="W43" i="5" s="1"/>
  <c r="V43" i="5" a="1"/>
  <c r="V43" i="5" s="1"/>
  <c r="U43" i="5" a="1"/>
  <c r="U43" i="5" s="1"/>
  <c r="S43" i="5" a="1"/>
  <c r="S43" i="5" s="1"/>
  <c r="E43" i="5" a="1"/>
  <c r="E43" i="5" s="1"/>
  <c r="H43" i="5" a="1"/>
  <c r="H43" i="5" s="1"/>
  <c r="Q43" i="5" a="1"/>
  <c r="Q43" i="5" s="1"/>
  <c r="O43" i="5" a="1"/>
  <c r="O43" i="5" s="1"/>
  <c r="I43" i="5" a="1"/>
  <c r="I43" i="5" s="1"/>
  <c r="K43" i="5" a="1"/>
  <c r="K43" i="5" s="1"/>
  <c r="R43" i="5" a="1"/>
  <c r="R43" i="5" s="1"/>
  <c r="P43" i="5" a="1"/>
  <c r="P43" i="5" s="1"/>
  <c r="F43" i="5" a="1"/>
  <c r="F43" i="5" s="1"/>
  <c r="L43" i="5" a="1"/>
  <c r="L43" i="5" s="1"/>
  <c r="J43" i="5" a="1"/>
  <c r="J43" i="5" s="1"/>
  <c r="M43" i="5" a="1"/>
  <c r="M43" i="5" s="1"/>
  <c r="N43" i="5" a="1"/>
  <c r="N43" i="5" s="1"/>
  <c r="G43" i="5" a="1"/>
  <c r="G43" i="5" s="1"/>
  <c r="D43" i="5" a="1"/>
  <c r="D43" i="5" s="1"/>
  <c r="C44" i="5"/>
  <c r="A44" i="8" l="1"/>
  <c r="T44" i="5" a="1"/>
  <c r="T44" i="5" s="1"/>
  <c r="AG44" i="5" a="1"/>
  <c r="AG44" i="5" s="1"/>
  <c r="AF44" i="5" a="1"/>
  <c r="AF44" i="5" s="1"/>
  <c r="AE44" i="5" a="1"/>
  <c r="AE44" i="5" s="1"/>
  <c r="AD44" i="5" a="1"/>
  <c r="AD44" i="5" s="1"/>
  <c r="AC44" i="5" a="1"/>
  <c r="AC44" i="5" s="1"/>
  <c r="AB44" i="5" a="1"/>
  <c r="AB44" i="5" s="1"/>
  <c r="AA44" i="5" a="1"/>
  <c r="AA44" i="5" s="1"/>
  <c r="Z44" i="5" a="1"/>
  <c r="Z44" i="5" s="1"/>
  <c r="Y44" i="5" a="1"/>
  <c r="Y44" i="5" s="1"/>
  <c r="X44" i="5" a="1"/>
  <c r="X44" i="5" s="1"/>
  <c r="W44" i="5" a="1"/>
  <c r="W44" i="5" s="1"/>
  <c r="U44" i="5" a="1"/>
  <c r="U44" i="5" s="1"/>
  <c r="S44" i="5" a="1"/>
  <c r="S44" i="5" s="1"/>
  <c r="V44" i="5" a="1"/>
  <c r="V44" i="5" s="1"/>
  <c r="E44" i="5" a="1"/>
  <c r="E44" i="5" s="1"/>
  <c r="H44" i="5" a="1"/>
  <c r="H44" i="5" s="1"/>
  <c r="Q44" i="5" a="1"/>
  <c r="Q44" i="5" s="1"/>
  <c r="O44" i="5" a="1"/>
  <c r="O44" i="5" s="1"/>
  <c r="R44" i="5" a="1"/>
  <c r="R44" i="5" s="1"/>
  <c r="K44" i="5" a="1"/>
  <c r="K44" i="5" s="1"/>
  <c r="I44" i="5" a="1"/>
  <c r="I44" i="5" s="1"/>
  <c r="F44" i="5" a="1"/>
  <c r="F44" i="5" s="1"/>
  <c r="P44" i="5" a="1"/>
  <c r="P44" i="5" s="1"/>
  <c r="J44" i="5" a="1"/>
  <c r="J44" i="5" s="1"/>
  <c r="L44" i="5" a="1"/>
  <c r="L44" i="5" s="1"/>
  <c r="N44" i="5" a="1"/>
  <c r="N44" i="5" s="1"/>
  <c r="M44" i="5" a="1"/>
  <c r="M44" i="5" s="1"/>
  <c r="G44" i="5" a="1"/>
  <c r="G44" i="5" s="1"/>
  <c r="D44" i="5" a="1"/>
  <c r="D44" i="5" s="1"/>
  <c r="C45" i="5"/>
  <c r="A45" i="8" l="1"/>
  <c r="T45" i="5" a="1"/>
  <c r="T45" i="5" s="1"/>
  <c r="AG45" i="5" a="1"/>
  <c r="AG45" i="5" s="1"/>
  <c r="AF45" i="5" a="1"/>
  <c r="AF45" i="5" s="1"/>
  <c r="AB45" i="5" a="1"/>
  <c r="AB45" i="5" s="1"/>
  <c r="AE45" i="5" a="1"/>
  <c r="AE45" i="5" s="1"/>
  <c r="AD45" i="5" a="1"/>
  <c r="AD45" i="5" s="1"/>
  <c r="AC45" i="5" a="1"/>
  <c r="AC45" i="5" s="1"/>
  <c r="AA45" i="5" a="1"/>
  <c r="AA45" i="5" s="1"/>
  <c r="Z45" i="5" a="1"/>
  <c r="Z45" i="5" s="1"/>
  <c r="Y45" i="5" a="1"/>
  <c r="Y45" i="5" s="1"/>
  <c r="X45" i="5" a="1"/>
  <c r="X45" i="5" s="1"/>
  <c r="W45" i="5" a="1"/>
  <c r="W45" i="5" s="1"/>
  <c r="V45" i="5" a="1"/>
  <c r="V45" i="5" s="1"/>
  <c r="U45" i="5" a="1"/>
  <c r="U45" i="5" s="1"/>
  <c r="S45" i="5" a="1"/>
  <c r="S45" i="5" s="1"/>
  <c r="E45" i="5" a="1"/>
  <c r="E45" i="5" s="1"/>
  <c r="H45" i="5" a="1"/>
  <c r="H45" i="5" s="1"/>
  <c r="O45" i="5" a="1"/>
  <c r="O45" i="5" s="1"/>
  <c r="Q45" i="5" a="1"/>
  <c r="Q45" i="5" s="1"/>
  <c r="P45" i="5" a="1"/>
  <c r="P45" i="5" s="1"/>
  <c r="I45" i="5" a="1"/>
  <c r="I45" i="5" s="1"/>
  <c r="F45" i="5" a="1"/>
  <c r="F45" i="5" s="1"/>
  <c r="R45" i="5" a="1"/>
  <c r="R45" i="5" s="1"/>
  <c r="K45" i="5" a="1"/>
  <c r="K45" i="5" s="1"/>
  <c r="N45" i="5" a="1"/>
  <c r="N45" i="5" s="1"/>
  <c r="J45" i="5" a="1"/>
  <c r="J45" i="5" s="1"/>
  <c r="L45" i="5" a="1"/>
  <c r="L45" i="5" s="1"/>
  <c r="M45" i="5" a="1"/>
  <c r="M45" i="5" s="1"/>
  <c r="G45" i="5" a="1"/>
  <c r="G45" i="5" s="1"/>
  <c r="D45" i="5" a="1"/>
  <c r="D45" i="5" s="1"/>
  <c r="C46" i="5"/>
  <c r="A46" i="8" l="1"/>
  <c r="T46" i="5" a="1"/>
  <c r="T46" i="5" s="1"/>
  <c r="AG46" i="5" a="1"/>
  <c r="AG46" i="5" s="1"/>
  <c r="AE16" i="8" s="1"/>
  <c r="AF46" i="5" a="1"/>
  <c r="AF46" i="5" s="1"/>
  <c r="AE46" i="5" a="1"/>
  <c r="AE46" i="5" s="1"/>
  <c r="AD46" i="5" a="1"/>
  <c r="AD46" i="5" s="1"/>
  <c r="AC46" i="5" a="1"/>
  <c r="AC46" i="5" s="1"/>
  <c r="AB46" i="5" a="1"/>
  <c r="AB46" i="5" s="1"/>
  <c r="AA46" i="5" a="1"/>
  <c r="AA46" i="5" s="1"/>
  <c r="Z46" i="5" a="1"/>
  <c r="Z46" i="5" s="1"/>
  <c r="Y46" i="5" a="1"/>
  <c r="Y46" i="5" s="1"/>
  <c r="X46" i="5" a="1"/>
  <c r="X46" i="5" s="1"/>
  <c r="W46" i="5" a="1"/>
  <c r="W46" i="5" s="1"/>
  <c r="Y16" i="8"/>
  <c r="AB16" i="8"/>
  <c r="U46" i="5" a="1"/>
  <c r="U46" i="5" s="1"/>
  <c r="S46" i="5" a="1"/>
  <c r="S46" i="5" s="1"/>
  <c r="V46" i="5" a="1"/>
  <c r="V46" i="5" s="1"/>
  <c r="E46" i="5" a="1"/>
  <c r="E46" i="5" s="1"/>
  <c r="H46" i="5" a="1"/>
  <c r="H46" i="5" s="1"/>
  <c r="O46" i="5" a="1"/>
  <c r="O46" i="5" s="1"/>
  <c r="R46" i="5" a="1"/>
  <c r="R46" i="5" s="1"/>
  <c r="K46" i="5" a="1"/>
  <c r="K46" i="5" s="1"/>
  <c r="Q46" i="5" a="1"/>
  <c r="Q46" i="5" s="1"/>
  <c r="O16" i="8" s="1"/>
  <c r="I46" i="5" a="1"/>
  <c r="I46" i="5" s="1"/>
  <c r="G16" i="8" s="1"/>
  <c r="F46" i="5" a="1"/>
  <c r="F46" i="5" s="1"/>
  <c r="M46" i="5" a="1"/>
  <c r="M46" i="5" s="1"/>
  <c r="L46" i="5" a="1"/>
  <c r="L46" i="5" s="1"/>
  <c r="P46" i="5" a="1"/>
  <c r="P46" i="5" s="1"/>
  <c r="N46" i="5" a="1"/>
  <c r="N46" i="5" s="1"/>
  <c r="J46" i="5" a="1"/>
  <c r="J46" i="5" s="1"/>
  <c r="G46" i="5" a="1"/>
  <c r="G46" i="5" s="1"/>
  <c r="D46" i="5" a="1"/>
  <c r="D46" i="5" s="1"/>
  <c r="C47" i="5"/>
  <c r="A47" i="8" l="1"/>
  <c r="T47" i="5" a="1"/>
  <c r="T47" i="5" s="1"/>
  <c r="AG47" i="5" a="1"/>
  <c r="AG47" i="5" s="1"/>
  <c r="AF47" i="5" a="1"/>
  <c r="AF47" i="5" s="1"/>
  <c r="AB47" i="5" a="1"/>
  <c r="AB47" i="5" s="1"/>
  <c r="AE47" i="5" a="1"/>
  <c r="AE47" i="5" s="1"/>
  <c r="AD47" i="5" a="1"/>
  <c r="AD47" i="5" s="1"/>
  <c r="AC47" i="5" a="1"/>
  <c r="AC47" i="5" s="1"/>
  <c r="AA47" i="5" a="1"/>
  <c r="AA47" i="5" s="1"/>
  <c r="Z47" i="5" a="1"/>
  <c r="Z47" i="5" s="1"/>
  <c r="Y47" i="5" a="1"/>
  <c r="Y47" i="5" s="1"/>
  <c r="X47" i="5" a="1"/>
  <c r="X47" i="5" s="1"/>
  <c r="W47" i="5" a="1"/>
  <c r="W47" i="5" s="1"/>
  <c r="U47" i="5" a="1"/>
  <c r="U47" i="5" s="1"/>
  <c r="V47" i="5" a="1"/>
  <c r="V47" i="5" s="1"/>
  <c r="S47" i="5" a="1"/>
  <c r="S47" i="5" s="1"/>
  <c r="E47" i="5" a="1"/>
  <c r="E47" i="5" s="1"/>
  <c r="H47" i="5" a="1"/>
  <c r="H47" i="5" s="1"/>
  <c r="O47" i="5" a="1"/>
  <c r="O47" i="5" s="1"/>
  <c r="I47" i="5" a="1"/>
  <c r="I47" i="5" s="1"/>
  <c r="Q47" i="5" a="1"/>
  <c r="Q47" i="5" s="1"/>
  <c r="K47" i="5" a="1"/>
  <c r="K47" i="5" s="1"/>
  <c r="F47" i="5" a="1"/>
  <c r="F47" i="5" s="1"/>
  <c r="P47" i="5" a="1"/>
  <c r="P47" i="5" s="1"/>
  <c r="R47" i="5" a="1"/>
  <c r="R47" i="5" s="1"/>
  <c r="N47" i="5" a="1"/>
  <c r="N47" i="5" s="1"/>
  <c r="M47" i="5" a="1"/>
  <c r="M47" i="5" s="1"/>
  <c r="J47" i="5" a="1"/>
  <c r="J47" i="5" s="1"/>
  <c r="L47" i="5" a="1"/>
  <c r="L47" i="5" s="1"/>
  <c r="G47" i="5" a="1"/>
  <c r="G47" i="5" s="1"/>
  <c r="D47" i="5" a="1"/>
  <c r="D47" i="5" s="1"/>
  <c r="C48" i="5"/>
  <c r="A48" i="8" l="1"/>
  <c r="T48" i="5" a="1"/>
  <c r="T48" i="5" s="1"/>
  <c r="AG48" i="5" a="1"/>
  <c r="AG48" i="5" s="1"/>
  <c r="AF48" i="5" a="1"/>
  <c r="AF48" i="5" s="1"/>
  <c r="AE48" i="5" a="1"/>
  <c r="AE48" i="5" s="1"/>
  <c r="AD48" i="5" a="1"/>
  <c r="AD48" i="5" s="1"/>
  <c r="AC48" i="5" a="1"/>
  <c r="AC48" i="5" s="1"/>
  <c r="AB48" i="5" a="1"/>
  <c r="AB48" i="5" s="1"/>
  <c r="AA48" i="5" a="1"/>
  <c r="AA48" i="5" s="1"/>
  <c r="Z48" i="5" a="1"/>
  <c r="Z48" i="5" s="1"/>
  <c r="Y48" i="5" a="1"/>
  <c r="Y48" i="5" s="1"/>
  <c r="X48" i="5" a="1"/>
  <c r="X48" i="5" s="1"/>
  <c r="W48" i="5" a="1"/>
  <c r="W48" i="5" s="1"/>
  <c r="U48" i="5" a="1"/>
  <c r="U48" i="5" s="1"/>
  <c r="V48" i="5" a="1"/>
  <c r="V48" i="5" s="1"/>
  <c r="S48" i="5" a="1"/>
  <c r="S48" i="5" s="1"/>
  <c r="E48" i="5" a="1"/>
  <c r="E48" i="5" s="1"/>
  <c r="H48" i="5" a="1"/>
  <c r="H48" i="5" s="1"/>
  <c r="I48" i="5" a="1"/>
  <c r="I48" i="5" s="1"/>
  <c r="Q48" i="5" a="1"/>
  <c r="Q48" i="5" s="1"/>
  <c r="O48" i="5" a="1"/>
  <c r="O48" i="5" s="1"/>
  <c r="F48" i="5" a="1"/>
  <c r="F48" i="5" s="1"/>
  <c r="K48" i="5" a="1"/>
  <c r="K48" i="5" s="1"/>
  <c r="P48" i="5" a="1"/>
  <c r="P48" i="5" s="1"/>
  <c r="R48" i="5" a="1"/>
  <c r="R48" i="5" s="1"/>
  <c r="L48" i="5" a="1"/>
  <c r="L48" i="5" s="1"/>
  <c r="M48" i="5" a="1"/>
  <c r="M48" i="5" s="1"/>
  <c r="J48" i="5" a="1"/>
  <c r="J48" i="5" s="1"/>
  <c r="N48" i="5" a="1"/>
  <c r="N48" i="5" s="1"/>
  <c r="G48" i="5" a="1"/>
  <c r="G48" i="5" s="1"/>
  <c r="C49" i="5"/>
  <c r="D48" i="5" a="1"/>
  <c r="D48" i="5" s="1"/>
  <c r="A49" i="8" l="1"/>
  <c r="T49" i="5" a="1"/>
  <c r="T49" i="5" s="1"/>
  <c r="AG49" i="5" a="1"/>
  <c r="AG49" i="5" s="1"/>
  <c r="AF49" i="5" a="1"/>
  <c r="AF49" i="5" s="1"/>
  <c r="AB49" i="5" a="1"/>
  <c r="AB49" i="5" s="1"/>
  <c r="AE49" i="5" a="1"/>
  <c r="AE49" i="5" s="1"/>
  <c r="AD49" i="5" a="1"/>
  <c r="AD49" i="5" s="1"/>
  <c r="AC49" i="5" a="1"/>
  <c r="AC49" i="5" s="1"/>
  <c r="AA49" i="5" a="1"/>
  <c r="AA49" i="5" s="1"/>
  <c r="Z49" i="5" a="1"/>
  <c r="Z49" i="5" s="1"/>
  <c r="Y49" i="5" a="1"/>
  <c r="Y49" i="5" s="1"/>
  <c r="X49" i="5" a="1"/>
  <c r="X49" i="5" s="1"/>
  <c r="W49" i="5" a="1"/>
  <c r="W49" i="5" s="1"/>
  <c r="U49" i="5" a="1"/>
  <c r="U49" i="5" s="1"/>
  <c r="V49" i="5" a="1"/>
  <c r="V49" i="5" s="1"/>
  <c r="S49" i="5" a="1"/>
  <c r="S49" i="5" s="1"/>
  <c r="E49" i="5" a="1"/>
  <c r="E49" i="5" s="1"/>
  <c r="H49" i="5" a="1"/>
  <c r="H49" i="5" s="1"/>
  <c r="O49" i="5" a="1"/>
  <c r="O49" i="5" s="1"/>
  <c r="I49" i="5" a="1"/>
  <c r="I49" i="5" s="1"/>
  <c r="Q49" i="5" a="1"/>
  <c r="Q49" i="5" s="1"/>
  <c r="R49" i="5" a="1"/>
  <c r="R49" i="5" s="1"/>
  <c r="F49" i="5" a="1"/>
  <c r="F49" i="5" s="1"/>
  <c r="P49" i="5" a="1"/>
  <c r="P49" i="5" s="1"/>
  <c r="K49" i="5" a="1"/>
  <c r="K49" i="5" s="1"/>
  <c r="L49" i="5" a="1"/>
  <c r="L49" i="5" s="1"/>
  <c r="M49" i="5" a="1"/>
  <c r="M49" i="5" s="1"/>
  <c r="N49" i="5" a="1"/>
  <c r="N49" i="5" s="1"/>
  <c r="J49" i="5" a="1"/>
  <c r="J49" i="5" s="1"/>
  <c r="G49" i="5" a="1"/>
  <c r="G49" i="5" s="1"/>
  <c r="D49" i="5" a="1"/>
  <c r="D49" i="5" s="1"/>
  <c r="C50" i="5"/>
  <c r="A50" i="8" l="1"/>
  <c r="T50" i="5" a="1"/>
  <c r="T50" i="5" s="1"/>
  <c r="AG50" i="5" a="1"/>
  <c r="AG50" i="5" s="1"/>
  <c r="AE17" i="8" s="1"/>
  <c r="AF50" i="5" a="1"/>
  <c r="AF50" i="5" s="1"/>
  <c r="AE50" i="5" a="1"/>
  <c r="AE50" i="5" s="1"/>
  <c r="AD50" i="5" a="1"/>
  <c r="AD50" i="5" s="1"/>
  <c r="AB17" i="8" s="1"/>
  <c r="AC50" i="5" a="1"/>
  <c r="AC50" i="5" s="1"/>
  <c r="AB50" i="5" a="1"/>
  <c r="AB50" i="5" s="1"/>
  <c r="AA50" i="5" a="1"/>
  <c r="AA50" i="5" s="1"/>
  <c r="Z50" i="5" a="1"/>
  <c r="Z50" i="5" s="1"/>
  <c r="Y50" i="5" a="1"/>
  <c r="Y50" i="5" s="1"/>
  <c r="X50" i="5" a="1"/>
  <c r="X50" i="5" s="1"/>
  <c r="W50" i="5" a="1"/>
  <c r="W50" i="5" s="1"/>
  <c r="AC17" i="8"/>
  <c r="V50" i="5" a="1"/>
  <c r="V50" i="5" s="1"/>
  <c r="U50" i="5" a="1"/>
  <c r="U50" i="5" s="1"/>
  <c r="S50" i="5" a="1"/>
  <c r="S50" i="5" s="1"/>
  <c r="E50" i="5" a="1"/>
  <c r="E50" i="5" s="1"/>
  <c r="H50" i="5" a="1"/>
  <c r="H50" i="5" s="1"/>
  <c r="O50" i="5" a="1"/>
  <c r="O50" i="5" s="1"/>
  <c r="M17" i="8" s="1"/>
  <c r="I50" i="5" a="1"/>
  <c r="I50" i="5" s="1"/>
  <c r="Q50" i="5" a="1"/>
  <c r="Q50" i="5" s="1"/>
  <c r="F50" i="5" a="1"/>
  <c r="F50" i="5" s="1"/>
  <c r="D17" i="8" s="1"/>
  <c r="P50" i="5" a="1"/>
  <c r="P50" i="5" s="1"/>
  <c r="K50" i="5" a="1"/>
  <c r="K50" i="5" s="1"/>
  <c r="L50" i="5" a="1"/>
  <c r="L50" i="5" s="1"/>
  <c r="N50" i="5" a="1"/>
  <c r="N50" i="5" s="1"/>
  <c r="R50" i="5" a="1"/>
  <c r="R50" i="5" s="1"/>
  <c r="M50" i="5" a="1"/>
  <c r="M50" i="5" s="1"/>
  <c r="J50" i="5" a="1"/>
  <c r="J50" i="5" s="1"/>
  <c r="G50" i="5" a="1"/>
  <c r="G50" i="5" s="1"/>
  <c r="D50" i="5" a="1"/>
  <c r="D50" i="5" s="1"/>
  <c r="C51" i="5"/>
  <c r="A51" i="8" l="1"/>
  <c r="T51" i="5" a="1"/>
  <c r="T51" i="5" s="1"/>
  <c r="AG51" i="5" a="1"/>
  <c r="AG51" i="5" s="1"/>
  <c r="AF51" i="5" a="1"/>
  <c r="AF51" i="5" s="1"/>
  <c r="AE51" i="5" a="1"/>
  <c r="AE51" i="5" s="1"/>
  <c r="AD51" i="5" a="1"/>
  <c r="AD51" i="5" s="1"/>
  <c r="AC51" i="5" a="1"/>
  <c r="AC51" i="5" s="1"/>
  <c r="AB51" i="5" a="1"/>
  <c r="AB51" i="5" s="1"/>
  <c r="AA51" i="5" a="1"/>
  <c r="AA51" i="5" s="1"/>
  <c r="Z51" i="5" a="1"/>
  <c r="Z51" i="5" s="1"/>
  <c r="Y51" i="5" a="1"/>
  <c r="Y51" i="5" s="1"/>
  <c r="X51" i="5" a="1"/>
  <c r="X51" i="5" s="1"/>
  <c r="W51" i="5" a="1"/>
  <c r="W51" i="5" s="1"/>
  <c r="V51" i="5" a="1"/>
  <c r="V51" i="5" s="1"/>
  <c r="U51" i="5" a="1"/>
  <c r="U51" i="5" s="1"/>
  <c r="S51" i="5" a="1"/>
  <c r="S51" i="5" s="1"/>
  <c r="E51" i="5" a="1"/>
  <c r="E51" i="5" s="1"/>
  <c r="H51" i="5" a="1"/>
  <c r="H51" i="5" s="1"/>
  <c r="I51" i="5" a="1"/>
  <c r="I51" i="5" s="1"/>
  <c r="Q51" i="5" a="1"/>
  <c r="Q51" i="5" s="1"/>
  <c r="O51" i="5" a="1"/>
  <c r="O51" i="5" s="1"/>
  <c r="F51" i="5" a="1"/>
  <c r="F51" i="5" s="1"/>
  <c r="P51" i="5" a="1"/>
  <c r="P51" i="5" s="1"/>
  <c r="K51" i="5" a="1"/>
  <c r="K51" i="5" s="1"/>
  <c r="R51" i="5" a="1"/>
  <c r="R51" i="5" s="1"/>
  <c r="J51" i="5" a="1"/>
  <c r="J51" i="5" s="1"/>
  <c r="L51" i="5" a="1"/>
  <c r="L51" i="5" s="1"/>
  <c r="N51" i="5" a="1"/>
  <c r="N51" i="5" s="1"/>
  <c r="M51" i="5" a="1"/>
  <c r="M51" i="5" s="1"/>
  <c r="G51" i="5" a="1"/>
  <c r="G51" i="5" s="1"/>
  <c r="D51" i="5" a="1"/>
  <c r="D51" i="5" s="1"/>
  <c r="C52" i="5"/>
  <c r="A52" i="8" l="1"/>
  <c r="T52" i="5" a="1"/>
  <c r="T52" i="5" s="1"/>
  <c r="AG52" i="5" a="1"/>
  <c r="AG52" i="5" s="1"/>
  <c r="AF52" i="5" a="1"/>
  <c r="AF52" i="5" s="1"/>
  <c r="AE52" i="5" a="1"/>
  <c r="AE52" i="5" s="1"/>
  <c r="AD52" i="5" a="1"/>
  <c r="AD52" i="5" s="1"/>
  <c r="AC52" i="5" a="1"/>
  <c r="AC52" i="5" s="1"/>
  <c r="AB52" i="5" a="1"/>
  <c r="AB52" i="5" s="1"/>
  <c r="AA52" i="5" a="1"/>
  <c r="AA52" i="5" s="1"/>
  <c r="Z52" i="5" a="1"/>
  <c r="Z52" i="5" s="1"/>
  <c r="Y52" i="5" a="1"/>
  <c r="Y52" i="5" s="1"/>
  <c r="X52" i="5" a="1"/>
  <c r="X52" i="5" s="1"/>
  <c r="W52" i="5" a="1"/>
  <c r="W52" i="5" s="1"/>
  <c r="U52" i="5" a="1"/>
  <c r="U52" i="5" s="1"/>
  <c r="V52" i="5" a="1"/>
  <c r="V52" i="5" s="1"/>
  <c r="S52" i="5" a="1"/>
  <c r="S52" i="5" s="1"/>
  <c r="E52" i="5" a="1"/>
  <c r="E52" i="5" s="1"/>
  <c r="H52" i="5" a="1"/>
  <c r="H52" i="5" s="1"/>
  <c r="O52" i="5" a="1"/>
  <c r="O52" i="5" s="1"/>
  <c r="Q52" i="5" a="1"/>
  <c r="Q52" i="5" s="1"/>
  <c r="I52" i="5" a="1"/>
  <c r="I52" i="5" s="1"/>
  <c r="K52" i="5" a="1"/>
  <c r="K52" i="5" s="1"/>
  <c r="R52" i="5" a="1"/>
  <c r="R52" i="5" s="1"/>
  <c r="P52" i="5" a="1"/>
  <c r="P52" i="5" s="1"/>
  <c r="F52" i="5" a="1"/>
  <c r="F52" i="5" s="1"/>
  <c r="L52" i="5" a="1"/>
  <c r="L52" i="5" s="1"/>
  <c r="J52" i="5" a="1"/>
  <c r="J52" i="5" s="1"/>
  <c r="M52" i="5" a="1"/>
  <c r="M52" i="5" s="1"/>
  <c r="N52" i="5" a="1"/>
  <c r="N52" i="5" s="1"/>
  <c r="G52" i="5" a="1"/>
  <c r="G52" i="5" s="1"/>
  <c r="D52" i="5" a="1"/>
  <c r="D52" i="5" s="1"/>
  <c r="C53" i="5"/>
  <c r="A53" i="8" l="1"/>
  <c r="T53" i="5" a="1"/>
  <c r="T53" i="5" s="1"/>
  <c r="AG53" i="5" a="1"/>
  <c r="AG53" i="5" s="1"/>
  <c r="AF53" i="5" a="1"/>
  <c r="AF53" i="5" s="1"/>
  <c r="AE53" i="5" a="1"/>
  <c r="AE53" i="5" s="1"/>
  <c r="AD53" i="5" a="1"/>
  <c r="AD53" i="5" s="1"/>
  <c r="AC53" i="5" a="1"/>
  <c r="AC53" i="5" s="1"/>
  <c r="AB53" i="5" a="1"/>
  <c r="AB53" i="5" s="1"/>
  <c r="AA53" i="5" a="1"/>
  <c r="AA53" i="5" s="1"/>
  <c r="Z53" i="5" a="1"/>
  <c r="Z53" i="5" s="1"/>
  <c r="Y53" i="5" a="1"/>
  <c r="Y53" i="5" s="1"/>
  <c r="X53" i="5" a="1"/>
  <c r="X53" i="5" s="1"/>
  <c r="W53" i="5" a="1"/>
  <c r="W53" i="5" s="1"/>
  <c r="V53" i="5" a="1"/>
  <c r="V53" i="5" s="1"/>
  <c r="U53" i="5" a="1"/>
  <c r="U53" i="5" s="1"/>
  <c r="S53" i="5" a="1"/>
  <c r="S53" i="5" s="1"/>
  <c r="E53" i="5" a="1"/>
  <c r="E53" i="5" s="1"/>
  <c r="H53" i="5" a="1"/>
  <c r="H53" i="5" s="1"/>
  <c r="I53" i="5" a="1"/>
  <c r="I53" i="5" s="1"/>
  <c r="Q53" i="5" a="1"/>
  <c r="Q53" i="5" s="1"/>
  <c r="O53" i="5" a="1"/>
  <c r="O53" i="5" s="1"/>
  <c r="F53" i="5" a="1"/>
  <c r="F53" i="5" s="1"/>
  <c r="P53" i="5" a="1"/>
  <c r="P53" i="5" s="1"/>
  <c r="K53" i="5" a="1"/>
  <c r="K53" i="5" s="1"/>
  <c r="N53" i="5" a="1"/>
  <c r="N53" i="5" s="1"/>
  <c r="R53" i="5" a="1"/>
  <c r="R53" i="5" s="1"/>
  <c r="J53" i="5" a="1"/>
  <c r="J53" i="5" s="1"/>
  <c r="L53" i="5" a="1"/>
  <c r="L53" i="5" s="1"/>
  <c r="M53" i="5" a="1"/>
  <c r="M53" i="5" s="1"/>
  <c r="G53" i="5" a="1"/>
  <c r="G53" i="5" s="1"/>
  <c r="D53" i="5" a="1"/>
  <c r="D53" i="5" s="1"/>
  <c r="C54" i="5"/>
  <c r="A54" i="8" l="1"/>
  <c r="T54" i="5" a="1"/>
  <c r="T54" i="5" s="1"/>
  <c r="AF54" i="5" a="1"/>
  <c r="AF54" i="5" s="1"/>
  <c r="AG54" i="5" a="1"/>
  <c r="AG54" i="5" s="1"/>
  <c r="AE18" i="8" s="1"/>
  <c r="AE54" i="5" a="1"/>
  <c r="AE54" i="5" s="1"/>
  <c r="AD54" i="5" a="1"/>
  <c r="AD54" i="5" s="1"/>
  <c r="AC54" i="5" a="1"/>
  <c r="AC54" i="5" s="1"/>
  <c r="AB54" i="5" a="1"/>
  <c r="AB54" i="5" s="1"/>
  <c r="Z18" i="8" s="1"/>
  <c r="AA54" i="5" a="1"/>
  <c r="AA54" i="5" s="1"/>
  <c r="Z54" i="5" a="1"/>
  <c r="Z54" i="5" s="1"/>
  <c r="Y54" i="5" a="1"/>
  <c r="Y54" i="5" s="1"/>
  <c r="W18" i="8" s="1"/>
  <c r="X54" i="5" a="1"/>
  <c r="X54" i="5" s="1"/>
  <c r="W54" i="5" a="1"/>
  <c r="W54" i="5" s="1"/>
  <c r="Y18" i="8"/>
  <c r="U54" i="5" a="1"/>
  <c r="U54" i="5" s="1"/>
  <c r="S54" i="5" a="1"/>
  <c r="S54" i="5" s="1"/>
  <c r="V54" i="5" a="1"/>
  <c r="V54" i="5" s="1"/>
  <c r="E54" i="5" a="1"/>
  <c r="E54" i="5" s="1"/>
  <c r="H54" i="5" a="1"/>
  <c r="H54" i="5" s="1"/>
  <c r="I54" i="5" a="1"/>
  <c r="I54" i="5" s="1"/>
  <c r="G18" i="8" s="1"/>
  <c r="Q54" i="5" a="1"/>
  <c r="Q54" i="5" s="1"/>
  <c r="P54" i="5" a="1"/>
  <c r="P54" i="5" s="1"/>
  <c r="N18" i="8" s="1"/>
  <c r="F54" i="5" a="1"/>
  <c r="F54" i="5" s="1"/>
  <c r="K54" i="5" a="1"/>
  <c r="K54" i="5" s="1"/>
  <c r="R54" i="5" a="1"/>
  <c r="R54" i="5" s="1"/>
  <c r="J54" i="5" a="1"/>
  <c r="J54" i="5" s="1"/>
  <c r="L54" i="5" a="1"/>
  <c r="L54" i="5" s="1"/>
  <c r="N54" i="5" a="1"/>
  <c r="N54" i="5" s="1"/>
  <c r="O54" i="5" a="1"/>
  <c r="O54" i="5" s="1"/>
  <c r="M54" i="5" a="1"/>
  <c r="M54" i="5" s="1"/>
  <c r="G54" i="5" a="1"/>
  <c r="G54" i="5" s="1"/>
  <c r="D54" i="5" a="1"/>
  <c r="D54" i="5" s="1"/>
  <c r="C55" i="5"/>
  <c r="A55" i="8" l="1"/>
  <c r="T55" i="5" a="1"/>
  <c r="T55" i="5" s="1"/>
  <c r="AG55" i="5" a="1"/>
  <c r="AG55" i="5" s="1"/>
  <c r="AF55" i="5" a="1"/>
  <c r="AF55" i="5" s="1"/>
  <c r="AE55" i="5" a="1"/>
  <c r="AE55" i="5" s="1"/>
  <c r="AD55" i="5" a="1"/>
  <c r="AD55" i="5" s="1"/>
  <c r="AC55" i="5" a="1"/>
  <c r="AC55" i="5" s="1"/>
  <c r="AB55" i="5" a="1"/>
  <c r="AB55" i="5" s="1"/>
  <c r="AA55" i="5" a="1"/>
  <c r="AA55" i="5" s="1"/>
  <c r="Z55" i="5" a="1"/>
  <c r="Z55" i="5" s="1"/>
  <c r="Y55" i="5" a="1"/>
  <c r="Y55" i="5" s="1"/>
  <c r="X55" i="5" a="1"/>
  <c r="X55" i="5" s="1"/>
  <c r="W55" i="5" a="1"/>
  <c r="W55" i="5" s="1"/>
  <c r="U55" i="5" a="1"/>
  <c r="U55" i="5" s="1"/>
  <c r="V55" i="5" a="1"/>
  <c r="V55" i="5" s="1"/>
  <c r="S55" i="5" a="1"/>
  <c r="S55" i="5" s="1"/>
  <c r="E55" i="5" a="1"/>
  <c r="E55" i="5" s="1"/>
  <c r="H55" i="5" a="1"/>
  <c r="H55" i="5" s="1"/>
  <c r="O55" i="5" a="1"/>
  <c r="O55" i="5" s="1"/>
  <c r="I55" i="5" a="1"/>
  <c r="I55" i="5" s="1"/>
  <c r="Q55" i="5" a="1"/>
  <c r="Q55" i="5" s="1"/>
  <c r="F55" i="5" a="1"/>
  <c r="F55" i="5" s="1"/>
  <c r="K55" i="5" a="1"/>
  <c r="K55" i="5" s="1"/>
  <c r="P55" i="5" a="1"/>
  <c r="P55" i="5" s="1"/>
  <c r="R55" i="5" a="1"/>
  <c r="R55" i="5" s="1"/>
  <c r="L55" i="5" a="1"/>
  <c r="L55" i="5" s="1"/>
  <c r="M55" i="5" a="1"/>
  <c r="M55" i="5" s="1"/>
  <c r="N55" i="5" a="1"/>
  <c r="N55" i="5" s="1"/>
  <c r="J55" i="5" a="1"/>
  <c r="J55" i="5" s="1"/>
  <c r="G55" i="5" a="1"/>
  <c r="G55" i="5" s="1"/>
  <c r="D55" i="5" a="1"/>
  <c r="D55" i="5" s="1"/>
  <c r="C56" i="5"/>
  <c r="A56" i="8" l="1"/>
  <c r="T56" i="5" a="1"/>
  <c r="T56" i="5" s="1"/>
  <c r="AG56" i="5" a="1"/>
  <c r="AG56" i="5" s="1"/>
  <c r="AF56" i="5" a="1"/>
  <c r="AF56" i="5" s="1"/>
  <c r="AE56" i="5" a="1"/>
  <c r="AE56" i="5" s="1"/>
  <c r="AD56" i="5" a="1"/>
  <c r="AD56" i="5" s="1"/>
  <c r="AC56" i="5" a="1"/>
  <c r="AC56" i="5" s="1"/>
  <c r="AB56" i="5" a="1"/>
  <c r="AB56" i="5" s="1"/>
  <c r="AA56" i="5" a="1"/>
  <c r="AA56" i="5" s="1"/>
  <c r="Z56" i="5" a="1"/>
  <c r="Z56" i="5" s="1"/>
  <c r="Y56" i="5" a="1"/>
  <c r="Y56" i="5" s="1"/>
  <c r="X56" i="5" a="1"/>
  <c r="X56" i="5" s="1"/>
  <c r="W56" i="5" a="1"/>
  <c r="W56" i="5" s="1"/>
  <c r="U56" i="5" a="1"/>
  <c r="U56" i="5" s="1"/>
  <c r="V56" i="5" a="1"/>
  <c r="V56" i="5" s="1"/>
  <c r="S56" i="5" a="1"/>
  <c r="S56" i="5" s="1"/>
  <c r="E56" i="5" a="1"/>
  <c r="E56" i="5" s="1"/>
  <c r="H56" i="5" a="1"/>
  <c r="H56" i="5" s="1"/>
  <c r="I56" i="5" a="1"/>
  <c r="I56" i="5" s="1"/>
  <c r="Q56" i="5" a="1"/>
  <c r="Q56" i="5" s="1"/>
  <c r="R56" i="5" a="1"/>
  <c r="R56" i="5" s="1"/>
  <c r="O56" i="5" a="1"/>
  <c r="O56" i="5" s="1"/>
  <c r="F56" i="5" a="1"/>
  <c r="F56" i="5" s="1"/>
  <c r="N56" i="5" a="1"/>
  <c r="N56" i="5" s="1"/>
  <c r="P56" i="5" a="1"/>
  <c r="P56" i="5" s="1"/>
  <c r="J56" i="5" a="1"/>
  <c r="J56" i="5" s="1"/>
  <c r="L56" i="5" a="1"/>
  <c r="L56" i="5" s="1"/>
  <c r="K56" i="5" a="1"/>
  <c r="K56" i="5" s="1"/>
  <c r="M56" i="5" a="1"/>
  <c r="M56" i="5" s="1"/>
  <c r="G56" i="5" a="1"/>
  <c r="G56" i="5" s="1"/>
  <c r="D56" i="5" a="1"/>
  <c r="D56" i="5" s="1"/>
  <c r="C57" i="5"/>
  <c r="A57" i="8" l="1"/>
  <c r="T57" i="5" a="1"/>
  <c r="T57" i="5" s="1"/>
  <c r="AG57" i="5" a="1"/>
  <c r="AG57" i="5" s="1"/>
  <c r="AF57" i="5" a="1"/>
  <c r="AF57" i="5" s="1"/>
  <c r="AE57" i="5" a="1"/>
  <c r="AE57" i="5" s="1"/>
  <c r="AD57" i="5" a="1"/>
  <c r="AD57" i="5" s="1"/>
  <c r="AC57" i="5" a="1"/>
  <c r="AC57" i="5" s="1"/>
  <c r="AB57" i="5" a="1"/>
  <c r="AB57" i="5" s="1"/>
  <c r="AA57" i="5" a="1"/>
  <c r="AA57" i="5" s="1"/>
  <c r="Z57" i="5" a="1"/>
  <c r="Z57" i="5" s="1"/>
  <c r="Y57" i="5" a="1"/>
  <c r="Y57" i="5" s="1"/>
  <c r="X57" i="5" a="1"/>
  <c r="X57" i="5" s="1"/>
  <c r="W57" i="5" a="1"/>
  <c r="W57" i="5" s="1"/>
  <c r="U57" i="5" a="1"/>
  <c r="U57" i="5" s="1"/>
  <c r="V57" i="5" a="1"/>
  <c r="V57" i="5" s="1"/>
  <c r="S57" i="5" a="1"/>
  <c r="S57" i="5" s="1"/>
  <c r="E57" i="5" a="1"/>
  <c r="E57" i="5" s="1"/>
  <c r="H57" i="5" a="1"/>
  <c r="H57" i="5" s="1"/>
  <c r="Q57" i="5" a="1"/>
  <c r="Q57" i="5" s="1"/>
  <c r="I57" i="5" a="1"/>
  <c r="I57" i="5" s="1"/>
  <c r="O57" i="5" a="1"/>
  <c r="O57" i="5" s="1"/>
  <c r="F57" i="5" a="1"/>
  <c r="F57" i="5" s="1"/>
  <c r="R57" i="5" a="1"/>
  <c r="R57" i="5" s="1"/>
  <c r="K57" i="5" a="1"/>
  <c r="K57" i="5" s="1"/>
  <c r="P57" i="5" a="1"/>
  <c r="P57" i="5" s="1"/>
  <c r="N57" i="5" a="1"/>
  <c r="N57" i="5" s="1"/>
  <c r="L57" i="5" a="1"/>
  <c r="L57" i="5" s="1"/>
  <c r="J57" i="5" a="1"/>
  <c r="J57" i="5" s="1"/>
  <c r="G57" i="5" a="1"/>
  <c r="G57" i="5" s="1"/>
  <c r="M57" i="5" a="1"/>
  <c r="M57" i="5" s="1"/>
  <c r="D57" i="5" a="1"/>
  <c r="D57" i="5" s="1"/>
  <c r="C58" i="5"/>
  <c r="A58" i="8" l="1"/>
  <c r="T58" i="5" a="1"/>
  <c r="T58" i="5" s="1"/>
  <c r="AG58" i="5" a="1"/>
  <c r="AG58" i="5" s="1"/>
  <c r="AF58" i="5" a="1"/>
  <c r="AF58" i="5" s="1"/>
  <c r="AE58" i="5" a="1"/>
  <c r="AE58" i="5" s="1"/>
  <c r="AD58" i="5" a="1"/>
  <c r="AD58" i="5" s="1"/>
  <c r="AC58" i="5" a="1"/>
  <c r="AC58" i="5" s="1"/>
  <c r="AB58" i="5" a="1"/>
  <c r="AB58" i="5" s="1"/>
  <c r="AA58" i="5" a="1"/>
  <c r="AA58" i="5" s="1"/>
  <c r="Z58" i="5" a="1"/>
  <c r="Z58" i="5" s="1"/>
  <c r="Y58" i="5" a="1"/>
  <c r="Y58" i="5" s="1"/>
  <c r="X58" i="5" a="1"/>
  <c r="X58" i="5" s="1"/>
  <c r="W58" i="5" a="1"/>
  <c r="W58" i="5" s="1"/>
  <c r="V58" i="5" a="1"/>
  <c r="V58" i="5" s="1"/>
  <c r="U58" i="5" a="1"/>
  <c r="U58" i="5" s="1"/>
  <c r="S58" i="5" a="1"/>
  <c r="S58" i="5" s="1"/>
  <c r="E58" i="5" a="1"/>
  <c r="E58" i="5" s="1"/>
  <c r="H58" i="5" a="1"/>
  <c r="H58" i="5" s="1"/>
  <c r="Q58" i="5" a="1"/>
  <c r="Q58" i="5" s="1"/>
  <c r="I58" i="5" a="1"/>
  <c r="I58" i="5" s="1"/>
  <c r="O58" i="5" a="1"/>
  <c r="O58" i="5" s="1"/>
  <c r="M19" i="8" s="1"/>
  <c r="K58" i="5" a="1"/>
  <c r="K58" i="5" s="1"/>
  <c r="I19" i="8" s="1"/>
  <c r="F58" i="5" a="1"/>
  <c r="F58" i="5" s="1"/>
  <c r="R58" i="5" a="1"/>
  <c r="R58" i="5" s="1"/>
  <c r="P58" i="5" a="1"/>
  <c r="P58" i="5" s="1"/>
  <c r="N58" i="5" a="1"/>
  <c r="N58" i="5" s="1"/>
  <c r="L58" i="5" a="1"/>
  <c r="L58" i="5" s="1"/>
  <c r="M58" i="5" a="1"/>
  <c r="M58" i="5" s="1"/>
  <c r="G58" i="5" a="1"/>
  <c r="G58" i="5" s="1"/>
  <c r="J58" i="5" a="1"/>
  <c r="J58" i="5" s="1"/>
  <c r="D58" i="5" a="1"/>
  <c r="D58" i="5" s="1"/>
  <c r="C59" i="5"/>
  <c r="A59" i="8" l="1"/>
  <c r="T59" i="5" a="1"/>
  <c r="T59" i="5" s="1"/>
  <c r="AG59" i="5" a="1"/>
  <c r="AG59" i="5" s="1"/>
  <c r="AF59" i="5" a="1"/>
  <c r="AF59" i="5" s="1"/>
  <c r="AE59" i="5" a="1"/>
  <c r="AE59" i="5" s="1"/>
  <c r="AD59" i="5" a="1"/>
  <c r="AD59" i="5" s="1"/>
  <c r="AC59" i="5" a="1"/>
  <c r="AC59" i="5" s="1"/>
  <c r="AB59" i="5" a="1"/>
  <c r="AB59" i="5" s="1"/>
  <c r="AA59" i="5" a="1"/>
  <c r="AA59" i="5" s="1"/>
  <c r="Z59" i="5" a="1"/>
  <c r="Z59" i="5" s="1"/>
  <c r="Y59" i="5" a="1"/>
  <c r="Y59" i="5" s="1"/>
  <c r="X59" i="5" a="1"/>
  <c r="X59" i="5" s="1"/>
  <c r="W59" i="5" a="1"/>
  <c r="W59" i="5" s="1"/>
  <c r="V59" i="5" a="1"/>
  <c r="V59" i="5" s="1"/>
  <c r="U59" i="5" a="1"/>
  <c r="U59" i="5" s="1"/>
  <c r="S59" i="5" a="1"/>
  <c r="S59" i="5" s="1"/>
  <c r="E59" i="5" a="1"/>
  <c r="E59" i="5" s="1"/>
  <c r="H59" i="5" a="1"/>
  <c r="H59" i="5" s="1"/>
  <c r="I59" i="5" a="1"/>
  <c r="I59" i="5" s="1"/>
  <c r="Q59" i="5" a="1"/>
  <c r="Q59" i="5" s="1"/>
  <c r="K59" i="5" a="1"/>
  <c r="K59" i="5" s="1"/>
  <c r="O59" i="5" a="1"/>
  <c r="O59" i="5" s="1"/>
  <c r="F59" i="5" a="1"/>
  <c r="F59" i="5" s="1"/>
  <c r="P59" i="5" a="1"/>
  <c r="P59" i="5" s="1"/>
  <c r="M59" i="5" a="1"/>
  <c r="M59" i="5" s="1"/>
  <c r="R59" i="5" a="1"/>
  <c r="R59" i="5" s="1"/>
  <c r="J59" i="5" a="1"/>
  <c r="J59" i="5" s="1"/>
  <c r="L59" i="5" a="1"/>
  <c r="L59" i="5" s="1"/>
  <c r="N59" i="5" a="1"/>
  <c r="N59" i="5" s="1"/>
  <c r="G59" i="5" a="1"/>
  <c r="G59" i="5" s="1"/>
  <c r="D59" i="5" a="1"/>
  <c r="D59" i="5" s="1"/>
  <c r="C60" i="5"/>
  <c r="A60" i="8" l="1"/>
  <c r="T60" i="5" a="1"/>
  <c r="T60" i="5" s="1"/>
  <c r="AG60" i="5" a="1"/>
  <c r="AG60" i="5" s="1"/>
  <c r="AF60" i="5" a="1"/>
  <c r="AF60" i="5" s="1"/>
  <c r="AE60" i="5" a="1"/>
  <c r="AE60" i="5" s="1"/>
  <c r="AD60" i="5" a="1"/>
  <c r="AD60" i="5" s="1"/>
  <c r="AC60" i="5" a="1"/>
  <c r="AC60" i="5" s="1"/>
  <c r="AB60" i="5" a="1"/>
  <c r="AB60" i="5" s="1"/>
  <c r="AA60" i="5" a="1"/>
  <c r="AA60" i="5" s="1"/>
  <c r="Z60" i="5" a="1"/>
  <c r="Z60" i="5" s="1"/>
  <c r="Y60" i="5" a="1"/>
  <c r="Y60" i="5" s="1"/>
  <c r="X60" i="5" a="1"/>
  <c r="X60" i="5" s="1"/>
  <c r="W60" i="5" a="1"/>
  <c r="W60" i="5" s="1"/>
  <c r="U60" i="5" a="1"/>
  <c r="U60" i="5" s="1"/>
  <c r="V60" i="5" a="1"/>
  <c r="V60" i="5" s="1"/>
  <c r="S60" i="5" a="1"/>
  <c r="S60" i="5" s="1"/>
  <c r="E60" i="5" a="1"/>
  <c r="E60" i="5" s="1"/>
  <c r="H60" i="5" a="1"/>
  <c r="H60" i="5" s="1"/>
  <c r="I60" i="5" a="1"/>
  <c r="I60" i="5" s="1"/>
  <c r="Q60" i="5" a="1"/>
  <c r="Q60" i="5" s="1"/>
  <c r="O60" i="5" a="1"/>
  <c r="O60" i="5" s="1"/>
  <c r="K60" i="5" a="1"/>
  <c r="K60" i="5" s="1"/>
  <c r="F60" i="5" a="1"/>
  <c r="F60" i="5" s="1"/>
  <c r="R60" i="5" a="1"/>
  <c r="R60" i="5" s="1"/>
  <c r="M60" i="5" a="1"/>
  <c r="M60" i="5" s="1"/>
  <c r="N60" i="5" a="1"/>
  <c r="N60" i="5" s="1"/>
  <c r="P60" i="5" a="1"/>
  <c r="P60" i="5" s="1"/>
  <c r="J60" i="5" a="1"/>
  <c r="J60" i="5" s="1"/>
  <c r="L60" i="5" a="1"/>
  <c r="L60" i="5" s="1"/>
  <c r="G60" i="5" a="1"/>
  <c r="G60" i="5" s="1"/>
  <c r="D60" i="5" a="1"/>
  <c r="D60" i="5" s="1"/>
  <c r="C61" i="5"/>
  <c r="A61" i="8" l="1"/>
  <c r="T61" i="5" a="1"/>
  <c r="T61" i="5" s="1"/>
  <c r="AG61" i="5" a="1"/>
  <c r="AG61" i="5" s="1"/>
  <c r="AF61" i="5" a="1"/>
  <c r="AF61" i="5" s="1"/>
  <c r="AE61" i="5" a="1"/>
  <c r="AE61" i="5" s="1"/>
  <c r="AD61" i="5" a="1"/>
  <c r="AD61" i="5" s="1"/>
  <c r="AC61" i="5" a="1"/>
  <c r="AC61" i="5" s="1"/>
  <c r="AB61" i="5" a="1"/>
  <c r="AB61" i="5" s="1"/>
  <c r="AA61" i="5" a="1"/>
  <c r="AA61" i="5" s="1"/>
  <c r="Z61" i="5" a="1"/>
  <c r="Z61" i="5" s="1"/>
  <c r="Y61" i="5" a="1"/>
  <c r="Y61" i="5" s="1"/>
  <c r="X61" i="5" a="1"/>
  <c r="X61" i="5" s="1"/>
  <c r="W61" i="5" a="1"/>
  <c r="W61" i="5" s="1"/>
  <c r="V61" i="5" a="1"/>
  <c r="V61" i="5" s="1"/>
  <c r="U61" i="5" a="1"/>
  <c r="U61" i="5" s="1"/>
  <c r="S61" i="5" a="1"/>
  <c r="S61" i="5" s="1"/>
  <c r="E61" i="5" a="1"/>
  <c r="E61" i="5" s="1"/>
  <c r="H61" i="5" a="1"/>
  <c r="H61" i="5" s="1"/>
  <c r="Q61" i="5" a="1"/>
  <c r="Q61" i="5" s="1"/>
  <c r="O61" i="5" a="1"/>
  <c r="O61" i="5" s="1"/>
  <c r="I61" i="5" a="1"/>
  <c r="I61" i="5" s="1"/>
  <c r="P61" i="5" a="1"/>
  <c r="P61" i="5" s="1"/>
  <c r="R61" i="5" a="1"/>
  <c r="R61" i="5" s="1"/>
  <c r="K61" i="5" a="1"/>
  <c r="K61" i="5" s="1"/>
  <c r="F61" i="5" a="1"/>
  <c r="F61" i="5" s="1"/>
  <c r="J61" i="5" a="1"/>
  <c r="J61" i="5" s="1"/>
  <c r="M61" i="5" a="1"/>
  <c r="M61" i="5" s="1"/>
  <c r="N61" i="5" a="1"/>
  <c r="N61" i="5" s="1"/>
  <c r="L61" i="5" a="1"/>
  <c r="L61" i="5" s="1"/>
  <c r="G61" i="5" a="1"/>
  <c r="G61" i="5" s="1"/>
  <c r="D61" i="5" a="1"/>
  <c r="D61" i="5" s="1"/>
  <c r="C62" i="5"/>
  <c r="A62" i="8" l="1"/>
  <c r="T62" i="5" a="1"/>
  <c r="T62" i="5" s="1"/>
  <c r="AG62" i="5" a="1"/>
  <c r="AG62" i="5" s="1"/>
  <c r="AE20" i="8" s="1"/>
  <c r="AF62" i="5" a="1"/>
  <c r="AF62" i="5" s="1"/>
  <c r="AE62" i="5" a="1"/>
  <c r="AE62" i="5" s="1"/>
  <c r="AD62" i="5" a="1"/>
  <c r="AD62" i="5" s="1"/>
  <c r="AC62" i="5" a="1"/>
  <c r="AC62" i="5" s="1"/>
  <c r="AA20" i="8" s="1"/>
  <c r="AB62" i="5" a="1"/>
  <c r="AB62" i="5" s="1"/>
  <c r="AA62" i="5" a="1"/>
  <c r="AA62" i="5" s="1"/>
  <c r="Z62" i="5" a="1"/>
  <c r="Z62" i="5" s="1"/>
  <c r="Y62" i="5" a="1"/>
  <c r="Y62" i="5" s="1"/>
  <c r="X62" i="5" a="1"/>
  <c r="X62" i="5" s="1"/>
  <c r="W62" i="5" a="1"/>
  <c r="W62" i="5" s="1"/>
  <c r="Y20" i="8"/>
  <c r="U62" i="5" a="1"/>
  <c r="U62" i="5" s="1"/>
  <c r="V62" i="5" a="1"/>
  <c r="V62" i="5" s="1"/>
  <c r="S62" i="5" a="1"/>
  <c r="S62" i="5" s="1"/>
  <c r="E62" i="5" a="1"/>
  <c r="E62" i="5" s="1"/>
  <c r="H62" i="5" a="1"/>
  <c r="H62" i="5" s="1"/>
  <c r="Q62" i="5" a="1"/>
  <c r="Q62" i="5" s="1"/>
  <c r="O62" i="5" a="1"/>
  <c r="O62" i="5" s="1"/>
  <c r="I62" i="5" a="1"/>
  <c r="I62" i="5" s="1"/>
  <c r="G20" i="8" s="1"/>
  <c r="K62" i="5" a="1"/>
  <c r="K62" i="5" s="1"/>
  <c r="L62" i="5" a="1"/>
  <c r="L62" i="5" s="1"/>
  <c r="N62" i="5" a="1"/>
  <c r="N62" i="5" s="1"/>
  <c r="L20" i="8" s="1"/>
  <c r="M62" i="5" a="1"/>
  <c r="M62" i="5" s="1"/>
  <c r="F62" i="5" a="1"/>
  <c r="F62" i="5" s="1"/>
  <c r="P62" i="5" a="1"/>
  <c r="P62" i="5" s="1"/>
  <c r="R62" i="5" a="1"/>
  <c r="R62" i="5" s="1"/>
  <c r="G62" i="5" a="1"/>
  <c r="G62" i="5" s="1"/>
  <c r="J62" i="5" a="1"/>
  <c r="J62" i="5" s="1"/>
  <c r="D62" i="5" a="1"/>
  <c r="D62" i="5" s="1"/>
  <c r="C63" i="5"/>
  <c r="A63" i="8" l="1"/>
  <c r="T63" i="5" a="1"/>
  <c r="T63" i="5" s="1"/>
  <c r="AG63" i="5" a="1"/>
  <c r="AG63" i="5" s="1"/>
  <c r="AF63" i="5" a="1"/>
  <c r="AF63" i="5" s="1"/>
  <c r="AE63" i="5" a="1"/>
  <c r="AE63" i="5" s="1"/>
  <c r="AD63" i="5" a="1"/>
  <c r="AD63" i="5" s="1"/>
  <c r="AC63" i="5" a="1"/>
  <c r="AC63" i="5" s="1"/>
  <c r="AB63" i="5" a="1"/>
  <c r="AB63" i="5" s="1"/>
  <c r="AA63" i="5" a="1"/>
  <c r="AA63" i="5" s="1"/>
  <c r="Z63" i="5" a="1"/>
  <c r="Z63" i="5" s="1"/>
  <c r="Y63" i="5" a="1"/>
  <c r="Y63" i="5" s="1"/>
  <c r="X63" i="5" a="1"/>
  <c r="X63" i="5" s="1"/>
  <c r="W63" i="5" a="1"/>
  <c r="W63" i="5" s="1"/>
  <c r="U63" i="5" a="1"/>
  <c r="U63" i="5" s="1"/>
  <c r="V63" i="5" a="1"/>
  <c r="V63" i="5" s="1"/>
  <c r="S63" i="5" a="1"/>
  <c r="S63" i="5" s="1"/>
  <c r="E63" i="5" a="1"/>
  <c r="E63" i="5" s="1"/>
  <c r="H63" i="5" a="1"/>
  <c r="H63" i="5" s="1"/>
  <c r="Q63" i="5" a="1"/>
  <c r="Q63" i="5" s="1"/>
  <c r="O63" i="5" a="1"/>
  <c r="O63" i="5" s="1"/>
  <c r="I63" i="5" a="1"/>
  <c r="I63" i="5" s="1"/>
  <c r="F63" i="5" a="1"/>
  <c r="F63" i="5" s="1"/>
  <c r="P63" i="5" a="1"/>
  <c r="P63" i="5" s="1"/>
  <c r="R63" i="5" a="1"/>
  <c r="R63" i="5" s="1"/>
  <c r="K63" i="5" a="1"/>
  <c r="K63" i="5" s="1"/>
  <c r="M63" i="5" a="1"/>
  <c r="M63" i="5" s="1"/>
  <c r="N63" i="5" a="1"/>
  <c r="N63" i="5" s="1"/>
  <c r="L63" i="5" a="1"/>
  <c r="L63" i="5" s="1"/>
  <c r="G63" i="5" a="1"/>
  <c r="G63" i="5" s="1"/>
  <c r="J63" i="5" a="1"/>
  <c r="J63" i="5" s="1"/>
  <c r="D63" i="5" a="1"/>
  <c r="D63" i="5" s="1"/>
  <c r="C64" i="5"/>
  <c r="A64" i="8" l="1"/>
  <c r="T64" i="5" a="1"/>
  <c r="T64" i="5" s="1"/>
  <c r="AG64" i="5" a="1"/>
  <c r="AG64" i="5" s="1"/>
  <c r="AF64" i="5" a="1"/>
  <c r="AF64" i="5" s="1"/>
  <c r="AD64" i="5" a="1"/>
  <c r="AD64" i="5" s="1"/>
  <c r="AC64" i="5" a="1"/>
  <c r="AC64" i="5" s="1"/>
  <c r="AB64" i="5" a="1"/>
  <c r="AB64" i="5" s="1"/>
  <c r="AE64" i="5" a="1"/>
  <c r="AE64" i="5" s="1"/>
  <c r="AA64" i="5" a="1"/>
  <c r="AA64" i="5" s="1"/>
  <c r="Z64" i="5" a="1"/>
  <c r="Z64" i="5" s="1"/>
  <c r="Y64" i="5" a="1"/>
  <c r="Y64" i="5" s="1"/>
  <c r="X64" i="5" a="1"/>
  <c r="X64" i="5" s="1"/>
  <c r="W64" i="5" a="1"/>
  <c r="W64" i="5" s="1"/>
  <c r="U64" i="5" a="1"/>
  <c r="U64" i="5" s="1"/>
  <c r="V64" i="5" a="1"/>
  <c r="V64" i="5" s="1"/>
  <c r="S64" i="5" a="1"/>
  <c r="S64" i="5" s="1"/>
  <c r="E64" i="5" a="1"/>
  <c r="E64" i="5" s="1"/>
  <c r="H64" i="5" a="1"/>
  <c r="H64" i="5" s="1"/>
  <c r="I64" i="5" a="1"/>
  <c r="I64" i="5" s="1"/>
  <c r="O64" i="5" a="1"/>
  <c r="O64" i="5" s="1"/>
  <c r="Q64" i="5" a="1"/>
  <c r="Q64" i="5" s="1"/>
  <c r="P64" i="5" a="1"/>
  <c r="P64" i="5" s="1"/>
  <c r="R64" i="5" a="1"/>
  <c r="R64" i="5" s="1"/>
  <c r="K64" i="5" a="1"/>
  <c r="K64" i="5" s="1"/>
  <c r="F64" i="5" a="1"/>
  <c r="F64" i="5" s="1"/>
  <c r="N64" i="5" a="1"/>
  <c r="N64" i="5" s="1"/>
  <c r="M64" i="5" a="1"/>
  <c r="M64" i="5" s="1"/>
  <c r="J64" i="5" a="1"/>
  <c r="J64" i="5" s="1"/>
  <c r="L64" i="5" a="1"/>
  <c r="L64" i="5" s="1"/>
  <c r="G64" i="5" a="1"/>
  <c r="G64" i="5" s="1"/>
  <c r="D64" i="5" a="1"/>
  <c r="D64" i="5" s="1"/>
  <c r="C65" i="5"/>
  <c r="A65" i="8" l="1"/>
  <c r="T65" i="5" a="1"/>
  <c r="T65" i="5" s="1"/>
  <c r="AG65" i="5" a="1"/>
  <c r="AG65" i="5" s="1"/>
  <c r="AF65" i="5" a="1"/>
  <c r="AF65" i="5" s="1"/>
  <c r="AE65" i="5" a="1"/>
  <c r="AE65" i="5" s="1"/>
  <c r="AD65" i="5" a="1"/>
  <c r="AD65" i="5" s="1"/>
  <c r="AC65" i="5" a="1"/>
  <c r="AC65" i="5" s="1"/>
  <c r="AB65" i="5" a="1"/>
  <c r="AB65" i="5" s="1"/>
  <c r="AA65" i="5" a="1"/>
  <c r="AA65" i="5" s="1"/>
  <c r="Z65" i="5" a="1"/>
  <c r="Z65" i="5" s="1"/>
  <c r="Y65" i="5" a="1"/>
  <c r="Y65" i="5" s="1"/>
  <c r="X65" i="5" a="1"/>
  <c r="X65" i="5" s="1"/>
  <c r="W65" i="5" a="1"/>
  <c r="W65" i="5" s="1"/>
  <c r="U65" i="5" a="1"/>
  <c r="U65" i="5" s="1"/>
  <c r="V65" i="5" a="1"/>
  <c r="V65" i="5" s="1"/>
  <c r="S65" i="5" a="1"/>
  <c r="S65" i="5" s="1"/>
  <c r="E65" i="5" a="1"/>
  <c r="E65" i="5" s="1"/>
  <c r="H65" i="5" a="1"/>
  <c r="H65" i="5" s="1"/>
  <c r="I65" i="5" a="1"/>
  <c r="I65" i="5" s="1"/>
  <c r="O65" i="5" a="1"/>
  <c r="O65" i="5" s="1"/>
  <c r="R65" i="5" a="1"/>
  <c r="R65" i="5" s="1"/>
  <c r="Q65" i="5" a="1"/>
  <c r="Q65" i="5" s="1"/>
  <c r="K65" i="5" a="1"/>
  <c r="K65" i="5" s="1"/>
  <c r="F65" i="5" a="1"/>
  <c r="F65" i="5" s="1"/>
  <c r="P65" i="5" a="1"/>
  <c r="P65" i="5" s="1"/>
  <c r="J65" i="5" a="1"/>
  <c r="J65" i="5" s="1"/>
  <c r="L65" i="5" a="1"/>
  <c r="L65" i="5" s="1"/>
  <c r="M65" i="5" a="1"/>
  <c r="M65" i="5" s="1"/>
  <c r="N65" i="5" a="1"/>
  <c r="N65" i="5" s="1"/>
  <c r="G65" i="5" a="1"/>
  <c r="G65" i="5" s="1"/>
  <c r="D65" i="5" a="1"/>
  <c r="D65" i="5" s="1"/>
  <c r="C66" i="5"/>
  <c r="A66" i="8" l="1"/>
  <c r="T66" i="5" a="1"/>
  <c r="T66" i="5" s="1"/>
  <c r="AF66" i="5" a="1"/>
  <c r="AF66" i="5" s="1"/>
  <c r="AG66" i="5" a="1"/>
  <c r="AG66" i="5" s="1"/>
  <c r="AE21" i="8" s="1"/>
  <c r="AC66" i="5" a="1"/>
  <c r="AC66" i="5" s="1"/>
  <c r="AB66" i="5" a="1"/>
  <c r="AB66" i="5" s="1"/>
  <c r="AE66" i="5" a="1"/>
  <c r="AE66" i="5" s="1"/>
  <c r="AC21" i="8" s="1"/>
  <c r="AD66" i="5" a="1"/>
  <c r="AD66" i="5" s="1"/>
  <c r="AA66" i="5" a="1"/>
  <c r="AA66" i="5" s="1"/>
  <c r="Z66" i="5" a="1"/>
  <c r="Z66" i="5" s="1"/>
  <c r="Y66" i="5" a="1"/>
  <c r="Y66" i="5" s="1"/>
  <c r="X66" i="5" a="1"/>
  <c r="X66" i="5" s="1"/>
  <c r="W66" i="5" a="1"/>
  <c r="W66" i="5" s="1"/>
  <c r="Y21" i="8"/>
  <c r="V66" i="5" a="1"/>
  <c r="V66" i="5" s="1"/>
  <c r="S66" i="5" a="1"/>
  <c r="S66" i="5" s="1"/>
  <c r="U66" i="5" a="1"/>
  <c r="U66" i="5" s="1"/>
  <c r="E66" i="5" a="1"/>
  <c r="E66" i="5" s="1"/>
  <c r="H66" i="5" a="1"/>
  <c r="H66" i="5" s="1"/>
  <c r="O66" i="5" a="1"/>
  <c r="O66" i="5" s="1"/>
  <c r="I66" i="5" a="1"/>
  <c r="I66" i="5" s="1"/>
  <c r="Q66" i="5" a="1"/>
  <c r="Q66" i="5" s="1"/>
  <c r="O21" i="8" s="1"/>
  <c r="K66" i="5" a="1"/>
  <c r="K66" i="5" s="1"/>
  <c r="F66" i="5" a="1"/>
  <c r="F66" i="5" s="1"/>
  <c r="P66" i="5" a="1"/>
  <c r="P66" i="5" s="1"/>
  <c r="R66" i="5" a="1"/>
  <c r="R66" i="5" s="1"/>
  <c r="J66" i="5" a="1"/>
  <c r="J66" i="5" s="1"/>
  <c r="N66" i="5" a="1"/>
  <c r="N66" i="5" s="1"/>
  <c r="L66" i="5" a="1"/>
  <c r="L66" i="5" s="1"/>
  <c r="M66" i="5" a="1"/>
  <c r="M66" i="5" s="1"/>
  <c r="G66" i="5" a="1"/>
  <c r="G66" i="5" s="1"/>
  <c r="D66" i="5" a="1"/>
  <c r="D66" i="5" s="1"/>
  <c r="C67" i="5"/>
  <c r="A67" i="8" l="1"/>
  <c r="T67" i="5" a="1"/>
  <c r="T67" i="5" s="1"/>
  <c r="AG67" i="5" a="1"/>
  <c r="AG67" i="5" s="1"/>
  <c r="AF67" i="5" a="1"/>
  <c r="AF67" i="5" s="1"/>
  <c r="AE67" i="5" a="1"/>
  <c r="AE67" i="5" s="1"/>
  <c r="AD67" i="5" a="1"/>
  <c r="AD67" i="5" s="1"/>
  <c r="AC67" i="5" a="1"/>
  <c r="AC67" i="5" s="1"/>
  <c r="AB67" i="5" a="1"/>
  <c r="AB67" i="5" s="1"/>
  <c r="AA67" i="5" a="1"/>
  <c r="AA67" i="5" s="1"/>
  <c r="Z67" i="5" a="1"/>
  <c r="Z67" i="5" s="1"/>
  <c r="Y67" i="5" a="1"/>
  <c r="Y67" i="5" s="1"/>
  <c r="X67" i="5" a="1"/>
  <c r="X67" i="5" s="1"/>
  <c r="W67" i="5" a="1"/>
  <c r="W67" i="5" s="1"/>
  <c r="V67" i="5" a="1"/>
  <c r="V67" i="5" s="1"/>
  <c r="U67" i="5" a="1"/>
  <c r="U67" i="5" s="1"/>
  <c r="S67" i="5" a="1"/>
  <c r="S67" i="5" s="1"/>
  <c r="E67" i="5" a="1"/>
  <c r="E67" i="5" s="1"/>
  <c r="H67" i="5" a="1"/>
  <c r="H67" i="5" s="1"/>
  <c r="Q67" i="5" a="1"/>
  <c r="Q67" i="5" s="1"/>
  <c r="I67" i="5" a="1"/>
  <c r="I67" i="5" s="1"/>
  <c r="O67" i="5" a="1"/>
  <c r="O67" i="5" s="1"/>
  <c r="R67" i="5" a="1"/>
  <c r="R67" i="5" s="1"/>
  <c r="K67" i="5" a="1"/>
  <c r="K67" i="5" s="1"/>
  <c r="P67" i="5" a="1"/>
  <c r="P67" i="5" s="1"/>
  <c r="N67" i="5" a="1"/>
  <c r="N67" i="5" s="1"/>
  <c r="J67" i="5" a="1"/>
  <c r="J67" i="5" s="1"/>
  <c r="M67" i="5" a="1"/>
  <c r="M67" i="5" s="1"/>
  <c r="F67" i="5" a="1"/>
  <c r="F67" i="5" s="1"/>
  <c r="L67" i="5" a="1"/>
  <c r="L67" i="5" s="1"/>
  <c r="G67" i="5" a="1"/>
  <c r="G67" i="5" s="1"/>
  <c r="D67" i="5" a="1"/>
  <c r="D67" i="5" s="1"/>
  <c r="C68" i="5"/>
  <c r="A68" i="8" l="1"/>
  <c r="T68" i="5" a="1"/>
  <c r="T68" i="5" s="1"/>
  <c r="AG68" i="5" a="1"/>
  <c r="AG68" i="5" s="1"/>
  <c r="AF68" i="5" a="1"/>
  <c r="AF68" i="5" s="1"/>
  <c r="AC68" i="5" a="1"/>
  <c r="AC68" i="5" s="1"/>
  <c r="AB68" i="5" a="1"/>
  <c r="AB68" i="5" s="1"/>
  <c r="AE68" i="5" a="1"/>
  <c r="AE68" i="5" s="1"/>
  <c r="AD68" i="5" a="1"/>
  <c r="AD68" i="5" s="1"/>
  <c r="AA68" i="5" a="1"/>
  <c r="AA68" i="5" s="1"/>
  <c r="Z68" i="5" a="1"/>
  <c r="Z68" i="5" s="1"/>
  <c r="Y68" i="5" a="1"/>
  <c r="Y68" i="5" s="1"/>
  <c r="X68" i="5" a="1"/>
  <c r="X68" i="5" s="1"/>
  <c r="W68" i="5" a="1"/>
  <c r="W68" i="5" s="1"/>
  <c r="V68" i="5" a="1"/>
  <c r="V68" i="5" s="1"/>
  <c r="U68" i="5" a="1"/>
  <c r="U68" i="5" s="1"/>
  <c r="S68" i="5" a="1"/>
  <c r="S68" i="5" s="1"/>
  <c r="E68" i="5" a="1"/>
  <c r="E68" i="5" s="1"/>
  <c r="H68" i="5" a="1"/>
  <c r="H68" i="5" s="1"/>
  <c r="I68" i="5" a="1"/>
  <c r="I68" i="5" s="1"/>
  <c r="Q68" i="5" a="1"/>
  <c r="Q68" i="5" s="1"/>
  <c r="F68" i="5" a="1"/>
  <c r="F68" i="5" s="1"/>
  <c r="P68" i="5" a="1"/>
  <c r="P68" i="5" s="1"/>
  <c r="O68" i="5" a="1"/>
  <c r="O68" i="5" s="1"/>
  <c r="R68" i="5" a="1"/>
  <c r="R68" i="5" s="1"/>
  <c r="K68" i="5" a="1"/>
  <c r="K68" i="5" s="1"/>
  <c r="M68" i="5" a="1"/>
  <c r="M68" i="5" s="1"/>
  <c r="L68" i="5" a="1"/>
  <c r="L68" i="5" s="1"/>
  <c r="N68" i="5" a="1"/>
  <c r="N68" i="5" s="1"/>
  <c r="J68" i="5" a="1"/>
  <c r="J68" i="5" s="1"/>
  <c r="G68" i="5" a="1"/>
  <c r="G68" i="5" s="1"/>
  <c r="D68" i="5" a="1"/>
  <c r="D68" i="5" s="1"/>
  <c r="C69" i="5"/>
  <c r="A69" i="8" l="1"/>
  <c r="T69" i="5" a="1"/>
  <c r="T69" i="5" s="1"/>
  <c r="AG69" i="5" a="1"/>
  <c r="AG69" i="5" s="1"/>
  <c r="AF69" i="5" a="1"/>
  <c r="AF69" i="5" s="1"/>
  <c r="AE69" i="5" a="1"/>
  <c r="AE69" i="5" s="1"/>
  <c r="AD69" i="5" a="1"/>
  <c r="AD69" i="5" s="1"/>
  <c r="AC69" i="5" a="1"/>
  <c r="AC69" i="5" s="1"/>
  <c r="AB69" i="5" a="1"/>
  <c r="AB69" i="5" s="1"/>
  <c r="AA69" i="5" a="1"/>
  <c r="AA69" i="5" s="1"/>
  <c r="Z69" i="5" a="1"/>
  <c r="Z69" i="5" s="1"/>
  <c r="Y69" i="5" a="1"/>
  <c r="Y69" i="5" s="1"/>
  <c r="X69" i="5" a="1"/>
  <c r="X69" i="5" s="1"/>
  <c r="W69" i="5" a="1"/>
  <c r="W69" i="5" s="1"/>
  <c r="V69" i="5" a="1"/>
  <c r="V69" i="5" s="1"/>
  <c r="U69" i="5" a="1"/>
  <c r="U69" i="5" s="1"/>
  <c r="S69" i="5" a="1"/>
  <c r="S69" i="5" s="1"/>
  <c r="E69" i="5" a="1"/>
  <c r="E69" i="5" s="1"/>
  <c r="H69" i="5" a="1"/>
  <c r="H69" i="5" s="1"/>
  <c r="O69" i="5" a="1"/>
  <c r="O69" i="5" s="1"/>
  <c r="I69" i="5" a="1"/>
  <c r="I69" i="5" s="1"/>
  <c r="Q69" i="5" a="1"/>
  <c r="Q69" i="5" s="1"/>
  <c r="F69" i="5" a="1"/>
  <c r="F69" i="5" s="1"/>
  <c r="K69" i="5" a="1"/>
  <c r="K69" i="5" s="1"/>
  <c r="P69" i="5" a="1"/>
  <c r="P69" i="5" s="1"/>
  <c r="N69" i="5" a="1"/>
  <c r="N69" i="5" s="1"/>
  <c r="J69" i="5" a="1"/>
  <c r="J69" i="5" s="1"/>
  <c r="L69" i="5" a="1"/>
  <c r="L69" i="5" s="1"/>
  <c r="R69" i="5" a="1"/>
  <c r="R69" i="5" s="1"/>
  <c r="M69" i="5" a="1"/>
  <c r="M69" i="5" s="1"/>
  <c r="G69" i="5" a="1"/>
  <c r="G69" i="5" s="1"/>
  <c r="D69" i="5" a="1"/>
  <c r="D69" i="5" s="1"/>
  <c r="C70" i="5"/>
  <c r="A70" i="8" l="1"/>
  <c r="T70" i="5" a="1"/>
  <c r="T70" i="5" s="1"/>
  <c r="AG70" i="5" a="1"/>
  <c r="AG70" i="5" s="1"/>
  <c r="AE22" i="8" s="1"/>
  <c r="AF70" i="5" a="1"/>
  <c r="AF70" i="5" s="1"/>
  <c r="AC70" i="5" a="1"/>
  <c r="AC70" i="5" s="1"/>
  <c r="AB70" i="5" a="1"/>
  <c r="AB70" i="5" s="1"/>
  <c r="AE70" i="5" a="1"/>
  <c r="AE70" i="5" s="1"/>
  <c r="AD70" i="5" a="1"/>
  <c r="AD70" i="5" s="1"/>
  <c r="AB22" i="8" s="1"/>
  <c r="AA70" i="5" a="1"/>
  <c r="AA70" i="5" s="1"/>
  <c r="Z70" i="5" a="1"/>
  <c r="Z70" i="5" s="1"/>
  <c r="Y70" i="5" a="1"/>
  <c r="Y70" i="5" s="1"/>
  <c r="X70" i="5" a="1"/>
  <c r="X70" i="5" s="1"/>
  <c r="W70" i="5" a="1"/>
  <c r="W70" i="5" s="1"/>
  <c r="Y22" i="8"/>
  <c r="U70" i="5" a="1"/>
  <c r="U70" i="5" s="1"/>
  <c r="S70" i="5" a="1"/>
  <c r="S70" i="5" s="1"/>
  <c r="V70" i="5" a="1"/>
  <c r="V70" i="5" s="1"/>
  <c r="E70" i="5" a="1"/>
  <c r="E70" i="5" s="1"/>
  <c r="H70" i="5" a="1"/>
  <c r="H70" i="5" s="1"/>
  <c r="I70" i="5" a="1"/>
  <c r="I70" i="5" s="1"/>
  <c r="O70" i="5" a="1"/>
  <c r="O70" i="5" s="1"/>
  <c r="Q70" i="5" a="1"/>
  <c r="Q70" i="5" s="1"/>
  <c r="O22" i="8" s="1"/>
  <c r="P70" i="5" a="1"/>
  <c r="P70" i="5" s="1"/>
  <c r="K70" i="5" a="1"/>
  <c r="K70" i="5" s="1"/>
  <c r="F70" i="5" a="1"/>
  <c r="F70" i="5" s="1"/>
  <c r="N70" i="5" a="1"/>
  <c r="N70" i="5" s="1"/>
  <c r="J70" i="5" a="1"/>
  <c r="J70" i="5" s="1"/>
  <c r="L70" i="5" a="1"/>
  <c r="L70" i="5" s="1"/>
  <c r="R70" i="5" a="1"/>
  <c r="R70" i="5" s="1"/>
  <c r="G70" i="5" a="1"/>
  <c r="G70" i="5" s="1"/>
  <c r="M70" i="5" a="1"/>
  <c r="M70" i="5" s="1"/>
  <c r="D70" i="5" a="1"/>
  <c r="D70" i="5" s="1"/>
  <c r="C71" i="5"/>
  <c r="A71" i="8" l="1"/>
  <c r="T71" i="5" a="1"/>
  <c r="T71" i="5" s="1"/>
  <c r="AG71" i="5" a="1"/>
  <c r="AG71" i="5" s="1"/>
  <c r="AF71" i="5" a="1"/>
  <c r="AF71" i="5" s="1"/>
  <c r="AE71" i="5" a="1"/>
  <c r="AE71" i="5" s="1"/>
  <c r="AD71" i="5" a="1"/>
  <c r="AD71" i="5" s="1"/>
  <c r="AC71" i="5" a="1"/>
  <c r="AC71" i="5" s="1"/>
  <c r="AB71" i="5" a="1"/>
  <c r="AB71" i="5" s="1"/>
  <c r="AA71" i="5" a="1"/>
  <c r="AA71" i="5" s="1"/>
  <c r="Z71" i="5" a="1"/>
  <c r="Z71" i="5" s="1"/>
  <c r="Y71" i="5" a="1"/>
  <c r="Y71" i="5" s="1"/>
  <c r="X71" i="5" a="1"/>
  <c r="X71" i="5" s="1"/>
  <c r="W71" i="5" a="1"/>
  <c r="W71" i="5" s="1"/>
  <c r="U71" i="5" a="1"/>
  <c r="U71" i="5" s="1"/>
  <c r="V71" i="5" a="1"/>
  <c r="V71" i="5" s="1"/>
  <c r="S71" i="5" a="1"/>
  <c r="S71" i="5" s="1"/>
  <c r="E71" i="5" a="1"/>
  <c r="E71" i="5" s="1"/>
  <c r="H71" i="5" a="1"/>
  <c r="H71" i="5" s="1"/>
  <c r="Q71" i="5" a="1"/>
  <c r="Q71" i="5" s="1"/>
  <c r="I71" i="5" a="1"/>
  <c r="I71" i="5" s="1"/>
  <c r="O71" i="5" a="1"/>
  <c r="O71" i="5" s="1"/>
  <c r="F71" i="5" a="1"/>
  <c r="F71" i="5" s="1"/>
  <c r="P71" i="5" a="1"/>
  <c r="P71" i="5" s="1"/>
  <c r="K71" i="5" a="1"/>
  <c r="K71" i="5" s="1"/>
  <c r="R71" i="5" a="1"/>
  <c r="R71" i="5" s="1"/>
  <c r="L71" i="5" a="1"/>
  <c r="L71" i="5" s="1"/>
  <c r="J71" i="5" a="1"/>
  <c r="J71" i="5" s="1"/>
  <c r="N71" i="5" a="1"/>
  <c r="N71" i="5" s="1"/>
  <c r="G71" i="5" a="1"/>
  <c r="G71" i="5" s="1"/>
  <c r="M71" i="5" a="1"/>
  <c r="M71" i="5" s="1"/>
  <c r="D71" i="5" a="1"/>
  <c r="D71" i="5" s="1"/>
  <c r="C72" i="5"/>
  <c r="A72" i="8" l="1"/>
  <c r="T72" i="5" a="1"/>
  <c r="T72" i="5" s="1"/>
  <c r="AG72" i="5" a="1"/>
  <c r="AG72" i="5" s="1"/>
  <c r="AF72" i="5" a="1"/>
  <c r="AF72" i="5" s="1"/>
  <c r="AC72" i="5" a="1"/>
  <c r="AC72" i="5" s="1"/>
  <c r="AB72" i="5" a="1"/>
  <c r="AB72" i="5" s="1"/>
  <c r="AE72" i="5" a="1"/>
  <c r="AE72" i="5" s="1"/>
  <c r="AD72" i="5" a="1"/>
  <c r="AD72" i="5" s="1"/>
  <c r="AA72" i="5" a="1"/>
  <c r="AA72" i="5" s="1"/>
  <c r="Z72" i="5" a="1"/>
  <c r="Z72" i="5" s="1"/>
  <c r="Y72" i="5" a="1"/>
  <c r="Y72" i="5" s="1"/>
  <c r="X72" i="5" a="1"/>
  <c r="X72" i="5" s="1"/>
  <c r="W72" i="5" a="1"/>
  <c r="W72" i="5" s="1"/>
  <c r="U72" i="5" a="1"/>
  <c r="U72" i="5" s="1"/>
  <c r="V72" i="5" a="1"/>
  <c r="V72" i="5" s="1"/>
  <c r="S72" i="5" a="1"/>
  <c r="S72" i="5" s="1"/>
  <c r="E72" i="5" a="1"/>
  <c r="E72" i="5" s="1"/>
  <c r="H72" i="5" a="1"/>
  <c r="H72" i="5" s="1"/>
  <c r="I72" i="5" a="1"/>
  <c r="I72" i="5" s="1"/>
  <c r="Q72" i="5" a="1"/>
  <c r="Q72" i="5" s="1"/>
  <c r="O72" i="5" a="1"/>
  <c r="O72" i="5" s="1"/>
  <c r="K72" i="5" a="1"/>
  <c r="K72" i="5" s="1"/>
  <c r="R72" i="5" a="1"/>
  <c r="R72" i="5" s="1"/>
  <c r="F72" i="5" a="1"/>
  <c r="F72" i="5" s="1"/>
  <c r="P72" i="5" a="1"/>
  <c r="P72" i="5" s="1"/>
  <c r="N72" i="5" a="1"/>
  <c r="N72" i="5" s="1"/>
  <c r="M72" i="5" a="1"/>
  <c r="M72" i="5" s="1"/>
  <c r="J72" i="5" a="1"/>
  <c r="J72" i="5" s="1"/>
  <c r="L72" i="5" a="1"/>
  <c r="L72" i="5" s="1"/>
  <c r="G72" i="5" a="1"/>
  <c r="G72" i="5" s="1"/>
  <c r="D72" i="5" a="1"/>
  <c r="D72" i="5" s="1"/>
  <c r="C73" i="5"/>
  <c r="A73" i="8" l="1"/>
  <c r="T73" i="5" a="1"/>
  <c r="T73" i="5" s="1"/>
  <c r="AG73" i="5" a="1"/>
  <c r="AG73" i="5" s="1"/>
  <c r="AF73" i="5" a="1"/>
  <c r="AF73" i="5" s="1"/>
  <c r="AE73" i="5" a="1"/>
  <c r="AE73" i="5" s="1"/>
  <c r="AD73" i="5" a="1"/>
  <c r="AD73" i="5" s="1"/>
  <c r="AC73" i="5" a="1"/>
  <c r="AC73" i="5" s="1"/>
  <c r="AB73" i="5" a="1"/>
  <c r="AB73" i="5" s="1"/>
  <c r="AA73" i="5" a="1"/>
  <c r="AA73" i="5" s="1"/>
  <c r="Z73" i="5" a="1"/>
  <c r="Z73" i="5" s="1"/>
  <c r="Y73" i="5" a="1"/>
  <c r="Y73" i="5" s="1"/>
  <c r="X73" i="5" a="1"/>
  <c r="X73" i="5" s="1"/>
  <c r="W73" i="5" a="1"/>
  <c r="W73" i="5" s="1"/>
  <c r="V73" i="5" a="1"/>
  <c r="V73" i="5" s="1"/>
  <c r="U73" i="5" a="1"/>
  <c r="U73" i="5" s="1"/>
  <c r="S73" i="5" a="1"/>
  <c r="S73" i="5" s="1"/>
  <c r="E73" i="5" a="1"/>
  <c r="E73" i="5" s="1"/>
  <c r="H73" i="5" a="1"/>
  <c r="H73" i="5" s="1"/>
  <c r="Q73" i="5" a="1"/>
  <c r="Q73" i="5" s="1"/>
  <c r="I73" i="5" a="1"/>
  <c r="I73" i="5" s="1"/>
  <c r="P73" i="5" a="1"/>
  <c r="P73" i="5" s="1"/>
  <c r="R73" i="5" a="1"/>
  <c r="R73" i="5" s="1"/>
  <c r="F73" i="5" a="1"/>
  <c r="F73" i="5" s="1"/>
  <c r="K73" i="5" a="1"/>
  <c r="K73" i="5" s="1"/>
  <c r="L73" i="5" a="1"/>
  <c r="L73" i="5" s="1"/>
  <c r="N73" i="5" a="1"/>
  <c r="N73" i="5" s="1"/>
  <c r="M73" i="5" a="1"/>
  <c r="M73" i="5" s="1"/>
  <c r="J73" i="5" a="1"/>
  <c r="J73" i="5" s="1"/>
  <c r="G73" i="5" a="1"/>
  <c r="G73" i="5" s="1"/>
  <c r="O73" i="5" a="1"/>
  <c r="O73" i="5" s="1"/>
  <c r="D73" i="5" a="1"/>
  <c r="D73" i="5" s="1"/>
  <c r="C74" i="5"/>
  <c r="A74" i="8" l="1"/>
  <c r="T74" i="5" a="1"/>
  <c r="T74" i="5" s="1"/>
  <c r="AG74" i="5" a="1"/>
  <c r="AG74" i="5" s="1"/>
  <c r="AE23" i="8" s="1"/>
  <c r="AF74" i="5" a="1"/>
  <c r="AF74" i="5" s="1"/>
  <c r="AC74" i="5" a="1"/>
  <c r="AC74" i="5" s="1"/>
  <c r="AB74" i="5" a="1"/>
  <c r="AB74" i="5" s="1"/>
  <c r="AE74" i="5" a="1"/>
  <c r="AE74" i="5" s="1"/>
  <c r="AD74" i="5" a="1"/>
  <c r="AD74" i="5" s="1"/>
  <c r="AB23" i="8" s="1"/>
  <c r="AA74" i="5" a="1"/>
  <c r="AA74" i="5" s="1"/>
  <c r="Z74" i="5" a="1"/>
  <c r="Z74" i="5" s="1"/>
  <c r="Y74" i="5" a="1"/>
  <c r="Y74" i="5" s="1"/>
  <c r="W23" i="8" s="1"/>
  <c r="X74" i="5" a="1"/>
  <c r="X74" i="5" s="1"/>
  <c r="W74" i="5" a="1"/>
  <c r="W74" i="5" s="1"/>
  <c r="V74" i="5" a="1"/>
  <c r="V74" i="5" s="1"/>
  <c r="U74" i="5" a="1"/>
  <c r="U74" i="5" s="1"/>
  <c r="S74" i="5" a="1"/>
  <c r="S74" i="5" s="1"/>
  <c r="E74" i="5" a="1"/>
  <c r="E74" i="5" s="1"/>
  <c r="H74" i="5" a="1"/>
  <c r="H74" i="5" s="1"/>
  <c r="I74" i="5" a="1"/>
  <c r="I74" i="5" s="1"/>
  <c r="Q74" i="5" a="1"/>
  <c r="Q74" i="5" s="1"/>
  <c r="O23" i="8" s="1"/>
  <c r="O74" i="5" a="1"/>
  <c r="O74" i="5" s="1"/>
  <c r="P74" i="5" a="1"/>
  <c r="P74" i="5" s="1"/>
  <c r="R74" i="5" a="1"/>
  <c r="R74" i="5" s="1"/>
  <c r="K74" i="5" a="1"/>
  <c r="K74" i="5" s="1"/>
  <c r="F74" i="5" a="1"/>
  <c r="F74" i="5" s="1"/>
  <c r="J74" i="5" a="1"/>
  <c r="J74" i="5" s="1"/>
  <c r="L74" i="5" a="1"/>
  <c r="L74" i="5" s="1"/>
  <c r="M74" i="5" a="1"/>
  <c r="M74" i="5" s="1"/>
  <c r="N74" i="5" a="1"/>
  <c r="N74" i="5" s="1"/>
  <c r="G74" i="5" a="1"/>
  <c r="G74" i="5" s="1"/>
  <c r="D74" i="5" a="1"/>
  <c r="D74" i="5" s="1"/>
  <c r="C75" i="5"/>
  <c r="A75" i="8" l="1"/>
  <c r="T75" i="5" a="1"/>
  <c r="T75" i="5" s="1"/>
  <c r="AG75" i="5" a="1"/>
  <c r="AG75" i="5" s="1"/>
  <c r="AF75" i="5" a="1"/>
  <c r="AF75" i="5" s="1"/>
  <c r="AE75" i="5" a="1"/>
  <c r="AE75" i="5" s="1"/>
  <c r="AD75" i="5" a="1"/>
  <c r="AD75" i="5" s="1"/>
  <c r="AC75" i="5" a="1"/>
  <c r="AC75" i="5" s="1"/>
  <c r="AB75" i="5" a="1"/>
  <c r="AB75" i="5" s="1"/>
  <c r="AA75" i="5" a="1"/>
  <c r="AA75" i="5" s="1"/>
  <c r="Z75" i="5" a="1"/>
  <c r="Z75" i="5" s="1"/>
  <c r="Y75" i="5" a="1"/>
  <c r="Y75" i="5" s="1"/>
  <c r="X75" i="5" a="1"/>
  <c r="X75" i="5" s="1"/>
  <c r="W75" i="5" a="1"/>
  <c r="W75" i="5" s="1"/>
  <c r="V75" i="5" a="1"/>
  <c r="V75" i="5" s="1"/>
  <c r="U75" i="5" a="1"/>
  <c r="U75" i="5" s="1"/>
  <c r="S75" i="5" a="1"/>
  <c r="S75" i="5" s="1"/>
  <c r="E75" i="5" a="1"/>
  <c r="E75" i="5" s="1"/>
  <c r="H75" i="5" a="1"/>
  <c r="H75" i="5" s="1"/>
  <c r="Q75" i="5" a="1"/>
  <c r="Q75" i="5" s="1"/>
  <c r="O75" i="5" a="1"/>
  <c r="O75" i="5" s="1"/>
  <c r="K75" i="5" a="1"/>
  <c r="K75" i="5" s="1"/>
  <c r="I75" i="5" a="1"/>
  <c r="I75" i="5" s="1"/>
  <c r="F75" i="5" a="1"/>
  <c r="F75" i="5" s="1"/>
  <c r="P75" i="5" a="1"/>
  <c r="P75" i="5" s="1"/>
  <c r="J75" i="5" a="1"/>
  <c r="J75" i="5" s="1"/>
  <c r="L75" i="5" a="1"/>
  <c r="L75" i="5" s="1"/>
  <c r="M75" i="5" a="1"/>
  <c r="M75" i="5" s="1"/>
  <c r="R75" i="5" a="1"/>
  <c r="R75" i="5" s="1"/>
  <c r="N75" i="5" a="1"/>
  <c r="N75" i="5" s="1"/>
  <c r="G75" i="5" a="1"/>
  <c r="G75" i="5" s="1"/>
  <c r="D75" i="5" a="1"/>
  <c r="D75" i="5" s="1"/>
  <c r="C76" i="5"/>
  <c r="A76" i="8" l="1"/>
  <c r="T76" i="5" a="1"/>
  <c r="T76" i="5" s="1"/>
  <c r="AG76" i="5" a="1"/>
  <c r="AG76" i="5" s="1"/>
  <c r="AF76" i="5" a="1"/>
  <c r="AF76" i="5" s="1"/>
  <c r="AE76" i="5" a="1"/>
  <c r="AE76" i="5" s="1"/>
  <c r="AD76" i="5" a="1"/>
  <c r="AD76" i="5" s="1"/>
  <c r="AC76" i="5" a="1"/>
  <c r="AC76" i="5" s="1"/>
  <c r="AB76" i="5" a="1"/>
  <c r="AB76" i="5" s="1"/>
  <c r="AA76" i="5" a="1"/>
  <c r="AA76" i="5" s="1"/>
  <c r="Z76" i="5" a="1"/>
  <c r="Z76" i="5" s="1"/>
  <c r="Y76" i="5" a="1"/>
  <c r="Y76" i="5" s="1"/>
  <c r="X76" i="5" a="1"/>
  <c r="X76" i="5" s="1"/>
  <c r="W76" i="5" a="1"/>
  <c r="W76" i="5" s="1"/>
  <c r="V76" i="5" a="1"/>
  <c r="V76" i="5" s="1"/>
  <c r="U76" i="5" a="1"/>
  <c r="U76" i="5" s="1"/>
  <c r="S76" i="5" a="1"/>
  <c r="S76" i="5" s="1"/>
  <c r="E76" i="5" a="1"/>
  <c r="E76" i="5" s="1"/>
  <c r="H76" i="5" a="1"/>
  <c r="H76" i="5" s="1"/>
  <c r="I76" i="5" a="1"/>
  <c r="I76" i="5" s="1"/>
  <c r="F76" i="5" a="1"/>
  <c r="F76" i="5" s="1"/>
  <c r="P76" i="5" a="1"/>
  <c r="P76" i="5" s="1"/>
  <c r="K76" i="5" a="1"/>
  <c r="K76" i="5" s="1"/>
  <c r="Q76" i="5" a="1"/>
  <c r="Q76" i="5" s="1"/>
  <c r="O76" i="5" a="1"/>
  <c r="O76" i="5" s="1"/>
  <c r="R76" i="5" a="1"/>
  <c r="R76" i="5" s="1"/>
  <c r="L76" i="5" a="1"/>
  <c r="L76" i="5" s="1"/>
  <c r="N76" i="5" a="1"/>
  <c r="N76" i="5" s="1"/>
  <c r="J76" i="5" a="1"/>
  <c r="J76" i="5" s="1"/>
  <c r="M76" i="5" a="1"/>
  <c r="M76" i="5" s="1"/>
  <c r="G76" i="5" a="1"/>
  <c r="G76" i="5" s="1"/>
  <c r="D76" i="5" a="1"/>
  <c r="D76" i="5" s="1"/>
  <c r="C77" i="5"/>
  <c r="A77" i="8" l="1"/>
  <c r="T77" i="5" a="1"/>
  <c r="T77" i="5" s="1"/>
  <c r="AG77" i="5" a="1"/>
  <c r="AG77" i="5" s="1"/>
  <c r="AF77" i="5" a="1"/>
  <c r="AF77" i="5" s="1"/>
  <c r="AE77" i="5" a="1"/>
  <c r="AE77" i="5" s="1"/>
  <c r="AD77" i="5" a="1"/>
  <c r="AD77" i="5" s="1"/>
  <c r="AC77" i="5" a="1"/>
  <c r="AC77" i="5" s="1"/>
  <c r="AB77" i="5" a="1"/>
  <c r="AB77" i="5" s="1"/>
  <c r="AA77" i="5" a="1"/>
  <c r="AA77" i="5" s="1"/>
  <c r="Z77" i="5" a="1"/>
  <c r="Z77" i="5" s="1"/>
  <c r="Y77" i="5" a="1"/>
  <c r="Y77" i="5" s="1"/>
  <c r="X77" i="5" a="1"/>
  <c r="X77" i="5" s="1"/>
  <c r="W77" i="5" a="1"/>
  <c r="W77" i="5" s="1"/>
  <c r="U77" i="5" a="1"/>
  <c r="U77" i="5" s="1"/>
  <c r="S77" i="5" a="1"/>
  <c r="S77" i="5" s="1"/>
  <c r="V77" i="5" a="1"/>
  <c r="V77" i="5" s="1"/>
  <c r="E77" i="5" a="1"/>
  <c r="E77" i="5" s="1"/>
  <c r="H77" i="5" a="1"/>
  <c r="H77" i="5" s="1"/>
  <c r="I77" i="5" a="1"/>
  <c r="I77" i="5" s="1"/>
  <c r="Q77" i="5" a="1"/>
  <c r="Q77" i="5" s="1"/>
  <c r="K77" i="5" a="1"/>
  <c r="K77" i="5" s="1"/>
  <c r="R77" i="5" a="1"/>
  <c r="R77" i="5" s="1"/>
  <c r="P77" i="5" a="1"/>
  <c r="P77" i="5" s="1"/>
  <c r="O77" i="5" a="1"/>
  <c r="O77" i="5" s="1"/>
  <c r="F77" i="5" a="1"/>
  <c r="F77" i="5" s="1"/>
  <c r="N77" i="5" a="1"/>
  <c r="N77" i="5" s="1"/>
  <c r="M77" i="5" a="1"/>
  <c r="M77" i="5" s="1"/>
  <c r="L77" i="5" a="1"/>
  <c r="L77" i="5" s="1"/>
  <c r="J77" i="5" a="1"/>
  <c r="J77" i="5" s="1"/>
  <c r="G77" i="5" a="1"/>
  <c r="G77" i="5" s="1"/>
  <c r="D77" i="5" a="1"/>
  <c r="D77" i="5" s="1"/>
  <c r="C78" i="5"/>
  <c r="A78" i="8" l="1"/>
  <c r="T78" i="5" a="1"/>
  <c r="T78" i="5" s="1"/>
  <c r="AG78" i="5" a="1"/>
  <c r="AG78" i="5" s="1"/>
  <c r="AE24" i="8" s="1"/>
  <c r="AF78" i="5" a="1"/>
  <c r="AF78" i="5" s="1"/>
  <c r="AE78" i="5" a="1"/>
  <c r="AE78" i="5" s="1"/>
  <c r="AC24" i="8" s="1"/>
  <c r="AD78" i="5" a="1"/>
  <c r="AD78" i="5" s="1"/>
  <c r="AC78" i="5" a="1"/>
  <c r="AC78" i="5" s="1"/>
  <c r="AA24" i="8" s="1"/>
  <c r="AB78" i="5" a="1"/>
  <c r="AB78" i="5" s="1"/>
  <c r="AA78" i="5" a="1"/>
  <c r="AA78" i="5" s="1"/>
  <c r="Z78" i="5" a="1"/>
  <c r="Z78" i="5" s="1"/>
  <c r="Y78" i="5" a="1"/>
  <c r="Y78" i="5" s="1"/>
  <c r="X78" i="5" a="1"/>
  <c r="X78" i="5" s="1"/>
  <c r="W78" i="5" a="1"/>
  <c r="W78" i="5" s="1"/>
  <c r="Y24" i="8"/>
  <c r="U78" i="5" a="1"/>
  <c r="U78" i="5" s="1"/>
  <c r="V78" i="5" a="1"/>
  <c r="V78" i="5" s="1"/>
  <c r="S78" i="5" a="1"/>
  <c r="S78" i="5" s="1"/>
  <c r="E78" i="5" a="1"/>
  <c r="E78" i="5" s="1"/>
  <c r="H78" i="5" a="1"/>
  <c r="H78" i="5" s="1"/>
  <c r="Q78" i="5" a="1"/>
  <c r="Q78" i="5" s="1"/>
  <c r="O24" i="8" s="1"/>
  <c r="I78" i="5" a="1"/>
  <c r="I78" i="5" s="1"/>
  <c r="G24" i="8" s="1"/>
  <c r="P78" i="5" a="1"/>
  <c r="P78" i="5" s="1"/>
  <c r="R78" i="5" a="1"/>
  <c r="R78" i="5" s="1"/>
  <c r="O78" i="5" a="1"/>
  <c r="O78" i="5" s="1"/>
  <c r="K78" i="5" a="1"/>
  <c r="K78" i="5" s="1"/>
  <c r="F78" i="5" a="1"/>
  <c r="F78" i="5" s="1"/>
  <c r="J78" i="5" a="1"/>
  <c r="J78" i="5" s="1"/>
  <c r="L78" i="5" a="1"/>
  <c r="L78" i="5" s="1"/>
  <c r="N78" i="5" a="1"/>
  <c r="N78" i="5" s="1"/>
  <c r="M78" i="5" a="1"/>
  <c r="M78" i="5" s="1"/>
  <c r="G78" i="5" a="1"/>
  <c r="G78" i="5" s="1"/>
  <c r="D78" i="5" a="1"/>
  <c r="D78" i="5" s="1"/>
  <c r="C79" i="5"/>
  <c r="A79" i="8" l="1"/>
  <c r="T79" i="5" a="1"/>
  <c r="T79" i="5" s="1"/>
  <c r="AG79" i="5" a="1"/>
  <c r="AG79" i="5" s="1"/>
  <c r="AF79" i="5" a="1"/>
  <c r="AF79" i="5" s="1"/>
  <c r="AE79" i="5" a="1"/>
  <c r="AE79" i="5" s="1"/>
  <c r="AD79" i="5" a="1"/>
  <c r="AD79" i="5" s="1"/>
  <c r="AC79" i="5" a="1"/>
  <c r="AC79" i="5" s="1"/>
  <c r="AB79" i="5" a="1"/>
  <c r="AB79" i="5" s="1"/>
  <c r="AA79" i="5" a="1"/>
  <c r="AA79" i="5" s="1"/>
  <c r="Z79" i="5" a="1"/>
  <c r="Z79" i="5" s="1"/>
  <c r="Y79" i="5" a="1"/>
  <c r="Y79" i="5" s="1"/>
  <c r="X79" i="5" a="1"/>
  <c r="X79" i="5" s="1"/>
  <c r="W79" i="5" a="1"/>
  <c r="W79" i="5" s="1"/>
  <c r="U79" i="5" a="1"/>
  <c r="U79" i="5" s="1"/>
  <c r="V79" i="5" a="1"/>
  <c r="V79" i="5" s="1"/>
  <c r="S79" i="5" a="1"/>
  <c r="S79" i="5" s="1"/>
  <c r="E79" i="5" a="1"/>
  <c r="E79" i="5" s="1"/>
  <c r="H79" i="5" a="1"/>
  <c r="H79" i="5" s="1"/>
  <c r="I79" i="5" a="1"/>
  <c r="I79" i="5" s="1"/>
  <c r="F79" i="5" a="1"/>
  <c r="F79" i="5" s="1"/>
  <c r="R79" i="5" a="1"/>
  <c r="R79" i="5" s="1"/>
  <c r="Q79" i="5" a="1"/>
  <c r="Q79" i="5" s="1"/>
  <c r="O79" i="5" a="1"/>
  <c r="O79" i="5" s="1"/>
  <c r="N79" i="5" a="1"/>
  <c r="N79" i="5" s="1"/>
  <c r="J79" i="5" a="1"/>
  <c r="J79" i="5" s="1"/>
  <c r="K79" i="5" a="1"/>
  <c r="K79" i="5" s="1"/>
  <c r="P79" i="5" a="1"/>
  <c r="P79" i="5" s="1"/>
  <c r="L79" i="5" a="1"/>
  <c r="L79" i="5" s="1"/>
  <c r="M79" i="5" a="1"/>
  <c r="M79" i="5" s="1"/>
  <c r="G79" i="5" a="1"/>
  <c r="G79" i="5" s="1"/>
  <c r="D79" i="5" a="1"/>
  <c r="D79" i="5" s="1"/>
  <c r="C80" i="5"/>
  <c r="A80" i="8" l="1"/>
  <c r="T80" i="5" a="1"/>
  <c r="T80" i="5" s="1"/>
  <c r="AG80" i="5" a="1"/>
  <c r="AG80" i="5" s="1"/>
  <c r="AF80" i="5" a="1"/>
  <c r="AF80" i="5" s="1"/>
  <c r="AE80" i="5" a="1"/>
  <c r="AE80" i="5" s="1"/>
  <c r="AD80" i="5" a="1"/>
  <c r="AD80" i="5" s="1"/>
  <c r="AC80" i="5" a="1"/>
  <c r="AC80" i="5" s="1"/>
  <c r="AB80" i="5" a="1"/>
  <c r="AB80" i="5" s="1"/>
  <c r="AA80" i="5" a="1"/>
  <c r="AA80" i="5" s="1"/>
  <c r="Z80" i="5" a="1"/>
  <c r="Z80" i="5" s="1"/>
  <c r="Y80" i="5" a="1"/>
  <c r="Y80" i="5" s="1"/>
  <c r="X80" i="5" a="1"/>
  <c r="X80" i="5" s="1"/>
  <c r="W80" i="5" a="1"/>
  <c r="W80" i="5" s="1"/>
  <c r="U80" i="5" a="1"/>
  <c r="U80" i="5" s="1"/>
  <c r="V80" i="5" a="1"/>
  <c r="V80" i="5" s="1"/>
  <c r="S80" i="5" a="1"/>
  <c r="S80" i="5" s="1"/>
  <c r="E80" i="5" a="1"/>
  <c r="E80" i="5" s="1"/>
  <c r="H80" i="5" a="1"/>
  <c r="H80" i="5" s="1"/>
  <c r="O80" i="5" a="1"/>
  <c r="O80" i="5" s="1"/>
  <c r="Q80" i="5" a="1"/>
  <c r="Q80" i="5" s="1"/>
  <c r="I80" i="5" a="1"/>
  <c r="I80" i="5" s="1"/>
  <c r="F80" i="5" a="1"/>
  <c r="F80" i="5" s="1"/>
  <c r="P80" i="5" a="1"/>
  <c r="P80" i="5" s="1"/>
  <c r="R80" i="5" a="1"/>
  <c r="R80" i="5" s="1"/>
  <c r="L80" i="5" a="1"/>
  <c r="L80" i="5" s="1"/>
  <c r="K80" i="5" a="1"/>
  <c r="K80" i="5" s="1"/>
  <c r="N80" i="5" a="1"/>
  <c r="N80" i="5" s="1"/>
  <c r="J80" i="5" a="1"/>
  <c r="J80" i="5" s="1"/>
  <c r="M80" i="5" a="1"/>
  <c r="M80" i="5" s="1"/>
  <c r="G80" i="5" a="1"/>
  <c r="G80" i="5" s="1"/>
  <c r="D80" i="5" a="1"/>
  <c r="D80" i="5" s="1"/>
  <c r="C81" i="5"/>
  <c r="A81" i="8" l="1"/>
  <c r="T81" i="5" a="1"/>
  <c r="T81" i="5" s="1"/>
  <c r="AG81" i="5" a="1"/>
  <c r="AG81" i="5" s="1"/>
  <c r="AF81" i="5" a="1"/>
  <c r="AF81" i="5" s="1"/>
  <c r="AE81" i="5" a="1"/>
  <c r="AE81" i="5" s="1"/>
  <c r="AD81" i="5" a="1"/>
  <c r="AD81" i="5" s="1"/>
  <c r="AC81" i="5" a="1"/>
  <c r="AC81" i="5" s="1"/>
  <c r="AB81" i="5" a="1"/>
  <c r="AB81" i="5" s="1"/>
  <c r="AA81" i="5" a="1"/>
  <c r="AA81" i="5" s="1"/>
  <c r="Z81" i="5" a="1"/>
  <c r="Z81" i="5" s="1"/>
  <c r="Y81" i="5" a="1"/>
  <c r="Y81" i="5" s="1"/>
  <c r="X81" i="5" a="1"/>
  <c r="X81" i="5" s="1"/>
  <c r="W81" i="5" a="1"/>
  <c r="W81" i="5" s="1"/>
  <c r="V81" i="5" a="1"/>
  <c r="V81" i="5" s="1"/>
  <c r="U81" i="5" a="1"/>
  <c r="U81" i="5" s="1"/>
  <c r="S81" i="5" a="1"/>
  <c r="S81" i="5" s="1"/>
  <c r="E81" i="5" a="1"/>
  <c r="E81" i="5" s="1"/>
  <c r="H81" i="5" a="1"/>
  <c r="H81" i="5" s="1"/>
  <c r="Q81" i="5" a="1"/>
  <c r="Q81" i="5" s="1"/>
  <c r="I81" i="5" a="1"/>
  <c r="I81" i="5" s="1"/>
  <c r="K81" i="5" a="1"/>
  <c r="K81" i="5" s="1"/>
  <c r="R81" i="5" a="1"/>
  <c r="R81" i="5" s="1"/>
  <c r="P81" i="5" a="1"/>
  <c r="P81" i="5" s="1"/>
  <c r="O81" i="5" a="1"/>
  <c r="O81" i="5" s="1"/>
  <c r="F81" i="5" a="1"/>
  <c r="F81" i="5" s="1"/>
  <c r="J81" i="5" a="1"/>
  <c r="J81" i="5" s="1"/>
  <c r="M81" i="5" a="1"/>
  <c r="M81" i="5" s="1"/>
  <c r="N81" i="5" a="1"/>
  <c r="N81" i="5" s="1"/>
  <c r="G81" i="5" a="1"/>
  <c r="G81" i="5" s="1"/>
  <c r="L81" i="5" a="1"/>
  <c r="L81" i="5" s="1"/>
  <c r="D81" i="5" a="1"/>
  <c r="D81" i="5" s="1"/>
  <c r="C82" i="5"/>
  <c r="A82" i="8" l="1"/>
  <c r="T82" i="5" a="1"/>
  <c r="T82" i="5" s="1"/>
  <c r="AG82" i="5" a="1"/>
  <c r="AG82" i="5" s="1"/>
  <c r="AE25" i="8" s="1"/>
  <c r="AF82" i="5" a="1"/>
  <c r="AF82" i="5" s="1"/>
  <c r="AE82" i="5" a="1"/>
  <c r="AE82" i="5" s="1"/>
  <c r="AC25" i="8" s="1"/>
  <c r="AD82" i="5" a="1"/>
  <c r="AD82" i="5" s="1"/>
  <c r="AC82" i="5" a="1"/>
  <c r="AC82" i="5" s="1"/>
  <c r="AB82" i="5" a="1"/>
  <c r="AB82" i="5" s="1"/>
  <c r="AA82" i="5" a="1"/>
  <c r="AA82" i="5" s="1"/>
  <c r="Z82" i="5" a="1"/>
  <c r="Z82" i="5" s="1"/>
  <c r="Y82" i="5" a="1"/>
  <c r="Y82" i="5" s="1"/>
  <c r="X82" i="5" a="1"/>
  <c r="X82" i="5" s="1"/>
  <c r="W82" i="5" a="1"/>
  <c r="W82" i="5" s="1"/>
  <c r="Y25" i="8"/>
  <c r="V82" i="5" a="1"/>
  <c r="V82" i="5" s="1"/>
  <c r="U82" i="5" a="1"/>
  <c r="U82" i="5" s="1"/>
  <c r="S82" i="5" a="1"/>
  <c r="S82" i="5" s="1"/>
  <c r="E82" i="5" a="1"/>
  <c r="E82" i="5" s="1"/>
  <c r="H82" i="5" a="1"/>
  <c r="H82" i="5" s="1"/>
  <c r="F25" i="8" s="1"/>
  <c r="I82" i="5" a="1"/>
  <c r="I82" i="5" s="1"/>
  <c r="G25" i="8" s="1"/>
  <c r="P82" i="5" a="1"/>
  <c r="P82" i="5" s="1"/>
  <c r="Q82" i="5" a="1"/>
  <c r="Q82" i="5" s="1"/>
  <c r="O82" i="5" a="1"/>
  <c r="O82" i="5" s="1"/>
  <c r="R82" i="5" a="1"/>
  <c r="R82" i="5" s="1"/>
  <c r="K82" i="5" a="1"/>
  <c r="K82" i="5" s="1"/>
  <c r="I25" i="8" s="1"/>
  <c r="N82" i="5" a="1"/>
  <c r="N82" i="5" s="1"/>
  <c r="J82" i="5" a="1"/>
  <c r="J82" i="5" s="1"/>
  <c r="F82" i="5" a="1"/>
  <c r="F82" i="5" s="1"/>
  <c r="L82" i="5" a="1"/>
  <c r="L82" i="5" s="1"/>
  <c r="M82" i="5" a="1"/>
  <c r="M82" i="5" s="1"/>
  <c r="G82" i="5" a="1"/>
  <c r="G82" i="5" s="1"/>
  <c r="D82" i="5" a="1"/>
  <c r="D82" i="5" s="1"/>
  <c r="C83" i="5"/>
  <c r="A83" i="8" l="1"/>
  <c r="T83" i="5" a="1"/>
  <c r="T83" i="5" s="1"/>
  <c r="AG83" i="5" a="1"/>
  <c r="AG83" i="5" s="1"/>
  <c r="AF83" i="5" a="1"/>
  <c r="AF83" i="5" s="1"/>
  <c r="AE83" i="5" a="1"/>
  <c r="AE83" i="5" s="1"/>
  <c r="AD83" i="5" a="1"/>
  <c r="AD83" i="5" s="1"/>
  <c r="AC83" i="5" a="1"/>
  <c r="AC83" i="5" s="1"/>
  <c r="AB83" i="5" a="1"/>
  <c r="AB83" i="5" s="1"/>
  <c r="AA83" i="5" a="1"/>
  <c r="AA83" i="5" s="1"/>
  <c r="Z83" i="5" a="1"/>
  <c r="Z83" i="5" s="1"/>
  <c r="Y83" i="5" a="1"/>
  <c r="Y83" i="5" s="1"/>
  <c r="X83" i="5" a="1"/>
  <c r="X83" i="5" s="1"/>
  <c r="W83" i="5" a="1"/>
  <c r="W83" i="5" s="1"/>
  <c r="V83" i="5" a="1"/>
  <c r="V83" i="5" s="1"/>
  <c r="U83" i="5" a="1"/>
  <c r="U83" i="5" s="1"/>
  <c r="S83" i="5" a="1"/>
  <c r="S83" i="5" s="1"/>
  <c r="E83" i="5" a="1"/>
  <c r="E83" i="5" s="1"/>
  <c r="H83" i="5" a="1"/>
  <c r="H83" i="5" s="1"/>
  <c r="I83" i="5" a="1"/>
  <c r="I83" i="5" s="1"/>
  <c r="Q83" i="5" a="1"/>
  <c r="Q83" i="5" s="1"/>
  <c r="K83" i="5" a="1"/>
  <c r="K83" i="5" s="1"/>
  <c r="P83" i="5" a="1"/>
  <c r="P83" i="5" s="1"/>
  <c r="F83" i="5" a="1"/>
  <c r="F83" i="5" s="1"/>
  <c r="R83" i="5" a="1"/>
  <c r="R83" i="5" s="1"/>
  <c r="O83" i="5" a="1"/>
  <c r="O83" i="5" s="1"/>
  <c r="N83" i="5" a="1"/>
  <c r="N83" i="5" s="1"/>
  <c r="J83" i="5" a="1"/>
  <c r="J83" i="5" s="1"/>
  <c r="L83" i="5" a="1"/>
  <c r="L83" i="5" s="1"/>
  <c r="M83" i="5" a="1"/>
  <c r="M83" i="5" s="1"/>
  <c r="G83" i="5" a="1"/>
  <c r="G83" i="5" s="1"/>
  <c r="D83" i="5" a="1"/>
  <c r="D83" i="5" s="1"/>
  <c r="C84" i="5"/>
  <c r="A84" i="8" l="1"/>
  <c r="T84" i="5" a="1"/>
  <c r="T84" i="5" s="1"/>
  <c r="AG84" i="5" a="1"/>
  <c r="AG84" i="5" s="1"/>
  <c r="AF84" i="5" a="1"/>
  <c r="AF84" i="5" s="1"/>
  <c r="AE84" i="5" a="1"/>
  <c r="AE84" i="5" s="1"/>
  <c r="AD84" i="5" a="1"/>
  <c r="AD84" i="5" s="1"/>
  <c r="AC84" i="5" a="1"/>
  <c r="AC84" i="5" s="1"/>
  <c r="AB84" i="5" a="1"/>
  <c r="AB84" i="5" s="1"/>
  <c r="AA84" i="5" a="1"/>
  <c r="AA84" i="5" s="1"/>
  <c r="Z84" i="5" a="1"/>
  <c r="Z84" i="5" s="1"/>
  <c r="Y84" i="5" a="1"/>
  <c r="Y84" i="5" s="1"/>
  <c r="X84" i="5" a="1"/>
  <c r="X84" i="5" s="1"/>
  <c r="W84" i="5" a="1"/>
  <c r="W84" i="5" s="1"/>
  <c r="V84" i="5" a="1"/>
  <c r="V84" i="5" s="1"/>
  <c r="U84" i="5" a="1"/>
  <c r="U84" i="5" s="1"/>
  <c r="S84" i="5" a="1"/>
  <c r="S84" i="5" s="1"/>
  <c r="E84" i="5" a="1"/>
  <c r="E84" i="5" s="1"/>
  <c r="H84" i="5" a="1"/>
  <c r="H84" i="5" s="1"/>
  <c r="I84" i="5" a="1"/>
  <c r="I84" i="5" s="1"/>
  <c r="Q84" i="5" a="1"/>
  <c r="Q84" i="5" s="1"/>
  <c r="F84" i="5" a="1"/>
  <c r="F84" i="5" s="1"/>
  <c r="P84" i="5" a="1"/>
  <c r="P84" i="5" s="1"/>
  <c r="O84" i="5" a="1"/>
  <c r="O84" i="5" s="1"/>
  <c r="K84" i="5" a="1"/>
  <c r="K84" i="5" s="1"/>
  <c r="R84" i="5" a="1"/>
  <c r="R84" i="5" s="1"/>
  <c r="L84" i="5" a="1"/>
  <c r="L84" i="5" s="1"/>
  <c r="N84" i="5" a="1"/>
  <c r="N84" i="5" s="1"/>
  <c r="J84" i="5" a="1"/>
  <c r="J84" i="5" s="1"/>
  <c r="M84" i="5" a="1"/>
  <c r="M84" i="5" s="1"/>
  <c r="G84" i="5" a="1"/>
  <c r="G84" i="5" s="1"/>
  <c r="D84" i="5" a="1"/>
  <c r="D84" i="5" s="1"/>
  <c r="C85" i="5"/>
  <c r="T85" i="5" l="1" a="1"/>
  <c r="T85" i="5" s="1"/>
  <c r="AG85" i="5" a="1"/>
  <c r="AG85" i="5" s="1"/>
  <c r="AF85" i="5" a="1"/>
  <c r="AF85" i="5" s="1"/>
  <c r="AE85" i="5" a="1"/>
  <c r="AE85" i="5" s="1"/>
  <c r="AD85" i="5" a="1"/>
  <c r="AD85" i="5" s="1"/>
  <c r="AC85" i="5" a="1"/>
  <c r="AC85" i="5" s="1"/>
  <c r="AB85" i="5" a="1"/>
  <c r="AB85" i="5" s="1"/>
  <c r="AA85" i="5" a="1"/>
  <c r="AA85" i="5" s="1"/>
  <c r="Z85" i="5" a="1"/>
  <c r="Z85" i="5" s="1"/>
  <c r="Y85" i="5" a="1"/>
  <c r="Y85" i="5" s="1"/>
  <c r="X85" i="5" a="1"/>
  <c r="X85" i="5" s="1"/>
  <c r="W85" i="5" a="1"/>
  <c r="W85" i="5" s="1"/>
  <c r="U85" i="5" a="1"/>
  <c r="U85" i="5" s="1"/>
  <c r="S85" i="5" a="1"/>
  <c r="S85" i="5" s="1"/>
  <c r="V85" i="5" a="1"/>
  <c r="V85" i="5" s="1"/>
  <c r="E85" i="5" a="1"/>
  <c r="E85" i="5" s="1"/>
  <c r="H85" i="5" a="1"/>
  <c r="H85" i="5" s="1"/>
  <c r="I85" i="5" a="1"/>
  <c r="I85" i="5" s="1"/>
  <c r="O85" i="5" a="1"/>
  <c r="O85" i="5" s="1"/>
  <c r="K85" i="5" a="1"/>
  <c r="K85" i="5" s="1"/>
  <c r="Q85" i="5" a="1"/>
  <c r="Q85" i="5" s="1"/>
  <c r="R85" i="5" a="1"/>
  <c r="R85" i="5" s="1"/>
  <c r="P85" i="5" a="1"/>
  <c r="P85" i="5" s="1"/>
  <c r="L85" i="5" a="1"/>
  <c r="L85" i="5" s="1"/>
  <c r="J85" i="5" a="1"/>
  <c r="J85" i="5" s="1"/>
  <c r="F85" i="5" a="1"/>
  <c r="F85" i="5" s="1"/>
  <c r="N85" i="5" a="1"/>
  <c r="N85" i="5" s="1"/>
  <c r="M85" i="5" a="1"/>
  <c r="M85" i="5" s="1"/>
  <c r="G85" i="5" a="1"/>
  <c r="G85" i="5" s="1"/>
  <c r="D85" i="5" a="1"/>
  <c r="D85" i="5" s="1"/>
  <c r="C86" i="5"/>
  <c r="T86" i="5" l="1" a="1"/>
  <c r="T86" i="5" s="1"/>
  <c r="AF86" i="5" a="1"/>
  <c r="AF86" i="5" s="1"/>
  <c r="AG86" i="5" a="1"/>
  <c r="AG86" i="5" s="1"/>
  <c r="AE26" i="8" s="1"/>
  <c r="AE86" i="5" a="1"/>
  <c r="AE86" i="5" s="1"/>
  <c r="AC26" i="8" s="1"/>
  <c r="AD86" i="5" a="1"/>
  <c r="AD86" i="5" s="1"/>
  <c r="AC86" i="5" a="1"/>
  <c r="AC86" i="5" s="1"/>
  <c r="AA26" i="8" s="1"/>
  <c r="AB86" i="5" a="1"/>
  <c r="AB86" i="5" s="1"/>
  <c r="AA86" i="5" a="1"/>
  <c r="AA86" i="5" s="1"/>
  <c r="Z86" i="5" a="1"/>
  <c r="Z86" i="5" s="1"/>
  <c r="Y86" i="5" a="1"/>
  <c r="Y86" i="5" s="1"/>
  <c r="X86" i="5" a="1"/>
  <c r="X86" i="5" s="1"/>
  <c r="W86" i="5" a="1"/>
  <c r="W86" i="5" s="1"/>
  <c r="Z26" i="8"/>
  <c r="U86" i="5" a="1"/>
  <c r="U86" i="5" s="1"/>
  <c r="V86" i="5" a="1"/>
  <c r="V86" i="5" s="1"/>
  <c r="S86" i="5" a="1"/>
  <c r="S86" i="5" s="1"/>
  <c r="E86" i="5" a="1"/>
  <c r="E86" i="5" s="1"/>
  <c r="H86" i="5" a="1"/>
  <c r="H86" i="5" s="1"/>
  <c r="Q86" i="5" a="1"/>
  <c r="Q86" i="5" s="1"/>
  <c r="O26" i="8" s="1"/>
  <c r="I86" i="5" a="1"/>
  <c r="I86" i="5" s="1"/>
  <c r="F86" i="5" a="1"/>
  <c r="F86" i="5" s="1"/>
  <c r="D26" i="8" s="1"/>
  <c r="O86" i="5" a="1"/>
  <c r="O86" i="5" s="1"/>
  <c r="P86" i="5" a="1"/>
  <c r="P86" i="5" s="1"/>
  <c r="R86" i="5" a="1"/>
  <c r="R86" i="5" s="1"/>
  <c r="N86" i="5" a="1"/>
  <c r="N86" i="5" s="1"/>
  <c r="K86" i="5" a="1"/>
  <c r="K86" i="5" s="1"/>
  <c r="M86" i="5" a="1"/>
  <c r="M86" i="5" s="1"/>
  <c r="J86" i="5" a="1"/>
  <c r="J86" i="5" s="1"/>
  <c r="G86" i="5" a="1"/>
  <c r="G86" i="5" s="1"/>
  <c r="L86" i="5" a="1"/>
  <c r="L86" i="5" s="1"/>
  <c r="D86" i="5" a="1"/>
  <c r="D86" i="5" s="1"/>
  <c r="C87" i="5"/>
  <c r="T87" i="5" l="1" a="1"/>
  <c r="T87" i="5" s="1"/>
  <c r="AG87" i="5" a="1"/>
  <c r="AG87" i="5" s="1"/>
  <c r="AF87" i="5" a="1"/>
  <c r="AF87" i="5" s="1"/>
  <c r="AE87" i="5" a="1"/>
  <c r="AE87" i="5" s="1"/>
  <c r="AD87" i="5" a="1"/>
  <c r="AD87" i="5" s="1"/>
  <c r="AC87" i="5" a="1"/>
  <c r="AC87" i="5" s="1"/>
  <c r="AB87" i="5" a="1"/>
  <c r="AB87" i="5" s="1"/>
  <c r="AA87" i="5" a="1"/>
  <c r="AA87" i="5" s="1"/>
  <c r="Z87" i="5" a="1"/>
  <c r="Z87" i="5" s="1"/>
  <c r="Y87" i="5" a="1"/>
  <c r="Y87" i="5" s="1"/>
  <c r="X87" i="5" a="1"/>
  <c r="X87" i="5" s="1"/>
  <c r="W87" i="5" a="1"/>
  <c r="W87" i="5" s="1"/>
  <c r="U87" i="5" a="1"/>
  <c r="U87" i="5" s="1"/>
  <c r="V87" i="5" a="1"/>
  <c r="V87" i="5" s="1"/>
  <c r="S87" i="5" a="1"/>
  <c r="S87" i="5" s="1"/>
  <c r="E87" i="5" a="1"/>
  <c r="E87" i="5" s="1"/>
  <c r="H87" i="5" a="1"/>
  <c r="H87" i="5" s="1"/>
  <c r="Q87" i="5" a="1"/>
  <c r="Q87" i="5" s="1"/>
  <c r="I87" i="5" a="1"/>
  <c r="I87" i="5" s="1"/>
  <c r="K87" i="5" a="1"/>
  <c r="K87" i="5" s="1"/>
  <c r="P87" i="5" a="1"/>
  <c r="P87" i="5" s="1"/>
  <c r="F87" i="5" a="1"/>
  <c r="F87" i="5" s="1"/>
  <c r="R87" i="5" a="1"/>
  <c r="R87" i="5" s="1"/>
  <c r="O87" i="5" a="1"/>
  <c r="O87" i="5" s="1"/>
  <c r="N87" i="5" a="1"/>
  <c r="N87" i="5" s="1"/>
  <c r="J87" i="5" a="1"/>
  <c r="J87" i="5" s="1"/>
  <c r="L87" i="5" a="1"/>
  <c r="L87" i="5" s="1"/>
  <c r="M87" i="5" a="1"/>
  <c r="M87" i="5" s="1"/>
  <c r="G87" i="5" a="1"/>
  <c r="G87" i="5" s="1"/>
  <c r="D87" i="5" a="1"/>
  <c r="D87" i="5" s="1"/>
  <c r="C88" i="5"/>
  <c r="T88" i="5" l="1" a="1"/>
  <c r="T88" i="5" s="1"/>
  <c r="AG88" i="5" a="1"/>
  <c r="AG88" i="5" s="1"/>
  <c r="AF88" i="5" a="1"/>
  <c r="AF88" i="5" s="1"/>
  <c r="AE88" i="5" a="1"/>
  <c r="AE88" i="5" s="1"/>
  <c r="AD88" i="5" a="1"/>
  <c r="AD88" i="5" s="1"/>
  <c r="AC88" i="5" a="1"/>
  <c r="AC88" i="5" s="1"/>
  <c r="AB88" i="5" a="1"/>
  <c r="AB88" i="5" s="1"/>
  <c r="AA88" i="5" a="1"/>
  <c r="AA88" i="5" s="1"/>
  <c r="Z88" i="5" a="1"/>
  <c r="Z88" i="5" s="1"/>
  <c r="Y88" i="5" a="1"/>
  <c r="Y88" i="5" s="1"/>
  <c r="X88" i="5" a="1"/>
  <c r="X88" i="5" s="1"/>
  <c r="W88" i="5" a="1"/>
  <c r="W88" i="5" s="1"/>
  <c r="U88" i="5" a="1"/>
  <c r="U88" i="5" s="1"/>
  <c r="V88" i="5" a="1"/>
  <c r="V88" i="5" s="1"/>
  <c r="S88" i="5" a="1"/>
  <c r="S88" i="5" s="1"/>
  <c r="E88" i="5" a="1"/>
  <c r="E88" i="5" s="1"/>
  <c r="H88" i="5" a="1"/>
  <c r="H88" i="5" s="1"/>
  <c r="I88" i="5" a="1"/>
  <c r="I88" i="5" s="1"/>
  <c r="Q88" i="5" a="1"/>
  <c r="Q88" i="5" s="1"/>
  <c r="K88" i="5" a="1"/>
  <c r="K88" i="5" s="1"/>
  <c r="F88" i="5" a="1"/>
  <c r="F88" i="5" s="1"/>
  <c r="P88" i="5" a="1"/>
  <c r="P88" i="5" s="1"/>
  <c r="O88" i="5" a="1"/>
  <c r="O88" i="5" s="1"/>
  <c r="M88" i="5" a="1"/>
  <c r="M88" i="5" s="1"/>
  <c r="R88" i="5" a="1"/>
  <c r="R88" i="5" s="1"/>
  <c r="L88" i="5" a="1"/>
  <c r="L88" i="5" s="1"/>
  <c r="G88" i="5" a="1"/>
  <c r="G88" i="5" s="1"/>
  <c r="J88" i="5" a="1"/>
  <c r="J88" i="5" s="1"/>
  <c r="N88" i="5" a="1"/>
  <c r="N88" i="5" s="1"/>
  <c r="D88" i="5" a="1"/>
  <c r="D88" i="5" s="1"/>
  <c r="C89" i="5"/>
  <c r="T89" i="5" l="1" a="1"/>
  <c r="T89" i="5" s="1"/>
  <c r="AG89" i="5" a="1"/>
  <c r="AG89" i="5" s="1"/>
  <c r="AF89" i="5" a="1"/>
  <c r="AF89" i="5" s="1"/>
  <c r="AE89" i="5" a="1"/>
  <c r="AE89" i="5" s="1"/>
  <c r="AD89" i="5" a="1"/>
  <c r="AD89" i="5" s="1"/>
  <c r="AC89" i="5" a="1"/>
  <c r="AC89" i="5" s="1"/>
  <c r="AB89" i="5" a="1"/>
  <c r="AB89" i="5" s="1"/>
  <c r="AA89" i="5" a="1"/>
  <c r="AA89" i="5" s="1"/>
  <c r="Z89" i="5" a="1"/>
  <c r="Z89" i="5" s="1"/>
  <c r="Y89" i="5" a="1"/>
  <c r="Y89" i="5" s="1"/>
  <c r="X89" i="5" a="1"/>
  <c r="X89" i="5" s="1"/>
  <c r="W89" i="5" a="1"/>
  <c r="W89" i="5" s="1"/>
  <c r="V89" i="5" a="1"/>
  <c r="V89" i="5" s="1"/>
  <c r="U89" i="5" a="1"/>
  <c r="U89" i="5" s="1"/>
  <c r="S89" i="5" a="1"/>
  <c r="S89" i="5" s="1"/>
  <c r="E89" i="5" a="1"/>
  <c r="E89" i="5" s="1"/>
  <c r="H89" i="5" a="1"/>
  <c r="H89" i="5" s="1"/>
  <c r="Q89" i="5" a="1"/>
  <c r="Q89" i="5" s="1"/>
  <c r="O89" i="5" a="1"/>
  <c r="O89" i="5" s="1"/>
  <c r="I89" i="5" a="1"/>
  <c r="I89" i="5" s="1"/>
  <c r="F89" i="5" a="1"/>
  <c r="F89" i="5" s="1"/>
  <c r="K89" i="5" a="1"/>
  <c r="K89" i="5" s="1"/>
  <c r="R89" i="5" a="1"/>
  <c r="R89" i="5" s="1"/>
  <c r="L89" i="5" a="1"/>
  <c r="L89" i="5" s="1"/>
  <c r="J89" i="5" a="1"/>
  <c r="J89" i="5" s="1"/>
  <c r="N89" i="5" a="1"/>
  <c r="N89" i="5" s="1"/>
  <c r="P89" i="5" a="1"/>
  <c r="P89" i="5" s="1"/>
  <c r="M89" i="5" a="1"/>
  <c r="M89" i="5" s="1"/>
  <c r="G89" i="5" a="1"/>
  <c r="G89" i="5" s="1"/>
  <c r="D89" i="5" a="1"/>
  <c r="D89" i="5" s="1"/>
  <c r="C90" i="5"/>
  <c r="T90" i="5" l="1" a="1"/>
  <c r="T90" i="5" s="1"/>
  <c r="AG90" i="5" a="1"/>
  <c r="AG90" i="5" s="1"/>
  <c r="AE27" i="8" s="1"/>
  <c r="AF90" i="5" a="1"/>
  <c r="AF90" i="5" s="1"/>
  <c r="AE90" i="5" a="1"/>
  <c r="AE90" i="5" s="1"/>
  <c r="AC27" i="8" s="1"/>
  <c r="AD90" i="5" a="1"/>
  <c r="AD90" i="5" s="1"/>
  <c r="AC90" i="5" a="1"/>
  <c r="AC90" i="5" s="1"/>
  <c r="AA27" i="8" s="1"/>
  <c r="AB90" i="5" a="1"/>
  <c r="AB90" i="5" s="1"/>
  <c r="AA90" i="5" a="1"/>
  <c r="AA90" i="5" s="1"/>
  <c r="Z90" i="5" a="1"/>
  <c r="Z90" i="5" s="1"/>
  <c r="Y90" i="5" a="1"/>
  <c r="Y90" i="5" s="1"/>
  <c r="X90" i="5" a="1"/>
  <c r="X90" i="5" s="1"/>
  <c r="W90" i="5" a="1"/>
  <c r="W90" i="5" s="1"/>
  <c r="Z27" i="8"/>
  <c r="V90" i="5" a="1"/>
  <c r="V90" i="5" s="1"/>
  <c r="U90" i="5" a="1"/>
  <c r="U90" i="5" s="1"/>
  <c r="S90" i="5" a="1"/>
  <c r="S90" i="5" s="1"/>
  <c r="E90" i="5" a="1"/>
  <c r="E90" i="5" s="1"/>
  <c r="H90" i="5" a="1"/>
  <c r="H90" i="5" s="1"/>
  <c r="Q90" i="5" a="1"/>
  <c r="Q90" i="5" s="1"/>
  <c r="O27" i="8" s="1"/>
  <c r="I90" i="5" a="1"/>
  <c r="I90" i="5" s="1"/>
  <c r="K90" i="5" a="1"/>
  <c r="K90" i="5" s="1"/>
  <c r="F90" i="5" a="1"/>
  <c r="F90" i="5" s="1"/>
  <c r="P90" i="5" a="1"/>
  <c r="P90" i="5" s="1"/>
  <c r="O90" i="5" a="1"/>
  <c r="O90" i="5" s="1"/>
  <c r="R90" i="5" a="1"/>
  <c r="R90" i="5" s="1"/>
  <c r="L90" i="5" a="1"/>
  <c r="L90" i="5" s="1"/>
  <c r="N90" i="5" a="1"/>
  <c r="N90" i="5" s="1"/>
  <c r="M90" i="5" a="1"/>
  <c r="M90" i="5" s="1"/>
  <c r="J90" i="5" a="1"/>
  <c r="J90" i="5" s="1"/>
  <c r="G90" i="5" a="1"/>
  <c r="G90" i="5" s="1"/>
  <c r="D90" i="5" a="1"/>
  <c r="D90" i="5" s="1"/>
  <c r="C91" i="5"/>
  <c r="T91" i="5" l="1" a="1"/>
  <c r="T91" i="5" s="1"/>
  <c r="AG91" i="5" a="1"/>
  <c r="AG91" i="5" s="1"/>
  <c r="AF91" i="5" a="1"/>
  <c r="AF91" i="5" s="1"/>
  <c r="AE91" i="5" a="1"/>
  <c r="AE91" i="5" s="1"/>
  <c r="AD91" i="5" a="1"/>
  <c r="AD91" i="5" s="1"/>
  <c r="AC91" i="5" a="1"/>
  <c r="AC91" i="5" s="1"/>
  <c r="AB91" i="5" a="1"/>
  <c r="AB91" i="5" s="1"/>
  <c r="AA91" i="5" a="1"/>
  <c r="AA91" i="5" s="1"/>
  <c r="Z91" i="5" a="1"/>
  <c r="Z91" i="5" s="1"/>
  <c r="Y91" i="5" a="1"/>
  <c r="Y91" i="5" s="1"/>
  <c r="X91" i="5" a="1"/>
  <c r="X91" i="5" s="1"/>
  <c r="W91" i="5" a="1"/>
  <c r="W91" i="5" s="1"/>
  <c r="V91" i="5" a="1"/>
  <c r="V91" i="5" s="1"/>
  <c r="U91" i="5" a="1"/>
  <c r="U91" i="5" s="1"/>
  <c r="S91" i="5" a="1"/>
  <c r="S91" i="5" s="1"/>
  <c r="E91" i="5" a="1"/>
  <c r="E91" i="5" s="1"/>
  <c r="H91" i="5" a="1"/>
  <c r="H91" i="5" s="1"/>
  <c r="Q91" i="5" a="1"/>
  <c r="Q91" i="5" s="1"/>
  <c r="I91" i="5" a="1"/>
  <c r="I91" i="5" s="1"/>
  <c r="P91" i="5" a="1"/>
  <c r="P91" i="5" s="1"/>
  <c r="K91" i="5" a="1"/>
  <c r="K91" i="5" s="1"/>
  <c r="O91" i="5" a="1"/>
  <c r="O91" i="5" s="1"/>
  <c r="F91" i="5" a="1"/>
  <c r="F91" i="5" s="1"/>
  <c r="R91" i="5" a="1"/>
  <c r="R91" i="5" s="1"/>
  <c r="N91" i="5" a="1"/>
  <c r="N91" i="5" s="1"/>
  <c r="J91" i="5" a="1"/>
  <c r="J91" i="5" s="1"/>
  <c r="M91" i="5" a="1"/>
  <c r="M91" i="5" s="1"/>
  <c r="L91" i="5" a="1"/>
  <c r="L91" i="5" s="1"/>
  <c r="G91" i="5" a="1"/>
  <c r="G91" i="5" s="1"/>
  <c r="D91" i="5" a="1"/>
  <c r="D91" i="5" s="1"/>
  <c r="C92" i="5"/>
  <c r="T92" i="5" l="1" a="1"/>
  <c r="T92" i="5" s="1"/>
  <c r="AG92" i="5" a="1"/>
  <c r="AG92" i="5" s="1"/>
  <c r="AF92" i="5" a="1"/>
  <c r="AF92" i="5" s="1"/>
  <c r="AE92" i="5" a="1"/>
  <c r="AE92" i="5" s="1"/>
  <c r="AD92" i="5" a="1"/>
  <c r="AD92" i="5" s="1"/>
  <c r="AC92" i="5" a="1"/>
  <c r="AC92" i="5" s="1"/>
  <c r="AB92" i="5" a="1"/>
  <c r="AB92" i="5" s="1"/>
  <c r="AA92" i="5" a="1"/>
  <c r="AA92" i="5" s="1"/>
  <c r="Z92" i="5" a="1"/>
  <c r="Z92" i="5" s="1"/>
  <c r="Y92" i="5" a="1"/>
  <c r="Y92" i="5" s="1"/>
  <c r="X92" i="5" a="1"/>
  <c r="X92" i="5" s="1"/>
  <c r="W92" i="5" a="1"/>
  <c r="W92" i="5" s="1"/>
  <c r="V92" i="5" a="1"/>
  <c r="V92" i="5" s="1"/>
  <c r="U92" i="5" a="1"/>
  <c r="U92" i="5" s="1"/>
  <c r="S92" i="5" a="1"/>
  <c r="S92" i="5" s="1"/>
  <c r="E92" i="5" a="1"/>
  <c r="E92" i="5" s="1"/>
  <c r="H92" i="5" a="1"/>
  <c r="H92" i="5" s="1"/>
  <c r="Q92" i="5" a="1"/>
  <c r="Q92" i="5" s="1"/>
  <c r="R92" i="5" a="1"/>
  <c r="R92" i="5" s="1"/>
  <c r="F92" i="5" a="1"/>
  <c r="F92" i="5" s="1"/>
  <c r="I92" i="5" a="1"/>
  <c r="I92" i="5" s="1"/>
  <c r="P92" i="5" a="1"/>
  <c r="P92" i="5" s="1"/>
  <c r="O92" i="5" a="1"/>
  <c r="O92" i="5" s="1"/>
  <c r="K92" i="5" a="1"/>
  <c r="K92" i="5" s="1"/>
  <c r="N92" i="5" a="1"/>
  <c r="N92" i="5" s="1"/>
  <c r="J92" i="5" a="1"/>
  <c r="J92" i="5" s="1"/>
  <c r="L92" i="5" a="1"/>
  <c r="L92" i="5" s="1"/>
  <c r="G92" i="5" a="1"/>
  <c r="G92" i="5" s="1"/>
  <c r="M92" i="5" a="1"/>
  <c r="M92" i="5" s="1"/>
  <c r="D92" i="5" a="1"/>
  <c r="D92" i="5" s="1"/>
  <c r="C93" i="5"/>
  <c r="T93" i="5" l="1" a="1"/>
  <c r="T93" i="5" s="1"/>
  <c r="AG93" i="5" a="1"/>
  <c r="AG93" i="5" s="1"/>
  <c r="AF93" i="5" a="1"/>
  <c r="AF93" i="5" s="1"/>
  <c r="AE93" i="5" a="1"/>
  <c r="AE93" i="5" s="1"/>
  <c r="AD93" i="5" a="1"/>
  <c r="AD93" i="5" s="1"/>
  <c r="AC93" i="5" a="1"/>
  <c r="AC93" i="5" s="1"/>
  <c r="AB93" i="5" a="1"/>
  <c r="AB93" i="5" s="1"/>
  <c r="AA93" i="5" a="1"/>
  <c r="AA93" i="5" s="1"/>
  <c r="Z93" i="5" a="1"/>
  <c r="Z93" i="5" s="1"/>
  <c r="Y93" i="5" a="1"/>
  <c r="Y93" i="5" s="1"/>
  <c r="X93" i="5" a="1"/>
  <c r="X93" i="5" s="1"/>
  <c r="W93" i="5" a="1"/>
  <c r="W93" i="5" s="1"/>
  <c r="U93" i="5" a="1"/>
  <c r="U93" i="5" s="1"/>
  <c r="S93" i="5" a="1"/>
  <c r="S93" i="5" s="1"/>
  <c r="V93" i="5" a="1"/>
  <c r="V93" i="5" s="1"/>
  <c r="E93" i="5" a="1"/>
  <c r="E93" i="5" s="1"/>
  <c r="H93" i="5" a="1"/>
  <c r="H93" i="5" s="1"/>
  <c r="I93" i="5" a="1"/>
  <c r="I93" i="5" s="1"/>
  <c r="Q93" i="5" a="1"/>
  <c r="Q93" i="5" s="1"/>
  <c r="P93" i="5" a="1"/>
  <c r="P93" i="5" s="1"/>
  <c r="O93" i="5" a="1"/>
  <c r="O93" i="5" s="1"/>
  <c r="K93" i="5" a="1"/>
  <c r="K93" i="5" s="1"/>
  <c r="F93" i="5" a="1"/>
  <c r="F93" i="5" s="1"/>
  <c r="L93" i="5" a="1"/>
  <c r="L93" i="5" s="1"/>
  <c r="J93" i="5" a="1"/>
  <c r="J93" i="5" s="1"/>
  <c r="N93" i="5" a="1"/>
  <c r="N93" i="5" s="1"/>
  <c r="R93" i="5" a="1"/>
  <c r="R93" i="5" s="1"/>
  <c r="G93" i="5" a="1"/>
  <c r="G93" i="5" s="1"/>
  <c r="M93" i="5" a="1"/>
  <c r="M93" i="5" s="1"/>
  <c r="D93" i="5" a="1"/>
  <c r="D93" i="5" s="1"/>
  <c r="C94" i="5"/>
  <c r="T94" i="5" l="1" a="1"/>
  <c r="T94" i="5" s="1"/>
  <c r="AG94" i="5" a="1"/>
  <c r="AG94" i="5" s="1"/>
  <c r="AF94" i="5" a="1"/>
  <c r="AF94" i="5" s="1"/>
  <c r="AD28" i="8" s="1"/>
  <c r="AE94" i="5" a="1"/>
  <c r="AE94" i="5" s="1"/>
  <c r="AC28" i="8" s="1"/>
  <c r="AD94" i="5" a="1"/>
  <c r="AD94" i="5" s="1"/>
  <c r="AC94" i="5" a="1"/>
  <c r="AC94" i="5" s="1"/>
  <c r="AA28" i="8" s="1"/>
  <c r="AB94" i="5" a="1"/>
  <c r="AB94" i="5" s="1"/>
  <c r="AA94" i="5" a="1"/>
  <c r="AA94" i="5" s="1"/>
  <c r="Z94" i="5" a="1"/>
  <c r="Z94" i="5" s="1"/>
  <c r="Y94" i="5" a="1"/>
  <c r="Y94" i="5" s="1"/>
  <c r="X94" i="5" a="1"/>
  <c r="X94" i="5" s="1"/>
  <c r="W94" i="5" a="1"/>
  <c r="W94" i="5" s="1"/>
  <c r="Z28" i="8"/>
  <c r="U94" i="5" a="1"/>
  <c r="U94" i="5" s="1"/>
  <c r="V94" i="5" a="1"/>
  <c r="V94" i="5" s="1"/>
  <c r="S94" i="5" a="1"/>
  <c r="S94" i="5" s="1"/>
  <c r="E94" i="5" a="1"/>
  <c r="E94" i="5" s="1"/>
  <c r="H94" i="5" a="1"/>
  <c r="H94" i="5" s="1"/>
  <c r="I94" i="5" a="1"/>
  <c r="I94" i="5" s="1"/>
  <c r="Q94" i="5" a="1"/>
  <c r="Q94" i="5" s="1"/>
  <c r="O94" i="5" a="1"/>
  <c r="O94" i="5" s="1"/>
  <c r="K94" i="5" a="1"/>
  <c r="K94" i="5" s="1"/>
  <c r="F94" i="5" a="1"/>
  <c r="F94" i="5" s="1"/>
  <c r="P94" i="5" a="1"/>
  <c r="P94" i="5" s="1"/>
  <c r="R94" i="5" a="1"/>
  <c r="R94" i="5" s="1"/>
  <c r="L94" i="5" a="1"/>
  <c r="L94" i="5" s="1"/>
  <c r="M94" i="5" a="1"/>
  <c r="M94" i="5" s="1"/>
  <c r="J94" i="5" a="1"/>
  <c r="J94" i="5" s="1"/>
  <c r="N94" i="5" a="1"/>
  <c r="N94" i="5" s="1"/>
  <c r="G94" i="5" a="1"/>
  <c r="G94" i="5" s="1"/>
  <c r="D94" i="5" a="1"/>
  <c r="D94" i="5" s="1"/>
  <c r="C95" i="5"/>
  <c r="T95" i="5" l="1" a="1"/>
  <c r="T95" i="5" s="1"/>
  <c r="AG95" i="5" a="1"/>
  <c r="AG95" i="5" s="1"/>
  <c r="AF95" i="5" a="1"/>
  <c r="AF95" i="5" s="1"/>
  <c r="AE95" i="5" a="1"/>
  <c r="AE95" i="5" s="1"/>
  <c r="AD95" i="5" a="1"/>
  <c r="AD95" i="5" s="1"/>
  <c r="AC95" i="5" a="1"/>
  <c r="AC95" i="5" s="1"/>
  <c r="AB95" i="5" a="1"/>
  <c r="AB95" i="5" s="1"/>
  <c r="AA95" i="5" a="1"/>
  <c r="AA95" i="5" s="1"/>
  <c r="Z95" i="5" a="1"/>
  <c r="Z95" i="5" s="1"/>
  <c r="Y95" i="5" a="1"/>
  <c r="Y95" i="5" s="1"/>
  <c r="X95" i="5" a="1"/>
  <c r="X95" i="5" s="1"/>
  <c r="W95" i="5" a="1"/>
  <c r="W95" i="5" s="1"/>
  <c r="U95" i="5" a="1"/>
  <c r="U95" i="5" s="1"/>
  <c r="V95" i="5" a="1"/>
  <c r="V95" i="5" s="1"/>
  <c r="S95" i="5" a="1"/>
  <c r="S95" i="5" s="1"/>
  <c r="E95" i="5" a="1"/>
  <c r="E95" i="5" s="1"/>
  <c r="H95" i="5" a="1"/>
  <c r="H95" i="5" s="1"/>
  <c r="I95" i="5" a="1"/>
  <c r="I95" i="5" s="1"/>
  <c r="Q95" i="5" a="1"/>
  <c r="Q95" i="5" s="1"/>
  <c r="O95" i="5" a="1"/>
  <c r="O95" i="5" s="1"/>
  <c r="K95" i="5" a="1"/>
  <c r="K95" i="5" s="1"/>
  <c r="F95" i="5" a="1"/>
  <c r="F95" i="5" s="1"/>
  <c r="P95" i="5" a="1"/>
  <c r="P95" i="5" s="1"/>
  <c r="R95" i="5" a="1"/>
  <c r="R95" i="5" s="1"/>
  <c r="N95" i="5" a="1"/>
  <c r="N95" i="5" s="1"/>
  <c r="J95" i="5" a="1"/>
  <c r="J95" i="5" s="1"/>
  <c r="M95" i="5" a="1"/>
  <c r="M95" i="5" s="1"/>
  <c r="L95" i="5" a="1"/>
  <c r="L95" i="5" s="1"/>
  <c r="G95" i="5" a="1"/>
  <c r="G95" i="5" s="1"/>
  <c r="D95" i="5" a="1"/>
  <c r="D95" i="5" s="1"/>
  <c r="C96" i="5"/>
  <c r="T96" i="5" l="1" a="1"/>
  <c r="T96" i="5" s="1"/>
  <c r="AG96" i="5" a="1"/>
  <c r="AG96" i="5" s="1"/>
  <c r="AF96" i="5" a="1"/>
  <c r="AF96" i="5" s="1"/>
  <c r="AE96" i="5" a="1"/>
  <c r="AE96" i="5" s="1"/>
  <c r="AD96" i="5" a="1"/>
  <c r="AD96" i="5" s="1"/>
  <c r="AC96" i="5" a="1"/>
  <c r="AC96" i="5" s="1"/>
  <c r="AB96" i="5" a="1"/>
  <c r="AB96" i="5" s="1"/>
  <c r="AA96" i="5" a="1"/>
  <c r="AA96" i="5" s="1"/>
  <c r="Z96" i="5" a="1"/>
  <c r="Z96" i="5" s="1"/>
  <c r="Y96" i="5" a="1"/>
  <c r="Y96" i="5" s="1"/>
  <c r="X96" i="5" a="1"/>
  <c r="X96" i="5" s="1"/>
  <c r="W96" i="5" a="1"/>
  <c r="W96" i="5" s="1"/>
  <c r="U96" i="5" a="1"/>
  <c r="U96" i="5" s="1"/>
  <c r="V96" i="5" a="1"/>
  <c r="V96" i="5" s="1"/>
  <c r="S96" i="5" a="1"/>
  <c r="S96" i="5" s="1"/>
  <c r="E96" i="5" a="1"/>
  <c r="E96" i="5" s="1"/>
  <c r="H96" i="5" a="1"/>
  <c r="H96" i="5" s="1"/>
  <c r="O96" i="5" a="1"/>
  <c r="O96" i="5" s="1"/>
  <c r="I96" i="5" a="1"/>
  <c r="I96" i="5" s="1"/>
  <c r="Q96" i="5" a="1"/>
  <c r="Q96" i="5" s="1"/>
  <c r="F96" i="5" a="1"/>
  <c r="F96" i="5" s="1"/>
  <c r="K96" i="5" a="1"/>
  <c r="K96" i="5" s="1"/>
  <c r="P96" i="5" a="1"/>
  <c r="P96" i="5" s="1"/>
  <c r="L96" i="5" a="1"/>
  <c r="L96" i="5" s="1"/>
  <c r="M96" i="5" a="1"/>
  <c r="M96" i="5" s="1"/>
  <c r="N96" i="5" a="1"/>
  <c r="N96" i="5" s="1"/>
  <c r="R96" i="5" a="1"/>
  <c r="R96" i="5" s="1"/>
  <c r="J96" i="5" a="1"/>
  <c r="J96" i="5" s="1"/>
  <c r="G96" i="5" a="1"/>
  <c r="G96" i="5" s="1"/>
  <c r="D96" i="5" a="1"/>
  <c r="D96" i="5" s="1"/>
  <c r="C97" i="5"/>
  <c r="T97" i="5" l="1" a="1"/>
  <c r="T97" i="5" s="1"/>
  <c r="AG97" i="5" a="1"/>
  <c r="AG97" i="5" s="1"/>
  <c r="AF97" i="5" a="1"/>
  <c r="AF97" i="5" s="1"/>
  <c r="AE97" i="5" a="1"/>
  <c r="AE97" i="5" s="1"/>
  <c r="AD97" i="5" a="1"/>
  <c r="AD97" i="5" s="1"/>
  <c r="AC97" i="5" a="1"/>
  <c r="AC97" i="5" s="1"/>
  <c r="AB97" i="5" a="1"/>
  <c r="AB97" i="5" s="1"/>
  <c r="AA97" i="5" a="1"/>
  <c r="AA97" i="5" s="1"/>
  <c r="Z97" i="5" a="1"/>
  <c r="Z97" i="5" s="1"/>
  <c r="Y97" i="5" a="1"/>
  <c r="Y97" i="5" s="1"/>
  <c r="X97" i="5" a="1"/>
  <c r="X97" i="5" s="1"/>
  <c r="W97" i="5" a="1"/>
  <c r="W97" i="5" s="1"/>
  <c r="V97" i="5" a="1"/>
  <c r="V97" i="5" s="1"/>
  <c r="U97" i="5" a="1"/>
  <c r="U97" i="5" s="1"/>
  <c r="S97" i="5" a="1"/>
  <c r="S97" i="5" s="1"/>
  <c r="E97" i="5" a="1"/>
  <c r="E97" i="5" s="1"/>
  <c r="H97" i="5" a="1"/>
  <c r="H97" i="5" s="1"/>
  <c r="Q97" i="5" a="1"/>
  <c r="Q97" i="5" s="1"/>
  <c r="K97" i="5" a="1"/>
  <c r="K97" i="5" s="1"/>
  <c r="P97" i="5" a="1"/>
  <c r="P97" i="5" s="1"/>
  <c r="O97" i="5" a="1"/>
  <c r="O97" i="5" s="1"/>
  <c r="F97" i="5" a="1"/>
  <c r="F97" i="5" s="1"/>
  <c r="M97" i="5" a="1"/>
  <c r="M97" i="5" s="1"/>
  <c r="N97" i="5" a="1"/>
  <c r="N97" i="5" s="1"/>
  <c r="R97" i="5" a="1"/>
  <c r="R97" i="5" s="1"/>
  <c r="J97" i="5" a="1"/>
  <c r="J97" i="5" s="1"/>
  <c r="L97" i="5" a="1"/>
  <c r="L97" i="5" s="1"/>
  <c r="I97" i="5" a="1"/>
  <c r="I97" i="5" s="1"/>
  <c r="G97" i="5" a="1"/>
  <c r="G97" i="5" s="1"/>
  <c r="D97" i="5" a="1"/>
  <c r="D97" i="5" s="1"/>
  <c r="C98" i="5"/>
  <c r="T98" i="5" l="1" a="1"/>
  <c r="T98" i="5" s="1"/>
  <c r="AF98" i="5" a="1"/>
  <c r="AF98" i="5" s="1"/>
  <c r="AD29" i="8" s="1"/>
  <c r="AG98" i="5" a="1"/>
  <c r="AG98" i="5" s="1"/>
  <c r="AE98" i="5" a="1"/>
  <c r="AE98" i="5" s="1"/>
  <c r="AD98" i="5" a="1"/>
  <c r="AD98" i="5" s="1"/>
  <c r="AC98" i="5" a="1"/>
  <c r="AC98" i="5" s="1"/>
  <c r="AB98" i="5" a="1"/>
  <c r="AB98" i="5" s="1"/>
  <c r="AA98" i="5" a="1"/>
  <c r="AA98" i="5" s="1"/>
  <c r="Z98" i="5" a="1"/>
  <c r="Z98" i="5" s="1"/>
  <c r="Y98" i="5" a="1"/>
  <c r="Y98" i="5" s="1"/>
  <c r="X98" i="5" a="1"/>
  <c r="X98" i="5" s="1"/>
  <c r="W98" i="5" a="1"/>
  <c r="W98" i="5" s="1"/>
  <c r="Z29" i="8"/>
  <c r="V98" i="5" a="1"/>
  <c r="V98" i="5" s="1"/>
  <c r="U98" i="5" a="1"/>
  <c r="U98" i="5" s="1"/>
  <c r="S98" i="5" a="1"/>
  <c r="S98" i="5" s="1"/>
  <c r="E98" i="5" a="1"/>
  <c r="E98" i="5" s="1"/>
  <c r="H98" i="5" a="1"/>
  <c r="H98" i="5" s="1"/>
  <c r="Q98" i="5" a="1"/>
  <c r="Q98" i="5" s="1"/>
  <c r="I98" i="5" a="1"/>
  <c r="I98" i="5" s="1"/>
  <c r="O98" i="5" a="1"/>
  <c r="O98" i="5" s="1"/>
  <c r="K98" i="5" a="1"/>
  <c r="K98" i="5" s="1"/>
  <c r="I29" i="8" s="1"/>
  <c r="F98" i="5" a="1"/>
  <c r="F98" i="5" s="1"/>
  <c r="P98" i="5" a="1"/>
  <c r="P98" i="5" s="1"/>
  <c r="R98" i="5" a="1"/>
  <c r="R98" i="5" s="1"/>
  <c r="M98" i="5" a="1"/>
  <c r="M98" i="5" s="1"/>
  <c r="J98" i="5" a="1"/>
  <c r="J98" i="5" s="1"/>
  <c r="L98" i="5" a="1"/>
  <c r="L98" i="5" s="1"/>
  <c r="N98" i="5" a="1"/>
  <c r="N98" i="5" s="1"/>
  <c r="G98" i="5" a="1"/>
  <c r="G98" i="5" s="1"/>
  <c r="D98" i="5" a="1"/>
  <c r="D98" i="5" s="1"/>
  <c r="C99" i="5"/>
  <c r="T99" i="5" l="1" a="1"/>
  <c r="T99" i="5" s="1"/>
  <c r="AG99" i="5" a="1"/>
  <c r="AG99" i="5" s="1"/>
  <c r="AF99" i="5" a="1"/>
  <c r="AF99" i="5" s="1"/>
  <c r="AE99" i="5" a="1"/>
  <c r="AE99" i="5" s="1"/>
  <c r="AD99" i="5" a="1"/>
  <c r="AD99" i="5" s="1"/>
  <c r="AC99" i="5" a="1"/>
  <c r="AC99" i="5" s="1"/>
  <c r="AB99" i="5" a="1"/>
  <c r="AB99" i="5" s="1"/>
  <c r="AA99" i="5" a="1"/>
  <c r="AA99" i="5" s="1"/>
  <c r="Z99" i="5" a="1"/>
  <c r="Z99" i="5" s="1"/>
  <c r="Y99" i="5" a="1"/>
  <c r="Y99" i="5" s="1"/>
  <c r="X99" i="5" a="1"/>
  <c r="X99" i="5" s="1"/>
  <c r="W99" i="5" a="1"/>
  <c r="W99" i="5" s="1"/>
  <c r="V99" i="5" a="1"/>
  <c r="V99" i="5" s="1"/>
  <c r="U99" i="5" a="1"/>
  <c r="U99" i="5" s="1"/>
  <c r="S99" i="5" a="1"/>
  <c r="S99" i="5" s="1"/>
  <c r="E99" i="5" a="1"/>
  <c r="E99" i="5" s="1"/>
  <c r="H99" i="5" a="1"/>
  <c r="H99" i="5" s="1"/>
  <c r="I99" i="5" a="1"/>
  <c r="I99" i="5" s="1"/>
  <c r="Q99" i="5" a="1"/>
  <c r="Q99" i="5" s="1"/>
  <c r="R99" i="5" a="1"/>
  <c r="R99" i="5" s="1"/>
  <c r="O99" i="5" a="1"/>
  <c r="O99" i="5" s="1"/>
  <c r="K99" i="5" a="1"/>
  <c r="K99" i="5" s="1"/>
  <c r="P99" i="5" a="1"/>
  <c r="P99" i="5" s="1"/>
  <c r="F99" i="5" a="1"/>
  <c r="F99" i="5" s="1"/>
  <c r="N99" i="5" a="1"/>
  <c r="N99" i="5" s="1"/>
  <c r="J99" i="5" a="1"/>
  <c r="J99" i="5" s="1"/>
  <c r="L99" i="5" a="1"/>
  <c r="L99" i="5" s="1"/>
  <c r="M99" i="5" a="1"/>
  <c r="M99" i="5" s="1"/>
  <c r="G99" i="5" a="1"/>
  <c r="G99" i="5" s="1"/>
  <c r="D99" i="5" a="1"/>
  <c r="D99" i="5" s="1"/>
  <c r="C100" i="5"/>
  <c r="T100" i="5" l="1" a="1"/>
  <c r="T100" i="5" s="1"/>
  <c r="AG100" i="5" a="1"/>
  <c r="AG100" i="5" s="1"/>
  <c r="AF100" i="5" a="1"/>
  <c r="AF100" i="5" s="1"/>
  <c r="AE100" i="5" a="1"/>
  <c r="AE100" i="5" s="1"/>
  <c r="AD100" i="5" a="1"/>
  <c r="AD100" i="5" s="1"/>
  <c r="AC100" i="5" a="1"/>
  <c r="AC100" i="5" s="1"/>
  <c r="AB100" i="5" a="1"/>
  <c r="AB100" i="5" s="1"/>
  <c r="AA100" i="5" a="1"/>
  <c r="AA100" i="5" s="1"/>
  <c r="Z100" i="5" a="1"/>
  <c r="Z100" i="5" s="1"/>
  <c r="Y100" i="5" a="1"/>
  <c r="Y100" i="5" s="1"/>
  <c r="X100" i="5" a="1"/>
  <c r="X100" i="5" s="1"/>
  <c r="W100" i="5" a="1"/>
  <c r="W100" i="5" s="1"/>
  <c r="U100" i="5" a="1"/>
  <c r="U100" i="5" s="1"/>
  <c r="V100" i="5" a="1"/>
  <c r="V100" i="5" s="1"/>
  <c r="S100" i="5" a="1"/>
  <c r="S100" i="5" s="1"/>
  <c r="E100" i="5" a="1"/>
  <c r="E100" i="5" s="1"/>
  <c r="H100" i="5" a="1"/>
  <c r="H100" i="5" s="1"/>
  <c r="I100" i="5" a="1"/>
  <c r="I100" i="5" s="1"/>
  <c r="Q100" i="5" a="1"/>
  <c r="Q100" i="5" s="1"/>
  <c r="P100" i="5" a="1"/>
  <c r="P100" i="5" s="1"/>
  <c r="O100" i="5" a="1"/>
  <c r="O100" i="5" s="1"/>
  <c r="K100" i="5" a="1"/>
  <c r="K100" i="5" s="1"/>
  <c r="F100" i="5" a="1"/>
  <c r="F100" i="5" s="1"/>
  <c r="R100" i="5" a="1"/>
  <c r="R100" i="5" s="1"/>
  <c r="L100" i="5" a="1"/>
  <c r="L100" i="5" s="1"/>
  <c r="M100" i="5" a="1"/>
  <c r="M100" i="5" s="1"/>
  <c r="J100" i="5" a="1"/>
  <c r="J100" i="5" s="1"/>
  <c r="N100" i="5" a="1"/>
  <c r="N100" i="5" s="1"/>
  <c r="G100" i="5" a="1"/>
  <c r="G100" i="5" s="1"/>
  <c r="D100" i="5" a="1"/>
  <c r="D100" i="5" s="1"/>
  <c r="C101" i="5"/>
  <c r="T101" i="5" l="1" a="1"/>
  <c r="T101" i="5" s="1"/>
  <c r="AG101" i="5" a="1"/>
  <c r="AG101" i="5" s="1"/>
  <c r="AF101" i="5" a="1"/>
  <c r="AF101" i="5" s="1"/>
  <c r="AE101" i="5" a="1"/>
  <c r="AE101" i="5" s="1"/>
  <c r="AD101" i="5" a="1"/>
  <c r="AD101" i="5" s="1"/>
  <c r="AC101" i="5" a="1"/>
  <c r="AC101" i="5" s="1"/>
  <c r="AB101" i="5" a="1"/>
  <c r="AB101" i="5" s="1"/>
  <c r="AA101" i="5" a="1"/>
  <c r="AA101" i="5" s="1"/>
  <c r="Z101" i="5" a="1"/>
  <c r="Z101" i="5" s="1"/>
  <c r="Y101" i="5" a="1"/>
  <c r="Y101" i="5" s="1"/>
  <c r="X101" i="5" a="1"/>
  <c r="X101" i="5" s="1"/>
  <c r="W101" i="5" a="1"/>
  <c r="W101" i="5" s="1"/>
  <c r="U101" i="5" a="1"/>
  <c r="U101" i="5" s="1"/>
  <c r="V101" i="5" a="1"/>
  <c r="V101" i="5" s="1"/>
  <c r="S101" i="5" a="1"/>
  <c r="S101" i="5" s="1"/>
  <c r="E101" i="5" a="1"/>
  <c r="E101" i="5" s="1"/>
  <c r="H101" i="5" a="1"/>
  <c r="H101" i="5" s="1"/>
  <c r="I101" i="5" a="1"/>
  <c r="I101" i="5" s="1"/>
  <c r="Q101" i="5" a="1"/>
  <c r="Q101" i="5" s="1"/>
  <c r="R101" i="5" a="1"/>
  <c r="R101" i="5" s="1"/>
  <c r="F101" i="5" a="1"/>
  <c r="F101" i="5" s="1"/>
  <c r="P101" i="5" a="1"/>
  <c r="P101" i="5" s="1"/>
  <c r="O101" i="5" a="1"/>
  <c r="O101" i="5" s="1"/>
  <c r="K101" i="5" a="1"/>
  <c r="K101" i="5" s="1"/>
  <c r="L101" i="5" a="1"/>
  <c r="L101" i="5" s="1"/>
  <c r="N101" i="5" a="1"/>
  <c r="N101" i="5" s="1"/>
  <c r="G101" i="5" a="1"/>
  <c r="G101" i="5" s="1"/>
  <c r="J101" i="5" a="1"/>
  <c r="J101" i="5" s="1"/>
  <c r="M101" i="5" a="1"/>
  <c r="M101" i="5" s="1"/>
  <c r="D101" i="5" a="1"/>
  <c r="D101" i="5" s="1"/>
  <c r="C102" i="5"/>
  <c r="T102" i="5" l="1" a="1"/>
  <c r="T102" i="5" s="1"/>
  <c r="AF102" i="5" a="1"/>
  <c r="AF102" i="5" s="1"/>
  <c r="AD30" i="8" s="1"/>
  <c r="AG102" i="5" a="1"/>
  <c r="AG102" i="5" s="1"/>
  <c r="AE102" i="5" a="1"/>
  <c r="AE102" i="5" s="1"/>
  <c r="AD102" i="5" a="1"/>
  <c r="AD102" i="5" s="1"/>
  <c r="AC102" i="5" a="1"/>
  <c r="AC102" i="5" s="1"/>
  <c r="AA30" i="8" s="1"/>
  <c r="AB102" i="5" a="1"/>
  <c r="AB102" i="5" s="1"/>
  <c r="Z30" i="8" s="1"/>
  <c r="AA102" i="5" a="1"/>
  <c r="AA102" i="5" s="1"/>
  <c r="W102" i="5" a="1"/>
  <c r="W102" i="5" s="1"/>
  <c r="Z102" i="5" a="1"/>
  <c r="Z102" i="5" s="1"/>
  <c r="Y102" i="5" a="1"/>
  <c r="Y102" i="5" s="1"/>
  <c r="X102" i="5" a="1"/>
  <c r="X102" i="5" s="1"/>
  <c r="U102" i="5" a="1"/>
  <c r="U102" i="5" s="1"/>
  <c r="V102" i="5" a="1"/>
  <c r="V102" i="5" s="1"/>
  <c r="S102" i="5" a="1"/>
  <c r="S102" i="5" s="1"/>
  <c r="E102" i="5" a="1"/>
  <c r="E102" i="5" s="1"/>
  <c r="H102" i="5" a="1"/>
  <c r="H102" i="5" s="1"/>
  <c r="I102" i="5" a="1"/>
  <c r="I102" i="5" s="1"/>
  <c r="Q102" i="5" a="1"/>
  <c r="Q102" i="5" s="1"/>
  <c r="O30" i="8" s="1"/>
  <c r="O102" i="5" a="1"/>
  <c r="O102" i="5" s="1"/>
  <c r="K102" i="5" a="1"/>
  <c r="K102" i="5" s="1"/>
  <c r="F102" i="5" a="1"/>
  <c r="F102" i="5" s="1"/>
  <c r="L102" i="5" a="1"/>
  <c r="L102" i="5" s="1"/>
  <c r="P102" i="5" a="1"/>
  <c r="P102" i="5" s="1"/>
  <c r="N102" i="5" a="1"/>
  <c r="N102" i="5" s="1"/>
  <c r="J102" i="5" a="1"/>
  <c r="J102" i="5" s="1"/>
  <c r="G102" i="5" a="1"/>
  <c r="G102" i="5" s="1"/>
  <c r="R102" i="5" a="1"/>
  <c r="R102" i="5" s="1"/>
  <c r="M102" i="5" a="1"/>
  <c r="M102" i="5" s="1"/>
  <c r="D102" i="5" a="1"/>
  <c r="D102" i="5" s="1"/>
  <c r="C103" i="5"/>
  <c r="T103" i="5" l="1" a="1"/>
  <c r="T103" i="5" s="1"/>
  <c r="AG103" i="5" a="1"/>
  <c r="AG103" i="5" s="1"/>
  <c r="AF103" i="5" a="1"/>
  <c r="AF103" i="5" s="1"/>
  <c r="AE103" i="5" a="1"/>
  <c r="AE103" i="5" s="1"/>
  <c r="AD103" i="5" a="1"/>
  <c r="AD103" i="5" s="1"/>
  <c r="AC103" i="5" a="1"/>
  <c r="AC103" i="5" s="1"/>
  <c r="AB103" i="5" a="1"/>
  <c r="AB103" i="5" s="1"/>
  <c r="AA103" i="5" a="1"/>
  <c r="AA103" i="5" s="1"/>
  <c r="Z103" i="5" a="1"/>
  <c r="Z103" i="5" s="1"/>
  <c r="Y103" i="5" a="1"/>
  <c r="Y103" i="5" s="1"/>
  <c r="X103" i="5" a="1"/>
  <c r="X103" i="5" s="1"/>
  <c r="W103" i="5" a="1"/>
  <c r="W103" i="5" s="1"/>
  <c r="U103" i="5" a="1"/>
  <c r="U103" i="5" s="1"/>
  <c r="V103" i="5" a="1"/>
  <c r="V103" i="5" s="1"/>
  <c r="S103" i="5" a="1"/>
  <c r="S103" i="5" s="1"/>
  <c r="E103" i="5" a="1"/>
  <c r="E103" i="5" s="1"/>
  <c r="H103" i="5" a="1"/>
  <c r="H103" i="5" s="1"/>
  <c r="Q103" i="5" a="1"/>
  <c r="Q103" i="5" s="1"/>
  <c r="I103" i="5" a="1"/>
  <c r="I103" i="5" s="1"/>
  <c r="F103" i="5" a="1"/>
  <c r="F103" i="5" s="1"/>
  <c r="P103" i="5" a="1"/>
  <c r="P103" i="5" s="1"/>
  <c r="K103" i="5" a="1"/>
  <c r="K103" i="5" s="1"/>
  <c r="O103" i="5" a="1"/>
  <c r="O103" i="5" s="1"/>
  <c r="J103" i="5" a="1"/>
  <c r="J103" i="5" s="1"/>
  <c r="M103" i="5" a="1"/>
  <c r="M103" i="5" s="1"/>
  <c r="R103" i="5" a="1"/>
  <c r="R103" i="5" s="1"/>
  <c r="L103" i="5" a="1"/>
  <c r="L103" i="5" s="1"/>
  <c r="G103" i="5" a="1"/>
  <c r="G103" i="5" s="1"/>
  <c r="N103" i="5" a="1"/>
  <c r="N103" i="5" s="1"/>
  <c r="D103" i="5" a="1"/>
  <c r="D103" i="5" s="1"/>
  <c r="C104" i="5"/>
  <c r="T104" i="5" l="1" a="1"/>
  <c r="T104" i="5" s="1"/>
  <c r="AG104" i="5" a="1"/>
  <c r="AG104" i="5" s="1"/>
  <c r="AF104" i="5" a="1"/>
  <c r="AF104" i="5" s="1"/>
  <c r="AE104" i="5" a="1"/>
  <c r="AE104" i="5" s="1"/>
  <c r="AD104" i="5" a="1"/>
  <c r="AD104" i="5" s="1"/>
  <c r="AC104" i="5" a="1"/>
  <c r="AC104" i="5" s="1"/>
  <c r="AB104" i="5" a="1"/>
  <c r="AB104" i="5" s="1"/>
  <c r="AA104" i="5" a="1"/>
  <c r="AA104" i="5" s="1"/>
  <c r="W104" i="5" a="1"/>
  <c r="W104" i="5" s="1"/>
  <c r="X104" i="5" a="1"/>
  <c r="X104" i="5" s="1"/>
  <c r="Z104" i="5" a="1"/>
  <c r="Z104" i="5" s="1"/>
  <c r="Y104" i="5" a="1"/>
  <c r="Y104" i="5" s="1"/>
  <c r="U104" i="5" a="1"/>
  <c r="U104" i="5" s="1"/>
  <c r="V104" i="5" a="1"/>
  <c r="V104" i="5" s="1"/>
  <c r="S104" i="5" a="1"/>
  <c r="S104" i="5" s="1"/>
  <c r="E104" i="5" a="1"/>
  <c r="E104" i="5" s="1"/>
  <c r="H104" i="5" a="1"/>
  <c r="H104" i="5" s="1"/>
  <c r="I104" i="5" a="1"/>
  <c r="I104" i="5" s="1"/>
  <c r="Q104" i="5" a="1"/>
  <c r="Q104" i="5" s="1"/>
  <c r="F104" i="5" a="1"/>
  <c r="F104" i="5" s="1"/>
  <c r="P104" i="5" a="1"/>
  <c r="P104" i="5" s="1"/>
  <c r="O104" i="5" a="1"/>
  <c r="O104" i="5" s="1"/>
  <c r="K104" i="5" a="1"/>
  <c r="K104" i="5" s="1"/>
  <c r="J104" i="5" a="1"/>
  <c r="J104" i="5" s="1"/>
  <c r="R104" i="5" a="1"/>
  <c r="R104" i="5" s="1"/>
  <c r="L104" i="5" a="1"/>
  <c r="L104" i="5" s="1"/>
  <c r="M104" i="5" a="1"/>
  <c r="M104" i="5" s="1"/>
  <c r="N104" i="5" a="1"/>
  <c r="N104" i="5" s="1"/>
  <c r="G104" i="5" a="1"/>
  <c r="G104" i="5" s="1"/>
  <c r="D104" i="5" a="1"/>
  <c r="D104" i="5" s="1"/>
  <c r="C105" i="5"/>
  <c r="T105" i="5" l="1" a="1"/>
  <c r="T105" i="5" s="1"/>
  <c r="AG105" i="5" a="1"/>
  <c r="AG105" i="5" s="1"/>
  <c r="AF105" i="5" a="1"/>
  <c r="AF105" i="5" s="1"/>
  <c r="AD105" i="5" a="1"/>
  <c r="AD105" i="5" s="1"/>
  <c r="AC105" i="5" a="1"/>
  <c r="AC105" i="5" s="1"/>
  <c r="AB105" i="5" a="1"/>
  <c r="AB105" i="5" s="1"/>
  <c r="AE105" i="5" a="1"/>
  <c r="AE105" i="5" s="1"/>
  <c r="AA105" i="5" a="1"/>
  <c r="AA105" i="5" s="1"/>
  <c r="Z105" i="5" a="1"/>
  <c r="Z105" i="5" s="1"/>
  <c r="Y105" i="5" a="1"/>
  <c r="Y105" i="5" s="1"/>
  <c r="X105" i="5" a="1"/>
  <c r="X105" i="5" s="1"/>
  <c r="W105" i="5" a="1"/>
  <c r="W105" i="5" s="1"/>
  <c r="V105" i="5" a="1"/>
  <c r="V105" i="5" s="1"/>
  <c r="U105" i="5" a="1"/>
  <c r="U105" i="5" s="1"/>
  <c r="S105" i="5" a="1"/>
  <c r="S105" i="5" s="1"/>
  <c r="E105" i="5" a="1"/>
  <c r="E105" i="5" s="1"/>
  <c r="H105" i="5" a="1"/>
  <c r="H105" i="5" s="1"/>
  <c r="I105" i="5" a="1"/>
  <c r="I105" i="5" s="1"/>
  <c r="Q105" i="5" a="1"/>
  <c r="Q105" i="5" s="1"/>
  <c r="O105" i="5" a="1"/>
  <c r="O105" i="5" s="1"/>
  <c r="K105" i="5" a="1"/>
  <c r="K105" i="5" s="1"/>
  <c r="F105" i="5" a="1"/>
  <c r="F105" i="5" s="1"/>
  <c r="P105" i="5" a="1"/>
  <c r="P105" i="5" s="1"/>
  <c r="N105" i="5" a="1"/>
  <c r="N105" i="5" s="1"/>
  <c r="J105" i="5" a="1"/>
  <c r="J105" i="5" s="1"/>
  <c r="L105" i="5" a="1"/>
  <c r="L105" i="5" s="1"/>
  <c r="R105" i="5" a="1"/>
  <c r="R105" i="5" s="1"/>
  <c r="M105" i="5" a="1"/>
  <c r="M105" i="5" s="1"/>
  <c r="G105" i="5" a="1"/>
  <c r="G105" i="5" s="1"/>
  <c r="D105" i="5" a="1"/>
  <c r="D105" i="5" s="1"/>
  <c r="C106" i="5"/>
  <c r="T106" i="5" l="1" a="1"/>
  <c r="T106" i="5" s="1"/>
  <c r="AG106" i="5" a="1"/>
  <c r="AG106" i="5" s="1"/>
  <c r="AF106" i="5" a="1"/>
  <c r="AF106" i="5" s="1"/>
  <c r="AE106" i="5" a="1"/>
  <c r="AE106" i="5" s="1"/>
  <c r="AD106" i="5" a="1"/>
  <c r="AD106" i="5" s="1"/>
  <c r="AC106" i="5" a="1"/>
  <c r="AC106" i="5" s="1"/>
  <c r="AB106" i="5" a="1"/>
  <c r="AB106" i="5" s="1"/>
  <c r="Z31" i="8" s="1"/>
  <c r="AA106" i="5" a="1"/>
  <c r="AA106" i="5" s="1"/>
  <c r="W106" i="5" a="1"/>
  <c r="W106" i="5" s="1"/>
  <c r="Y106" i="5" a="1"/>
  <c r="Y106" i="5" s="1"/>
  <c r="X106" i="5" a="1"/>
  <c r="X106" i="5" s="1"/>
  <c r="Z106" i="5" a="1"/>
  <c r="Z106" i="5" s="1"/>
  <c r="AC31" i="8"/>
  <c r="AA31" i="8"/>
  <c r="AB31" i="8"/>
  <c r="V31" i="8"/>
  <c r="AD31" i="8"/>
  <c r="W31" i="8"/>
  <c r="AE31" i="8"/>
  <c r="X31" i="8"/>
  <c r="V106" i="5" a="1"/>
  <c r="V106" i="5" s="1"/>
  <c r="U106" i="5" a="1"/>
  <c r="U106" i="5" s="1"/>
  <c r="S106" i="5" a="1"/>
  <c r="S106" i="5" s="1"/>
  <c r="E106" i="5" a="1"/>
  <c r="E106" i="5" s="1"/>
  <c r="H106" i="5" a="1"/>
  <c r="H106" i="5" s="1"/>
  <c r="Q106" i="5" a="1"/>
  <c r="Q106" i="5" s="1"/>
  <c r="K106" i="5" a="1"/>
  <c r="K106" i="5" s="1"/>
  <c r="I106" i="5" a="1"/>
  <c r="I106" i="5" s="1"/>
  <c r="O106" i="5" a="1"/>
  <c r="O106" i="5" s="1"/>
  <c r="P106" i="5" a="1"/>
  <c r="P106" i="5" s="1"/>
  <c r="R106" i="5" a="1"/>
  <c r="R106" i="5" s="1"/>
  <c r="N106" i="5" a="1"/>
  <c r="N106" i="5" s="1"/>
  <c r="J106" i="5" a="1"/>
  <c r="J106" i="5" s="1"/>
  <c r="L106" i="5" a="1"/>
  <c r="L106" i="5" s="1"/>
  <c r="F106" i="5" a="1"/>
  <c r="F106" i="5" s="1"/>
  <c r="M106" i="5" a="1"/>
  <c r="M106" i="5" s="1"/>
  <c r="G106" i="5" a="1"/>
  <c r="G106" i="5" s="1"/>
  <c r="D106" i="5" a="1"/>
  <c r="D106" i="5" s="1"/>
  <c r="C107" i="5"/>
  <c r="T107" i="5" l="1" a="1"/>
  <c r="T107" i="5" s="1"/>
  <c r="AG107" i="5" a="1"/>
  <c r="AG107" i="5" s="1"/>
  <c r="AF107" i="5" a="1"/>
  <c r="AF107" i="5" s="1"/>
  <c r="AD107" i="5" a="1"/>
  <c r="AD107" i="5" s="1"/>
  <c r="AC107" i="5" a="1"/>
  <c r="AC107" i="5" s="1"/>
  <c r="AB107" i="5" a="1"/>
  <c r="AB107" i="5" s="1"/>
  <c r="AE107" i="5" a="1"/>
  <c r="AE107" i="5" s="1"/>
  <c r="AA107" i="5" a="1"/>
  <c r="AA107" i="5" s="1"/>
  <c r="Z107" i="5" a="1"/>
  <c r="Z107" i="5" s="1"/>
  <c r="X107" i="5" a="1"/>
  <c r="X107" i="5" s="1"/>
  <c r="W107" i="5" a="1"/>
  <c r="W107" i="5" s="1"/>
  <c r="Y107" i="5" a="1"/>
  <c r="Y107" i="5" s="1"/>
  <c r="V107" i="5" a="1"/>
  <c r="V107" i="5" s="1"/>
  <c r="U107" i="5" a="1"/>
  <c r="U107" i="5" s="1"/>
  <c r="S107" i="5" a="1"/>
  <c r="S107" i="5" s="1"/>
  <c r="E107" i="5" a="1"/>
  <c r="E107" i="5" s="1"/>
  <c r="H107" i="5" a="1"/>
  <c r="H107" i="5" s="1"/>
  <c r="Q107" i="5" a="1"/>
  <c r="Q107" i="5" s="1"/>
  <c r="I107" i="5" a="1"/>
  <c r="I107" i="5" s="1"/>
  <c r="F107" i="5" a="1"/>
  <c r="F107" i="5" s="1"/>
  <c r="O107" i="5" a="1"/>
  <c r="O107" i="5" s="1"/>
  <c r="P107" i="5" a="1"/>
  <c r="P107" i="5" s="1"/>
  <c r="R107" i="5" a="1"/>
  <c r="R107" i="5" s="1"/>
  <c r="L107" i="5" a="1"/>
  <c r="L107" i="5" s="1"/>
  <c r="K107" i="5" a="1"/>
  <c r="K107" i="5" s="1"/>
  <c r="J107" i="5" a="1"/>
  <c r="J107" i="5" s="1"/>
  <c r="G107" i="5" a="1"/>
  <c r="G107" i="5" s="1"/>
  <c r="M107" i="5" a="1"/>
  <c r="M107" i="5" s="1"/>
  <c r="N107" i="5" a="1"/>
  <c r="N107" i="5" s="1"/>
  <c r="D107" i="5" a="1"/>
  <c r="D107" i="5" s="1"/>
  <c r="C108" i="5"/>
  <c r="T108" i="5" l="1" a="1"/>
  <c r="T108" i="5" s="1"/>
  <c r="AG108" i="5" a="1"/>
  <c r="AG108" i="5" s="1"/>
  <c r="AF108" i="5" a="1"/>
  <c r="AF108" i="5" s="1"/>
  <c r="AE108" i="5" a="1"/>
  <c r="AE108" i="5" s="1"/>
  <c r="AD108" i="5" a="1"/>
  <c r="AD108" i="5" s="1"/>
  <c r="AC108" i="5" a="1"/>
  <c r="AC108" i="5" s="1"/>
  <c r="AB108" i="5" a="1"/>
  <c r="AB108" i="5" s="1"/>
  <c r="AA108" i="5" a="1"/>
  <c r="AA108" i="5" s="1"/>
  <c r="X108" i="5" a="1"/>
  <c r="X108" i="5" s="1"/>
  <c r="W108" i="5" a="1"/>
  <c r="W108" i="5" s="1"/>
  <c r="Z108" i="5" a="1"/>
  <c r="Z108" i="5" s="1"/>
  <c r="Y108" i="5" a="1"/>
  <c r="Y108" i="5" s="1"/>
  <c r="U108" i="5" a="1"/>
  <c r="U108" i="5" s="1"/>
  <c r="V108" i="5" a="1"/>
  <c r="V108" i="5" s="1"/>
  <c r="S108" i="5" a="1"/>
  <c r="S108" i="5" s="1"/>
  <c r="E108" i="5" a="1"/>
  <c r="E108" i="5" s="1"/>
  <c r="H108" i="5" a="1"/>
  <c r="H108" i="5" s="1"/>
  <c r="Q108" i="5" a="1"/>
  <c r="Q108" i="5" s="1"/>
  <c r="O108" i="5" a="1"/>
  <c r="O108" i="5" s="1"/>
  <c r="F108" i="5" a="1"/>
  <c r="F108" i="5" s="1"/>
  <c r="R108" i="5" a="1"/>
  <c r="R108" i="5" s="1"/>
  <c r="I108" i="5" a="1"/>
  <c r="I108" i="5" s="1"/>
  <c r="P108" i="5" a="1"/>
  <c r="P108" i="5" s="1"/>
  <c r="K108" i="5" a="1"/>
  <c r="K108" i="5" s="1"/>
  <c r="J108" i="5" a="1"/>
  <c r="J108" i="5" s="1"/>
  <c r="N108" i="5" a="1"/>
  <c r="N108" i="5" s="1"/>
  <c r="M108" i="5" a="1"/>
  <c r="M108" i="5" s="1"/>
  <c r="G108" i="5" a="1"/>
  <c r="G108" i="5" s="1"/>
  <c r="L108" i="5" a="1"/>
  <c r="L108" i="5" s="1"/>
  <c r="D108" i="5" a="1"/>
  <c r="D108" i="5" s="1"/>
  <c r="C109" i="5"/>
  <c r="T109" i="5" l="1" a="1"/>
  <c r="T109" i="5" s="1"/>
  <c r="AG109" i="5" a="1"/>
  <c r="AG109" i="5" s="1"/>
  <c r="AF109" i="5" a="1"/>
  <c r="AF109" i="5" s="1"/>
  <c r="AD109" i="5" a="1"/>
  <c r="AD109" i="5" s="1"/>
  <c r="AC109" i="5" a="1"/>
  <c r="AC109" i="5" s="1"/>
  <c r="AB109" i="5" a="1"/>
  <c r="AB109" i="5" s="1"/>
  <c r="AE109" i="5" a="1"/>
  <c r="AE109" i="5" s="1"/>
  <c r="AA109" i="5" a="1"/>
  <c r="AA109" i="5" s="1"/>
  <c r="Z109" i="5" a="1"/>
  <c r="Z109" i="5" s="1"/>
  <c r="Y109" i="5" a="1"/>
  <c r="Y109" i="5" s="1"/>
  <c r="X109" i="5" a="1"/>
  <c r="X109" i="5" s="1"/>
  <c r="W109" i="5" a="1"/>
  <c r="W109" i="5" s="1"/>
  <c r="U109" i="5" a="1"/>
  <c r="U109" i="5" s="1"/>
  <c r="V109" i="5" a="1"/>
  <c r="V109" i="5" s="1"/>
  <c r="S109" i="5" a="1"/>
  <c r="S109" i="5" s="1"/>
  <c r="E109" i="5" a="1"/>
  <c r="E109" i="5" s="1"/>
  <c r="H109" i="5" a="1"/>
  <c r="H109" i="5" s="1"/>
  <c r="Q109" i="5" a="1"/>
  <c r="Q109" i="5" s="1"/>
  <c r="I109" i="5" a="1"/>
  <c r="I109" i="5" s="1"/>
  <c r="R109" i="5" a="1"/>
  <c r="R109" i="5" s="1"/>
  <c r="K109" i="5" a="1"/>
  <c r="K109" i="5" s="1"/>
  <c r="F109" i="5" a="1"/>
  <c r="F109" i="5" s="1"/>
  <c r="P109" i="5" a="1"/>
  <c r="P109" i="5" s="1"/>
  <c r="N109" i="5" a="1"/>
  <c r="N109" i="5" s="1"/>
  <c r="L109" i="5" a="1"/>
  <c r="L109" i="5" s="1"/>
  <c r="J109" i="5" a="1"/>
  <c r="J109" i="5" s="1"/>
  <c r="O109" i="5" a="1"/>
  <c r="O109" i="5" s="1"/>
  <c r="M109" i="5" a="1"/>
  <c r="M109" i="5" s="1"/>
  <c r="G109" i="5" a="1"/>
  <c r="G109" i="5" s="1"/>
  <c r="D109" i="5" a="1"/>
  <c r="D109" i="5" s="1"/>
  <c r="C110" i="5"/>
  <c r="T110" i="5" l="1" a="1"/>
  <c r="T110" i="5" s="1"/>
  <c r="AG110" i="5" a="1"/>
  <c r="AG110" i="5" s="1"/>
  <c r="AF110" i="5" a="1"/>
  <c r="AF110" i="5" s="1"/>
  <c r="AD32" i="8" s="1"/>
  <c r="AE110" i="5" a="1"/>
  <c r="AE110" i="5" s="1"/>
  <c r="AD110" i="5" a="1"/>
  <c r="AD110" i="5" s="1"/>
  <c r="AC110" i="5" a="1"/>
  <c r="AC110" i="5" s="1"/>
  <c r="AB110" i="5" a="1"/>
  <c r="AB110" i="5" s="1"/>
  <c r="Z32" i="8" s="1"/>
  <c r="AA110" i="5" a="1"/>
  <c r="AA110" i="5" s="1"/>
  <c r="X110" i="5" a="1"/>
  <c r="X110" i="5" s="1"/>
  <c r="W110" i="5" a="1"/>
  <c r="W110" i="5" s="1"/>
  <c r="Z110" i="5" a="1"/>
  <c r="Z110" i="5" s="1"/>
  <c r="Y110" i="5" a="1"/>
  <c r="Y110" i="5" s="1"/>
  <c r="AC32" i="8"/>
  <c r="U110" i="5" a="1"/>
  <c r="U110" i="5" s="1"/>
  <c r="V110" i="5" a="1"/>
  <c r="V110" i="5" s="1"/>
  <c r="S110" i="5" a="1"/>
  <c r="S110" i="5" s="1"/>
  <c r="E110" i="5" a="1"/>
  <c r="E110" i="5" s="1"/>
  <c r="H110" i="5" a="1"/>
  <c r="H110" i="5" s="1"/>
  <c r="Q110" i="5" a="1"/>
  <c r="Q110" i="5" s="1"/>
  <c r="I110" i="5" a="1"/>
  <c r="I110" i="5" s="1"/>
  <c r="K110" i="5" a="1"/>
  <c r="K110" i="5" s="1"/>
  <c r="P110" i="5" a="1"/>
  <c r="P110" i="5" s="1"/>
  <c r="O110" i="5" a="1"/>
  <c r="O110" i="5" s="1"/>
  <c r="M110" i="5" a="1"/>
  <c r="M110" i="5" s="1"/>
  <c r="F110" i="5" a="1"/>
  <c r="F110" i="5" s="1"/>
  <c r="R110" i="5" a="1"/>
  <c r="R110" i="5" s="1"/>
  <c r="N110" i="5" a="1"/>
  <c r="N110" i="5" s="1"/>
  <c r="L110" i="5" a="1"/>
  <c r="L110" i="5" s="1"/>
  <c r="J110" i="5" a="1"/>
  <c r="J110" i="5" s="1"/>
  <c r="G110" i="5" a="1"/>
  <c r="G110" i="5" s="1"/>
  <c r="D110" i="5" a="1"/>
  <c r="D110" i="5" s="1"/>
  <c r="C111" i="5"/>
  <c r="T111" i="5" l="1" a="1"/>
  <c r="T111" i="5" s="1"/>
  <c r="AG111" i="5" a="1"/>
  <c r="AG111" i="5" s="1"/>
  <c r="AF111" i="5" a="1"/>
  <c r="AF111" i="5" s="1"/>
  <c r="AD111" i="5" a="1"/>
  <c r="AD111" i="5" s="1"/>
  <c r="AC111" i="5" a="1"/>
  <c r="AC111" i="5" s="1"/>
  <c r="AB111" i="5" a="1"/>
  <c r="AB111" i="5" s="1"/>
  <c r="AE111" i="5" a="1"/>
  <c r="AE111" i="5" s="1"/>
  <c r="AA111" i="5" a="1"/>
  <c r="AA111" i="5" s="1"/>
  <c r="Z111" i="5" a="1"/>
  <c r="Z111" i="5" s="1"/>
  <c r="Y111" i="5" a="1"/>
  <c r="Y111" i="5" s="1"/>
  <c r="X111" i="5" a="1"/>
  <c r="X111" i="5" s="1"/>
  <c r="W111" i="5" a="1"/>
  <c r="W111" i="5" s="1"/>
  <c r="U111" i="5" a="1"/>
  <c r="U111" i="5" s="1"/>
  <c r="V111" i="5" a="1"/>
  <c r="V111" i="5" s="1"/>
  <c r="S111" i="5" a="1"/>
  <c r="S111" i="5" s="1"/>
  <c r="E111" i="5" a="1"/>
  <c r="E111" i="5" s="1"/>
  <c r="H111" i="5" a="1"/>
  <c r="H111" i="5" s="1"/>
  <c r="I111" i="5" a="1"/>
  <c r="I111" i="5" s="1"/>
  <c r="Q111" i="5" a="1"/>
  <c r="Q111" i="5" s="1"/>
  <c r="P111" i="5" a="1"/>
  <c r="P111" i="5" s="1"/>
  <c r="K111" i="5" a="1"/>
  <c r="K111" i="5" s="1"/>
  <c r="F111" i="5" a="1"/>
  <c r="F111" i="5" s="1"/>
  <c r="R111" i="5" a="1"/>
  <c r="R111" i="5" s="1"/>
  <c r="L111" i="5" a="1"/>
  <c r="L111" i="5" s="1"/>
  <c r="N111" i="5" a="1"/>
  <c r="N111" i="5" s="1"/>
  <c r="O111" i="5" a="1"/>
  <c r="O111" i="5" s="1"/>
  <c r="J111" i="5" a="1"/>
  <c r="J111" i="5" s="1"/>
  <c r="G111" i="5" a="1"/>
  <c r="G111" i="5" s="1"/>
  <c r="M111" i="5" a="1"/>
  <c r="M111" i="5" s="1"/>
  <c r="D111" i="5" a="1"/>
  <c r="D111" i="5" s="1"/>
  <c r="C112" i="5"/>
  <c r="T112" i="5" l="1" a="1"/>
  <c r="T112" i="5" s="1"/>
  <c r="AG112" i="5" a="1"/>
  <c r="AG112" i="5" s="1"/>
  <c r="AF112" i="5" a="1"/>
  <c r="AF112" i="5" s="1"/>
  <c r="AE112" i="5" a="1"/>
  <c r="AE112" i="5" s="1"/>
  <c r="AD112" i="5" a="1"/>
  <c r="AD112" i="5" s="1"/>
  <c r="AC112" i="5" a="1"/>
  <c r="AC112" i="5" s="1"/>
  <c r="AB112" i="5" a="1"/>
  <c r="AB112" i="5" s="1"/>
  <c r="AA112" i="5" a="1"/>
  <c r="AA112" i="5" s="1"/>
  <c r="X112" i="5" a="1"/>
  <c r="X112" i="5" s="1"/>
  <c r="W112" i="5" a="1"/>
  <c r="W112" i="5" s="1"/>
  <c r="Z112" i="5" a="1"/>
  <c r="Z112" i="5" s="1"/>
  <c r="Y112" i="5" a="1"/>
  <c r="Y112" i="5" s="1"/>
  <c r="V112" i="5" a="1"/>
  <c r="V112" i="5" s="1"/>
  <c r="S112" i="5" a="1"/>
  <c r="S112" i="5" s="1"/>
  <c r="U112" i="5" a="1"/>
  <c r="U112" i="5" s="1"/>
  <c r="E112" i="5" a="1"/>
  <c r="E112" i="5" s="1"/>
  <c r="H112" i="5" a="1"/>
  <c r="H112" i="5" s="1"/>
  <c r="Q112" i="5" a="1"/>
  <c r="Q112" i="5" s="1"/>
  <c r="I112" i="5" a="1"/>
  <c r="I112" i="5" s="1"/>
  <c r="K112" i="5" a="1"/>
  <c r="K112" i="5" s="1"/>
  <c r="R112" i="5" a="1"/>
  <c r="R112" i="5" s="1"/>
  <c r="F112" i="5" a="1"/>
  <c r="F112" i="5" s="1"/>
  <c r="O112" i="5" a="1"/>
  <c r="O112" i="5" s="1"/>
  <c r="P112" i="5" a="1"/>
  <c r="P112" i="5" s="1"/>
  <c r="N112" i="5" a="1"/>
  <c r="N112" i="5" s="1"/>
  <c r="J112" i="5" a="1"/>
  <c r="J112" i="5" s="1"/>
  <c r="L112" i="5" a="1"/>
  <c r="L112" i="5" s="1"/>
  <c r="M112" i="5" a="1"/>
  <c r="M112" i="5" s="1"/>
  <c r="G112" i="5" a="1"/>
  <c r="G112" i="5" s="1"/>
  <c r="D112" i="5" a="1"/>
  <c r="D112" i="5" s="1"/>
  <c r="C113" i="5"/>
  <c r="T113" i="5" l="1" a="1"/>
  <c r="T113" i="5" s="1"/>
  <c r="AG113" i="5" a="1"/>
  <c r="AG113" i="5" s="1"/>
  <c r="AF113" i="5" a="1"/>
  <c r="AF113" i="5" s="1"/>
  <c r="AD113" i="5" a="1"/>
  <c r="AD113" i="5" s="1"/>
  <c r="AC113" i="5" a="1"/>
  <c r="AC113" i="5" s="1"/>
  <c r="AB113" i="5" a="1"/>
  <c r="AB113" i="5" s="1"/>
  <c r="AE113" i="5" a="1"/>
  <c r="AE113" i="5" s="1"/>
  <c r="AA113" i="5" a="1"/>
  <c r="AA113" i="5" s="1"/>
  <c r="Z113" i="5" a="1"/>
  <c r="Z113" i="5" s="1"/>
  <c r="Y113" i="5" a="1"/>
  <c r="Y113" i="5" s="1"/>
  <c r="X113" i="5" a="1"/>
  <c r="X113" i="5" s="1"/>
  <c r="W113" i="5" a="1"/>
  <c r="W113" i="5" s="1"/>
  <c r="V113" i="5" a="1"/>
  <c r="V113" i="5" s="1"/>
  <c r="U113" i="5" a="1"/>
  <c r="U113" i="5" s="1"/>
  <c r="S113" i="5" a="1"/>
  <c r="S113" i="5" s="1"/>
  <c r="E113" i="5" a="1"/>
  <c r="E113" i="5" s="1"/>
  <c r="H113" i="5" a="1"/>
  <c r="H113" i="5" s="1"/>
  <c r="Q113" i="5" a="1"/>
  <c r="Q113" i="5" s="1"/>
  <c r="I113" i="5" a="1"/>
  <c r="I113" i="5" s="1"/>
  <c r="K113" i="5" a="1"/>
  <c r="K113" i="5" s="1"/>
  <c r="O113" i="5" a="1"/>
  <c r="O113" i="5" s="1"/>
  <c r="F113" i="5" a="1"/>
  <c r="F113" i="5" s="1"/>
  <c r="R113" i="5" a="1"/>
  <c r="R113" i="5" s="1"/>
  <c r="P113" i="5" a="1"/>
  <c r="P113" i="5" s="1"/>
  <c r="J113" i="5" a="1"/>
  <c r="J113" i="5" s="1"/>
  <c r="N113" i="5" a="1"/>
  <c r="N113" i="5" s="1"/>
  <c r="L113" i="5" a="1"/>
  <c r="L113" i="5" s="1"/>
  <c r="M113" i="5" a="1"/>
  <c r="M113" i="5" s="1"/>
  <c r="G113" i="5" a="1"/>
  <c r="G113" i="5" s="1"/>
  <c r="D113" i="5" a="1"/>
  <c r="D113" i="5" s="1"/>
  <c r="C114" i="5"/>
  <c r="T114" i="5" l="1" a="1"/>
  <c r="T114" i="5" s="1"/>
  <c r="AF114" i="5" a="1"/>
  <c r="AF114" i="5" s="1"/>
  <c r="AD33" i="8" s="1"/>
  <c r="AG114" i="5" a="1"/>
  <c r="AG114" i="5" s="1"/>
  <c r="AE114" i="5" a="1"/>
  <c r="AE114" i="5" s="1"/>
  <c r="AD114" i="5" a="1"/>
  <c r="AD114" i="5" s="1"/>
  <c r="AC114" i="5" a="1"/>
  <c r="AC114" i="5" s="1"/>
  <c r="AB114" i="5" a="1"/>
  <c r="AB114" i="5" s="1"/>
  <c r="Z33" i="8" s="1"/>
  <c r="AA114" i="5" a="1"/>
  <c r="AA114" i="5" s="1"/>
  <c r="X114" i="5" a="1"/>
  <c r="X114" i="5" s="1"/>
  <c r="W114" i="5" a="1"/>
  <c r="W114" i="5" s="1"/>
  <c r="Z114" i="5" a="1"/>
  <c r="Z114" i="5" s="1"/>
  <c r="Y114" i="5" a="1"/>
  <c r="Y114" i="5" s="1"/>
  <c r="AC33" i="8"/>
  <c r="V114" i="5" a="1"/>
  <c r="V114" i="5" s="1"/>
  <c r="U114" i="5" a="1"/>
  <c r="U114" i="5" s="1"/>
  <c r="S114" i="5" a="1"/>
  <c r="S114" i="5" s="1"/>
  <c r="E114" i="5" a="1"/>
  <c r="E114" i="5" s="1"/>
  <c r="H114" i="5" a="1"/>
  <c r="H114" i="5" s="1"/>
  <c r="I114" i="5" a="1"/>
  <c r="I114" i="5" s="1"/>
  <c r="O114" i="5" a="1"/>
  <c r="O114" i="5" s="1"/>
  <c r="M33" i="8" s="1"/>
  <c r="F114" i="5" a="1"/>
  <c r="F114" i="5" s="1"/>
  <c r="R114" i="5" a="1"/>
  <c r="R114" i="5" s="1"/>
  <c r="Q114" i="5" a="1"/>
  <c r="Q114" i="5" s="1"/>
  <c r="P114" i="5" a="1"/>
  <c r="P114" i="5" s="1"/>
  <c r="K114" i="5" a="1"/>
  <c r="K114" i="5" s="1"/>
  <c r="J114" i="5" a="1"/>
  <c r="J114" i="5" s="1"/>
  <c r="L114" i="5" a="1"/>
  <c r="L114" i="5" s="1"/>
  <c r="M114" i="5" a="1"/>
  <c r="M114" i="5" s="1"/>
  <c r="N114" i="5" a="1"/>
  <c r="N114" i="5" s="1"/>
  <c r="G114" i="5" a="1"/>
  <c r="G114" i="5" s="1"/>
  <c r="D114" i="5" a="1"/>
  <c r="D114" i="5" s="1"/>
  <c r="C115" i="5"/>
  <c r="T115" i="5" l="1" a="1"/>
  <c r="T115" i="5" s="1"/>
  <c r="AG115" i="5" a="1"/>
  <c r="AG115" i="5" s="1"/>
  <c r="AF115" i="5" a="1"/>
  <c r="AF115" i="5" s="1"/>
  <c r="AD115" i="5" a="1"/>
  <c r="AD115" i="5" s="1"/>
  <c r="AC115" i="5" a="1"/>
  <c r="AC115" i="5" s="1"/>
  <c r="AB115" i="5" a="1"/>
  <c r="AB115" i="5" s="1"/>
  <c r="AE115" i="5" a="1"/>
  <c r="AE115" i="5" s="1"/>
  <c r="AA115" i="5" a="1"/>
  <c r="AA115" i="5" s="1"/>
  <c r="Z115" i="5" a="1"/>
  <c r="Z115" i="5" s="1"/>
  <c r="Y115" i="5" a="1"/>
  <c r="Y115" i="5" s="1"/>
  <c r="X115" i="5" a="1"/>
  <c r="X115" i="5" s="1"/>
  <c r="W115" i="5" a="1"/>
  <c r="W115" i="5" s="1"/>
  <c r="V115" i="5" a="1"/>
  <c r="V115" i="5" s="1"/>
  <c r="U115" i="5" a="1"/>
  <c r="U115" i="5" s="1"/>
  <c r="S115" i="5" a="1"/>
  <c r="S115" i="5" s="1"/>
  <c r="E115" i="5" a="1"/>
  <c r="E115" i="5" s="1"/>
  <c r="H115" i="5" a="1"/>
  <c r="H115" i="5" s="1"/>
  <c r="I115" i="5" a="1"/>
  <c r="I115" i="5" s="1"/>
  <c r="Q115" i="5" a="1"/>
  <c r="Q115" i="5" s="1"/>
  <c r="F115" i="5" a="1"/>
  <c r="F115" i="5" s="1"/>
  <c r="P115" i="5" a="1"/>
  <c r="P115" i="5" s="1"/>
  <c r="O115" i="5" a="1"/>
  <c r="O115" i="5" s="1"/>
  <c r="K115" i="5" a="1"/>
  <c r="K115" i="5" s="1"/>
  <c r="R115" i="5" a="1"/>
  <c r="R115" i="5" s="1"/>
  <c r="N115" i="5" a="1"/>
  <c r="N115" i="5" s="1"/>
  <c r="M115" i="5" a="1"/>
  <c r="M115" i="5" s="1"/>
  <c r="J115" i="5" a="1"/>
  <c r="J115" i="5" s="1"/>
  <c r="L115" i="5" a="1"/>
  <c r="L115" i="5" s="1"/>
  <c r="G115" i="5" a="1"/>
  <c r="G115" i="5" s="1"/>
  <c r="D115" i="5" a="1"/>
  <c r="D115" i="5" s="1"/>
  <c r="C116" i="5"/>
  <c r="T116" i="5" l="1" a="1"/>
  <c r="T116" i="5" s="1"/>
  <c r="AG116" i="5" a="1"/>
  <c r="AG116" i="5" s="1"/>
  <c r="AF116" i="5" a="1"/>
  <c r="AF116" i="5" s="1"/>
  <c r="AE116" i="5" a="1"/>
  <c r="AE116" i="5" s="1"/>
  <c r="AD116" i="5" a="1"/>
  <c r="AD116" i="5" s="1"/>
  <c r="AC116" i="5" a="1"/>
  <c r="AC116" i="5" s="1"/>
  <c r="AB116" i="5" a="1"/>
  <c r="AB116" i="5" s="1"/>
  <c r="AA116" i="5" a="1"/>
  <c r="AA116" i="5" s="1"/>
  <c r="X116" i="5" a="1"/>
  <c r="X116" i="5" s="1"/>
  <c r="W116" i="5" a="1"/>
  <c r="W116" i="5" s="1"/>
  <c r="Z116" i="5" a="1"/>
  <c r="Z116" i="5" s="1"/>
  <c r="Y116" i="5" a="1"/>
  <c r="Y116" i="5" s="1"/>
  <c r="U116" i="5" a="1"/>
  <c r="U116" i="5" s="1"/>
  <c r="V116" i="5" a="1"/>
  <c r="V116" i="5" s="1"/>
  <c r="S116" i="5" a="1"/>
  <c r="S116" i="5" s="1"/>
  <c r="E116" i="5" a="1"/>
  <c r="E116" i="5" s="1"/>
  <c r="H116" i="5" a="1"/>
  <c r="H116" i="5" s="1"/>
  <c r="Q116" i="5" a="1"/>
  <c r="Q116" i="5" s="1"/>
  <c r="I116" i="5" a="1"/>
  <c r="I116" i="5" s="1"/>
  <c r="O116" i="5" a="1"/>
  <c r="O116" i="5" s="1"/>
  <c r="K116" i="5" a="1"/>
  <c r="K116" i="5" s="1"/>
  <c r="P116" i="5" a="1"/>
  <c r="P116" i="5" s="1"/>
  <c r="F116" i="5" a="1"/>
  <c r="F116" i="5" s="1"/>
  <c r="M116" i="5" a="1"/>
  <c r="M116" i="5" s="1"/>
  <c r="J116" i="5" a="1"/>
  <c r="J116" i="5" s="1"/>
  <c r="L116" i="5" a="1"/>
  <c r="L116" i="5" s="1"/>
  <c r="R116" i="5" a="1"/>
  <c r="R116" i="5" s="1"/>
  <c r="N116" i="5" a="1"/>
  <c r="N116" i="5" s="1"/>
  <c r="G116" i="5" a="1"/>
  <c r="G116" i="5" s="1"/>
  <c r="D116" i="5" a="1"/>
  <c r="D116" i="5" s="1"/>
  <c r="C117" i="5"/>
  <c r="T117" i="5" l="1" a="1"/>
  <c r="T117" i="5" s="1"/>
  <c r="AG117" i="5" a="1"/>
  <c r="AG117" i="5" s="1"/>
  <c r="AF117" i="5" a="1"/>
  <c r="AF117" i="5" s="1"/>
  <c r="AD117" i="5" a="1"/>
  <c r="AD117" i="5" s="1"/>
  <c r="AC117" i="5" a="1"/>
  <c r="AC117" i="5" s="1"/>
  <c r="AB117" i="5" a="1"/>
  <c r="AB117" i="5" s="1"/>
  <c r="AE117" i="5" a="1"/>
  <c r="AE117" i="5" s="1"/>
  <c r="AA117" i="5" a="1"/>
  <c r="AA117" i="5" s="1"/>
  <c r="Z117" i="5" a="1"/>
  <c r="Z117" i="5" s="1"/>
  <c r="Y117" i="5" a="1"/>
  <c r="Y117" i="5" s="1"/>
  <c r="X117" i="5" a="1"/>
  <c r="X117" i="5" s="1"/>
  <c r="W117" i="5" a="1"/>
  <c r="W117" i="5" s="1"/>
  <c r="U117" i="5" a="1"/>
  <c r="U117" i="5" s="1"/>
  <c r="V117" i="5" a="1"/>
  <c r="V117" i="5" s="1"/>
  <c r="S117" i="5" a="1"/>
  <c r="S117" i="5" s="1"/>
  <c r="E117" i="5" a="1"/>
  <c r="E117" i="5" s="1"/>
  <c r="H117" i="5" a="1"/>
  <c r="H117" i="5" s="1"/>
  <c r="I117" i="5" a="1"/>
  <c r="I117" i="5" s="1"/>
  <c r="K117" i="5" a="1"/>
  <c r="K117" i="5" s="1"/>
  <c r="F117" i="5" a="1"/>
  <c r="F117" i="5" s="1"/>
  <c r="P117" i="5" a="1"/>
  <c r="P117" i="5" s="1"/>
  <c r="O117" i="5" a="1"/>
  <c r="O117" i="5" s="1"/>
  <c r="R117" i="5" a="1"/>
  <c r="R117" i="5" s="1"/>
  <c r="N117" i="5" a="1"/>
  <c r="N117" i="5" s="1"/>
  <c r="J117" i="5" a="1"/>
  <c r="J117" i="5" s="1"/>
  <c r="Q117" i="5" a="1"/>
  <c r="Q117" i="5" s="1"/>
  <c r="M117" i="5" a="1"/>
  <c r="M117" i="5" s="1"/>
  <c r="L117" i="5" a="1"/>
  <c r="L117" i="5" s="1"/>
  <c r="G117" i="5" a="1"/>
  <c r="G117" i="5" s="1"/>
  <c r="D117" i="5" a="1"/>
  <c r="D117" i="5" s="1"/>
  <c r="C118" i="5"/>
  <c r="T118" i="5" l="1" a="1"/>
  <c r="T118" i="5" s="1"/>
  <c r="AF118" i="5" a="1"/>
  <c r="AF118" i="5" s="1"/>
  <c r="AD34" i="8" s="1"/>
  <c r="AG118" i="5" a="1"/>
  <c r="AG118" i="5" s="1"/>
  <c r="AE118" i="5" a="1"/>
  <c r="AE118" i="5" s="1"/>
  <c r="AD118" i="5" a="1"/>
  <c r="AD118" i="5" s="1"/>
  <c r="AC118" i="5" a="1"/>
  <c r="AC118" i="5" s="1"/>
  <c r="AB118" i="5" a="1"/>
  <c r="AB118" i="5" s="1"/>
  <c r="Z34" i="8" s="1"/>
  <c r="AA118" i="5" a="1"/>
  <c r="AA118" i="5" s="1"/>
  <c r="W118" i="5" a="1"/>
  <c r="W118" i="5" s="1"/>
  <c r="Z118" i="5" a="1"/>
  <c r="Z118" i="5" s="1"/>
  <c r="Y118" i="5" a="1"/>
  <c r="Y118" i="5" s="1"/>
  <c r="X118" i="5" a="1"/>
  <c r="X118" i="5" s="1"/>
  <c r="AC34" i="8"/>
  <c r="U118" i="5" a="1"/>
  <c r="U118" i="5" s="1"/>
  <c r="V118" i="5" a="1"/>
  <c r="V118" i="5" s="1"/>
  <c r="S118" i="5" a="1"/>
  <c r="S118" i="5" s="1"/>
  <c r="E118" i="5" a="1"/>
  <c r="E118" i="5" s="1"/>
  <c r="H118" i="5" a="1"/>
  <c r="H118" i="5" s="1"/>
  <c r="Q118" i="5" a="1"/>
  <c r="Q118" i="5" s="1"/>
  <c r="I118" i="5" a="1"/>
  <c r="I118" i="5" s="1"/>
  <c r="G34" i="8" s="1"/>
  <c r="F118" i="5" a="1"/>
  <c r="F118" i="5" s="1"/>
  <c r="O118" i="5" a="1"/>
  <c r="O118" i="5" s="1"/>
  <c r="J118" i="5" a="1"/>
  <c r="J118" i="5" s="1"/>
  <c r="P118" i="5" a="1"/>
  <c r="P118" i="5" s="1"/>
  <c r="R118" i="5" a="1"/>
  <c r="R118" i="5" s="1"/>
  <c r="K118" i="5" a="1"/>
  <c r="K118" i="5" s="1"/>
  <c r="N118" i="5" a="1"/>
  <c r="N118" i="5" s="1"/>
  <c r="L118" i="5" a="1"/>
  <c r="L118" i="5" s="1"/>
  <c r="G118" i="5" a="1"/>
  <c r="G118" i="5" s="1"/>
  <c r="M118" i="5" a="1"/>
  <c r="M118" i="5" s="1"/>
  <c r="D118" i="5" a="1"/>
  <c r="D118" i="5" s="1"/>
  <c r="C119" i="5"/>
  <c r="T119" i="5" l="1" a="1"/>
  <c r="T119" i="5" s="1"/>
  <c r="AG119" i="5" a="1"/>
  <c r="AG119" i="5" s="1"/>
  <c r="AF119" i="5" a="1"/>
  <c r="AF119" i="5" s="1"/>
  <c r="AD119" i="5" a="1"/>
  <c r="AD119" i="5" s="1"/>
  <c r="AC119" i="5" a="1"/>
  <c r="AC119" i="5" s="1"/>
  <c r="AB119" i="5" a="1"/>
  <c r="AB119" i="5" s="1"/>
  <c r="AE119" i="5" a="1"/>
  <c r="AE119" i="5" s="1"/>
  <c r="AA119" i="5" a="1"/>
  <c r="AA119" i="5" s="1"/>
  <c r="Z119" i="5" a="1"/>
  <c r="Z119" i="5" s="1"/>
  <c r="Y119" i="5" a="1"/>
  <c r="Y119" i="5" s="1"/>
  <c r="X119" i="5" a="1"/>
  <c r="X119" i="5" s="1"/>
  <c r="W119" i="5" a="1"/>
  <c r="W119" i="5" s="1"/>
  <c r="U119" i="5" a="1"/>
  <c r="U119" i="5" s="1"/>
  <c r="V119" i="5" a="1"/>
  <c r="V119" i="5" s="1"/>
  <c r="S119" i="5" a="1"/>
  <c r="S119" i="5" s="1"/>
  <c r="E119" i="5" a="1"/>
  <c r="E119" i="5" s="1"/>
  <c r="H119" i="5" a="1"/>
  <c r="H119" i="5" s="1"/>
  <c r="I119" i="5" a="1"/>
  <c r="I119" i="5" s="1"/>
  <c r="Q119" i="5" a="1"/>
  <c r="Q119" i="5" s="1"/>
  <c r="K119" i="5" a="1"/>
  <c r="K119" i="5" s="1"/>
  <c r="P119" i="5" a="1"/>
  <c r="P119" i="5" s="1"/>
  <c r="O119" i="5" a="1"/>
  <c r="O119" i="5" s="1"/>
  <c r="F119" i="5" a="1"/>
  <c r="F119" i="5" s="1"/>
  <c r="J119" i="5" a="1"/>
  <c r="J119" i="5" s="1"/>
  <c r="M119" i="5" a="1"/>
  <c r="M119" i="5" s="1"/>
  <c r="L119" i="5" a="1"/>
  <c r="L119" i="5" s="1"/>
  <c r="N119" i="5" a="1"/>
  <c r="N119" i="5" s="1"/>
  <c r="R119" i="5" a="1"/>
  <c r="R119" i="5" s="1"/>
  <c r="G119" i="5" a="1"/>
  <c r="G119" i="5" s="1"/>
  <c r="D119" i="5" a="1"/>
  <c r="D119" i="5" s="1"/>
  <c r="C120" i="5"/>
  <c r="T120" i="5" l="1" a="1"/>
  <c r="T120" i="5" s="1"/>
  <c r="AG120" i="5" a="1"/>
  <c r="AG120" i="5" s="1"/>
  <c r="AF120" i="5" a="1"/>
  <c r="AF120" i="5" s="1"/>
  <c r="AE120" i="5" a="1"/>
  <c r="AE120" i="5" s="1"/>
  <c r="AD120" i="5" a="1"/>
  <c r="AD120" i="5" s="1"/>
  <c r="AC120" i="5" a="1"/>
  <c r="AC120" i="5" s="1"/>
  <c r="AB120" i="5" a="1"/>
  <c r="AB120" i="5" s="1"/>
  <c r="AA120" i="5" a="1"/>
  <c r="AA120" i="5" s="1"/>
  <c r="W120" i="5" a="1"/>
  <c r="W120" i="5" s="1"/>
  <c r="Z120" i="5" a="1"/>
  <c r="Z120" i="5" s="1"/>
  <c r="Y120" i="5" a="1"/>
  <c r="Y120" i="5" s="1"/>
  <c r="X120" i="5" a="1"/>
  <c r="X120" i="5" s="1"/>
  <c r="V120" i="5" a="1"/>
  <c r="V120" i="5" s="1"/>
  <c r="U120" i="5" a="1"/>
  <c r="U120" i="5" s="1"/>
  <c r="S120" i="5" a="1"/>
  <c r="S120" i="5" s="1"/>
  <c r="E120" i="5" a="1"/>
  <c r="E120" i="5" s="1"/>
  <c r="H120" i="5" a="1"/>
  <c r="H120" i="5" s="1"/>
  <c r="I120" i="5" a="1"/>
  <c r="I120" i="5" s="1"/>
  <c r="Q120" i="5" a="1"/>
  <c r="Q120" i="5" s="1"/>
  <c r="K120" i="5" a="1"/>
  <c r="K120" i="5" s="1"/>
  <c r="F120" i="5" a="1"/>
  <c r="F120" i="5" s="1"/>
  <c r="P120" i="5" a="1"/>
  <c r="P120" i="5" s="1"/>
  <c r="O120" i="5" a="1"/>
  <c r="O120" i="5" s="1"/>
  <c r="L120" i="5" a="1"/>
  <c r="L120" i="5" s="1"/>
  <c r="R120" i="5" a="1"/>
  <c r="R120" i="5" s="1"/>
  <c r="N120" i="5" a="1"/>
  <c r="N120" i="5" s="1"/>
  <c r="G120" i="5" a="1"/>
  <c r="G120" i="5" s="1"/>
  <c r="J120" i="5" a="1"/>
  <c r="J120" i="5" s="1"/>
  <c r="M120" i="5" a="1"/>
  <c r="M120" i="5" s="1"/>
  <c r="D120" i="5" a="1"/>
  <c r="D120" i="5" s="1"/>
  <c r="C121" i="5"/>
  <c r="T121" i="5" l="1" a="1"/>
  <c r="T121" i="5" s="1"/>
  <c r="AG121" i="5" a="1"/>
  <c r="AG121" i="5" s="1"/>
  <c r="AF121" i="5" a="1"/>
  <c r="AF121" i="5" s="1"/>
  <c r="AD121" i="5" a="1"/>
  <c r="AD121" i="5" s="1"/>
  <c r="AC121" i="5" a="1"/>
  <c r="AC121" i="5" s="1"/>
  <c r="AB121" i="5" a="1"/>
  <c r="AB121" i="5" s="1"/>
  <c r="AE121" i="5" a="1"/>
  <c r="AE121" i="5" s="1"/>
  <c r="AA121" i="5" a="1"/>
  <c r="AA121" i="5" s="1"/>
  <c r="Z121" i="5" a="1"/>
  <c r="Z121" i="5" s="1"/>
  <c r="Y121" i="5" a="1"/>
  <c r="Y121" i="5" s="1"/>
  <c r="X121" i="5" a="1"/>
  <c r="X121" i="5" s="1"/>
  <c r="W121" i="5" a="1"/>
  <c r="W121" i="5" s="1"/>
  <c r="V121" i="5" a="1"/>
  <c r="V121" i="5" s="1"/>
  <c r="U121" i="5" a="1"/>
  <c r="U121" i="5" s="1"/>
  <c r="S121" i="5" a="1"/>
  <c r="S121" i="5" s="1"/>
  <c r="E121" i="5" a="1"/>
  <c r="E121" i="5" s="1"/>
  <c r="H121" i="5" a="1"/>
  <c r="H121" i="5" s="1"/>
  <c r="I121" i="5" a="1"/>
  <c r="I121" i="5" s="1"/>
  <c r="Q121" i="5" a="1"/>
  <c r="Q121" i="5" s="1"/>
  <c r="O121" i="5" a="1"/>
  <c r="O121" i="5" s="1"/>
  <c r="P121" i="5" a="1"/>
  <c r="P121" i="5" s="1"/>
  <c r="K121" i="5" a="1"/>
  <c r="K121" i="5" s="1"/>
  <c r="F121" i="5" a="1"/>
  <c r="F121" i="5" s="1"/>
  <c r="L121" i="5" a="1"/>
  <c r="L121" i="5" s="1"/>
  <c r="M121" i="5" a="1"/>
  <c r="M121" i="5" s="1"/>
  <c r="J121" i="5" a="1"/>
  <c r="J121" i="5" s="1"/>
  <c r="N121" i="5" a="1"/>
  <c r="N121" i="5" s="1"/>
  <c r="G121" i="5" a="1"/>
  <c r="G121" i="5" s="1"/>
  <c r="R121" i="5" a="1"/>
  <c r="R121" i="5" s="1"/>
  <c r="D121" i="5" a="1"/>
  <c r="D121" i="5" s="1"/>
  <c r="C122" i="5"/>
  <c r="T122" i="5" l="1" a="1"/>
  <c r="T122" i="5" s="1"/>
  <c r="AG122" i="5" a="1"/>
  <c r="AG122" i="5" s="1"/>
  <c r="AF122" i="5" a="1"/>
  <c r="AF122" i="5" s="1"/>
  <c r="AE122" i="5" a="1"/>
  <c r="AE122" i="5" s="1"/>
  <c r="AD122" i="5" a="1"/>
  <c r="AD122" i="5" s="1"/>
  <c r="AC122" i="5" a="1"/>
  <c r="AC122" i="5" s="1"/>
  <c r="AB122" i="5" a="1"/>
  <c r="AB122" i="5" s="1"/>
  <c r="Z35" i="8" s="1"/>
  <c r="AA122" i="5" a="1"/>
  <c r="AA122" i="5" s="1"/>
  <c r="W122" i="5" a="1"/>
  <c r="W122" i="5" s="1"/>
  <c r="Z122" i="5" a="1"/>
  <c r="Z122" i="5" s="1"/>
  <c r="Y122" i="5" a="1"/>
  <c r="Y122" i="5" s="1"/>
  <c r="X122" i="5" a="1"/>
  <c r="X122" i="5" s="1"/>
  <c r="AC35" i="8"/>
  <c r="AA35" i="8"/>
  <c r="U35" i="8"/>
  <c r="AB35" i="8"/>
  <c r="V35" i="8"/>
  <c r="AD35" i="8"/>
  <c r="W35" i="8"/>
  <c r="AE35" i="8"/>
  <c r="X35" i="8"/>
  <c r="V122" i="5" a="1"/>
  <c r="V122" i="5" s="1"/>
  <c r="U122" i="5" a="1"/>
  <c r="U122" i="5" s="1"/>
  <c r="S122" i="5" a="1"/>
  <c r="S122" i="5" s="1"/>
  <c r="E122" i="5" a="1"/>
  <c r="E122" i="5" s="1"/>
  <c r="C35" i="8" s="1"/>
  <c r="H122" i="5" a="1"/>
  <c r="H122" i="5" s="1"/>
  <c r="F35" i="8" s="1"/>
  <c r="Q122" i="5" a="1"/>
  <c r="Q122" i="5" s="1"/>
  <c r="I122" i="5" a="1"/>
  <c r="I122" i="5" s="1"/>
  <c r="G35" i="8" s="1"/>
  <c r="P122" i="5" a="1"/>
  <c r="P122" i="5" s="1"/>
  <c r="K122" i="5" a="1"/>
  <c r="K122" i="5" s="1"/>
  <c r="I35" i="8" s="1"/>
  <c r="F122" i="5" a="1"/>
  <c r="F122" i="5" s="1"/>
  <c r="M122" i="5" a="1"/>
  <c r="M122" i="5" s="1"/>
  <c r="O122" i="5" a="1"/>
  <c r="O122" i="5" s="1"/>
  <c r="N122" i="5" a="1"/>
  <c r="N122" i="5" s="1"/>
  <c r="J122" i="5" a="1"/>
  <c r="J122" i="5" s="1"/>
  <c r="H35" i="8" s="1"/>
  <c r="R122" i="5" a="1"/>
  <c r="R122" i="5" s="1"/>
  <c r="L122" i="5" a="1"/>
  <c r="L122" i="5" s="1"/>
  <c r="G122" i="5" a="1"/>
  <c r="G122" i="5" s="1"/>
  <c r="E35" i="8" s="1"/>
  <c r="D122" i="5" a="1"/>
  <c r="D122" i="5" s="1"/>
  <c r="C123" i="5"/>
  <c r="T123" i="5" l="1" a="1"/>
  <c r="T123" i="5" s="1"/>
  <c r="AG123" i="5" a="1"/>
  <c r="AG123" i="5" s="1"/>
  <c r="AF123" i="5" a="1"/>
  <c r="AF123" i="5" s="1"/>
  <c r="AD123" i="5" a="1"/>
  <c r="AD123" i="5" s="1"/>
  <c r="AC123" i="5" a="1"/>
  <c r="AC123" i="5" s="1"/>
  <c r="AB123" i="5" a="1"/>
  <c r="AB123" i="5" s="1"/>
  <c r="AE123" i="5" a="1"/>
  <c r="AE123" i="5" s="1"/>
  <c r="AA123" i="5" a="1"/>
  <c r="AA123" i="5" s="1"/>
  <c r="Z123" i="5" a="1"/>
  <c r="Z123" i="5" s="1"/>
  <c r="Y123" i="5" a="1"/>
  <c r="Y123" i="5" s="1"/>
  <c r="X123" i="5" a="1"/>
  <c r="X123" i="5" s="1"/>
  <c r="W123" i="5" a="1"/>
  <c r="W123" i="5" s="1"/>
  <c r="V123" i="5" a="1"/>
  <c r="V123" i="5" s="1"/>
  <c r="U123" i="5" a="1"/>
  <c r="U123" i="5" s="1"/>
  <c r="S123" i="5" a="1"/>
  <c r="S123" i="5" s="1"/>
  <c r="E123" i="5" a="1"/>
  <c r="E123" i="5" s="1"/>
  <c r="H123" i="5" a="1"/>
  <c r="H123" i="5" s="1"/>
  <c r="Q123" i="5" a="1"/>
  <c r="Q123" i="5" s="1"/>
  <c r="I123" i="5" a="1"/>
  <c r="I123" i="5" s="1"/>
  <c r="P123" i="5" a="1"/>
  <c r="P123" i="5" s="1"/>
  <c r="K123" i="5" a="1"/>
  <c r="K123" i="5" s="1"/>
  <c r="O123" i="5" a="1"/>
  <c r="O123" i="5" s="1"/>
  <c r="F123" i="5" a="1"/>
  <c r="F123" i="5" s="1"/>
  <c r="N123" i="5" a="1"/>
  <c r="N123" i="5" s="1"/>
  <c r="L123" i="5" a="1"/>
  <c r="L123" i="5" s="1"/>
  <c r="R123" i="5" a="1"/>
  <c r="R123" i="5" s="1"/>
  <c r="J123" i="5" a="1"/>
  <c r="J123" i="5" s="1"/>
  <c r="G123" i="5" a="1"/>
  <c r="G123" i="5" s="1"/>
  <c r="M123" i="5" a="1"/>
  <c r="M123" i="5" s="1"/>
  <c r="D123" i="5" a="1"/>
  <c r="D123" i="5" s="1"/>
  <c r="C124" i="5"/>
  <c r="T124" i="5" l="1" a="1"/>
  <c r="T124" i="5" s="1"/>
  <c r="AG124" i="5" a="1"/>
  <c r="AG124" i="5" s="1"/>
  <c r="AF124" i="5" a="1"/>
  <c r="AF124" i="5" s="1"/>
  <c r="AE124" i="5" a="1"/>
  <c r="AE124" i="5" s="1"/>
  <c r="AD124" i="5" a="1"/>
  <c r="AD124" i="5" s="1"/>
  <c r="AC124" i="5" a="1"/>
  <c r="AC124" i="5" s="1"/>
  <c r="AB124" i="5" a="1"/>
  <c r="AB124" i="5" s="1"/>
  <c r="AA124" i="5" a="1"/>
  <c r="AA124" i="5" s="1"/>
  <c r="W124" i="5" a="1"/>
  <c r="W124" i="5" s="1"/>
  <c r="Z124" i="5" a="1"/>
  <c r="Z124" i="5" s="1"/>
  <c r="Y124" i="5" a="1"/>
  <c r="Y124" i="5" s="1"/>
  <c r="X124" i="5" a="1"/>
  <c r="X124" i="5" s="1"/>
  <c r="U124" i="5" a="1"/>
  <c r="U124" i="5" s="1"/>
  <c r="V124" i="5" a="1"/>
  <c r="V124" i="5" s="1"/>
  <c r="S124" i="5" a="1"/>
  <c r="S124" i="5" s="1"/>
  <c r="E124" i="5" a="1"/>
  <c r="E124" i="5" s="1"/>
  <c r="H124" i="5" a="1"/>
  <c r="H124" i="5" s="1"/>
  <c r="Q124" i="5" a="1"/>
  <c r="Q124" i="5" s="1"/>
  <c r="I124" i="5" a="1"/>
  <c r="I124" i="5" s="1"/>
  <c r="O124" i="5" a="1"/>
  <c r="O124" i="5" s="1"/>
  <c r="P124" i="5" a="1"/>
  <c r="P124" i="5" s="1"/>
  <c r="K124" i="5" a="1"/>
  <c r="K124" i="5" s="1"/>
  <c r="J124" i="5" a="1"/>
  <c r="J124" i="5" s="1"/>
  <c r="N124" i="5" a="1"/>
  <c r="N124" i="5" s="1"/>
  <c r="F124" i="5" a="1"/>
  <c r="F124" i="5" s="1"/>
  <c r="R124" i="5" a="1"/>
  <c r="R124" i="5" s="1"/>
  <c r="G124" i="5" a="1"/>
  <c r="G124" i="5" s="1"/>
  <c r="M124" i="5" a="1"/>
  <c r="M124" i="5" s="1"/>
  <c r="L124" i="5" a="1"/>
  <c r="L124" i="5" s="1"/>
  <c r="D124" i="5" a="1"/>
  <c r="D124" i="5" s="1"/>
  <c r="C125" i="5"/>
  <c r="T125" i="5" l="1" a="1"/>
  <c r="T125" i="5" s="1"/>
  <c r="AG125" i="5" a="1"/>
  <c r="AG125" i="5" s="1"/>
  <c r="AF125" i="5" a="1"/>
  <c r="AF125" i="5" s="1"/>
  <c r="AD125" i="5" a="1"/>
  <c r="AD125" i="5" s="1"/>
  <c r="AC125" i="5" a="1"/>
  <c r="AC125" i="5" s="1"/>
  <c r="AB125" i="5" a="1"/>
  <c r="AB125" i="5" s="1"/>
  <c r="AE125" i="5" a="1"/>
  <c r="AE125" i="5" s="1"/>
  <c r="AA125" i="5" a="1"/>
  <c r="AA125" i="5" s="1"/>
  <c r="Z125" i="5" a="1"/>
  <c r="Z125" i="5" s="1"/>
  <c r="Y125" i="5" a="1"/>
  <c r="Y125" i="5" s="1"/>
  <c r="X125" i="5" a="1"/>
  <c r="X125" i="5" s="1"/>
  <c r="W125" i="5" a="1"/>
  <c r="W125" i="5" s="1"/>
  <c r="U125" i="5" a="1"/>
  <c r="U125" i="5" s="1"/>
  <c r="V125" i="5" a="1"/>
  <c r="V125" i="5" s="1"/>
  <c r="S125" i="5" a="1"/>
  <c r="S125" i="5" s="1"/>
  <c r="E125" i="5" a="1"/>
  <c r="E125" i="5" s="1"/>
  <c r="H125" i="5" a="1"/>
  <c r="H125" i="5" s="1"/>
  <c r="I125" i="5" a="1"/>
  <c r="I125" i="5" s="1"/>
  <c r="P125" i="5" a="1"/>
  <c r="P125" i="5" s="1"/>
  <c r="F125" i="5" a="1"/>
  <c r="F125" i="5" s="1"/>
  <c r="O125" i="5" a="1"/>
  <c r="O125" i="5" s="1"/>
  <c r="Q125" i="5" a="1"/>
  <c r="Q125" i="5" s="1"/>
  <c r="L125" i="5" a="1"/>
  <c r="L125" i="5" s="1"/>
  <c r="N125" i="5" a="1"/>
  <c r="N125" i="5" s="1"/>
  <c r="R125" i="5" a="1"/>
  <c r="R125" i="5" s="1"/>
  <c r="J125" i="5" a="1"/>
  <c r="J125" i="5" s="1"/>
  <c r="M125" i="5" a="1"/>
  <c r="M125" i="5" s="1"/>
  <c r="K125" i="5" a="1"/>
  <c r="K125" i="5" s="1"/>
  <c r="G125" i="5" a="1"/>
  <c r="G125" i="5" s="1"/>
  <c r="D125" i="5" a="1"/>
  <c r="D125" i="5" s="1"/>
  <c r="C126" i="5"/>
  <c r="T126" i="5" l="1" a="1"/>
  <c r="T126" i="5" s="1"/>
  <c r="AG126" i="5" a="1"/>
  <c r="AG126" i="5" s="1"/>
  <c r="AF126" i="5" a="1"/>
  <c r="AF126" i="5" s="1"/>
  <c r="AE126" i="5" a="1"/>
  <c r="AE126" i="5" s="1"/>
  <c r="AD126" i="5" a="1"/>
  <c r="AD126" i="5" s="1"/>
  <c r="AC126" i="5" a="1"/>
  <c r="AC126" i="5" s="1"/>
  <c r="AB126" i="5" a="1"/>
  <c r="AB126" i="5" s="1"/>
  <c r="Z36" i="8" s="1"/>
  <c r="AA126" i="5" a="1"/>
  <c r="AA126" i="5" s="1"/>
  <c r="W126" i="5" a="1"/>
  <c r="W126" i="5" s="1"/>
  <c r="Z126" i="5" a="1"/>
  <c r="Z126" i="5" s="1"/>
  <c r="Y126" i="5" a="1"/>
  <c r="Y126" i="5" s="1"/>
  <c r="X126" i="5" a="1"/>
  <c r="X126" i="5" s="1"/>
  <c r="AC36" i="8"/>
  <c r="AA36" i="8"/>
  <c r="AB36" i="8"/>
  <c r="V36" i="8"/>
  <c r="AD36" i="8"/>
  <c r="W36" i="8"/>
  <c r="AE36" i="8"/>
  <c r="U36" i="8"/>
  <c r="X36" i="8"/>
  <c r="U126" i="5" a="1"/>
  <c r="U126" i="5" s="1"/>
  <c r="V126" i="5" a="1"/>
  <c r="V126" i="5" s="1"/>
  <c r="S126" i="5" a="1"/>
  <c r="S126" i="5" s="1"/>
  <c r="E126" i="5" a="1"/>
  <c r="E126" i="5" s="1"/>
  <c r="C36" i="8" s="1"/>
  <c r="H126" i="5" a="1"/>
  <c r="H126" i="5" s="1"/>
  <c r="F36" i="8" s="1"/>
  <c r="Q126" i="5" a="1"/>
  <c r="Q126" i="5" s="1"/>
  <c r="I126" i="5" a="1"/>
  <c r="I126" i="5" s="1"/>
  <c r="G36" i="8" s="1"/>
  <c r="R126" i="5" a="1"/>
  <c r="R126" i="5" s="1"/>
  <c r="P36" i="8" s="1"/>
  <c r="F126" i="5" a="1"/>
  <c r="F126" i="5" s="1"/>
  <c r="P126" i="5" a="1"/>
  <c r="P126" i="5" s="1"/>
  <c r="O126" i="5" a="1"/>
  <c r="O126" i="5" s="1"/>
  <c r="K126" i="5" a="1"/>
  <c r="K126" i="5" s="1"/>
  <c r="N126" i="5" a="1"/>
  <c r="N126" i="5" s="1"/>
  <c r="L126" i="5" a="1"/>
  <c r="L126" i="5" s="1"/>
  <c r="M126" i="5" a="1"/>
  <c r="M126" i="5" s="1"/>
  <c r="K36" i="8" s="1"/>
  <c r="J126" i="5" a="1"/>
  <c r="J126" i="5" s="1"/>
  <c r="G126" i="5" a="1"/>
  <c r="G126" i="5" s="1"/>
  <c r="E36" i="8" s="1"/>
  <c r="D126" i="5" a="1"/>
  <c r="D126" i="5" s="1"/>
  <c r="C127" i="5"/>
  <c r="T127" i="5" l="1" a="1"/>
  <c r="T127" i="5" s="1"/>
  <c r="AG127" i="5" a="1"/>
  <c r="AG127" i="5" s="1"/>
  <c r="AF127" i="5" a="1"/>
  <c r="AF127" i="5" s="1"/>
  <c r="AD127" i="5" a="1"/>
  <c r="AD127" i="5" s="1"/>
  <c r="AC127" i="5" a="1"/>
  <c r="AC127" i="5" s="1"/>
  <c r="AB127" i="5" a="1"/>
  <c r="AB127" i="5" s="1"/>
  <c r="AE127" i="5" a="1"/>
  <c r="AE127" i="5" s="1"/>
  <c r="AA127" i="5" a="1"/>
  <c r="AA127" i="5" s="1"/>
  <c r="Z127" i="5" a="1"/>
  <c r="Z127" i="5" s="1"/>
  <c r="Y127" i="5" a="1"/>
  <c r="Y127" i="5" s="1"/>
  <c r="X127" i="5" a="1"/>
  <c r="X127" i="5" s="1"/>
  <c r="W127" i="5" a="1"/>
  <c r="W127" i="5" s="1"/>
  <c r="U127" i="5" a="1"/>
  <c r="U127" i="5" s="1"/>
  <c r="V127" i="5" a="1"/>
  <c r="V127" i="5" s="1"/>
  <c r="S127" i="5" a="1"/>
  <c r="S127" i="5" s="1"/>
  <c r="E127" i="5" a="1"/>
  <c r="E127" i="5" s="1"/>
  <c r="H127" i="5" a="1"/>
  <c r="H127" i="5" s="1"/>
  <c r="Q127" i="5" a="1"/>
  <c r="Q127" i="5" s="1"/>
  <c r="R127" i="5" a="1"/>
  <c r="R127" i="5" s="1"/>
  <c r="I127" i="5" a="1"/>
  <c r="I127" i="5" s="1"/>
  <c r="P127" i="5" a="1"/>
  <c r="P127" i="5" s="1"/>
  <c r="O127" i="5" a="1"/>
  <c r="O127" i="5" s="1"/>
  <c r="K127" i="5" a="1"/>
  <c r="K127" i="5" s="1"/>
  <c r="L127" i="5" a="1"/>
  <c r="L127" i="5" s="1"/>
  <c r="N127" i="5" a="1"/>
  <c r="N127" i="5" s="1"/>
  <c r="J127" i="5" a="1"/>
  <c r="J127" i="5" s="1"/>
  <c r="F127" i="5" a="1"/>
  <c r="F127" i="5" s="1"/>
  <c r="M127" i="5" a="1"/>
  <c r="M127" i="5" s="1"/>
  <c r="G127" i="5" a="1"/>
  <c r="G127" i="5" s="1"/>
  <c r="D127" i="5" a="1"/>
  <c r="D127" i="5" s="1"/>
  <c r="C128" i="5"/>
  <c r="T128" i="5" l="1" a="1"/>
  <c r="T128" i="5" s="1"/>
  <c r="AG128" i="5" a="1"/>
  <c r="AG128" i="5" s="1"/>
  <c r="AF128" i="5" a="1"/>
  <c r="AF128" i="5" s="1"/>
  <c r="AE128" i="5" a="1"/>
  <c r="AE128" i="5" s="1"/>
  <c r="AD128" i="5" a="1"/>
  <c r="AD128" i="5" s="1"/>
  <c r="AC128" i="5" a="1"/>
  <c r="AC128" i="5" s="1"/>
  <c r="AB128" i="5" a="1"/>
  <c r="AB128" i="5" s="1"/>
  <c r="AA128" i="5" a="1"/>
  <c r="AA128" i="5" s="1"/>
  <c r="W128" i="5" a="1"/>
  <c r="W128" i="5" s="1"/>
  <c r="Z128" i="5" a="1"/>
  <c r="Z128" i="5" s="1"/>
  <c r="Y128" i="5" a="1"/>
  <c r="Y128" i="5" s="1"/>
  <c r="X128" i="5" a="1"/>
  <c r="X128" i="5" s="1"/>
  <c r="V128" i="5" a="1"/>
  <c r="V128" i="5" s="1"/>
  <c r="S128" i="5" a="1"/>
  <c r="S128" i="5" s="1"/>
  <c r="U128" i="5" a="1"/>
  <c r="U128" i="5" s="1"/>
  <c r="E128" i="5" a="1"/>
  <c r="E128" i="5" s="1"/>
  <c r="H128" i="5" a="1"/>
  <c r="H128" i="5" s="1"/>
  <c r="I128" i="5" a="1"/>
  <c r="I128" i="5" s="1"/>
  <c r="Q128" i="5" a="1"/>
  <c r="Q128" i="5" s="1"/>
  <c r="K128" i="5" a="1"/>
  <c r="K128" i="5" s="1"/>
  <c r="P128" i="5" a="1"/>
  <c r="P128" i="5" s="1"/>
  <c r="O128" i="5" a="1"/>
  <c r="O128" i="5" s="1"/>
  <c r="F128" i="5" a="1"/>
  <c r="F128" i="5" s="1"/>
  <c r="L128" i="5" a="1"/>
  <c r="L128" i="5" s="1"/>
  <c r="N128" i="5" a="1"/>
  <c r="N128" i="5" s="1"/>
  <c r="R128" i="5" a="1"/>
  <c r="R128" i="5" s="1"/>
  <c r="J128" i="5" a="1"/>
  <c r="J128" i="5" s="1"/>
  <c r="M128" i="5" a="1"/>
  <c r="M128" i="5" s="1"/>
  <c r="G128" i="5" a="1"/>
  <c r="G128" i="5" s="1"/>
  <c r="D128" i="5" a="1"/>
  <c r="D128" i="5" s="1"/>
  <c r="C129" i="5"/>
  <c r="T129" i="5" l="1" a="1"/>
  <c r="T129" i="5" s="1"/>
  <c r="AF129" i="5" a="1"/>
  <c r="AF129" i="5" s="1"/>
  <c r="AG129" i="5" a="1"/>
  <c r="AG129" i="5" s="1"/>
  <c r="AD129" i="5" a="1"/>
  <c r="AD129" i="5" s="1"/>
  <c r="AC129" i="5" a="1"/>
  <c r="AC129" i="5" s="1"/>
  <c r="AB129" i="5" a="1"/>
  <c r="AB129" i="5" s="1"/>
  <c r="AE129" i="5" a="1"/>
  <c r="AE129" i="5" s="1"/>
  <c r="AA129" i="5" a="1"/>
  <c r="AA129" i="5" s="1"/>
  <c r="Z129" i="5" a="1"/>
  <c r="Z129" i="5" s="1"/>
  <c r="Y129" i="5" a="1"/>
  <c r="Y129" i="5" s="1"/>
  <c r="X129" i="5" a="1"/>
  <c r="X129" i="5" s="1"/>
  <c r="W129" i="5" a="1"/>
  <c r="W129" i="5" s="1"/>
  <c r="V129" i="5" a="1"/>
  <c r="V129" i="5" s="1"/>
  <c r="U129" i="5" a="1"/>
  <c r="U129" i="5" s="1"/>
  <c r="S129" i="5" a="1"/>
  <c r="S129" i="5" s="1"/>
  <c r="E129" i="5" a="1"/>
  <c r="E129" i="5" s="1"/>
  <c r="H129" i="5" a="1"/>
  <c r="H129" i="5" s="1"/>
  <c r="Q129" i="5" a="1"/>
  <c r="Q129" i="5" s="1"/>
  <c r="I129" i="5" a="1"/>
  <c r="I129" i="5" s="1"/>
  <c r="O129" i="5" a="1"/>
  <c r="O129" i="5" s="1"/>
  <c r="F129" i="5" a="1"/>
  <c r="F129" i="5" s="1"/>
  <c r="P129" i="5" a="1"/>
  <c r="P129" i="5" s="1"/>
  <c r="K129" i="5" a="1"/>
  <c r="K129" i="5" s="1"/>
  <c r="N129" i="5" a="1"/>
  <c r="N129" i="5" s="1"/>
  <c r="R129" i="5" a="1"/>
  <c r="R129" i="5" s="1"/>
  <c r="J129" i="5" a="1"/>
  <c r="J129" i="5" s="1"/>
  <c r="L129" i="5" a="1"/>
  <c r="L129" i="5" s="1"/>
  <c r="M129" i="5" a="1"/>
  <c r="M129" i="5" s="1"/>
  <c r="G129" i="5" a="1"/>
  <c r="G129" i="5" s="1"/>
  <c r="D129" i="5" a="1"/>
  <c r="D129" i="5" s="1"/>
  <c r="C130" i="5"/>
  <c r="T130" i="5" l="1" a="1"/>
  <c r="T130" i="5" s="1"/>
  <c r="AG130" i="5" a="1"/>
  <c r="AG130" i="5" s="1"/>
  <c r="AF130" i="5" a="1"/>
  <c r="AF130" i="5" s="1"/>
  <c r="AE130" i="5" a="1"/>
  <c r="AE130" i="5" s="1"/>
  <c r="AD130" i="5" a="1"/>
  <c r="AD130" i="5" s="1"/>
  <c r="AC130" i="5" a="1"/>
  <c r="AC130" i="5" s="1"/>
  <c r="AB130" i="5" a="1"/>
  <c r="AB130" i="5" s="1"/>
  <c r="Z37" i="8" s="1"/>
  <c r="AA130" i="5" a="1"/>
  <c r="AA130" i="5" s="1"/>
  <c r="W130" i="5" a="1"/>
  <c r="W130" i="5" s="1"/>
  <c r="Z130" i="5" a="1"/>
  <c r="Z130" i="5" s="1"/>
  <c r="Y130" i="5" a="1"/>
  <c r="Y130" i="5" s="1"/>
  <c r="X130" i="5" a="1"/>
  <c r="X130" i="5" s="1"/>
  <c r="AC37" i="8"/>
  <c r="AA37" i="8"/>
  <c r="U37" i="8"/>
  <c r="AB37" i="8"/>
  <c r="V37" i="8"/>
  <c r="AE37" i="8"/>
  <c r="W37" i="8"/>
  <c r="AD37" i="8"/>
  <c r="X37" i="8"/>
  <c r="V130" i="5" a="1"/>
  <c r="V130" i="5" s="1"/>
  <c r="U130" i="5" a="1"/>
  <c r="U130" i="5" s="1"/>
  <c r="S130" i="5" a="1"/>
  <c r="S130" i="5" s="1"/>
  <c r="E130" i="5" a="1"/>
  <c r="E130" i="5" s="1"/>
  <c r="H130" i="5" a="1"/>
  <c r="H130" i="5" s="1"/>
  <c r="I130" i="5" a="1"/>
  <c r="I130" i="5" s="1"/>
  <c r="Q130" i="5" a="1"/>
  <c r="Q130" i="5" s="1"/>
  <c r="O37" i="8" s="1"/>
  <c r="F130" i="5" a="1"/>
  <c r="F130" i="5" s="1"/>
  <c r="D37" i="8" s="1"/>
  <c r="O130" i="5" a="1"/>
  <c r="O130" i="5" s="1"/>
  <c r="P130" i="5" a="1"/>
  <c r="P130" i="5" s="1"/>
  <c r="K130" i="5" a="1"/>
  <c r="K130" i="5" s="1"/>
  <c r="R130" i="5" a="1"/>
  <c r="R130" i="5" s="1"/>
  <c r="N130" i="5" a="1"/>
  <c r="N130" i="5" s="1"/>
  <c r="J130" i="5" a="1"/>
  <c r="J130" i="5" s="1"/>
  <c r="H37" i="8" s="1"/>
  <c r="L130" i="5" a="1"/>
  <c r="L130" i="5" s="1"/>
  <c r="J37" i="8" s="1"/>
  <c r="G130" i="5" a="1"/>
  <c r="G130" i="5" s="1"/>
  <c r="M130" i="5" a="1"/>
  <c r="M130" i="5" s="1"/>
  <c r="C131" i="5"/>
  <c r="D130" i="5" a="1"/>
  <c r="D130" i="5" s="1"/>
  <c r="T131" i="5" l="1" a="1"/>
  <c r="T131" i="5" s="1"/>
  <c r="AG131" i="5" a="1"/>
  <c r="AG131" i="5" s="1"/>
  <c r="AF131" i="5" a="1"/>
  <c r="AF131" i="5" s="1"/>
  <c r="AC131" i="5" a="1"/>
  <c r="AC131" i="5" s="1"/>
  <c r="AB131" i="5" a="1"/>
  <c r="AB131" i="5" s="1"/>
  <c r="AE131" i="5" a="1"/>
  <c r="AE131" i="5" s="1"/>
  <c r="AD131" i="5" a="1"/>
  <c r="AD131" i="5" s="1"/>
  <c r="AA131" i="5" a="1"/>
  <c r="AA131" i="5" s="1"/>
  <c r="Z131" i="5" a="1"/>
  <c r="Z131" i="5" s="1"/>
  <c r="Y131" i="5" a="1"/>
  <c r="Y131" i="5" s="1"/>
  <c r="X131" i="5" a="1"/>
  <c r="X131" i="5" s="1"/>
  <c r="W131" i="5" a="1"/>
  <c r="W131" i="5" s="1"/>
  <c r="V131" i="5" a="1"/>
  <c r="V131" i="5" s="1"/>
  <c r="U131" i="5" a="1"/>
  <c r="U131" i="5" s="1"/>
  <c r="S131" i="5" a="1"/>
  <c r="S131" i="5" s="1"/>
  <c r="E131" i="5" a="1"/>
  <c r="E131" i="5" s="1"/>
  <c r="H131" i="5" a="1"/>
  <c r="H131" i="5" s="1"/>
  <c r="I131" i="5" a="1"/>
  <c r="I131" i="5" s="1"/>
  <c r="Q131" i="5" a="1"/>
  <c r="Q131" i="5" s="1"/>
  <c r="F131" i="5" a="1"/>
  <c r="F131" i="5" s="1"/>
  <c r="O131" i="5" a="1"/>
  <c r="O131" i="5" s="1"/>
  <c r="P131" i="5" a="1"/>
  <c r="P131" i="5" s="1"/>
  <c r="K131" i="5" a="1"/>
  <c r="K131" i="5" s="1"/>
  <c r="R131" i="5" a="1"/>
  <c r="R131" i="5" s="1"/>
  <c r="M131" i="5" a="1"/>
  <c r="M131" i="5" s="1"/>
  <c r="N131" i="5" a="1"/>
  <c r="N131" i="5" s="1"/>
  <c r="L131" i="5" a="1"/>
  <c r="L131" i="5" s="1"/>
  <c r="J131" i="5" a="1"/>
  <c r="J131" i="5" s="1"/>
  <c r="G131" i="5" a="1"/>
  <c r="G131" i="5" s="1"/>
  <c r="D131" i="5" a="1"/>
  <c r="D131" i="5" s="1"/>
  <c r="C132" i="5"/>
  <c r="T132" i="5" l="1" a="1"/>
  <c r="T132" i="5" s="1"/>
  <c r="AG132" i="5" a="1"/>
  <c r="AG132" i="5" s="1"/>
  <c r="AF132" i="5" a="1"/>
  <c r="AF132" i="5" s="1"/>
  <c r="AE132" i="5" a="1"/>
  <c r="AE132" i="5" s="1"/>
  <c r="AD132" i="5" a="1"/>
  <c r="AD132" i="5" s="1"/>
  <c r="AC132" i="5" a="1"/>
  <c r="AC132" i="5" s="1"/>
  <c r="AB132" i="5" a="1"/>
  <c r="AB132" i="5" s="1"/>
  <c r="AA132" i="5" a="1"/>
  <c r="AA132" i="5" s="1"/>
  <c r="W132" i="5" a="1"/>
  <c r="W132" i="5" s="1"/>
  <c r="Z132" i="5" a="1"/>
  <c r="Z132" i="5" s="1"/>
  <c r="Y132" i="5" a="1"/>
  <c r="Y132" i="5" s="1"/>
  <c r="X132" i="5" a="1"/>
  <c r="X132" i="5" s="1"/>
  <c r="U132" i="5" a="1"/>
  <c r="U132" i="5" s="1"/>
  <c r="V132" i="5" a="1"/>
  <c r="V132" i="5" s="1"/>
  <c r="S132" i="5" a="1"/>
  <c r="S132" i="5" s="1"/>
  <c r="E132" i="5" a="1"/>
  <c r="E132" i="5" s="1"/>
  <c r="H132" i="5" a="1"/>
  <c r="H132" i="5" s="1"/>
  <c r="Q132" i="5" a="1"/>
  <c r="Q132" i="5" s="1"/>
  <c r="P132" i="5" a="1"/>
  <c r="P132" i="5" s="1"/>
  <c r="R132" i="5" a="1"/>
  <c r="R132" i="5" s="1"/>
  <c r="I132" i="5" a="1"/>
  <c r="I132" i="5" s="1"/>
  <c r="F132" i="5" a="1"/>
  <c r="F132" i="5" s="1"/>
  <c r="K132" i="5" a="1"/>
  <c r="K132" i="5" s="1"/>
  <c r="N132" i="5" a="1"/>
  <c r="N132" i="5" s="1"/>
  <c r="M132" i="5" a="1"/>
  <c r="M132" i="5" s="1"/>
  <c r="J132" i="5" a="1"/>
  <c r="J132" i="5" s="1"/>
  <c r="L132" i="5" a="1"/>
  <c r="L132" i="5" s="1"/>
  <c r="O132" i="5" a="1"/>
  <c r="O132" i="5" s="1"/>
  <c r="G132" i="5" a="1"/>
  <c r="G132" i="5" s="1"/>
  <c r="D132" i="5" a="1"/>
  <c r="D132" i="5" s="1"/>
  <c r="C133" i="5"/>
  <c r="T133" i="5" l="1" a="1"/>
  <c r="T133" i="5" s="1"/>
  <c r="AF133" i="5" a="1"/>
  <c r="AF133" i="5" s="1"/>
  <c r="AG133" i="5" a="1"/>
  <c r="AG133" i="5" s="1"/>
  <c r="AC133" i="5" a="1"/>
  <c r="AC133" i="5" s="1"/>
  <c r="AB133" i="5" a="1"/>
  <c r="AB133" i="5" s="1"/>
  <c r="AE133" i="5" a="1"/>
  <c r="AE133" i="5" s="1"/>
  <c r="AD133" i="5" a="1"/>
  <c r="AD133" i="5" s="1"/>
  <c r="AA133" i="5" a="1"/>
  <c r="AA133" i="5" s="1"/>
  <c r="Z133" i="5" a="1"/>
  <c r="Z133" i="5" s="1"/>
  <c r="Y133" i="5" a="1"/>
  <c r="Y133" i="5" s="1"/>
  <c r="X133" i="5" a="1"/>
  <c r="X133" i="5" s="1"/>
  <c r="W133" i="5" a="1"/>
  <c r="W133" i="5" s="1"/>
  <c r="U133" i="5" a="1"/>
  <c r="U133" i="5" s="1"/>
  <c r="V133" i="5" a="1"/>
  <c r="V133" i="5" s="1"/>
  <c r="S133" i="5" a="1"/>
  <c r="S133" i="5" s="1"/>
  <c r="E133" i="5" a="1"/>
  <c r="E133" i="5" s="1"/>
  <c r="H133" i="5" a="1"/>
  <c r="H133" i="5" s="1"/>
  <c r="I133" i="5" a="1"/>
  <c r="I133" i="5" s="1"/>
  <c r="Q133" i="5" a="1"/>
  <c r="Q133" i="5" s="1"/>
  <c r="F133" i="5" a="1"/>
  <c r="F133" i="5" s="1"/>
  <c r="K133" i="5" a="1"/>
  <c r="K133" i="5" s="1"/>
  <c r="P133" i="5" a="1"/>
  <c r="P133" i="5" s="1"/>
  <c r="O133" i="5" a="1"/>
  <c r="O133" i="5" s="1"/>
  <c r="M133" i="5" a="1"/>
  <c r="M133" i="5" s="1"/>
  <c r="J133" i="5" a="1"/>
  <c r="J133" i="5" s="1"/>
  <c r="L133" i="5" a="1"/>
  <c r="L133" i="5" s="1"/>
  <c r="R133" i="5" a="1"/>
  <c r="R133" i="5" s="1"/>
  <c r="G133" i="5" a="1"/>
  <c r="G133" i="5" s="1"/>
  <c r="N133" i="5" a="1"/>
  <c r="N133" i="5" s="1"/>
  <c r="D133" i="5" a="1"/>
  <c r="D133" i="5" s="1"/>
  <c r="C134" i="5"/>
  <c r="T134" i="5" l="1" a="1"/>
  <c r="T134" i="5" s="1"/>
  <c r="AG134" i="5" a="1"/>
  <c r="AG134" i="5" s="1"/>
  <c r="AF134" i="5" a="1"/>
  <c r="AF134" i="5" s="1"/>
  <c r="AE134" i="5" a="1"/>
  <c r="AE134" i="5" s="1"/>
  <c r="AD134" i="5" a="1"/>
  <c r="AD134" i="5" s="1"/>
  <c r="AC134" i="5" a="1"/>
  <c r="AC134" i="5" s="1"/>
  <c r="AB134" i="5" a="1"/>
  <c r="AB134" i="5" s="1"/>
  <c r="Z38" i="8" s="1"/>
  <c r="AA134" i="5" a="1"/>
  <c r="AA134" i="5" s="1"/>
  <c r="W134" i="5" a="1"/>
  <c r="W134" i="5" s="1"/>
  <c r="Z134" i="5" a="1"/>
  <c r="Z134" i="5" s="1"/>
  <c r="Y134" i="5" a="1"/>
  <c r="Y134" i="5" s="1"/>
  <c r="X134" i="5" a="1"/>
  <c r="X134" i="5" s="1"/>
  <c r="AB38" i="8"/>
  <c r="AC38" i="8"/>
  <c r="U38" i="8"/>
  <c r="AA38" i="8"/>
  <c r="V38" i="8"/>
  <c r="AE38" i="8"/>
  <c r="W38" i="8"/>
  <c r="AD38" i="8"/>
  <c r="X38" i="8"/>
  <c r="U134" i="5" a="1"/>
  <c r="U134" i="5" s="1"/>
  <c r="V134" i="5" a="1"/>
  <c r="V134" i="5" s="1"/>
  <c r="S134" i="5" a="1"/>
  <c r="S134" i="5" s="1"/>
  <c r="E134" i="5" a="1"/>
  <c r="E134" i="5" s="1"/>
  <c r="H134" i="5" a="1"/>
  <c r="H134" i="5" s="1"/>
  <c r="Q134" i="5" a="1"/>
  <c r="Q134" i="5" s="1"/>
  <c r="O38" i="8" s="1"/>
  <c r="F134" i="5" a="1"/>
  <c r="F134" i="5" s="1"/>
  <c r="P134" i="5" a="1"/>
  <c r="P134" i="5" s="1"/>
  <c r="N38" i="8" s="1"/>
  <c r="I134" i="5" a="1"/>
  <c r="I134" i="5" s="1"/>
  <c r="G38" i="8" s="1"/>
  <c r="L134" i="5" a="1"/>
  <c r="L134" i="5" s="1"/>
  <c r="K134" i="5" a="1"/>
  <c r="K134" i="5" s="1"/>
  <c r="I38" i="8" s="1"/>
  <c r="J134" i="5" a="1"/>
  <c r="J134" i="5" s="1"/>
  <c r="H38" i="8" s="1"/>
  <c r="M134" i="5" a="1"/>
  <c r="M134" i="5" s="1"/>
  <c r="N134" i="5" a="1"/>
  <c r="N134" i="5" s="1"/>
  <c r="R134" i="5" a="1"/>
  <c r="R134" i="5" s="1"/>
  <c r="O134" i="5" a="1"/>
  <c r="O134" i="5" s="1"/>
  <c r="G134" i="5" a="1"/>
  <c r="G134" i="5" s="1"/>
  <c r="D134" i="5" a="1"/>
  <c r="D134" i="5" s="1"/>
  <c r="C135" i="5"/>
  <c r="T135" i="5" l="1" a="1"/>
  <c r="T135" i="5" s="1"/>
  <c r="AG135" i="5" a="1"/>
  <c r="AG135" i="5" s="1"/>
  <c r="AF135" i="5" a="1"/>
  <c r="AF135" i="5" s="1"/>
  <c r="AC135" i="5" a="1"/>
  <c r="AC135" i="5" s="1"/>
  <c r="AB135" i="5" a="1"/>
  <c r="AB135" i="5" s="1"/>
  <c r="AE135" i="5" a="1"/>
  <c r="AE135" i="5" s="1"/>
  <c r="AD135" i="5" a="1"/>
  <c r="AD135" i="5" s="1"/>
  <c r="AA135" i="5" a="1"/>
  <c r="AA135" i="5" s="1"/>
  <c r="Z135" i="5" a="1"/>
  <c r="Z135" i="5" s="1"/>
  <c r="Y135" i="5" a="1"/>
  <c r="Y135" i="5" s="1"/>
  <c r="X135" i="5" a="1"/>
  <c r="X135" i="5" s="1"/>
  <c r="W135" i="5" a="1"/>
  <c r="W135" i="5" s="1"/>
  <c r="U135" i="5" a="1"/>
  <c r="U135" i="5" s="1"/>
  <c r="V135" i="5" a="1"/>
  <c r="V135" i="5" s="1"/>
  <c r="S135" i="5" a="1"/>
  <c r="S135" i="5" s="1"/>
  <c r="E135" i="5" a="1"/>
  <c r="E135" i="5" s="1"/>
  <c r="H135" i="5" a="1"/>
  <c r="H135" i="5" s="1"/>
  <c r="I135" i="5" a="1"/>
  <c r="I135" i="5" s="1"/>
  <c r="Q135" i="5" a="1"/>
  <c r="Q135" i="5" s="1"/>
  <c r="O135" i="5" a="1"/>
  <c r="O135" i="5" s="1"/>
  <c r="F135" i="5" a="1"/>
  <c r="F135" i="5" s="1"/>
  <c r="P135" i="5" a="1"/>
  <c r="P135" i="5" s="1"/>
  <c r="K135" i="5" a="1"/>
  <c r="K135" i="5" s="1"/>
  <c r="R135" i="5" a="1"/>
  <c r="R135" i="5" s="1"/>
  <c r="N135" i="5" a="1"/>
  <c r="N135" i="5" s="1"/>
  <c r="J135" i="5" a="1"/>
  <c r="J135" i="5" s="1"/>
  <c r="L135" i="5" a="1"/>
  <c r="L135" i="5" s="1"/>
  <c r="G135" i="5" a="1"/>
  <c r="G135" i="5" s="1"/>
  <c r="M135" i="5" a="1"/>
  <c r="M135" i="5" s="1"/>
  <c r="D135" i="5" a="1"/>
  <c r="D135" i="5" s="1"/>
  <c r="C136" i="5"/>
  <c r="T136" i="5" l="1" a="1"/>
  <c r="T136" i="5" s="1"/>
  <c r="AG136" i="5" a="1"/>
  <c r="AG136" i="5" s="1"/>
  <c r="AF136" i="5" a="1"/>
  <c r="AF136" i="5" s="1"/>
  <c r="AE136" i="5" a="1"/>
  <c r="AE136" i="5" s="1"/>
  <c r="AD136" i="5" a="1"/>
  <c r="AD136" i="5" s="1"/>
  <c r="AC136" i="5" a="1"/>
  <c r="AC136" i="5" s="1"/>
  <c r="AB136" i="5" a="1"/>
  <c r="AB136" i="5" s="1"/>
  <c r="AA136" i="5" a="1"/>
  <c r="AA136" i="5" s="1"/>
  <c r="W136" i="5" a="1"/>
  <c r="W136" i="5" s="1"/>
  <c r="Z136" i="5" a="1"/>
  <c r="Z136" i="5" s="1"/>
  <c r="Y136" i="5" a="1"/>
  <c r="Y136" i="5" s="1"/>
  <c r="X136" i="5" a="1"/>
  <c r="X136" i="5" s="1"/>
  <c r="V136" i="5" a="1"/>
  <c r="V136" i="5" s="1"/>
  <c r="S136" i="5" a="1"/>
  <c r="S136" i="5" s="1"/>
  <c r="U136" i="5" a="1"/>
  <c r="U136" i="5" s="1"/>
  <c r="E136" i="5" a="1"/>
  <c r="E136" i="5" s="1"/>
  <c r="H136" i="5" a="1"/>
  <c r="H136" i="5" s="1"/>
  <c r="I136" i="5" a="1"/>
  <c r="I136" i="5" s="1"/>
  <c r="Q136" i="5" a="1"/>
  <c r="Q136" i="5" s="1"/>
  <c r="P136" i="5" a="1"/>
  <c r="P136" i="5" s="1"/>
  <c r="O136" i="5" a="1"/>
  <c r="O136" i="5" s="1"/>
  <c r="K136" i="5" a="1"/>
  <c r="K136" i="5" s="1"/>
  <c r="F136" i="5" a="1"/>
  <c r="F136" i="5" s="1"/>
  <c r="M136" i="5" a="1"/>
  <c r="M136" i="5" s="1"/>
  <c r="L136" i="5" a="1"/>
  <c r="L136" i="5" s="1"/>
  <c r="N136" i="5" a="1"/>
  <c r="N136" i="5" s="1"/>
  <c r="R136" i="5" a="1"/>
  <c r="R136" i="5" s="1"/>
  <c r="J136" i="5" a="1"/>
  <c r="J136" i="5" s="1"/>
  <c r="G136" i="5" a="1"/>
  <c r="G136" i="5" s="1"/>
  <c r="D136" i="5" a="1"/>
  <c r="D136" i="5" s="1"/>
  <c r="C137" i="5"/>
  <c r="T137" i="5" l="1" a="1"/>
  <c r="T137" i="5" s="1"/>
  <c r="AF137" i="5" a="1"/>
  <c r="AF137" i="5" s="1"/>
  <c r="AG137" i="5" a="1"/>
  <c r="AG137" i="5" s="1"/>
  <c r="AC137" i="5" a="1"/>
  <c r="AC137" i="5" s="1"/>
  <c r="AB137" i="5" a="1"/>
  <c r="AB137" i="5" s="1"/>
  <c r="AE137" i="5" a="1"/>
  <c r="AE137" i="5" s="1"/>
  <c r="AD137" i="5" a="1"/>
  <c r="AD137" i="5" s="1"/>
  <c r="AA137" i="5" a="1"/>
  <c r="AA137" i="5" s="1"/>
  <c r="Z137" i="5" a="1"/>
  <c r="Z137" i="5" s="1"/>
  <c r="Y137" i="5" a="1"/>
  <c r="Y137" i="5" s="1"/>
  <c r="X137" i="5" a="1"/>
  <c r="X137" i="5" s="1"/>
  <c r="W137" i="5" a="1"/>
  <c r="W137" i="5" s="1"/>
  <c r="V137" i="5" a="1"/>
  <c r="V137" i="5" s="1"/>
  <c r="U137" i="5" a="1"/>
  <c r="U137" i="5" s="1"/>
  <c r="S137" i="5" a="1"/>
  <c r="S137" i="5" s="1"/>
  <c r="E137" i="5" a="1"/>
  <c r="E137" i="5" s="1"/>
  <c r="H137" i="5" a="1"/>
  <c r="H137" i="5" s="1"/>
  <c r="I137" i="5" a="1"/>
  <c r="I137" i="5" s="1"/>
  <c r="P137" i="5" a="1"/>
  <c r="P137" i="5" s="1"/>
  <c r="R137" i="5" a="1"/>
  <c r="R137" i="5" s="1"/>
  <c r="O137" i="5" a="1"/>
  <c r="O137" i="5" s="1"/>
  <c r="F137" i="5" a="1"/>
  <c r="F137" i="5" s="1"/>
  <c r="L137" i="5" a="1"/>
  <c r="L137" i="5" s="1"/>
  <c r="N137" i="5" a="1"/>
  <c r="N137" i="5" s="1"/>
  <c r="Q137" i="5" a="1"/>
  <c r="Q137" i="5" s="1"/>
  <c r="J137" i="5" a="1"/>
  <c r="J137" i="5" s="1"/>
  <c r="M137" i="5" a="1"/>
  <c r="M137" i="5" s="1"/>
  <c r="G137" i="5" a="1"/>
  <c r="G137" i="5" s="1"/>
  <c r="K137" i="5" a="1"/>
  <c r="K137" i="5" s="1"/>
  <c r="D137" i="5" a="1"/>
  <c r="D137" i="5" s="1"/>
  <c r="C138" i="5"/>
  <c r="T138" i="5" l="1" a="1"/>
  <c r="T138" i="5" s="1"/>
  <c r="AG138" i="5" a="1"/>
  <c r="AG138" i="5" s="1"/>
  <c r="AF138" i="5" a="1"/>
  <c r="AF138" i="5" s="1"/>
  <c r="AE138" i="5" a="1"/>
  <c r="AE138" i="5" s="1"/>
  <c r="AD138" i="5" a="1"/>
  <c r="AD138" i="5" s="1"/>
  <c r="AC138" i="5" a="1"/>
  <c r="AC138" i="5" s="1"/>
  <c r="AB138" i="5" a="1"/>
  <c r="AB138" i="5" s="1"/>
  <c r="Z39" i="8" s="1"/>
  <c r="AA138" i="5" a="1"/>
  <c r="AA138" i="5" s="1"/>
  <c r="W138" i="5" a="1"/>
  <c r="W138" i="5" s="1"/>
  <c r="Z138" i="5" a="1"/>
  <c r="Z138" i="5" s="1"/>
  <c r="Y138" i="5" a="1"/>
  <c r="Y138" i="5" s="1"/>
  <c r="X138" i="5" a="1"/>
  <c r="X138" i="5" s="1"/>
  <c r="AB39" i="8"/>
  <c r="AC39" i="8"/>
  <c r="U39" i="8"/>
  <c r="AA39" i="8"/>
  <c r="V39" i="8"/>
  <c r="AE39" i="8"/>
  <c r="W39" i="8"/>
  <c r="AD39" i="8"/>
  <c r="X39" i="8"/>
  <c r="V138" i="5" a="1"/>
  <c r="V138" i="5" s="1"/>
  <c r="U138" i="5" a="1"/>
  <c r="U138" i="5" s="1"/>
  <c r="S138" i="5" a="1"/>
  <c r="S138" i="5" s="1"/>
  <c r="E138" i="5" a="1"/>
  <c r="E138" i="5" s="1"/>
  <c r="H138" i="5" a="1"/>
  <c r="H138" i="5" s="1"/>
  <c r="I138" i="5" a="1"/>
  <c r="I138" i="5" s="1"/>
  <c r="Q138" i="5" a="1"/>
  <c r="Q138" i="5" s="1"/>
  <c r="O39" i="8" s="1"/>
  <c r="F138" i="5" a="1"/>
  <c r="F138" i="5" s="1"/>
  <c r="O138" i="5" a="1"/>
  <c r="O138" i="5" s="1"/>
  <c r="K138" i="5" a="1"/>
  <c r="K138" i="5" s="1"/>
  <c r="I39" i="8" s="1"/>
  <c r="R138" i="5" a="1"/>
  <c r="R138" i="5" s="1"/>
  <c r="P138" i="5" a="1"/>
  <c r="P138" i="5" s="1"/>
  <c r="M138" i="5" a="1"/>
  <c r="M138" i="5" s="1"/>
  <c r="N138" i="5" a="1"/>
  <c r="N138" i="5" s="1"/>
  <c r="L39" i="8" s="1"/>
  <c r="L138" i="5" a="1"/>
  <c r="L138" i="5" s="1"/>
  <c r="J138" i="5" a="1"/>
  <c r="J138" i="5" s="1"/>
  <c r="H39" i="8" s="1"/>
  <c r="G138" i="5" a="1"/>
  <c r="G138" i="5" s="1"/>
  <c r="D138" i="5" a="1"/>
  <c r="D138" i="5" s="1"/>
  <c r="C139" i="5"/>
  <c r="T139" i="5" l="1" a="1"/>
  <c r="T139" i="5" s="1"/>
  <c r="AG139" i="5" a="1"/>
  <c r="AG139" i="5" s="1"/>
  <c r="AF139" i="5" a="1"/>
  <c r="AF139" i="5" s="1"/>
  <c r="AC139" i="5" a="1"/>
  <c r="AC139" i="5" s="1"/>
  <c r="AB139" i="5" a="1"/>
  <c r="AB139" i="5" s="1"/>
  <c r="AE139" i="5" a="1"/>
  <c r="AE139" i="5" s="1"/>
  <c r="AD139" i="5" a="1"/>
  <c r="AD139" i="5" s="1"/>
  <c r="AA139" i="5" a="1"/>
  <c r="AA139" i="5" s="1"/>
  <c r="Z139" i="5" a="1"/>
  <c r="Z139" i="5" s="1"/>
  <c r="Y139" i="5" a="1"/>
  <c r="Y139" i="5" s="1"/>
  <c r="X139" i="5" a="1"/>
  <c r="X139" i="5" s="1"/>
  <c r="W139" i="5" a="1"/>
  <c r="W139" i="5" s="1"/>
  <c r="U139" i="5" a="1"/>
  <c r="U139" i="5" s="1"/>
  <c r="S139" i="5" a="1"/>
  <c r="S139" i="5" s="1"/>
  <c r="V139" i="5" a="1"/>
  <c r="V139" i="5" s="1"/>
  <c r="E139" i="5" a="1"/>
  <c r="E139" i="5" s="1"/>
  <c r="H139" i="5" a="1"/>
  <c r="H139" i="5" s="1"/>
  <c r="I139" i="5" a="1"/>
  <c r="I139" i="5" s="1"/>
  <c r="Q139" i="5" a="1"/>
  <c r="Q139" i="5" s="1"/>
  <c r="O139" i="5" a="1"/>
  <c r="O139" i="5" s="1"/>
  <c r="F139" i="5" a="1"/>
  <c r="F139" i="5" s="1"/>
  <c r="K139" i="5" a="1"/>
  <c r="K139" i="5" s="1"/>
  <c r="P139" i="5" a="1"/>
  <c r="P139" i="5" s="1"/>
  <c r="L139" i="5" a="1"/>
  <c r="L139" i="5" s="1"/>
  <c r="J139" i="5" a="1"/>
  <c r="J139" i="5" s="1"/>
  <c r="R139" i="5" a="1"/>
  <c r="R139" i="5" s="1"/>
  <c r="N139" i="5" a="1"/>
  <c r="N139" i="5" s="1"/>
  <c r="G139" i="5" a="1"/>
  <c r="G139" i="5" s="1"/>
  <c r="M139" i="5" a="1"/>
  <c r="M139" i="5" s="1"/>
  <c r="D139" i="5" a="1"/>
  <c r="D139" i="5" s="1"/>
  <c r="C140" i="5"/>
  <c r="T140" i="5" l="1" a="1"/>
  <c r="T140" i="5" s="1"/>
  <c r="AG140" i="5" a="1"/>
  <c r="AG140" i="5" s="1"/>
  <c r="AF140" i="5" a="1"/>
  <c r="AF140" i="5" s="1"/>
  <c r="AE140" i="5" a="1"/>
  <c r="AE140" i="5" s="1"/>
  <c r="AD140" i="5" a="1"/>
  <c r="AD140" i="5" s="1"/>
  <c r="AC140" i="5" a="1"/>
  <c r="AC140" i="5" s="1"/>
  <c r="AB140" i="5" a="1"/>
  <c r="AB140" i="5" s="1"/>
  <c r="AA140" i="5" a="1"/>
  <c r="AA140" i="5" s="1"/>
  <c r="W140" i="5" a="1"/>
  <c r="W140" i="5" s="1"/>
  <c r="Z140" i="5" a="1"/>
  <c r="Z140" i="5" s="1"/>
  <c r="Y140" i="5" a="1"/>
  <c r="Y140" i="5" s="1"/>
  <c r="X140" i="5" a="1"/>
  <c r="X140" i="5" s="1"/>
  <c r="U140" i="5" a="1"/>
  <c r="U140" i="5" s="1"/>
  <c r="V140" i="5" a="1"/>
  <c r="V140" i="5" s="1"/>
  <c r="S140" i="5" a="1"/>
  <c r="S140" i="5" s="1"/>
  <c r="E140" i="5" a="1"/>
  <c r="E140" i="5" s="1"/>
  <c r="H140" i="5" a="1"/>
  <c r="H140" i="5" s="1"/>
  <c r="Q140" i="5" a="1"/>
  <c r="Q140" i="5" s="1"/>
  <c r="K140" i="5" a="1"/>
  <c r="K140" i="5" s="1"/>
  <c r="O140" i="5" a="1"/>
  <c r="O140" i="5" s="1"/>
  <c r="P140" i="5" a="1"/>
  <c r="P140" i="5" s="1"/>
  <c r="F140" i="5" a="1"/>
  <c r="F140" i="5" s="1"/>
  <c r="I140" i="5" a="1"/>
  <c r="I140" i="5" s="1"/>
  <c r="R140" i="5" a="1"/>
  <c r="R140" i="5" s="1"/>
  <c r="L140" i="5" a="1"/>
  <c r="L140" i="5" s="1"/>
  <c r="M140" i="5" a="1"/>
  <c r="M140" i="5" s="1"/>
  <c r="N140" i="5" a="1"/>
  <c r="N140" i="5" s="1"/>
  <c r="J140" i="5" a="1"/>
  <c r="J140" i="5" s="1"/>
  <c r="G140" i="5" a="1"/>
  <c r="G140" i="5" s="1"/>
  <c r="D140" i="5" a="1"/>
  <c r="D140" i="5" s="1"/>
  <c r="C141" i="5"/>
  <c r="T141" i="5" l="1" a="1"/>
  <c r="T141" i="5" s="1"/>
  <c r="AF141" i="5" a="1"/>
  <c r="AF141" i="5" s="1"/>
  <c r="AG141" i="5" a="1"/>
  <c r="AG141" i="5" s="1"/>
  <c r="AC141" i="5" a="1"/>
  <c r="AC141" i="5" s="1"/>
  <c r="AB141" i="5" a="1"/>
  <c r="AB141" i="5" s="1"/>
  <c r="AE141" i="5" a="1"/>
  <c r="AE141" i="5" s="1"/>
  <c r="AD141" i="5" a="1"/>
  <c r="AD141" i="5" s="1"/>
  <c r="AA141" i="5" a="1"/>
  <c r="AA141" i="5" s="1"/>
  <c r="Z141" i="5" a="1"/>
  <c r="Z141" i="5" s="1"/>
  <c r="Y141" i="5" a="1"/>
  <c r="Y141" i="5" s="1"/>
  <c r="X141" i="5" a="1"/>
  <c r="X141" i="5" s="1"/>
  <c r="W141" i="5" a="1"/>
  <c r="W141" i="5" s="1"/>
  <c r="U141" i="5" a="1"/>
  <c r="U141" i="5" s="1"/>
  <c r="V141" i="5" a="1"/>
  <c r="V141" i="5" s="1"/>
  <c r="S141" i="5" a="1"/>
  <c r="S141" i="5" s="1"/>
  <c r="E141" i="5" a="1"/>
  <c r="E141" i="5" s="1"/>
  <c r="H141" i="5" a="1"/>
  <c r="H141" i="5" s="1"/>
  <c r="Q141" i="5" a="1"/>
  <c r="Q141" i="5" s="1"/>
  <c r="I141" i="5" a="1"/>
  <c r="I141" i="5" s="1"/>
  <c r="O141" i="5" a="1"/>
  <c r="O141" i="5" s="1"/>
  <c r="F141" i="5" a="1"/>
  <c r="F141" i="5" s="1"/>
  <c r="K141" i="5" a="1"/>
  <c r="K141" i="5" s="1"/>
  <c r="P141" i="5" a="1"/>
  <c r="P141" i="5" s="1"/>
  <c r="N141" i="5" a="1"/>
  <c r="N141" i="5" s="1"/>
  <c r="M141" i="5" a="1"/>
  <c r="M141" i="5" s="1"/>
  <c r="L141" i="5" a="1"/>
  <c r="L141" i="5" s="1"/>
  <c r="R141" i="5" a="1"/>
  <c r="R141" i="5" s="1"/>
  <c r="J141" i="5" a="1"/>
  <c r="J141" i="5" s="1"/>
  <c r="G141" i="5" a="1"/>
  <c r="G141" i="5" s="1"/>
  <c r="D141" i="5" a="1"/>
  <c r="D141" i="5" s="1"/>
  <c r="C142" i="5"/>
  <c r="T142" i="5" l="1" a="1"/>
  <c r="T142" i="5" s="1"/>
  <c r="AG142" i="5" a="1"/>
  <c r="AG142" i="5" s="1"/>
  <c r="AF142" i="5" a="1"/>
  <c r="AF142" i="5" s="1"/>
  <c r="AE142" i="5" a="1"/>
  <c r="AE142" i="5" s="1"/>
  <c r="AD142" i="5" a="1"/>
  <c r="AD142" i="5" s="1"/>
  <c r="AC142" i="5" a="1"/>
  <c r="AC142" i="5" s="1"/>
  <c r="AB142" i="5" a="1"/>
  <c r="AB142" i="5" s="1"/>
  <c r="Z40" i="8" s="1"/>
  <c r="AA142" i="5" a="1"/>
  <c r="AA142" i="5" s="1"/>
  <c r="W142" i="5" a="1"/>
  <c r="W142" i="5" s="1"/>
  <c r="Z142" i="5" a="1"/>
  <c r="Z142" i="5" s="1"/>
  <c r="Y142" i="5" a="1"/>
  <c r="Y142" i="5" s="1"/>
  <c r="X142" i="5" a="1"/>
  <c r="X142" i="5" s="1"/>
  <c r="AB40" i="8"/>
  <c r="AC40" i="8"/>
  <c r="U40" i="8"/>
  <c r="AA40" i="8"/>
  <c r="V40" i="8"/>
  <c r="AE40" i="8"/>
  <c r="W40" i="8"/>
  <c r="AD40" i="8"/>
  <c r="X40" i="8"/>
  <c r="U142" i="5" a="1"/>
  <c r="U142" i="5" s="1"/>
  <c r="V142" i="5" a="1"/>
  <c r="V142" i="5" s="1"/>
  <c r="S142" i="5" a="1"/>
  <c r="S142" i="5" s="1"/>
  <c r="E142" i="5" a="1"/>
  <c r="E142" i="5" s="1"/>
  <c r="H142" i="5" a="1"/>
  <c r="H142" i="5" s="1"/>
  <c r="Q142" i="5" a="1"/>
  <c r="Q142" i="5" s="1"/>
  <c r="O40" i="8" s="1"/>
  <c r="I142" i="5" a="1"/>
  <c r="I142" i="5" s="1"/>
  <c r="K142" i="5" a="1"/>
  <c r="K142" i="5" s="1"/>
  <c r="P142" i="5" a="1"/>
  <c r="P142" i="5" s="1"/>
  <c r="R142" i="5" a="1"/>
  <c r="R142" i="5" s="1"/>
  <c r="P40" i="8" s="1"/>
  <c r="O142" i="5" a="1"/>
  <c r="O142" i="5" s="1"/>
  <c r="F142" i="5" a="1"/>
  <c r="F142" i="5" s="1"/>
  <c r="J142" i="5" a="1"/>
  <c r="J142" i="5" s="1"/>
  <c r="L142" i="5" a="1"/>
  <c r="L142" i="5" s="1"/>
  <c r="N142" i="5" a="1"/>
  <c r="N142" i="5" s="1"/>
  <c r="L40" i="8" s="1"/>
  <c r="M142" i="5" a="1"/>
  <c r="M142" i="5" s="1"/>
  <c r="G142" i="5" a="1"/>
  <c r="G142" i="5" s="1"/>
  <c r="D142" i="5" a="1"/>
  <c r="D142" i="5" s="1"/>
  <c r="C143" i="5"/>
  <c r="T143" i="5" l="1" a="1"/>
  <c r="T143" i="5" s="1"/>
  <c r="AG143" i="5" a="1"/>
  <c r="AG143" i="5" s="1"/>
  <c r="AF143" i="5" a="1"/>
  <c r="AF143" i="5" s="1"/>
  <c r="AC143" i="5" a="1"/>
  <c r="AC143" i="5" s="1"/>
  <c r="AB143" i="5" a="1"/>
  <c r="AB143" i="5" s="1"/>
  <c r="AE143" i="5" a="1"/>
  <c r="AE143" i="5" s="1"/>
  <c r="AD143" i="5" a="1"/>
  <c r="AD143" i="5" s="1"/>
  <c r="AA143" i="5" a="1"/>
  <c r="AA143" i="5" s="1"/>
  <c r="Z143" i="5" a="1"/>
  <c r="Z143" i="5" s="1"/>
  <c r="Y143" i="5" a="1"/>
  <c r="Y143" i="5" s="1"/>
  <c r="X143" i="5" a="1"/>
  <c r="X143" i="5" s="1"/>
  <c r="W143" i="5" a="1"/>
  <c r="W143" i="5" s="1"/>
  <c r="U143" i="5" a="1"/>
  <c r="U143" i="5" s="1"/>
  <c r="V143" i="5" a="1"/>
  <c r="V143" i="5" s="1"/>
  <c r="S143" i="5" a="1"/>
  <c r="S143" i="5" s="1"/>
  <c r="E143" i="5" a="1"/>
  <c r="E143" i="5" s="1"/>
  <c r="H143" i="5" a="1"/>
  <c r="H143" i="5" s="1"/>
  <c r="I143" i="5" a="1"/>
  <c r="I143" i="5" s="1"/>
  <c r="Q143" i="5" a="1"/>
  <c r="Q143" i="5" s="1"/>
  <c r="K143" i="5" a="1"/>
  <c r="K143" i="5" s="1"/>
  <c r="O143" i="5" a="1"/>
  <c r="O143" i="5" s="1"/>
  <c r="F143" i="5" a="1"/>
  <c r="F143" i="5" s="1"/>
  <c r="R143" i="5" a="1"/>
  <c r="R143" i="5" s="1"/>
  <c r="P143" i="5" a="1"/>
  <c r="P143" i="5" s="1"/>
  <c r="L143" i="5" a="1"/>
  <c r="L143" i="5" s="1"/>
  <c r="J143" i="5" a="1"/>
  <c r="J143" i="5" s="1"/>
  <c r="N143" i="5" a="1"/>
  <c r="N143" i="5" s="1"/>
  <c r="M143" i="5" a="1"/>
  <c r="M143" i="5" s="1"/>
  <c r="G143" i="5" a="1"/>
  <c r="G143" i="5" s="1"/>
  <c r="D143" i="5" a="1"/>
  <c r="D143" i="5" s="1"/>
  <c r="C144" i="5"/>
  <c r="T144" i="5" l="1" a="1"/>
  <c r="T144" i="5" s="1"/>
  <c r="AG144" i="5" a="1"/>
  <c r="AG144" i="5" s="1"/>
  <c r="AF144" i="5" a="1"/>
  <c r="AF144" i="5" s="1"/>
  <c r="AE144" i="5" a="1"/>
  <c r="AE144" i="5" s="1"/>
  <c r="AD144" i="5" a="1"/>
  <c r="AD144" i="5" s="1"/>
  <c r="AC144" i="5" a="1"/>
  <c r="AC144" i="5" s="1"/>
  <c r="AB144" i="5" a="1"/>
  <c r="AB144" i="5" s="1"/>
  <c r="AA144" i="5" a="1"/>
  <c r="AA144" i="5" s="1"/>
  <c r="W144" i="5" a="1"/>
  <c r="W144" i="5" s="1"/>
  <c r="Z144" i="5" a="1"/>
  <c r="Z144" i="5" s="1"/>
  <c r="Y144" i="5" a="1"/>
  <c r="Y144" i="5" s="1"/>
  <c r="X144" i="5" a="1"/>
  <c r="X144" i="5" s="1"/>
  <c r="V144" i="5" a="1"/>
  <c r="V144" i="5" s="1"/>
  <c r="S144" i="5" a="1"/>
  <c r="S144" i="5" s="1"/>
  <c r="U144" i="5" a="1"/>
  <c r="U144" i="5" s="1"/>
  <c r="E144" i="5" a="1"/>
  <c r="E144" i="5" s="1"/>
  <c r="H144" i="5" a="1"/>
  <c r="H144" i="5" s="1"/>
  <c r="I144" i="5" a="1"/>
  <c r="I144" i="5" s="1"/>
  <c r="F144" i="5" a="1"/>
  <c r="F144" i="5" s="1"/>
  <c r="Q144" i="5" a="1"/>
  <c r="Q144" i="5" s="1"/>
  <c r="K144" i="5" a="1"/>
  <c r="K144" i="5" s="1"/>
  <c r="R144" i="5" a="1"/>
  <c r="R144" i="5" s="1"/>
  <c r="N144" i="5" a="1"/>
  <c r="N144" i="5" s="1"/>
  <c r="M144" i="5" a="1"/>
  <c r="M144" i="5" s="1"/>
  <c r="J144" i="5" a="1"/>
  <c r="J144" i="5" s="1"/>
  <c r="L144" i="5" a="1"/>
  <c r="L144" i="5" s="1"/>
  <c r="O144" i="5" a="1"/>
  <c r="O144" i="5" s="1"/>
  <c r="P144" i="5" a="1"/>
  <c r="P144" i="5" s="1"/>
  <c r="G144" i="5" a="1"/>
  <c r="G144" i="5" s="1"/>
  <c r="D144" i="5" a="1"/>
  <c r="D144" i="5" s="1"/>
  <c r="C145" i="5"/>
  <c r="T145" i="5" l="1" a="1"/>
  <c r="T145" i="5" s="1"/>
  <c r="AF145" i="5" a="1"/>
  <c r="AF145" i="5" s="1"/>
  <c r="AG145" i="5" a="1"/>
  <c r="AG145" i="5" s="1"/>
  <c r="AB145" i="5" a="1"/>
  <c r="AB145" i="5" s="1"/>
  <c r="AE145" i="5" a="1"/>
  <c r="AE145" i="5" s="1"/>
  <c r="AD145" i="5" a="1"/>
  <c r="AD145" i="5" s="1"/>
  <c r="AC145" i="5" a="1"/>
  <c r="AC145" i="5" s="1"/>
  <c r="AA145" i="5" a="1"/>
  <c r="AA145" i="5" s="1"/>
  <c r="Z145" i="5" a="1"/>
  <c r="Z145" i="5" s="1"/>
  <c r="Y145" i="5" a="1"/>
  <c r="Y145" i="5" s="1"/>
  <c r="X145" i="5" a="1"/>
  <c r="X145" i="5" s="1"/>
  <c r="W145" i="5" a="1"/>
  <c r="W145" i="5" s="1"/>
  <c r="V145" i="5" a="1"/>
  <c r="V145" i="5" s="1"/>
  <c r="U145" i="5" a="1"/>
  <c r="U145" i="5" s="1"/>
  <c r="S145" i="5" a="1"/>
  <c r="S145" i="5" s="1"/>
  <c r="E145" i="5" a="1"/>
  <c r="E145" i="5" s="1"/>
  <c r="H145" i="5" a="1"/>
  <c r="H145" i="5" s="1"/>
  <c r="I145" i="5" a="1"/>
  <c r="I145" i="5" s="1"/>
  <c r="Q145" i="5" a="1"/>
  <c r="Q145" i="5" s="1"/>
  <c r="K145" i="5" a="1"/>
  <c r="K145" i="5" s="1"/>
  <c r="O145" i="5" a="1"/>
  <c r="O145" i="5" s="1"/>
  <c r="P145" i="5" a="1"/>
  <c r="P145" i="5" s="1"/>
  <c r="F145" i="5" a="1"/>
  <c r="F145" i="5" s="1"/>
  <c r="R145" i="5" a="1"/>
  <c r="R145" i="5" s="1"/>
  <c r="L145" i="5" a="1"/>
  <c r="L145" i="5" s="1"/>
  <c r="J145" i="5" a="1"/>
  <c r="J145" i="5" s="1"/>
  <c r="M145" i="5" a="1"/>
  <c r="M145" i="5" s="1"/>
  <c r="G145" i="5" a="1"/>
  <c r="G145" i="5" s="1"/>
  <c r="N145" i="5" a="1"/>
  <c r="N145" i="5" s="1"/>
  <c r="D145" i="5" a="1"/>
  <c r="D145" i="5" s="1"/>
  <c r="C146" i="5"/>
  <c r="T146" i="5" l="1" a="1"/>
  <c r="T146" i="5" s="1"/>
  <c r="AG146" i="5" a="1"/>
  <c r="AG146" i="5" s="1"/>
  <c r="AF146" i="5" a="1"/>
  <c r="AF146" i="5" s="1"/>
  <c r="AE146" i="5" a="1"/>
  <c r="AE146" i="5" s="1"/>
  <c r="AD146" i="5" a="1"/>
  <c r="AD146" i="5" s="1"/>
  <c r="AC146" i="5" a="1"/>
  <c r="AC146" i="5" s="1"/>
  <c r="AB146" i="5" a="1"/>
  <c r="AB146" i="5" s="1"/>
  <c r="Z41" i="8" s="1"/>
  <c r="AA146" i="5" a="1"/>
  <c r="AA146" i="5" s="1"/>
  <c r="X146" i="5" a="1"/>
  <c r="X146" i="5" s="1"/>
  <c r="W146" i="5" a="1"/>
  <c r="W146" i="5" s="1"/>
  <c r="Z146" i="5" a="1"/>
  <c r="Z146" i="5" s="1"/>
  <c r="Y146" i="5" a="1"/>
  <c r="Y146" i="5" s="1"/>
  <c r="AA41" i="8"/>
  <c r="AB41" i="8"/>
  <c r="AC41" i="8"/>
  <c r="U41" i="8"/>
  <c r="V41" i="8"/>
  <c r="AE41" i="8"/>
  <c r="W41" i="8"/>
  <c r="AD41" i="8"/>
  <c r="X41" i="8"/>
  <c r="V146" i="5" a="1"/>
  <c r="V146" i="5" s="1"/>
  <c r="U146" i="5" a="1"/>
  <c r="U146" i="5" s="1"/>
  <c r="S146" i="5" a="1"/>
  <c r="S146" i="5" s="1"/>
  <c r="E146" i="5" a="1"/>
  <c r="E146" i="5" s="1"/>
  <c r="H146" i="5" a="1"/>
  <c r="H146" i="5" s="1"/>
  <c r="I146" i="5" a="1"/>
  <c r="I146" i="5" s="1"/>
  <c r="G41" i="8" s="1"/>
  <c r="Q146" i="5" a="1"/>
  <c r="Q146" i="5" s="1"/>
  <c r="O41" i="8" s="1"/>
  <c r="F146" i="5" a="1"/>
  <c r="F146" i="5" s="1"/>
  <c r="P146" i="5" a="1"/>
  <c r="P146" i="5" s="1"/>
  <c r="O146" i="5" a="1"/>
  <c r="O146" i="5" s="1"/>
  <c r="K146" i="5" a="1"/>
  <c r="K146" i="5" s="1"/>
  <c r="R146" i="5" a="1"/>
  <c r="R146" i="5" s="1"/>
  <c r="N146" i="5" a="1"/>
  <c r="N146" i="5" s="1"/>
  <c r="M146" i="5" a="1"/>
  <c r="M146" i="5" s="1"/>
  <c r="J146" i="5" a="1"/>
  <c r="J146" i="5" s="1"/>
  <c r="L146" i="5" a="1"/>
  <c r="L146" i="5" s="1"/>
  <c r="G146" i="5" a="1"/>
  <c r="G146" i="5" s="1"/>
  <c r="D146" i="5" a="1"/>
  <c r="D146" i="5" s="1"/>
  <c r="C147" i="5"/>
  <c r="T147" i="5" l="1" a="1"/>
  <c r="T147" i="5" s="1"/>
  <c r="AG147" i="5" a="1"/>
  <c r="AG147" i="5" s="1"/>
  <c r="AF147" i="5" a="1"/>
  <c r="AF147" i="5" s="1"/>
  <c r="AB147" i="5" a="1"/>
  <c r="AB147" i="5" s="1"/>
  <c r="AE147" i="5" a="1"/>
  <c r="AE147" i="5" s="1"/>
  <c r="AD147" i="5" a="1"/>
  <c r="AD147" i="5" s="1"/>
  <c r="AC147" i="5" a="1"/>
  <c r="AC147" i="5" s="1"/>
  <c r="AA147" i="5" a="1"/>
  <c r="AA147" i="5" s="1"/>
  <c r="Z147" i="5" a="1"/>
  <c r="Z147" i="5" s="1"/>
  <c r="Y147" i="5" a="1"/>
  <c r="Y147" i="5" s="1"/>
  <c r="X147" i="5" a="1"/>
  <c r="X147" i="5" s="1"/>
  <c r="W147" i="5" a="1"/>
  <c r="W147" i="5" s="1"/>
  <c r="U147" i="5" a="1"/>
  <c r="U147" i="5" s="1"/>
  <c r="V147" i="5" a="1"/>
  <c r="V147" i="5" s="1"/>
  <c r="S147" i="5" a="1"/>
  <c r="S147" i="5" s="1"/>
  <c r="E147" i="5" a="1"/>
  <c r="E147" i="5" s="1"/>
  <c r="H147" i="5" a="1"/>
  <c r="H147" i="5" s="1"/>
  <c r="I147" i="5" a="1"/>
  <c r="I147" i="5" s="1"/>
  <c r="Q147" i="5" a="1"/>
  <c r="Q147" i="5" s="1"/>
  <c r="K147" i="5" a="1"/>
  <c r="K147" i="5" s="1"/>
  <c r="O147" i="5" a="1"/>
  <c r="O147" i="5" s="1"/>
  <c r="F147" i="5" a="1"/>
  <c r="F147" i="5" s="1"/>
  <c r="J147" i="5" a="1"/>
  <c r="J147" i="5" s="1"/>
  <c r="L147" i="5" a="1"/>
  <c r="L147" i="5" s="1"/>
  <c r="M147" i="5" a="1"/>
  <c r="M147" i="5" s="1"/>
  <c r="R147" i="5" a="1"/>
  <c r="R147" i="5" s="1"/>
  <c r="P147" i="5" a="1"/>
  <c r="P147" i="5" s="1"/>
  <c r="G147" i="5" a="1"/>
  <c r="G147" i="5" s="1"/>
  <c r="N147" i="5" a="1"/>
  <c r="N147" i="5" s="1"/>
  <c r="D147" i="5" a="1"/>
  <c r="D147" i="5" s="1"/>
  <c r="C148" i="5"/>
  <c r="T148" i="5" l="1" a="1"/>
  <c r="T148" i="5" s="1"/>
  <c r="AG148" i="5" a="1"/>
  <c r="AG148" i="5" s="1"/>
  <c r="AF148" i="5" a="1"/>
  <c r="AF148" i="5" s="1"/>
  <c r="AE148" i="5" a="1"/>
  <c r="AE148" i="5" s="1"/>
  <c r="AD148" i="5" a="1"/>
  <c r="AD148" i="5" s="1"/>
  <c r="AC148" i="5" a="1"/>
  <c r="AC148" i="5" s="1"/>
  <c r="AB148" i="5" a="1"/>
  <c r="AB148" i="5" s="1"/>
  <c r="AA148" i="5" a="1"/>
  <c r="AA148" i="5" s="1"/>
  <c r="X148" i="5" a="1"/>
  <c r="X148" i="5" s="1"/>
  <c r="W148" i="5" a="1"/>
  <c r="W148" i="5" s="1"/>
  <c r="Z148" i="5" a="1"/>
  <c r="Z148" i="5" s="1"/>
  <c r="Y148" i="5" a="1"/>
  <c r="Y148" i="5" s="1"/>
  <c r="U148" i="5" a="1"/>
  <c r="U148" i="5" s="1"/>
  <c r="V148" i="5" a="1"/>
  <c r="V148" i="5" s="1"/>
  <c r="S148" i="5" a="1"/>
  <c r="S148" i="5" s="1"/>
  <c r="E148" i="5" a="1"/>
  <c r="E148" i="5" s="1"/>
  <c r="H148" i="5" a="1"/>
  <c r="H148" i="5" s="1"/>
  <c r="Q148" i="5" a="1"/>
  <c r="Q148" i="5" s="1"/>
  <c r="O148" i="5" a="1"/>
  <c r="O148" i="5" s="1"/>
  <c r="K148" i="5" a="1"/>
  <c r="K148" i="5" s="1"/>
  <c r="F148" i="5" a="1"/>
  <c r="F148" i="5" s="1"/>
  <c r="P148" i="5" a="1"/>
  <c r="P148" i="5" s="1"/>
  <c r="J148" i="5" a="1"/>
  <c r="J148" i="5" s="1"/>
  <c r="N148" i="5" a="1"/>
  <c r="N148" i="5" s="1"/>
  <c r="R148" i="5" a="1"/>
  <c r="R148" i="5" s="1"/>
  <c r="L148" i="5" a="1"/>
  <c r="L148" i="5" s="1"/>
  <c r="I148" i="5" a="1"/>
  <c r="I148" i="5" s="1"/>
  <c r="M148" i="5" a="1"/>
  <c r="M148" i="5" s="1"/>
  <c r="G148" i="5" a="1"/>
  <c r="G148" i="5" s="1"/>
  <c r="D148" i="5" a="1"/>
  <c r="D148" i="5" s="1"/>
  <c r="C149" i="5"/>
  <c r="T149" i="5" l="1" a="1"/>
  <c r="T149" i="5" s="1"/>
  <c r="AF149" i="5" a="1"/>
  <c r="AF149" i="5" s="1"/>
  <c r="AG149" i="5" a="1"/>
  <c r="AG149" i="5" s="1"/>
  <c r="AD149" i="5" a="1"/>
  <c r="AD149" i="5" s="1"/>
  <c r="AB149" i="5" a="1"/>
  <c r="AB149" i="5" s="1"/>
  <c r="AE149" i="5" a="1"/>
  <c r="AE149" i="5" s="1"/>
  <c r="AC149" i="5" a="1"/>
  <c r="AC149" i="5" s="1"/>
  <c r="AA149" i="5" a="1"/>
  <c r="AA149" i="5" s="1"/>
  <c r="Z149" i="5" a="1"/>
  <c r="Z149" i="5" s="1"/>
  <c r="Y149" i="5" a="1"/>
  <c r="Y149" i="5" s="1"/>
  <c r="X149" i="5" a="1"/>
  <c r="X149" i="5" s="1"/>
  <c r="W149" i="5" a="1"/>
  <c r="W149" i="5" s="1"/>
  <c r="U149" i="5" a="1"/>
  <c r="U149" i="5" s="1"/>
  <c r="V149" i="5" a="1"/>
  <c r="V149" i="5" s="1"/>
  <c r="S149" i="5" a="1"/>
  <c r="S149" i="5" s="1"/>
  <c r="E149" i="5" a="1"/>
  <c r="E149" i="5" s="1"/>
  <c r="H149" i="5" a="1"/>
  <c r="H149" i="5" s="1"/>
  <c r="Q149" i="5" a="1"/>
  <c r="Q149" i="5" s="1"/>
  <c r="I149" i="5" a="1"/>
  <c r="I149" i="5" s="1"/>
  <c r="O149" i="5" a="1"/>
  <c r="O149" i="5" s="1"/>
  <c r="K149" i="5" a="1"/>
  <c r="K149" i="5" s="1"/>
  <c r="F149" i="5" a="1"/>
  <c r="F149" i="5" s="1"/>
  <c r="P149" i="5" a="1"/>
  <c r="P149" i="5" s="1"/>
  <c r="N149" i="5" a="1"/>
  <c r="N149" i="5" s="1"/>
  <c r="J149" i="5" a="1"/>
  <c r="J149" i="5" s="1"/>
  <c r="L149" i="5" a="1"/>
  <c r="L149" i="5" s="1"/>
  <c r="R149" i="5" a="1"/>
  <c r="R149" i="5" s="1"/>
  <c r="G149" i="5" a="1"/>
  <c r="G149" i="5" s="1"/>
  <c r="M149" i="5" a="1"/>
  <c r="M149" i="5" s="1"/>
  <c r="D149" i="5" a="1"/>
  <c r="D149" i="5" s="1"/>
  <c r="C150" i="5"/>
  <c r="T150" i="5" l="1" a="1"/>
  <c r="T150" i="5" s="1"/>
  <c r="AG150" i="5" a="1"/>
  <c r="AG150" i="5" s="1"/>
  <c r="AF150" i="5" a="1"/>
  <c r="AF150" i="5" s="1"/>
  <c r="AE150" i="5" a="1"/>
  <c r="AE150" i="5" s="1"/>
  <c r="AD150" i="5" a="1"/>
  <c r="AD150" i="5" s="1"/>
  <c r="AC150" i="5" a="1"/>
  <c r="AC150" i="5" s="1"/>
  <c r="AB150" i="5" a="1"/>
  <c r="AB150" i="5" s="1"/>
  <c r="AA150" i="5" a="1"/>
  <c r="AA150" i="5" s="1"/>
  <c r="X150" i="5" a="1"/>
  <c r="X150" i="5" s="1"/>
  <c r="V42" i="8" s="1"/>
  <c r="W150" i="5" a="1"/>
  <c r="W150" i="5" s="1"/>
  <c r="Z150" i="5" a="1"/>
  <c r="Z150" i="5" s="1"/>
  <c r="Y150" i="5" a="1"/>
  <c r="Y150" i="5" s="1"/>
  <c r="AA42" i="8"/>
  <c r="AC42" i="8"/>
  <c r="Z42" i="8"/>
  <c r="U42" i="8"/>
  <c r="AB42" i="8"/>
  <c r="AE42" i="8"/>
  <c r="W42" i="8"/>
  <c r="AD42" i="8"/>
  <c r="X42" i="8"/>
  <c r="U150" i="5" a="1"/>
  <c r="U150" i="5" s="1"/>
  <c r="V150" i="5" a="1"/>
  <c r="V150" i="5" s="1"/>
  <c r="S150" i="5" a="1"/>
  <c r="S150" i="5" s="1"/>
  <c r="E150" i="5" a="1"/>
  <c r="E150" i="5" s="1"/>
  <c r="H150" i="5" a="1"/>
  <c r="H150" i="5" s="1"/>
  <c r="I150" i="5" a="1"/>
  <c r="I150" i="5" s="1"/>
  <c r="Q150" i="5" a="1"/>
  <c r="Q150" i="5" s="1"/>
  <c r="K150" i="5" a="1"/>
  <c r="K150" i="5" s="1"/>
  <c r="I42" i="8" s="1"/>
  <c r="P150" i="5" a="1"/>
  <c r="P150" i="5" s="1"/>
  <c r="O150" i="5" a="1"/>
  <c r="O150" i="5" s="1"/>
  <c r="F150" i="5" a="1"/>
  <c r="F150" i="5" s="1"/>
  <c r="D42" i="8" s="1"/>
  <c r="M150" i="5" a="1"/>
  <c r="M150" i="5" s="1"/>
  <c r="N150" i="5" a="1"/>
  <c r="N150" i="5" s="1"/>
  <c r="L42" i="8" s="1"/>
  <c r="R150" i="5" a="1"/>
  <c r="R150" i="5" s="1"/>
  <c r="J150" i="5" a="1"/>
  <c r="J150" i="5" s="1"/>
  <c r="L150" i="5" a="1"/>
  <c r="L150" i="5" s="1"/>
  <c r="G150" i="5" a="1"/>
  <c r="G150" i="5" s="1"/>
  <c r="D150" i="5" a="1"/>
  <c r="D150" i="5" s="1"/>
  <c r="C151" i="5"/>
  <c r="T151" i="5" l="1" a="1"/>
  <c r="T151" i="5" s="1"/>
  <c r="AG151" i="5" a="1"/>
  <c r="AG151" i="5" s="1"/>
  <c r="AF151" i="5" a="1"/>
  <c r="AF151" i="5" s="1"/>
  <c r="AD151" i="5" a="1"/>
  <c r="AD151" i="5" s="1"/>
  <c r="AC151" i="5" a="1"/>
  <c r="AC151" i="5" s="1"/>
  <c r="AE151" i="5" a="1"/>
  <c r="AE151" i="5" s="1"/>
  <c r="AB151" i="5" a="1"/>
  <c r="AB151" i="5" s="1"/>
  <c r="AA151" i="5" a="1"/>
  <c r="AA151" i="5" s="1"/>
  <c r="Z151" i="5" a="1"/>
  <c r="Z151" i="5" s="1"/>
  <c r="Y151" i="5" a="1"/>
  <c r="Y151" i="5" s="1"/>
  <c r="X151" i="5" a="1"/>
  <c r="X151" i="5" s="1"/>
  <c r="W151" i="5" a="1"/>
  <c r="W151" i="5" s="1"/>
  <c r="U151" i="5" a="1"/>
  <c r="U151" i="5" s="1"/>
  <c r="V151" i="5" a="1"/>
  <c r="V151" i="5" s="1"/>
  <c r="S151" i="5" a="1"/>
  <c r="S151" i="5" s="1"/>
  <c r="E151" i="5" a="1"/>
  <c r="E151" i="5" s="1"/>
  <c r="H151" i="5" a="1"/>
  <c r="H151" i="5" s="1"/>
  <c r="Q151" i="5" a="1"/>
  <c r="Q151" i="5" s="1"/>
  <c r="I151" i="5" a="1"/>
  <c r="I151" i="5" s="1"/>
  <c r="F151" i="5" a="1"/>
  <c r="F151" i="5" s="1"/>
  <c r="O151" i="5" a="1"/>
  <c r="O151" i="5" s="1"/>
  <c r="P151" i="5" a="1"/>
  <c r="P151" i="5" s="1"/>
  <c r="M151" i="5" a="1"/>
  <c r="M151" i="5" s="1"/>
  <c r="J151" i="5" a="1"/>
  <c r="J151" i="5" s="1"/>
  <c r="L151" i="5" a="1"/>
  <c r="L151" i="5" s="1"/>
  <c r="K151" i="5" a="1"/>
  <c r="K151" i="5" s="1"/>
  <c r="N151" i="5" a="1"/>
  <c r="N151" i="5" s="1"/>
  <c r="R151" i="5" a="1"/>
  <c r="R151" i="5" s="1"/>
  <c r="G151" i="5" a="1"/>
  <c r="G151" i="5" s="1"/>
  <c r="D151" i="5" a="1"/>
  <c r="D151" i="5" s="1"/>
  <c r="C152" i="5"/>
  <c r="T152" i="5" l="1" a="1"/>
  <c r="T152" i="5" s="1"/>
  <c r="AG152" i="5" a="1"/>
  <c r="AG152" i="5" s="1"/>
  <c r="AF152" i="5" a="1"/>
  <c r="AF152" i="5" s="1"/>
  <c r="AE152" i="5" a="1"/>
  <c r="AE152" i="5" s="1"/>
  <c r="AD152" i="5" a="1"/>
  <c r="AD152" i="5" s="1"/>
  <c r="AC152" i="5" a="1"/>
  <c r="AC152" i="5" s="1"/>
  <c r="AB152" i="5" a="1"/>
  <c r="AB152" i="5" s="1"/>
  <c r="AA152" i="5" a="1"/>
  <c r="AA152" i="5" s="1"/>
  <c r="X152" i="5" a="1"/>
  <c r="X152" i="5" s="1"/>
  <c r="W152" i="5" a="1"/>
  <c r="W152" i="5" s="1"/>
  <c r="Z152" i="5" a="1"/>
  <c r="Z152" i="5" s="1"/>
  <c r="Y152" i="5" a="1"/>
  <c r="Y152" i="5" s="1"/>
  <c r="V152" i="5" a="1"/>
  <c r="V152" i="5" s="1"/>
  <c r="S152" i="5" a="1"/>
  <c r="S152" i="5" s="1"/>
  <c r="U152" i="5" a="1"/>
  <c r="U152" i="5" s="1"/>
  <c r="E152" i="5" a="1"/>
  <c r="E152" i="5" s="1"/>
  <c r="H152" i="5" a="1"/>
  <c r="H152" i="5" s="1"/>
  <c r="I152" i="5" a="1"/>
  <c r="I152" i="5" s="1"/>
  <c r="O152" i="5" a="1"/>
  <c r="O152" i="5" s="1"/>
  <c r="K152" i="5" a="1"/>
  <c r="K152" i="5" s="1"/>
  <c r="F152" i="5" a="1"/>
  <c r="F152" i="5" s="1"/>
  <c r="P152" i="5" a="1"/>
  <c r="P152" i="5" s="1"/>
  <c r="Q152" i="5" a="1"/>
  <c r="Q152" i="5" s="1"/>
  <c r="N152" i="5" a="1"/>
  <c r="N152" i="5" s="1"/>
  <c r="L152" i="5" a="1"/>
  <c r="L152" i="5" s="1"/>
  <c r="M152" i="5" a="1"/>
  <c r="M152" i="5" s="1"/>
  <c r="J152" i="5" a="1"/>
  <c r="J152" i="5" s="1"/>
  <c r="R152" i="5" a="1"/>
  <c r="R152" i="5" s="1"/>
  <c r="G152" i="5" a="1"/>
  <c r="G152" i="5" s="1"/>
  <c r="D152" i="5" a="1"/>
  <c r="D152" i="5" s="1"/>
  <c r="C153" i="5"/>
  <c r="T153" i="5" l="1" a="1"/>
  <c r="T153" i="5" s="1"/>
  <c r="AF153" i="5" a="1"/>
  <c r="AF153" i="5" s="1"/>
  <c r="AG153" i="5" a="1"/>
  <c r="AG153" i="5" s="1"/>
  <c r="AE153" i="5" a="1"/>
  <c r="AE153" i="5" s="1"/>
  <c r="AC153" i="5" a="1"/>
  <c r="AC153" i="5" s="1"/>
  <c r="AB153" i="5" a="1"/>
  <c r="AB153" i="5" s="1"/>
  <c r="AD153" i="5" a="1"/>
  <c r="AD153" i="5" s="1"/>
  <c r="AA153" i="5" a="1"/>
  <c r="AA153" i="5" s="1"/>
  <c r="Z153" i="5" a="1"/>
  <c r="Z153" i="5" s="1"/>
  <c r="Y153" i="5" a="1"/>
  <c r="Y153" i="5" s="1"/>
  <c r="X153" i="5" a="1"/>
  <c r="X153" i="5" s="1"/>
  <c r="W153" i="5" a="1"/>
  <c r="W153" i="5" s="1"/>
  <c r="V153" i="5" a="1"/>
  <c r="V153" i="5" s="1"/>
  <c r="U153" i="5" a="1"/>
  <c r="U153" i="5" s="1"/>
  <c r="S153" i="5" a="1"/>
  <c r="S153" i="5" s="1"/>
  <c r="E153" i="5" a="1"/>
  <c r="E153" i="5" s="1"/>
  <c r="H153" i="5" a="1"/>
  <c r="H153" i="5" s="1"/>
  <c r="Q153" i="5" a="1"/>
  <c r="Q153" i="5" s="1"/>
  <c r="F153" i="5" a="1"/>
  <c r="F153" i="5" s="1"/>
  <c r="O153" i="5" a="1"/>
  <c r="O153" i="5" s="1"/>
  <c r="K153" i="5" a="1"/>
  <c r="K153" i="5" s="1"/>
  <c r="I153" i="5" a="1"/>
  <c r="I153" i="5" s="1"/>
  <c r="P153" i="5" a="1"/>
  <c r="P153" i="5" s="1"/>
  <c r="N153" i="5" a="1"/>
  <c r="N153" i="5" s="1"/>
  <c r="J153" i="5" a="1"/>
  <c r="J153" i="5" s="1"/>
  <c r="L153" i="5" a="1"/>
  <c r="L153" i="5" s="1"/>
  <c r="R153" i="5" a="1"/>
  <c r="R153" i="5" s="1"/>
  <c r="M153" i="5" a="1"/>
  <c r="M153" i="5" s="1"/>
  <c r="G153" i="5" a="1"/>
  <c r="G153" i="5" s="1"/>
  <c r="D153" i="5" a="1"/>
  <c r="D153" i="5" s="1"/>
  <c r="C154" i="5"/>
  <c r="T154" i="5" l="1" a="1"/>
  <c r="T154" i="5" s="1"/>
  <c r="AG154" i="5" a="1"/>
  <c r="AG154" i="5" s="1"/>
  <c r="AF154" i="5" a="1"/>
  <c r="AF154" i="5" s="1"/>
  <c r="AE154" i="5" a="1"/>
  <c r="AE154" i="5" s="1"/>
  <c r="AD154" i="5" a="1"/>
  <c r="AD154" i="5" s="1"/>
  <c r="AC154" i="5" a="1"/>
  <c r="AC154" i="5" s="1"/>
  <c r="AB154" i="5" a="1"/>
  <c r="AB154" i="5" s="1"/>
  <c r="AA154" i="5" a="1"/>
  <c r="AA154" i="5" s="1"/>
  <c r="X154" i="5" a="1"/>
  <c r="X154" i="5" s="1"/>
  <c r="W154" i="5" a="1"/>
  <c r="W154" i="5" s="1"/>
  <c r="Z154" i="5" a="1"/>
  <c r="Z154" i="5" s="1"/>
  <c r="Y154" i="5" a="1"/>
  <c r="Y154" i="5" s="1"/>
  <c r="AB43" i="8"/>
  <c r="Z43" i="8"/>
  <c r="AA43" i="8"/>
  <c r="U43" i="8"/>
  <c r="AC43" i="8"/>
  <c r="V43" i="8"/>
  <c r="AE43" i="8"/>
  <c r="W43" i="8"/>
  <c r="AD43" i="8"/>
  <c r="X43" i="8"/>
  <c r="V154" i="5" a="1"/>
  <c r="V154" i="5" s="1"/>
  <c r="U154" i="5" a="1"/>
  <c r="U154" i="5" s="1"/>
  <c r="S154" i="5" a="1"/>
  <c r="S154" i="5" s="1"/>
  <c r="E154" i="5" a="1"/>
  <c r="E154" i="5" s="1"/>
  <c r="C43" i="8" s="1"/>
  <c r="H154" i="5" a="1"/>
  <c r="H154" i="5" s="1"/>
  <c r="F43" i="8" s="1"/>
  <c r="I154" i="5" a="1"/>
  <c r="I154" i="5" s="1"/>
  <c r="G43" i="8" s="1"/>
  <c r="O154" i="5" a="1"/>
  <c r="O154" i="5" s="1"/>
  <c r="Q154" i="5" a="1"/>
  <c r="Q154" i="5" s="1"/>
  <c r="F154" i="5" a="1"/>
  <c r="F154" i="5" s="1"/>
  <c r="D43" i="8" s="1"/>
  <c r="K154" i="5" a="1"/>
  <c r="K154" i="5" s="1"/>
  <c r="I43" i="8" s="1"/>
  <c r="P154" i="5" a="1"/>
  <c r="P154" i="5" s="1"/>
  <c r="N43" i="8" s="1"/>
  <c r="R154" i="5" a="1"/>
  <c r="R154" i="5" s="1"/>
  <c r="N154" i="5" a="1"/>
  <c r="N154" i="5" s="1"/>
  <c r="J154" i="5" a="1"/>
  <c r="J154" i="5" s="1"/>
  <c r="L154" i="5" a="1"/>
  <c r="L154" i="5" s="1"/>
  <c r="G154" i="5" a="1"/>
  <c r="G154" i="5" s="1"/>
  <c r="M154" i="5" a="1"/>
  <c r="M154" i="5" s="1"/>
  <c r="D154" i="5" a="1"/>
  <c r="D154" i="5" s="1"/>
  <c r="C155" i="5"/>
  <c r="T155" i="5" l="1" a="1"/>
  <c r="T155" i="5" s="1"/>
  <c r="AG155" i="5" a="1"/>
  <c r="AG155" i="5" s="1"/>
  <c r="AF155" i="5" a="1"/>
  <c r="AF155" i="5" s="1"/>
  <c r="AE155" i="5" a="1"/>
  <c r="AE155" i="5" s="1"/>
  <c r="AD155" i="5" a="1"/>
  <c r="AD155" i="5" s="1"/>
  <c r="AC155" i="5" a="1"/>
  <c r="AC155" i="5" s="1"/>
  <c r="AB155" i="5" a="1"/>
  <c r="AB155" i="5" s="1"/>
  <c r="AA155" i="5" a="1"/>
  <c r="AA155" i="5" s="1"/>
  <c r="Z155" i="5" a="1"/>
  <c r="Z155" i="5" s="1"/>
  <c r="Y155" i="5" a="1"/>
  <c r="Y155" i="5" s="1"/>
  <c r="X155" i="5" a="1"/>
  <c r="X155" i="5" s="1"/>
  <c r="W155" i="5" a="1"/>
  <c r="W155" i="5" s="1"/>
  <c r="AU6" i="11"/>
  <c r="AU7" i="11"/>
  <c r="AU4" i="11"/>
  <c r="AU5" i="11"/>
  <c r="AS7" i="11"/>
  <c r="AS6" i="11"/>
  <c r="AS5" i="11"/>
  <c r="AS4" i="11"/>
  <c r="AT4" i="11"/>
  <c r="AT5" i="11"/>
  <c r="AT6" i="11"/>
  <c r="AT7" i="11"/>
  <c r="AV7" i="11"/>
  <c r="AV6" i="11"/>
  <c r="AV5" i="11"/>
  <c r="AV4" i="11"/>
  <c r="U155" i="5" a="1"/>
  <c r="U155" i="5" s="1"/>
  <c r="V155" i="5" a="1"/>
  <c r="V155" i="5" s="1"/>
  <c r="S155" i="5" a="1"/>
  <c r="S155" i="5" s="1"/>
  <c r="E155" i="5" a="1"/>
  <c r="E155" i="5" s="1"/>
  <c r="H155" i="5" a="1"/>
  <c r="H155" i="5" s="1"/>
  <c r="I155" i="5" a="1"/>
  <c r="I155" i="5" s="1"/>
  <c r="Q155" i="5" a="1"/>
  <c r="Q155" i="5" s="1"/>
  <c r="P155" i="5" a="1"/>
  <c r="P155" i="5" s="1"/>
  <c r="F155" i="5" a="1"/>
  <c r="F155" i="5" s="1"/>
  <c r="K155" i="5" a="1"/>
  <c r="K155" i="5" s="1"/>
  <c r="R155" i="5" a="1"/>
  <c r="R155" i="5" s="1"/>
  <c r="O155" i="5" a="1"/>
  <c r="O155" i="5" s="1"/>
  <c r="N155" i="5" a="1"/>
  <c r="N155" i="5" s="1"/>
  <c r="L155" i="5" a="1"/>
  <c r="L155" i="5" s="1"/>
  <c r="M155" i="5" a="1"/>
  <c r="M155" i="5" s="1"/>
  <c r="J155" i="5" a="1"/>
  <c r="J155" i="5" s="1"/>
  <c r="G155" i="5" a="1"/>
  <c r="G155" i="5" s="1"/>
  <c r="D155" i="5" a="1"/>
  <c r="D155" i="5" s="1"/>
  <c r="C156" i="5"/>
  <c r="T156" i="5" l="1" a="1"/>
  <c r="T156" i="5" s="1"/>
  <c r="AG156" i="5" a="1"/>
  <c r="AG156" i="5" s="1"/>
  <c r="AF156" i="5" a="1"/>
  <c r="AF156" i="5" s="1"/>
  <c r="AE156" i="5" a="1"/>
  <c r="AE156" i="5" s="1"/>
  <c r="AD156" i="5" a="1"/>
  <c r="AD156" i="5" s="1"/>
  <c r="AB156" i="5" a="1"/>
  <c r="AB156" i="5" s="1"/>
  <c r="AC156" i="5" a="1"/>
  <c r="AC156" i="5" s="1"/>
  <c r="AA156" i="5" a="1"/>
  <c r="AA156" i="5" s="1"/>
  <c r="X156" i="5" a="1"/>
  <c r="X156" i="5" s="1"/>
  <c r="AO5" i="11" s="1"/>
  <c r="W156" i="5" a="1"/>
  <c r="W156" i="5" s="1"/>
  <c r="AN5" i="11" s="1"/>
  <c r="Z156" i="5" a="1"/>
  <c r="Z156" i="5" s="1"/>
  <c r="Y156" i="5" a="1"/>
  <c r="Y156" i="5" s="1"/>
  <c r="AP5" i="11" s="1"/>
  <c r="AN4" i="11"/>
  <c r="AO4" i="11"/>
  <c r="AP4" i="11"/>
  <c r="AI4" i="11"/>
  <c r="AQ4" i="11"/>
  <c r="BH4" i="11"/>
  <c r="AH4" i="11"/>
  <c r="U156" i="5" a="1"/>
  <c r="U156" i="5" s="1"/>
  <c r="AH5" i="11" s="1"/>
  <c r="V156" i="5" a="1"/>
  <c r="V156" i="5" s="1"/>
  <c r="S156" i="5" a="1"/>
  <c r="S156" i="5" s="1"/>
  <c r="E156" i="5" a="1"/>
  <c r="E156" i="5" s="1"/>
  <c r="H156" i="5" a="1"/>
  <c r="H156" i="5" s="1"/>
  <c r="I156" i="5" a="1"/>
  <c r="I156" i="5" s="1"/>
  <c r="Q156" i="5" a="1"/>
  <c r="Q156" i="5" s="1"/>
  <c r="O156" i="5" a="1"/>
  <c r="O156" i="5" s="1"/>
  <c r="K156" i="5" a="1"/>
  <c r="K156" i="5" s="1"/>
  <c r="F156" i="5" a="1"/>
  <c r="F156" i="5" s="1"/>
  <c r="P156" i="5" a="1"/>
  <c r="P156" i="5" s="1"/>
  <c r="N156" i="5" a="1"/>
  <c r="N156" i="5" s="1"/>
  <c r="L156" i="5" a="1"/>
  <c r="L156" i="5" s="1"/>
  <c r="R156" i="5" a="1"/>
  <c r="R156" i="5" s="1"/>
  <c r="J156" i="5" a="1"/>
  <c r="J156" i="5" s="1"/>
  <c r="M156" i="5" a="1"/>
  <c r="M156" i="5" s="1"/>
  <c r="G156" i="5" a="1"/>
  <c r="G156" i="5" s="1"/>
  <c r="D156" i="5" a="1"/>
  <c r="D156" i="5" s="1"/>
  <c r="C157" i="5"/>
  <c r="AJ4" i="11" l="1"/>
  <c r="T157" i="5" a="1"/>
  <c r="T157" i="5" s="1"/>
  <c r="AF157" i="5" a="1"/>
  <c r="AF157" i="5" s="1"/>
  <c r="AG157" i="5" a="1"/>
  <c r="AG157" i="5" s="1"/>
  <c r="AE157" i="5" a="1"/>
  <c r="AE157" i="5" s="1"/>
  <c r="AD157" i="5" a="1"/>
  <c r="AD157" i="5" s="1"/>
  <c r="AC157" i="5" a="1"/>
  <c r="AC157" i="5" s="1"/>
  <c r="AB157" i="5" a="1"/>
  <c r="AB157" i="5" s="1"/>
  <c r="AA157" i="5" a="1"/>
  <c r="AA157" i="5" s="1"/>
  <c r="Z157" i="5" a="1"/>
  <c r="Z157" i="5" s="1"/>
  <c r="Y157" i="5" a="1"/>
  <c r="Y157" i="5" s="1"/>
  <c r="X157" i="5" a="1"/>
  <c r="X157" i="5" s="1"/>
  <c r="W157" i="5" a="1"/>
  <c r="W157" i="5" s="1"/>
  <c r="AI5" i="11"/>
  <c r="AJ5" i="11" s="1"/>
  <c r="BH5" i="11"/>
  <c r="AQ5" i="11"/>
  <c r="BA4" i="11"/>
  <c r="BG4" i="11" s="1"/>
  <c r="AY4" i="11"/>
  <c r="AX4" i="11"/>
  <c r="AZ4" i="11"/>
  <c r="U157" i="5" a="1"/>
  <c r="U157" i="5" s="1"/>
  <c r="AH6" i="11" s="1"/>
  <c r="V157" i="5" a="1"/>
  <c r="V157" i="5" s="1"/>
  <c r="S157" i="5" a="1"/>
  <c r="S157" i="5" s="1"/>
  <c r="E157" i="5" a="1"/>
  <c r="E157" i="5" s="1"/>
  <c r="H157" i="5" a="1"/>
  <c r="H157" i="5" s="1"/>
  <c r="I157" i="5" a="1"/>
  <c r="I157" i="5" s="1"/>
  <c r="Q157" i="5" a="1"/>
  <c r="Q157" i="5" s="1"/>
  <c r="P157" i="5" a="1"/>
  <c r="P157" i="5" s="1"/>
  <c r="K157" i="5" a="1"/>
  <c r="K157" i="5" s="1"/>
  <c r="F157" i="5" a="1"/>
  <c r="F157" i="5" s="1"/>
  <c r="O157" i="5" a="1"/>
  <c r="O157" i="5" s="1"/>
  <c r="J157" i="5" a="1"/>
  <c r="J157" i="5" s="1"/>
  <c r="L157" i="5" a="1"/>
  <c r="L157" i="5" s="1"/>
  <c r="R157" i="5" a="1"/>
  <c r="R157" i="5" s="1"/>
  <c r="N157" i="5" a="1"/>
  <c r="N157" i="5" s="1"/>
  <c r="G157" i="5" a="1"/>
  <c r="G157" i="5" s="1"/>
  <c r="M157" i="5" a="1"/>
  <c r="M157" i="5" s="1"/>
  <c r="D157" i="5" a="1"/>
  <c r="D157" i="5" s="1"/>
  <c r="C158" i="5"/>
  <c r="BC4" i="11" l="1"/>
  <c r="T158" i="5" a="1"/>
  <c r="T158" i="5" s="1"/>
  <c r="AG158" i="5" a="1"/>
  <c r="AG158" i="5" s="1"/>
  <c r="AF158" i="5" a="1"/>
  <c r="AF158" i="5" s="1"/>
  <c r="AE158" i="5" a="1"/>
  <c r="AE158" i="5" s="1"/>
  <c r="AC44" i="8" s="1"/>
  <c r="AD158" i="5" a="1"/>
  <c r="AD158" i="5" s="1"/>
  <c r="AC158" i="5" a="1"/>
  <c r="AC158" i="5" s="1"/>
  <c r="AB158" i="5" a="1"/>
  <c r="AB158" i="5" s="1"/>
  <c r="Z44" i="8" s="1"/>
  <c r="AA158" i="5" a="1"/>
  <c r="AA158" i="5" s="1"/>
  <c r="X158" i="5" a="1"/>
  <c r="X158" i="5" s="1"/>
  <c r="W158" i="5" a="1"/>
  <c r="W158" i="5" s="1"/>
  <c r="Z158" i="5" a="1"/>
  <c r="Z158" i="5" s="1"/>
  <c r="Y158" i="5" a="1"/>
  <c r="Y158" i="5" s="1"/>
  <c r="W44" i="8" s="1"/>
  <c r="AA44" i="8"/>
  <c r="AB44" i="8"/>
  <c r="AN6" i="11"/>
  <c r="U44" i="8"/>
  <c r="AO6" i="11"/>
  <c r="V44" i="8"/>
  <c r="AE44" i="8"/>
  <c r="AP6" i="11"/>
  <c r="AD44" i="8"/>
  <c r="X44" i="8"/>
  <c r="BD4" i="11"/>
  <c r="AI6" i="11"/>
  <c r="BH6" i="11"/>
  <c r="AQ6" i="11"/>
  <c r="BA5" i="11"/>
  <c r="BG5" i="11" s="1"/>
  <c r="AY5" i="11"/>
  <c r="AX5" i="11"/>
  <c r="BC5" i="11" s="1"/>
  <c r="AZ5" i="11"/>
  <c r="BE4" i="11"/>
  <c r="AJ6" i="11"/>
  <c r="U158" i="5" a="1"/>
  <c r="U158" i="5" s="1"/>
  <c r="AH7" i="11" s="1"/>
  <c r="V158" i="5" a="1"/>
  <c r="V158" i="5" s="1"/>
  <c r="S158" i="5" a="1"/>
  <c r="S158" i="5" s="1"/>
  <c r="E158" i="5" a="1"/>
  <c r="E158" i="5" s="1"/>
  <c r="H158" i="5" a="1"/>
  <c r="H158" i="5" s="1"/>
  <c r="F44" i="8" s="1"/>
  <c r="Q158" i="5" a="1"/>
  <c r="Q158" i="5" s="1"/>
  <c r="I158" i="5" a="1"/>
  <c r="I158" i="5" s="1"/>
  <c r="O158" i="5" a="1"/>
  <c r="O158" i="5" s="1"/>
  <c r="P158" i="5" a="1"/>
  <c r="P158" i="5" s="1"/>
  <c r="N44" i="8" s="1"/>
  <c r="F158" i="5" a="1"/>
  <c r="F158" i="5" s="1"/>
  <c r="K158" i="5" a="1"/>
  <c r="K158" i="5" s="1"/>
  <c r="N158" i="5" a="1"/>
  <c r="N158" i="5" s="1"/>
  <c r="R158" i="5" a="1"/>
  <c r="R158" i="5" s="1"/>
  <c r="P44" i="8" s="1"/>
  <c r="J158" i="5" a="1"/>
  <c r="J158" i="5" s="1"/>
  <c r="L158" i="5" a="1"/>
  <c r="L158" i="5" s="1"/>
  <c r="J44" i="8" s="1"/>
  <c r="G158" i="5" a="1"/>
  <c r="G158" i="5" s="1"/>
  <c r="M158" i="5" a="1"/>
  <c r="M158" i="5" s="1"/>
  <c r="K44" i="8" s="1"/>
  <c r="D158" i="5" a="1"/>
  <c r="D158" i="5" s="1"/>
  <c r="C159" i="5"/>
  <c r="BF4" i="11" l="1"/>
  <c r="T159" i="5" a="1"/>
  <c r="T159" i="5" s="1"/>
  <c r="AG159" i="5" a="1"/>
  <c r="AG159" i="5" s="1"/>
  <c r="AF159" i="5" a="1"/>
  <c r="AF159" i="5" s="1"/>
  <c r="AE159" i="5" a="1"/>
  <c r="AE159" i="5" s="1"/>
  <c r="AD159" i="5" a="1"/>
  <c r="AD159" i="5" s="1"/>
  <c r="AC159" i="5" a="1"/>
  <c r="AC159" i="5" s="1"/>
  <c r="AB159" i="5" a="1"/>
  <c r="AB159" i="5" s="1"/>
  <c r="AA159" i="5" a="1"/>
  <c r="AA159" i="5" s="1"/>
  <c r="Z159" i="5" a="1"/>
  <c r="Z159" i="5" s="1"/>
  <c r="Y159" i="5" a="1"/>
  <c r="Y159" i="5" s="1"/>
  <c r="X159" i="5" a="1"/>
  <c r="X159" i="5" s="1"/>
  <c r="W159" i="5" a="1"/>
  <c r="W159" i="5" s="1"/>
  <c r="AU9" i="11"/>
  <c r="AU10" i="11"/>
  <c r="AP7" i="11"/>
  <c r="AU8" i="11"/>
  <c r="AU11" i="11"/>
  <c r="AN7" i="11"/>
  <c r="AS10" i="11"/>
  <c r="AS8" i="11"/>
  <c r="AS11" i="11"/>
  <c r="AS9" i="11"/>
  <c r="AT10" i="11"/>
  <c r="AO7" i="11"/>
  <c r="AT8" i="11"/>
  <c r="AT11" i="11"/>
  <c r="AT9" i="11"/>
  <c r="S44" i="8"/>
  <c r="BE5" i="11"/>
  <c r="BA6" i="11"/>
  <c r="BG6" i="11" s="1"/>
  <c r="AZ6" i="11"/>
  <c r="AY6" i="11"/>
  <c r="AX6" i="11"/>
  <c r="AI7" i="11"/>
  <c r="AJ7" i="11" s="1"/>
  <c r="AV8" i="11"/>
  <c r="AQ7" i="11"/>
  <c r="BH7" i="11"/>
  <c r="AV11" i="11"/>
  <c r="AV10" i="11"/>
  <c r="AV9" i="11"/>
  <c r="T44" i="8"/>
  <c r="BD5" i="11"/>
  <c r="BF5" i="11" s="1"/>
  <c r="U159" i="5" a="1"/>
  <c r="U159" i="5" s="1"/>
  <c r="V159" i="5" a="1"/>
  <c r="V159" i="5" s="1"/>
  <c r="S159" i="5" a="1"/>
  <c r="S159" i="5" s="1"/>
  <c r="E159" i="5" a="1"/>
  <c r="E159" i="5" s="1"/>
  <c r="H159" i="5" a="1"/>
  <c r="H159" i="5" s="1"/>
  <c r="Q159" i="5" a="1"/>
  <c r="Q159" i="5" s="1"/>
  <c r="I159" i="5" a="1"/>
  <c r="I159" i="5" s="1"/>
  <c r="K159" i="5" a="1"/>
  <c r="K159" i="5" s="1"/>
  <c r="P159" i="5" a="1"/>
  <c r="P159" i="5" s="1"/>
  <c r="O159" i="5" a="1"/>
  <c r="O159" i="5" s="1"/>
  <c r="F159" i="5" a="1"/>
  <c r="F159" i="5" s="1"/>
  <c r="J159" i="5" a="1"/>
  <c r="J159" i="5" s="1"/>
  <c r="M159" i="5" a="1"/>
  <c r="M159" i="5" s="1"/>
  <c r="L159" i="5" a="1"/>
  <c r="L159" i="5" s="1"/>
  <c r="N159" i="5" a="1"/>
  <c r="N159" i="5" s="1"/>
  <c r="G159" i="5" a="1"/>
  <c r="G159" i="5" s="1"/>
  <c r="R159" i="5" a="1"/>
  <c r="R159" i="5" s="1"/>
  <c r="D159" i="5" a="1"/>
  <c r="D159" i="5" s="1"/>
  <c r="C160" i="5"/>
  <c r="BC6" i="11" l="1"/>
  <c r="BF6" i="11" s="1"/>
  <c r="BD6" i="11"/>
  <c r="BE6" i="11"/>
  <c r="T160" i="5" a="1"/>
  <c r="T160" i="5" s="1"/>
  <c r="AG160" i="5" a="1"/>
  <c r="AG160" i="5" s="1"/>
  <c r="AF160" i="5" a="1"/>
  <c r="AF160" i="5" s="1"/>
  <c r="AE160" i="5" a="1"/>
  <c r="AE160" i="5" s="1"/>
  <c r="AD160" i="5" a="1"/>
  <c r="AD160" i="5" s="1"/>
  <c r="AC160" i="5" a="1"/>
  <c r="AC160" i="5" s="1"/>
  <c r="AB160" i="5" a="1"/>
  <c r="AB160" i="5" s="1"/>
  <c r="AA160" i="5" a="1"/>
  <c r="AA160" i="5" s="1"/>
  <c r="X160" i="5" a="1"/>
  <c r="X160" i="5" s="1"/>
  <c r="AO9" i="11" s="1"/>
  <c r="W160" i="5" a="1"/>
  <c r="W160" i="5" s="1"/>
  <c r="AN9" i="11" s="1"/>
  <c r="Z160" i="5" a="1"/>
  <c r="Z160" i="5" s="1"/>
  <c r="Y160" i="5" a="1"/>
  <c r="Y160" i="5" s="1"/>
  <c r="AP9" i="11" s="1"/>
  <c r="AN8" i="11"/>
  <c r="AO8" i="11"/>
  <c r="AP8" i="11"/>
  <c r="AI8" i="11"/>
  <c r="AQ8" i="11"/>
  <c r="BH8" i="11"/>
  <c r="AH8" i="11"/>
  <c r="AJ8" i="11" s="1"/>
  <c r="BA7" i="11"/>
  <c r="BG7" i="11" s="1"/>
  <c r="AX7" i="11"/>
  <c r="AY7" i="11"/>
  <c r="AZ7" i="11"/>
  <c r="V160" i="5" a="1"/>
  <c r="V160" i="5" s="1"/>
  <c r="S160" i="5" a="1"/>
  <c r="S160" i="5" s="1"/>
  <c r="U160" i="5" a="1"/>
  <c r="U160" i="5" s="1"/>
  <c r="AH9" i="11" s="1"/>
  <c r="E160" i="5" a="1"/>
  <c r="E160" i="5" s="1"/>
  <c r="H160" i="5" a="1"/>
  <c r="H160" i="5" s="1"/>
  <c r="I160" i="5" a="1"/>
  <c r="I160" i="5" s="1"/>
  <c r="Q160" i="5" a="1"/>
  <c r="Q160" i="5" s="1"/>
  <c r="O160" i="5" a="1"/>
  <c r="O160" i="5" s="1"/>
  <c r="F160" i="5" a="1"/>
  <c r="F160" i="5" s="1"/>
  <c r="P160" i="5" a="1"/>
  <c r="P160" i="5" s="1"/>
  <c r="K160" i="5" a="1"/>
  <c r="K160" i="5" s="1"/>
  <c r="N160" i="5" a="1"/>
  <c r="N160" i="5" s="1"/>
  <c r="J160" i="5" a="1"/>
  <c r="J160" i="5" s="1"/>
  <c r="L160" i="5" a="1"/>
  <c r="L160" i="5" s="1"/>
  <c r="R160" i="5" a="1"/>
  <c r="R160" i="5" s="1"/>
  <c r="G160" i="5" a="1"/>
  <c r="G160" i="5" s="1"/>
  <c r="M160" i="5" a="1"/>
  <c r="M160" i="5" s="1"/>
  <c r="D160" i="5" a="1"/>
  <c r="D160" i="5" s="1"/>
  <c r="C161" i="5"/>
  <c r="T161" i="5" l="1" a="1"/>
  <c r="T161" i="5" s="1"/>
  <c r="AF161" i="5" a="1"/>
  <c r="AF161" i="5" s="1"/>
  <c r="AG161" i="5" a="1"/>
  <c r="AG161" i="5" s="1"/>
  <c r="AE161" i="5" a="1"/>
  <c r="AE161" i="5" s="1"/>
  <c r="AD161" i="5" a="1"/>
  <c r="AD161" i="5" s="1"/>
  <c r="AC161" i="5" a="1"/>
  <c r="AC161" i="5" s="1"/>
  <c r="AB161" i="5" a="1"/>
  <c r="AB161" i="5" s="1"/>
  <c r="AA161" i="5" a="1"/>
  <c r="AA161" i="5" s="1"/>
  <c r="Z161" i="5" a="1"/>
  <c r="Z161" i="5" s="1"/>
  <c r="Y161" i="5" a="1"/>
  <c r="Y161" i="5" s="1"/>
  <c r="X161" i="5" a="1"/>
  <c r="X161" i="5" s="1"/>
  <c r="W161" i="5" a="1"/>
  <c r="W161" i="5" s="1"/>
  <c r="BA8" i="11"/>
  <c r="BG8" i="11" s="1"/>
  <c r="AY8" i="11"/>
  <c r="AZ8" i="11"/>
  <c r="AX8" i="11"/>
  <c r="AI9" i="11"/>
  <c r="AJ9" i="11" s="1"/>
  <c r="BH9" i="11"/>
  <c r="AQ9" i="11"/>
  <c r="BE7" i="11"/>
  <c r="BD7" i="11"/>
  <c r="BC7" i="11"/>
  <c r="V161" i="5" a="1"/>
  <c r="V161" i="5" s="1"/>
  <c r="U161" i="5" a="1"/>
  <c r="U161" i="5" s="1"/>
  <c r="AH10" i="11" s="1"/>
  <c r="S161" i="5" a="1"/>
  <c r="S161" i="5" s="1"/>
  <c r="E161" i="5" a="1"/>
  <c r="E161" i="5" s="1"/>
  <c r="H161" i="5" a="1"/>
  <c r="H161" i="5" s="1"/>
  <c r="I161" i="5" a="1"/>
  <c r="I161" i="5" s="1"/>
  <c r="Q161" i="5" a="1"/>
  <c r="Q161" i="5" s="1"/>
  <c r="O161" i="5" a="1"/>
  <c r="O161" i="5" s="1"/>
  <c r="K161" i="5" a="1"/>
  <c r="K161" i="5" s="1"/>
  <c r="P161" i="5" a="1"/>
  <c r="P161" i="5" s="1"/>
  <c r="F161" i="5" a="1"/>
  <c r="F161" i="5" s="1"/>
  <c r="J161" i="5" a="1"/>
  <c r="J161" i="5" s="1"/>
  <c r="N161" i="5" a="1"/>
  <c r="N161" i="5" s="1"/>
  <c r="L161" i="5" a="1"/>
  <c r="L161" i="5" s="1"/>
  <c r="M161" i="5" a="1"/>
  <c r="M161" i="5" s="1"/>
  <c r="R161" i="5" a="1"/>
  <c r="R161" i="5" s="1"/>
  <c r="G161" i="5" a="1"/>
  <c r="G161" i="5" s="1"/>
  <c r="D161" i="5" a="1"/>
  <c r="D161" i="5" s="1"/>
  <c r="C162" i="5"/>
  <c r="BF7" i="11" l="1"/>
  <c r="T162" i="5" a="1"/>
  <c r="T162" i="5" s="1"/>
  <c r="AG162" i="5" a="1"/>
  <c r="AG162" i="5" s="1"/>
  <c r="AF162" i="5" a="1"/>
  <c r="AF162" i="5" s="1"/>
  <c r="AE162" i="5" a="1"/>
  <c r="AE162" i="5" s="1"/>
  <c r="AD162" i="5" a="1"/>
  <c r="AD162" i="5" s="1"/>
  <c r="AC162" i="5" a="1"/>
  <c r="AC162" i="5" s="1"/>
  <c r="AB162" i="5" a="1"/>
  <c r="AB162" i="5" s="1"/>
  <c r="AA162" i="5" a="1"/>
  <c r="AA162" i="5" s="1"/>
  <c r="X162" i="5" a="1"/>
  <c r="X162" i="5" s="1"/>
  <c r="W162" i="5" a="1"/>
  <c r="W162" i="5" s="1"/>
  <c r="Z162" i="5" a="1"/>
  <c r="Z162" i="5" s="1"/>
  <c r="Y162" i="5" a="1"/>
  <c r="Y162" i="5" s="1"/>
  <c r="AB45" i="8"/>
  <c r="AN10" i="11"/>
  <c r="U45" i="8"/>
  <c r="AC45" i="8"/>
  <c r="AO10" i="11"/>
  <c r="V45" i="8"/>
  <c r="AE45" i="8"/>
  <c r="AP10" i="11"/>
  <c r="W45" i="8"/>
  <c r="AD45" i="8"/>
  <c r="X45" i="8"/>
  <c r="BC8" i="11"/>
  <c r="BE8" i="11"/>
  <c r="BD8" i="11"/>
  <c r="AI10" i="11"/>
  <c r="AJ10" i="11" s="1"/>
  <c r="BH10" i="11"/>
  <c r="AQ10" i="11"/>
  <c r="BA9" i="11"/>
  <c r="BG9" i="11" s="1"/>
  <c r="AY9" i="11"/>
  <c r="AZ9" i="11"/>
  <c r="AX9" i="11"/>
  <c r="V162" i="5" a="1"/>
  <c r="V162" i="5" s="1"/>
  <c r="U162" i="5" a="1"/>
  <c r="U162" i="5" s="1"/>
  <c r="AH11" i="11" s="1"/>
  <c r="S162" i="5" a="1"/>
  <c r="S162" i="5" s="1"/>
  <c r="E162" i="5" a="1"/>
  <c r="E162" i="5" s="1"/>
  <c r="H162" i="5" a="1"/>
  <c r="H162" i="5" s="1"/>
  <c r="Q162" i="5" a="1"/>
  <c r="Q162" i="5" s="1"/>
  <c r="I162" i="5" a="1"/>
  <c r="I162" i="5" s="1"/>
  <c r="G45" i="8" s="1"/>
  <c r="O162" i="5" a="1"/>
  <c r="O162" i="5" s="1"/>
  <c r="K162" i="5" a="1"/>
  <c r="K162" i="5" s="1"/>
  <c r="P162" i="5" a="1"/>
  <c r="P162" i="5" s="1"/>
  <c r="J162" i="5" a="1"/>
  <c r="J162" i="5" s="1"/>
  <c r="N162" i="5" a="1"/>
  <c r="N162" i="5" s="1"/>
  <c r="F162" i="5" a="1"/>
  <c r="F162" i="5" s="1"/>
  <c r="L162" i="5" a="1"/>
  <c r="L162" i="5" s="1"/>
  <c r="J45" i="8" s="1"/>
  <c r="R162" i="5" a="1"/>
  <c r="R162" i="5" s="1"/>
  <c r="P45" i="8" s="1"/>
  <c r="M162" i="5" a="1"/>
  <c r="M162" i="5" s="1"/>
  <c r="G162" i="5" a="1"/>
  <c r="G162" i="5" s="1"/>
  <c r="D162" i="5" a="1"/>
  <c r="D162" i="5" s="1"/>
  <c r="C163" i="5"/>
  <c r="BF8" i="11" l="1"/>
  <c r="T163" i="5" a="1"/>
  <c r="T163" i="5" s="1"/>
  <c r="AG163" i="5" a="1"/>
  <c r="AG163" i="5" s="1"/>
  <c r="AF163" i="5" a="1"/>
  <c r="AF163" i="5" s="1"/>
  <c r="AE163" i="5" a="1"/>
  <c r="AE163" i="5" s="1"/>
  <c r="AD163" i="5" a="1"/>
  <c r="AD163" i="5" s="1"/>
  <c r="AC163" i="5" a="1"/>
  <c r="AC163" i="5" s="1"/>
  <c r="AB163" i="5" a="1"/>
  <c r="AB163" i="5" s="1"/>
  <c r="AA163" i="5" a="1"/>
  <c r="AA163" i="5" s="1"/>
  <c r="Z163" i="5" a="1"/>
  <c r="Z163" i="5" s="1"/>
  <c r="Y163" i="5" a="1"/>
  <c r="Y163" i="5" s="1"/>
  <c r="X163" i="5" a="1"/>
  <c r="X163" i="5" s="1"/>
  <c r="W163" i="5" a="1"/>
  <c r="W163" i="5" s="1"/>
  <c r="AP11" i="11"/>
  <c r="AU13" i="11"/>
  <c r="AU14" i="11"/>
  <c r="AU12" i="11"/>
  <c r="AU15" i="11"/>
  <c r="AS15" i="11"/>
  <c r="AS13" i="11"/>
  <c r="AS14" i="11"/>
  <c r="AS12" i="11"/>
  <c r="AN11" i="11"/>
  <c r="AT12" i="11"/>
  <c r="AO11" i="11"/>
  <c r="AT13" i="11"/>
  <c r="AT14" i="11"/>
  <c r="AT15" i="11"/>
  <c r="BD9" i="11"/>
  <c r="S45" i="8"/>
  <c r="AI11" i="11"/>
  <c r="AJ11" i="11" s="1"/>
  <c r="AV15" i="11"/>
  <c r="AV14" i="11"/>
  <c r="AV13" i="11"/>
  <c r="AV12" i="11"/>
  <c r="AQ11" i="11"/>
  <c r="BH11" i="11"/>
  <c r="T45" i="8"/>
  <c r="BA10" i="11"/>
  <c r="BG10" i="11" s="1"/>
  <c r="AZ10" i="11"/>
  <c r="AY10" i="11"/>
  <c r="AX10" i="11"/>
  <c r="BC9" i="11"/>
  <c r="BE9" i="11"/>
  <c r="U163" i="5" a="1"/>
  <c r="U163" i="5" s="1"/>
  <c r="V163" i="5" a="1"/>
  <c r="V163" i="5" s="1"/>
  <c r="S163" i="5" a="1"/>
  <c r="S163" i="5" s="1"/>
  <c r="E163" i="5" a="1"/>
  <c r="E163" i="5" s="1"/>
  <c r="H163" i="5" a="1"/>
  <c r="H163" i="5" s="1"/>
  <c r="Q163" i="5" a="1"/>
  <c r="Q163" i="5" s="1"/>
  <c r="O163" i="5" a="1"/>
  <c r="O163" i="5" s="1"/>
  <c r="I163" i="5" a="1"/>
  <c r="I163" i="5" s="1"/>
  <c r="P163" i="5" a="1"/>
  <c r="P163" i="5" s="1"/>
  <c r="K163" i="5" a="1"/>
  <c r="K163" i="5" s="1"/>
  <c r="F163" i="5" a="1"/>
  <c r="F163" i="5" s="1"/>
  <c r="N163" i="5" a="1"/>
  <c r="N163" i="5" s="1"/>
  <c r="R163" i="5" a="1"/>
  <c r="R163" i="5" s="1"/>
  <c r="M163" i="5" a="1"/>
  <c r="M163" i="5" s="1"/>
  <c r="L163" i="5" a="1"/>
  <c r="L163" i="5" s="1"/>
  <c r="G163" i="5" a="1"/>
  <c r="G163" i="5" s="1"/>
  <c r="J163" i="5" a="1"/>
  <c r="J163" i="5" s="1"/>
  <c r="D163" i="5" a="1"/>
  <c r="D163" i="5" s="1"/>
  <c r="C164" i="5"/>
  <c r="BC10" i="11" l="1"/>
  <c r="BD10" i="11"/>
  <c r="T164" i="5" a="1"/>
  <c r="T164" i="5" s="1"/>
  <c r="AG164" i="5" a="1"/>
  <c r="AG164" i="5" s="1"/>
  <c r="AF164" i="5" a="1"/>
  <c r="AF164" i="5" s="1"/>
  <c r="AE164" i="5" a="1"/>
  <c r="AE164" i="5" s="1"/>
  <c r="AD164" i="5" a="1"/>
  <c r="AD164" i="5" s="1"/>
  <c r="AB164" i="5" a="1"/>
  <c r="AB164" i="5" s="1"/>
  <c r="AC164" i="5" a="1"/>
  <c r="AC164" i="5" s="1"/>
  <c r="AA164" i="5" a="1"/>
  <c r="AA164" i="5" s="1"/>
  <c r="X164" i="5" a="1"/>
  <c r="X164" i="5" s="1"/>
  <c r="AO13" i="11" s="1"/>
  <c r="W164" i="5" a="1"/>
  <c r="W164" i="5" s="1"/>
  <c r="AN13" i="11" s="1"/>
  <c r="Z164" i="5" a="1"/>
  <c r="Z164" i="5" s="1"/>
  <c r="Y164" i="5" a="1"/>
  <c r="Y164" i="5" s="1"/>
  <c r="AP13" i="11" s="1"/>
  <c r="AN12" i="11"/>
  <c r="AO12" i="11"/>
  <c r="AP12" i="11"/>
  <c r="BE10" i="11"/>
  <c r="BF10" i="11" s="1"/>
  <c r="BF9" i="11"/>
  <c r="BA11" i="11"/>
  <c r="BG11" i="11" s="1"/>
  <c r="AX11" i="11"/>
  <c r="AZ11" i="11"/>
  <c r="AY11" i="11"/>
  <c r="AI12" i="11"/>
  <c r="AQ12" i="11"/>
  <c r="BH12" i="11"/>
  <c r="AH12" i="11"/>
  <c r="U164" i="5" a="1"/>
  <c r="U164" i="5" s="1"/>
  <c r="AH13" i="11" s="1"/>
  <c r="V164" i="5" a="1"/>
  <c r="V164" i="5" s="1"/>
  <c r="S164" i="5" a="1"/>
  <c r="S164" i="5" s="1"/>
  <c r="E164" i="5" a="1"/>
  <c r="E164" i="5" s="1"/>
  <c r="H164" i="5" a="1"/>
  <c r="H164" i="5" s="1"/>
  <c r="Q164" i="5" a="1"/>
  <c r="Q164" i="5" s="1"/>
  <c r="I164" i="5" a="1"/>
  <c r="I164" i="5" s="1"/>
  <c r="F164" i="5" a="1"/>
  <c r="F164" i="5" s="1"/>
  <c r="O164" i="5" a="1"/>
  <c r="O164" i="5" s="1"/>
  <c r="K164" i="5" a="1"/>
  <c r="K164" i="5" s="1"/>
  <c r="P164" i="5" a="1"/>
  <c r="P164" i="5" s="1"/>
  <c r="N164" i="5" a="1"/>
  <c r="N164" i="5" s="1"/>
  <c r="J164" i="5" a="1"/>
  <c r="J164" i="5" s="1"/>
  <c r="L164" i="5" a="1"/>
  <c r="L164" i="5" s="1"/>
  <c r="M164" i="5" a="1"/>
  <c r="M164" i="5" s="1"/>
  <c r="G164" i="5" a="1"/>
  <c r="G164" i="5" s="1"/>
  <c r="R164" i="5" a="1"/>
  <c r="R164" i="5" s="1"/>
  <c r="D164" i="5" a="1"/>
  <c r="D164" i="5" s="1"/>
  <c r="C165" i="5"/>
  <c r="BE11" i="11" l="1"/>
  <c r="T165" i="5" a="1"/>
  <c r="T165" i="5" s="1"/>
  <c r="AF165" i="5" a="1"/>
  <c r="AF165" i="5" s="1"/>
  <c r="AG165" i="5" a="1"/>
  <c r="AG165" i="5" s="1"/>
  <c r="AE165" i="5" a="1"/>
  <c r="AE165" i="5" s="1"/>
  <c r="AD165" i="5" a="1"/>
  <c r="AD165" i="5" s="1"/>
  <c r="AC165" i="5" a="1"/>
  <c r="AC165" i="5" s="1"/>
  <c r="AB165" i="5" a="1"/>
  <c r="AB165" i="5" s="1"/>
  <c r="AA165" i="5" a="1"/>
  <c r="AA165" i="5" s="1"/>
  <c r="Z165" i="5" a="1"/>
  <c r="Z165" i="5" s="1"/>
  <c r="Y165" i="5" a="1"/>
  <c r="Y165" i="5" s="1"/>
  <c r="X165" i="5" a="1"/>
  <c r="X165" i="5" s="1"/>
  <c r="W165" i="5" a="1"/>
  <c r="W165" i="5" s="1"/>
  <c r="BC11" i="11"/>
  <c r="BD11" i="11"/>
  <c r="AJ12" i="11"/>
  <c r="AI13" i="11"/>
  <c r="AJ13" i="11" s="1"/>
  <c r="BH13" i="11"/>
  <c r="AQ13" i="11"/>
  <c r="BA12" i="11"/>
  <c r="BG12" i="11" s="1"/>
  <c r="AY12" i="11"/>
  <c r="AX12" i="11"/>
  <c r="AZ12" i="11"/>
  <c r="U165" i="5" a="1"/>
  <c r="U165" i="5" s="1"/>
  <c r="AH14" i="11" s="1"/>
  <c r="V165" i="5" a="1"/>
  <c r="V165" i="5" s="1"/>
  <c r="S165" i="5" a="1"/>
  <c r="S165" i="5" s="1"/>
  <c r="E165" i="5" a="1"/>
  <c r="E165" i="5" s="1"/>
  <c r="H165" i="5" a="1"/>
  <c r="H165" i="5" s="1"/>
  <c r="Q165" i="5" a="1"/>
  <c r="Q165" i="5" s="1"/>
  <c r="I165" i="5" a="1"/>
  <c r="I165" i="5" s="1"/>
  <c r="F165" i="5" a="1"/>
  <c r="F165" i="5" s="1"/>
  <c r="P165" i="5" a="1"/>
  <c r="P165" i="5" s="1"/>
  <c r="O165" i="5" a="1"/>
  <c r="O165" i="5" s="1"/>
  <c r="K165" i="5" a="1"/>
  <c r="K165" i="5" s="1"/>
  <c r="R165" i="5" a="1"/>
  <c r="R165" i="5" s="1"/>
  <c r="J165" i="5" a="1"/>
  <c r="J165" i="5" s="1"/>
  <c r="N165" i="5" a="1"/>
  <c r="N165" i="5" s="1"/>
  <c r="M165" i="5" a="1"/>
  <c r="M165" i="5" s="1"/>
  <c r="G165" i="5" a="1"/>
  <c r="G165" i="5" s="1"/>
  <c r="L165" i="5" a="1"/>
  <c r="L165" i="5" s="1"/>
  <c r="D165" i="5" a="1"/>
  <c r="D165" i="5" s="1"/>
  <c r="C166" i="5"/>
  <c r="BF11" i="11" l="1"/>
  <c r="T166" i="5" a="1"/>
  <c r="T166" i="5" s="1"/>
  <c r="AG166" i="5" a="1"/>
  <c r="AG166" i="5" s="1"/>
  <c r="AF166" i="5" a="1"/>
  <c r="AF166" i="5" s="1"/>
  <c r="AE166" i="5" a="1"/>
  <c r="AE166" i="5" s="1"/>
  <c r="AD166" i="5" a="1"/>
  <c r="AD166" i="5" s="1"/>
  <c r="AC166" i="5" a="1"/>
  <c r="AC166" i="5" s="1"/>
  <c r="AB166" i="5" a="1"/>
  <c r="AB166" i="5" s="1"/>
  <c r="AA166" i="5" a="1"/>
  <c r="AA166" i="5" s="1"/>
  <c r="X166" i="5" a="1"/>
  <c r="X166" i="5" s="1"/>
  <c r="W166" i="5" a="1"/>
  <c r="W166" i="5" s="1"/>
  <c r="U46" i="8" s="1"/>
  <c r="Z166" i="5" a="1"/>
  <c r="Z166" i="5" s="1"/>
  <c r="Y166" i="5" a="1"/>
  <c r="Y166" i="5" s="1"/>
  <c r="AB46" i="8"/>
  <c r="AN14" i="11"/>
  <c r="AC46" i="8"/>
  <c r="AO14" i="11"/>
  <c r="V46" i="8"/>
  <c r="AE46" i="8"/>
  <c r="AP14" i="11"/>
  <c r="W46" i="8"/>
  <c r="AD46" i="8"/>
  <c r="X46" i="8"/>
  <c r="Z46" i="8"/>
  <c r="BA13" i="11"/>
  <c r="AX13" i="11"/>
  <c r="BC13" i="11" s="1"/>
  <c r="AY13" i="11"/>
  <c r="BD13" i="11" s="1"/>
  <c r="AZ13" i="11"/>
  <c r="BE13" i="11" s="1"/>
  <c r="BG13" i="11"/>
  <c r="BE12" i="11"/>
  <c r="AI14" i="11"/>
  <c r="AJ14" i="11" s="1"/>
  <c r="BH14" i="11"/>
  <c r="AQ14" i="11"/>
  <c r="BC12" i="11"/>
  <c r="BD12" i="11"/>
  <c r="U166" i="5" a="1"/>
  <c r="U166" i="5" s="1"/>
  <c r="AH15" i="11" s="1"/>
  <c r="V166" i="5" a="1"/>
  <c r="V166" i="5" s="1"/>
  <c r="S166" i="5" a="1"/>
  <c r="S166" i="5" s="1"/>
  <c r="E166" i="5" a="1"/>
  <c r="E166" i="5" s="1"/>
  <c r="H166" i="5" a="1"/>
  <c r="H166" i="5" s="1"/>
  <c r="Q166" i="5" a="1"/>
  <c r="Q166" i="5" s="1"/>
  <c r="I166" i="5" a="1"/>
  <c r="I166" i="5" s="1"/>
  <c r="O166" i="5" a="1"/>
  <c r="O166" i="5" s="1"/>
  <c r="P166" i="5" a="1"/>
  <c r="P166" i="5" s="1"/>
  <c r="K166" i="5" a="1"/>
  <c r="K166" i="5" s="1"/>
  <c r="F166" i="5" a="1"/>
  <c r="F166" i="5" s="1"/>
  <c r="R166" i="5" a="1"/>
  <c r="R166" i="5" s="1"/>
  <c r="J166" i="5" a="1"/>
  <c r="J166" i="5" s="1"/>
  <c r="N166" i="5" a="1"/>
  <c r="N166" i="5" s="1"/>
  <c r="G166" i="5" a="1"/>
  <c r="G166" i="5" s="1"/>
  <c r="L166" i="5" a="1"/>
  <c r="L166" i="5" s="1"/>
  <c r="M166" i="5" a="1"/>
  <c r="M166" i="5" s="1"/>
  <c r="K46" i="8" s="1"/>
  <c r="D166" i="5" a="1"/>
  <c r="D166" i="5" s="1"/>
  <c r="C167" i="5"/>
  <c r="T167" i="5" l="1" a="1"/>
  <c r="T167" i="5" s="1"/>
  <c r="AG167" i="5" a="1"/>
  <c r="AG167" i="5" s="1"/>
  <c r="AF167" i="5" a="1"/>
  <c r="AF167" i="5" s="1"/>
  <c r="AE167" i="5" a="1"/>
  <c r="AE167" i="5" s="1"/>
  <c r="AD167" i="5" a="1"/>
  <c r="AD167" i="5" s="1"/>
  <c r="AC167" i="5" a="1"/>
  <c r="AC167" i="5" s="1"/>
  <c r="AB167" i="5" a="1"/>
  <c r="AB167" i="5" s="1"/>
  <c r="AA167" i="5" a="1"/>
  <c r="AA167" i="5" s="1"/>
  <c r="Z167" i="5" a="1"/>
  <c r="Z167" i="5" s="1"/>
  <c r="Y167" i="5" a="1"/>
  <c r="Y167" i="5" s="1"/>
  <c r="X167" i="5" a="1"/>
  <c r="X167" i="5" s="1"/>
  <c r="W167" i="5" a="1"/>
  <c r="W167" i="5" s="1"/>
  <c r="AU16" i="11"/>
  <c r="AU19" i="11"/>
  <c r="AU17" i="11"/>
  <c r="AU18" i="11"/>
  <c r="AP15" i="11"/>
  <c r="AS18" i="11"/>
  <c r="AS16" i="11"/>
  <c r="AN15" i="11"/>
  <c r="AS19" i="11"/>
  <c r="AS17" i="11"/>
  <c r="AT17" i="11"/>
  <c r="AT18" i="11"/>
  <c r="AO15" i="11"/>
  <c r="AT16" i="11"/>
  <c r="AT19" i="11"/>
  <c r="BF12" i="11"/>
  <c r="BF13" i="11"/>
  <c r="BA14" i="11"/>
  <c r="BG14" i="11" s="1"/>
  <c r="AY14" i="11"/>
  <c r="BD14" i="11" s="1"/>
  <c r="AX14" i="11"/>
  <c r="BC14" i="11" s="1"/>
  <c r="AZ14" i="11"/>
  <c r="S46" i="8"/>
  <c r="AI15" i="11"/>
  <c r="AJ15" i="11" s="1"/>
  <c r="AV16" i="11"/>
  <c r="AQ15" i="11"/>
  <c r="BH15" i="11"/>
  <c r="AV19" i="11"/>
  <c r="AV18" i="11"/>
  <c r="AV17" i="11"/>
  <c r="T46" i="8"/>
  <c r="U167" i="5" a="1"/>
  <c r="U167" i="5" s="1"/>
  <c r="V167" i="5" a="1"/>
  <c r="V167" i="5" s="1"/>
  <c r="S167" i="5" a="1"/>
  <c r="S167" i="5" s="1"/>
  <c r="E167" i="5" a="1"/>
  <c r="E167" i="5" s="1"/>
  <c r="H167" i="5" a="1"/>
  <c r="H167" i="5" s="1"/>
  <c r="Q167" i="5" a="1"/>
  <c r="Q167" i="5" s="1"/>
  <c r="I167" i="5" a="1"/>
  <c r="I167" i="5" s="1"/>
  <c r="O167" i="5" a="1"/>
  <c r="O167" i="5" s="1"/>
  <c r="K167" i="5" a="1"/>
  <c r="K167" i="5" s="1"/>
  <c r="F167" i="5" a="1"/>
  <c r="F167" i="5" s="1"/>
  <c r="P167" i="5" a="1"/>
  <c r="P167" i="5" s="1"/>
  <c r="R167" i="5" a="1"/>
  <c r="R167" i="5" s="1"/>
  <c r="J167" i="5" a="1"/>
  <c r="J167" i="5" s="1"/>
  <c r="N167" i="5" a="1"/>
  <c r="N167" i="5" s="1"/>
  <c r="L167" i="5" a="1"/>
  <c r="L167" i="5" s="1"/>
  <c r="M167" i="5" a="1"/>
  <c r="M167" i="5" s="1"/>
  <c r="G167" i="5" a="1"/>
  <c r="G167" i="5" s="1"/>
  <c r="D167" i="5" a="1"/>
  <c r="D167" i="5" s="1"/>
  <c r="C168" i="5"/>
  <c r="BE14" i="11" l="1"/>
  <c r="T168" i="5" a="1"/>
  <c r="T168" i="5" s="1"/>
  <c r="AG168" i="5" a="1"/>
  <c r="AG168" i="5" s="1"/>
  <c r="AF168" i="5" a="1"/>
  <c r="AF168" i="5" s="1"/>
  <c r="AE168" i="5" a="1"/>
  <c r="AE168" i="5" s="1"/>
  <c r="AD168" i="5" a="1"/>
  <c r="AD168" i="5" s="1"/>
  <c r="AC168" i="5" a="1"/>
  <c r="AC168" i="5" s="1"/>
  <c r="AB168" i="5" a="1"/>
  <c r="AB168" i="5" s="1"/>
  <c r="AA168" i="5" a="1"/>
  <c r="AA168" i="5" s="1"/>
  <c r="X168" i="5" a="1"/>
  <c r="X168" i="5" s="1"/>
  <c r="AO17" i="11" s="1"/>
  <c r="W168" i="5" a="1"/>
  <c r="W168" i="5" s="1"/>
  <c r="AN17" i="11" s="1"/>
  <c r="Z168" i="5" a="1"/>
  <c r="Z168" i="5" s="1"/>
  <c r="Y168" i="5" a="1"/>
  <c r="Y168" i="5" s="1"/>
  <c r="AP17" i="11" s="1"/>
  <c r="AN16" i="11"/>
  <c r="AO16" i="11"/>
  <c r="AP16" i="11"/>
  <c r="AH16" i="11"/>
  <c r="BF14" i="11"/>
  <c r="AI16" i="11"/>
  <c r="AQ16" i="11"/>
  <c r="BH16" i="11"/>
  <c r="BA15" i="11"/>
  <c r="BG15" i="11" s="1"/>
  <c r="AX15" i="11"/>
  <c r="AZ15" i="11"/>
  <c r="AY15" i="11"/>
  <c r="V168" i="5" a="1"/>
  <c r="V168" i="5" s="1"/>
  <c r="S168" i="5" a="1"/>
  <c r="S168" i="5" s="1"/>
  <c r="U168" i="5" a="1"/>
  <c r="U168" i="5" s="1"/>
  <c r="AH17" i="11" s="1"/>
  <c r="E168" i="5" a="1"/>
  <c r="E168" i="5" s="1"/>
  <c r="H168" i="5" a="1"/>
  <c r="H168" i="5" s="1"/>
  <c r="Q168" i="5" a="1"/>
  <c r="Q168" i="5" s="1"/>
  <c r="I168" i="5" a="1"/>
  <c r="I168" i="5" s="1"/>
  <c r="P168" i="5" a="1"/>
  <c r="P168" i="5" s="1"/>
  <c r="K168" i="5" a="1"/>
  <c r="K168" i="5" s="1"/>
  <c r="F168" i="5" a="1"/>
  <c r="F168" i="5" s="1"/>
  <c r="O168" i="5" a="1"/>
  <c r="O168" i="5" s="1"/>
  <c r="M168" i="5" a="1"/>
  <c r="M168" i="5" s="1"/>
  <c r="N168" i="5" a="1"/>
  <c r="N168" i="5" s="1"/>
  <c r="J168" i="5" a="1"/>
  <c r="J168" i="5" s="1"/>
  <c r="L168" i="5" a="1"/>
  <c r="L168" i="5" s="1"/>
  <c r="R168" i="5" a="1"/>
  <c r="R168" i="5" s="1"/>
  <c r="G168" i="5" a="1"/>
  <c r="G168" i="5" s="1"/>
  <c r="D168" i="5" a="1"/>
  <c r="D168" i="5" s="1"/>
  <c r="C169" i="5"/>
  <c r="T169" i="5" l="1" a="1"/>
  <c r="T169" i="5" s="1"/>
  <c r="AG169" i="5" a="1"/>
  <c r="AG169" i="5" s="1"/>
  <c r="AF169" i="5" a="1"/>
  <c r="AF169" i="5" s="1"/>
  <c r="AE169" i="5" a="1"/>
  <c r="AE169" i="5" s="1"/>
  <c r="AD169" i="5" a="1"/>
  <c r="AD169" i="5" s="1"/>
  <c r="AC169" i="5" a="1"/>
  <c r="AC169" i="5" s="1"/>
  <c r="AB169" i="5" a="1"/>
  <c r="AB169" i="5" s="1"/>
  <c r="AA169" i="5" a="1"/>
  <c r="AA169" i="5" s="1"/>
  <c r="Z169" i="5" a="1"/>
  <c r="Z169" i="5" s="1"/>
  <c r="Y169" i="5" a="1"/>
  <c r="Y169" i="5" s="1"/>
  <c r="X169" i="5" a="1"/>
  <c r="X169" i="5" s="1"/>
  <c r="W169" i="5" a="1"/>
  <c r="W169" i="5" s="1"/>
  <c r="BC15" i="11"/>
  <c r="AJ16" i="11"/>
  <c r="BD15" i="11"/>
  <c r="AI17" i="11"/>
  <c r="AJ17" i="11" s="1"/>
  <c r="BH17" i="11"/>
  <c r="AQ17" i="11"/>
  <c r="BA16" i="11"/>
  <c r="BG16" i="11" s="1"/>
  <c r="AX16" i="11"/>
  <c r="AY16" i="11"/>
  <c r="AZ16" i="11"/>
  <c r="BE15" i="11"/>
  <c r="V169" i="5" a="1"/>
  <c r="V169" i="5" s="1"/>
  <c r="U169" i="5" a="1"/>
  <c r="U169" i="5" s="1"/>
  <c r="AH18" i="11" s="1"/>
  <c r="S169" i="5" a="1"/>
  <c r="S169" i="5" s="1"/>
  <c r="E169" i="5" a="1"/>
  <c r="E169" i="5" s="1"/>
  <c r="H169" i="5" a="1"/>
  <c r="H169" i="5" s="1"/>
  <c r="Q169" i="5" a="1"/>
  <c r="Q169" i="5" s="1"/>
  <c r="I169" i="5" a="1"/>
  <c r="I169" i="5" s="1"/>
  <c r="O169" i="5" a="1"/>
  <c r="O169" i="5" s="1"/>
  <c r="P169" i="5" a="1"/>
  <c r="P169" i="5" s="1"/>
  <c r="K169" i="5" a="1"/>
  <c r="K169" i="5" s="1"/>
  <c r="F169" i="5" a="1"/>
  <c r="F169" i="5" s="1"/>
  <c r="N169" i="5" a="1"/>
  <c r="N169" i="5" s="1"/>
  <c r="R169" i="5" a="1"/>
  <c r="R169" i="5" s="1"/>
  <c r="L169" i="5" a="1"/>
  <c r="L169" i="5" s="1"/>
  <c r="M169" i="5" a="1"/>
  <c r="M169" i="5" s="1"/>
  <c r="G169" i="5" a="1"/>
  <c r="G169" i="5" s="1"/>
  <c r="J169" i="5" a="1"/>
  <c r="J169" i="5" s="1"/>
  <c r="D169" i="5" a="1"/>
  <c r="D169" i="5" s="1"/>
  <c r="C170" i="5"/>
  <c r="T170" i="5" l="1" a="1"/>
  <c r="T170" i="5" s="1"/>
  <c r="R47" i="8" s="1"/>
  <c r="AG170" i="5" a="1"/>
  <c r="AG170" i="5" s="1"/>
  <c r="AF170" i="5" a="1"/>
  <c r="AF170" i="5" s="1"/>
  <c r="AE170" i="5" a="1"/>
  <c r="AE170" i="5" s="1"/>
  <c r="AD170" i="5" a="1"/>
  <c r="AD170" i="5" s="1"/>
  <c r="AC170" i="5" a="1"/>
  <c r="AC170" i="5" s="1"/>
  <c r="AA47" i="8" s="1"/>
  <c r="AB170" i="5" a="1"/>
  <c r="AB170" i="5" s="1"/>
  <c r="AA170" i="5" a="1"/>
  <c r="AA170" i="5" s="1"/>
  <c r="X170" i="5" a="1"/>
  <c r="X170" i="5" s="1"/>
  <c r="W170" i="5" a="1"/>
  <c r="W170" i="5" s="1"/>
  <c r="Z170" i="5" a="1"/>
  <c r="Z170" i="5" s="1"/>
  <c r="Y170" i="5" a="1"/>
  <c r="Y170" i="5" s="1"/>
  <c r="BD16" i="11"/>
  <c r="AB47" i="8"/>
  <c r="AN18" i="11"/>
  <c r="U47" i="8"/>
  <c r="AC47" i="8"/>
  <c r="AO18" i="11"/>
  <c r="V47" i="8"/>
  <c r="AD47" i="8"/>
  <c r="AP18" i="11"/>
  <c r="W47" i="8"/>
  <c r="AE47" i="8"/>
  <c r="X47" i="8"/>
  <c r="BF15" i="11"/>
  <c r="BC16" i="11"/>
  <c r="AI18" i="11"/>
  <c r="AJ18" i="11" s="1"/>
  <c r="BH18" i="11"/>
  <c r="AQ18" i="11"/>
  <c r="BA17" i="11"/>
  <c r="BG17" i="11" s="1"/>
  <c r="AY17" i="11"/>
  <c r="AX17" i="11"/>
  <c r="AZ17" i="11"/>
  <c r="BE16" i="11"/>
  <c r="V170" i="5" a="1"/>
  <c r="V170" i="5" s="1"/>
  <c r="U170" i="5" a="1"/>
  <c r="U170" i="5" s="1"/>
  <c r="AH19" i="11" s="1"/>
  <c r="S170" i="5" a="1"/>
  <c r="S170" i="5" s="1"/>
  <c r="Q47" i="8" s="1"/>
  <c r="E170" i="5" a="1"/>
  <c r="E170" i="5" s="1"/>
  <c r="H170" i="5" a="1"/>
  <c r="H170" i="5" s="1"/>
  <c r="I170" i="5" a="1"/>
  <c r="I170" i="5" s="1"/>
  <c r="G47" i="8" s="1"/>
  <c r="Q170" i="5" a="1"/>
  <c r="Q170" i="5" s="1"/>
  <c r="F170" i="5" a="1"/>
  <c r="F170" i="5" s="1"/>
  <c r="P170" i="5" a="1"/>
  <c r="P170" i="5" s="1"/>
  <c r="R170" i="5" a="1"/>
  <c r="R170" i="5" s="1"/>
  <c r="O170" i="5" a="1"/>
  <c r="O170" i="5" s="1"/>
  <c r="K170" i="5" a="1"/>
  <c r="K170" i="5" s="1"/>
  <c r="L170" i="5" a="1"/>
  <c r="L170" i="5" s="1"/>
  <c r="J47" i="8" s="1"/>
  <c r="M170" i="5" a="1"/>
  <c r="M170" i="5" s="1"/>
  <c r="J170" i="5" a="1"/>
  <c r="J170" i="5" s="1"/>
  <c r="N170" i="5" a="1"/>
  <c r="N170" i="5" s="1"/>
  <c r="G170" i="5" a="1"/>
  <c r="G170" i="5" s="1"/>
  <c r="D170" i="5" a="1"/>
  <c r="D170" i="5" s="1"/>
  <c r="C171" i="5"/>
  <c r="BF16" i="11" l="1"/>
  <c r="T171" i="5" a="1"/>
  <c r="T171" i="5" s="1"/>
  <c r="AG171" i="5" a="1"/>
  <c r="AG171" i="5" s="1"/>
  <c r="AF171" i="5" a="1"/>
  <c r="AF171" i="5" s="1"/>
  <c r="AE171" i="5" a="1"/>
  <c r="AE171" i="5" s="1"/>
  <c r="AD171" i="5" a="1"/>
  <c r="AD171" i="5" s="1"/>
  <c r="AC171" i="5" a="1"/>
  <c r="AC171" i="5" s="1"/>
  <c r="AB171" i="5" a="1"/>
  <c r="AB171" i="5" s="1"/>
  <c r="AA171" i="5" a="1"/>
  <c r="AA171" i="5" s="1"/>
  <c r="Z171" i="5" a="1"/>
  <c r="Z171" i="5" s="1"/>
  <c r="Y171" i="5" a="1"/>
  <c r="Y171" i="5" s="1"/>
  <c r="X171" i="5" a="1"/>
  <c r="X171" i="5" s="1"/>
  <c r="W171" i="5" a="1"/>
  <c r="W171" i="5" s="1"/>
  <c r="AU20" i="11"/>
  <c r="AP19" i="11"/>
  <c r="AU21" i="11"/>
  <c r="AU23" i="11"/>
  <c r="AU22" i="11"/>
  <c r="AS20" i="11"/>
  <c r="AN19" i="11"/>
  <c r="AS23" i="11"/>
  <c r="AS21" i="11"/>
  <c r="AS22" i="11"/>
  <c r="AT20" i="11"/>
  <c r="AT23" i="11"/>
  <c r="AO19" i="11"/>
  <c r="AT21" i="11"/>
  <c r="AT22" i="11"/>
  <c r="AI19" i="11"/>
  <c r="AJ19" i="11" s="1"/>
  <c r="AV23" i="11"/>
  <c r="AV22" i="11"/>
  <c r="AV21" i="11"/>
  <c r="AV20" i="11"/>
  <c r="AQ19" i="11"/>
  <c r="BH19" i="11"/>
  <c r="T47" i="8"/>
  <c r="BA18" i="11"/>
  <c r="BG18" i="11" s="1"/>
  <c r="AX18" i="11"/>
  <c r="AZ18" i="11"/>
  <c r="AY18" i="11"/>
  <c r="S47" i="8"/>
  <c r="BE17" i="11"/>
  <c r="BC17" i="11"/>
  <c r="BD17" i="11"/>
  <c r="U171" i="5" a="1"/>
  <c r="U171" i="5" s="1"/>
  <c r="V171" i="5" a="1"/>
  <c r="V171" i="5" s="1"/>
  <c r="S171" i="5" a="1"/>
  <c r="S171" i="5" s="1"/>
  <c r="E171" i="5" a="1"/>
  <c r="E171" i="5" s="1"/>
  <c r="H171" i="5" a="1"/>
  <c r="H171" i="5" s="1"/>
  <c r="Q171" i="5" a="1"/>
  <c r="Q171" i="5" s="1"/>
  <c r="I171" i="5" a="1"/>
  <c r="I171" i="5" s="1"/>
  <c r="O171" i="5" a="1"/>
  <c r="O171" i="5" s="1"/>
  <c r="P171" i="5" a="1"/>
  <c r="P171" i="5" s="1"/>
  <c r="F171" i="5" a="1"/>
  <c r="F171" i="5" s="1"/>
  <c r="K171" i="5" a="1"/>
  <c r="K171" i="5" s="1"/>
  <c r="L171" i="5" a="1"/>
  <c r="L171" i="5" s="1"/>
  <c r="R171" i="5" a="1"/>
  <c r="R171" i="5" s="1"/>
  <c r="J171" i="5" a="1"/>
  <c r="J171" i="5" s="1"/>
  <c r="N171" i="5" a="1"/>
  <c r="N171" i="5" s="1"/>
  <c r="M171" i="5" a="1"/>
  <c r="M171" i="5" s="1"/>
  <c r="G171" i="5" a="1"/>
  <c r="G171" i="5" s="1"/>
  <c r="D171" i="5" a="1"/>
  <c r="D171" i="5" s="1"/>
  <c r="C172" i="5"/>
  <c r="T172" i="5" l="1" a="1"/>
  <c r="T172" i="5" s="1"/>
  <c r="AG172" i="5" a="1"/>
  <c r="AG172" i="5" s="1"/>
  <c r="AF172" i="5" a="1"/>
  <c r="AF172" i="5" s="1"/>
  <c r="AE172" i="5" a="1"/>
  <c r="AE172" i="5" s="1"/>
  <c r="AD172" i="5" a="1"/>
  <c r="AD172" i="5" s="1"/>
  <c r="AB172" i="5" a="1"/>
  <c r="AB172" i="5" s="1"/>
  <c r="AC172" i="5" a="1"/>
  <c r="AC172" i="5" s="1"/>
  <c r="AA172" i="5" a="1"/>
  <c r="AA172" i="5" s="1"/>
  <c r="X172" i="5" a="1"/>
  <c r="X172" i="5" s="1"/>
  <c r="AO21" i="11" s="1"/>
  <c r="W172" i="5" a="1"/>
  <c r="W172" i="5" s="1"/>
  <c r="AN21" i="11" s="1"/>
  <c r="Z172" i="5" a="1"/>
  <c r="Z172" i="5" s="1"/>
  <c r="Y172" i="5" a="1"/>
  <c r="Y172" i="5" s="1"/>
  <c r="AP21" i="11" s="1"/>
  <c r="BD18" i="11"/>
  <c r="BE18" i="11"/>
  <c r="AN20" i="11"/>
  <c r="AO20" i="11"/>
  <c r="AP20" i="11"/>
  <c r="BC18" i="11"/>
  <c r="BF17" i="11"/>
  <c r="BA19" i="11"/>
  <c r="BG19" i="11" s="1"/>
  <c r="AZ19" i="11"/>
  <c r="AY19" i="11"/>
  <c r="AX19" i="11"/>
  <c r="AI20" i="11"/>
  <c r="AQ20" i="11"/>
  <c r="BH20" i="11"/>
  <c r="AH20" i="11"/>
  <c r="U172" i="5" a="1"/>
  <c r="U172" i="5" s="1"/>
  <c r="AH21" i="11" s="1"/>
  <c r="V172" i="5" a="1"/>
  <c r="V172" i="5" s="1"/>
  <c r="S172" i="5" a="1"/>
  <c r="S172" i="5" s="1"/>
  <c r="E172" i="5" a="1"/>
  <c r="E172" i="5" s="1"/>
  <c r="H172" i="5" a="1"/>
  <c r="H172" i="5" s="1"/>
  <c r="Q172" i="5" a="1"/>
  <c r="Q172" i="5" s="1"/>
  <c r="I172" i="5" a="1"/>
  <c r="I172" i="5" s="1"/>
  <c r="P172" i="5" a="1"/>
  <c r="P172" i="5" s="1"/>
  <c r="O172" i="5" a="1"/>
  <c r="O172" i="5" s="1"/>
  <c r="K172" i="5" a="1"/>
  <c r="K172" i="5" s="1"/>
  <c r="J172" i="5" a="1"/>
  <c r="J172" i="5" s="1"/>
  <c r="F172" i="5" a="1"/>
  <c r="F172" i="5" s="1"/>
  <c r="R172" i="5" a="1"/>
  <c r="R172" i="5" s="1"/>
  <c r="N172" i="5" a="1"/>
  <c r="N172" i="5" s="1"/>
  <c r="M172" i="5" a="1"/>
  <c r="M172" i="5" s="1"/>
  <c r="L172" i="5" a="1"/>
  <c r="L172" i="5" s="1"/>
  <c r="G172" i="5" a="1"/>
  <c r="G172" i="5" s="1"/>
  <c r="D172" i="5" a="1"/>
  <c r="D172" i="5" s="1"/>
  <c r="C173" i="5"/>
  <c r="BC19" i="11" l="1"/>
  <c r="BF18" i="11"/>
  <c r="T173" i="5" a="1"/>
  <c r="T173" i="5" s="1"/>
  <c r="AG173" i="5" a="1"/>
  <c r="AG173" i="5" s="1"/>
  <c r="AF173" i="5" a="1"/>
  <c r="AF173" i="5" s="1"/>
  <c r="AE173" i="5" a="1"/>
  <c r="AE173" i="5" s="1"/>
  <c r="AD173" i="5" a="1"/>
  <c r="AD173" i="5" s="1"/>
  <c r="AC173" i="5" a="1"/>
  <c r="AC173" i="5" s="1"/>
  <c r="AB173" i="5" a="1"/>
  <c r="AB173" i="5" s="1"/>
  <c r="AA173" i="5" a="1"/>
  <c r="AA173" i="5" s="1"/>
  <c r="Z173" i="5" a="1"/>
  <c r="Z173" i="5" s="1"/>
  <c r="Y173" i="5" a="1"/>
  <c r="Y173" i="5" s="1"/>
  <c r="X173" i="5" a="1"/>
  <c r="X173" i="5" s="1"/>
  <c r="W173" i="5" a="1"/>
  <c r="W173" i="5" s="1"/>
  <c r="BD19" i="11"/>
  <c r="BE19" i="11"/>
  <c r="BF19" i="11" s="1"/>
  <c r="AJ20" i="11"/>
  <c r="AI21" i="11"/>
  <c r="AJ21" i="11" s="1"/>
  <c r="BH21" i="11"/>
  <c r="AQ21" i="11"/>
  <c r="BA20" i="11"/>
  <c r="BG20" i="11" s="1"/>
  <c r="AY20" i="11"/>
  <c r="AX20" i="11"/>
  <c r="AZ20" i="11"/>
  <c r="U173" i="5" a="1"/>
  <c r="U173" i="5" s="1"/>
  <c r="V173" i="5" a="1"/>
  <c r="V173" i="5" s="1"/>
  <c r="S173" i="5" a="1"/>
  <c r="S173" i="5" s="1"/>
  <c r="E173" i="5" a="1"/>
  <c r="E173" i="5" s="1"/>
  <c r="H173" i="5" a="1"/>
  <c r="H173" i="5" s="1"/>
  <c r="Q173" i="5" a="1"/>
  <c r="Q173" i="5" s="1"/>
  <c r="I173" i="5" a="1"/>
  <c r="I173" i="5" s="1"/>
  <c r="O173" i="5" a="1"/>
  <c r="O173" i="5" s="1"/>
  <c r="P173" i="5" a="1"/>
  <c r="P173" i="5" s="1"/>
  <c r="K173" i="5" a="1"/>
  <c r="K173" i="5" s="1"/>
  <c r="F173" i="5" a="1"/>
  <c r="F173" i="5" s="1"/>
  <c r="N173" i="5" a="1"/>
  <c r="N173" i="5" s="1"/>
  <c r="R173" i="5" a="1"/>
  <c r="R173" i="5" s="1"/>
  <c r="L173" i="5" a="1"/>
  <c r="L173" i="5" s="1"/>
  <c r="J173" i="5" a="1"/>
  <c r="J173" i="5" s="1"/>
  <c r="M173" i="5" a="1"/>
  <c r="M173" i="5" s="1"/>
  <c r="G173" i="5" a="1"/>
  <c r="G173" i="5" s="1"/>
  <c r="D173" i="5" a="1"/>
  <c r="D173" i="5" s="1"/>
  <c r="C174" i="5"/>
  <c r="T174" i="5" l="1" a="1"/>
  <c r="T174" i="5" s="1"/>
  <c r="AG174" i="5" a="1"/>
  <c r="AG174" i="5" s="1"/>
  <c r="AF174" i="5" a="1"/>
  <c r="AF174" i="5" s="1"/>
  <c r="AE174" i="5" a="1"/>
  <c r="AE174" i="5" s="1"/>
  <c r="AD174" i="5" a="1"/>
  <c r="AD174" i="5" s="1"/>
  <c r="AC174" i="5" a="1"/>
  <c r="AC174" i="5" s="1"/>
  <c r="AB174" i="5" a="1"/>
  <c r="AB174" i="5" s="1"/>
  <c r="Z48" i="8" s="1"/>
  <c r="AA174" i="5" a="1"/>
  <c r="AA174" i="5" s="1"/>
  <c r="X174" i="5" a="1"/>
  <c r="X174" i="5" s="1"/>
  <c r="W174" i="5" a="1"/>
  <c r="W174" i="5" s="1"/>
  <c r="Z174" i="5" a="1"/>
  <c r="Z174" i="5" s="1"/>
  <c r="Y174" i="5" a="1"/>
  <c r="Y174" i="5" s="1"/>
  <c r="AA48" i="8"/>
  <c r="AB48" i="8"/>
  <c r="AN22" i="11"/>
  <c r="U48" i="8"/>
  <c r="AC48" i="8"/>
  <c r="AO22" i="11"/>
  <c r="V48" i="8"/>
  <c r="AD48" i="8"/>
  <c r="AP22" i="11"/>
  <c r="W48" i="8"/>
  <c r="AE48" i="8"/>
  <c r="X48" i="8"/>
  <c r="BC20" i="11"/>
  <c r="BD20" i="11"/>
  <c r="BE20" i="11"/>
  <c r="AI22" i="11"/>
  <c r="BH22" i="11"/>
  <c r="AQ22" i="11"/>
  <c r="BA21" i="11"/>
  <c r="BG21" i="11" s="1"/>
  <c r="AZ21" i="11"/>
  <c r="AY21" i="11"/>
  <c r="AX21" i="11"/>
  <c r="AH22" i="11"/>
  <c r="U174" i="5" a="1"/>
  <c r="U174" i="5" s="1"/>
  <c r="AH23" i="11" s="1"/>
  <c r="V174" i="5" a="1"/>
  <c r="V174" i="5" s="1"/>
  <c r="S174" i="5" a="1"/>
  <c r="S174" i="5" s="1"/>
  <c r="E174" i="5" a="1"/>
  <c r="E174" i="5" s="1"/>
  <c r="H174" i="5" a="1"/>
  <c r="H174" i="5" s="1"/>
  <c r="I174" i="5" a="1"/>
  <c r="I174" i="5" s="1"/>
  <c r="Q174" i="5" a="1"/>
  <c r="Q174" i="5" s="1"/>
  <c r="O174" i="5" a="1"/>
  <c r="O174" i="5" s="1"/>
  <c r="F174" i="5" a="1"/>
  <c r="F174" i="5" s="1"/>
  <c r="P174" i="5" a="1"/>
  <c r="P174" i="5" s="1"/>
  <c r="J174" i="5" a="1"/>
  <c r="J174" i="5" s="1"/>
  <c r="H48" i="8" s="1"/>
  <c r="N174" i="5" a="1"/>
  <c r="N174" i="5" s="1"/>
  <c r="L48" i="8" s="1"/>
  <c r="L174" i="5" a="1"/>
  <c r="L174" i="5" s="1"/>
  <c r="J48" i="8" s="1"/>
  <c r="R174" i="5" a="1"/>
  <c r="R174" i="5" s="1"/>
  <c r="K174" i="5" a="1"/>
  <c r="K174" i="5" s="1"/>
  <c r="I48" i="8" s="1"/>
  <c r="M174" i="5" a="1"/>
  <c r="M174" i="5" s="1"/>
  <c r="G174" i="5" a="1"/>
  <c r="G174" i="5" s="1"/>
  <c r="D174" i="5" a="1"/>
  <c r="D174" i="5" s="1"/>
  <c r="C175" i="5"/>
  <c r="BE21" i="11" l="1"/>
  <c r="AU26" i="11"/>
  <c r="AP23" i="11"/>
  <c r="AU24" i="11"/>
  <c r="AU27" i="11"/>
  <c r="AU25" i="11"/>
  <c r="T175" i="5" a="1"/>
  <c r="T175" i="5" s="1"/>
  <c r="AG175" i="5" a="1"/>
  <c r="AG175" i="5" s="1"/>
  <c r="AF175" i="5" a="1"/>
  <c r="AF175" i="5" s="1"/>
  <c r="AE175" i="5" a="1"/>
  <c r="AE175" i="5" s="1"/>
  <c r="AD175" i="5" a="1"/>
  <c r="AD175" i="5" s="1"/>
  <c r="AC175" i="5" a="1"/>
  <c r="AC175" i="5" s="1"/>
  <c r="AB175" i="5" a="1"/>
  <c r="AB175" i="5" s="1"/>
  <c r="AA175" i="5" a="1"/>
  <c r="AA175" i="5" s="1"/>
  <c r="Z175" i="5" a="1"/>
  <c r="Z175" i="5" s="1"/>
  <c r="Y175" i="5" a="1"/>
  <c r="Y175" i="5" s="1"/>
  <c r="X175" i="5" a="1"/>
  <c r="X175" i="5" s="1"/>
  <c r="W175" i="5" a="1"/>
  <c r="W175" i="5" s="1"/>
  <c r="AS24" i="11"/>
  <c r="AS26" i="11"/>
  <c r="AN23" i="11"/>
  <c r="AS27" i="11"/>
  <c r="AS25" i="11"/>
  <c r="AT25" i="11"/>
  <c r="AT26" i="11"/>
  <c r="AO23" i="11"/>
  <c r="AT24" i="11"/>
  <c r="AT27" i="11"/>
  <c r="BF20" i="11"/>
  <c r="BC21" i="11"/>
  <c r="BD21" i="11"/>
  <c r="AJ22" i="11"/>
  <c r="AI23" i="11"/>
  <c r="AJ23" i="11" s="1"/>
  <c r="AV24" i="11"/>
  <c r="AQ23" i="11"/>
  <c r="BH23" i="11"/>
  <c r="AV27" i="11"/>
  <c r="AV26" i="11"/>
  <c r="AV25" i="11"/>
  <c r="T48" i="8"/>
  <c r="BA22" i="11"/>
  <c r="BG22" i="11" s="1"/>
  <c r="AX22" i="11"/>
  <c r="AZ22" i="11"/>
  <c r="AY22" i="11"/>
  <c r="S48" i="8"/>
  <c r="U175" i="5" a="1"/>
  <c r="U175" i="5" s="1"/>
  <c r="V175" i="5" a="1"/>
  <c r="V175" i="5" s="1"/>
  <c r="S175" i="5" a="1"/>
  <c r="S175" i="5" s="1"/>
  <c r="E175" i="5" a="1"/>
  <c r="E175" i="5" s="1"/>
  <c r="H175" i="5" a="1"/>
  <c r="H175" i="5" s="1"/>
  <c r="Q175" i="5" a="1"/>
  <c r="Q175" i="5" s="1"/>
  <c r="I175" i="5" a="1"/>
  <c r="I175" i="5" s="1"/>
  <c r="F175" i="5" a="1"/>
  <c r="F175" i="5" s="1"/>
  <c r="P175" i="5" a="1"/>
  <c r="P175" i="5" s="1"/>
  <c r="O175" i="5" a="1"/>
  <c r="O175" i="5" s="1"/>
  <c r="R175" i="5" a="1"/>
  <c r="R175" i="5" s="1"/>
  <c r="J175" i="5" a="1"/>
  <c r="J175" i="5" s="1"/>
  <c r="L175" i="5" a="1"/>
  <c r="L175" i="5" s="1"/>
  <c r="N175" i="5" a="1"/>
  <c r="N175" i="5" s="1"/>
  <c r="K175" i="5" a="1"/>
  <c r="K175" i="5" s="1"/>
  <c r="M175" i="5" a="1"/>
  <c r="M175" i="5" s="1"/>
  <c r="G175" i="5" a="1"/>
  <c r="G175" i="5" s="1"/>
  <c r="D175" i="5" a="1"/>
  <c r="D175" i="5" s="1"/>
  <c r="C176" i="5"/>
  <c r="BF21" i="11" l="1"/>
  <c r="AO24" i="11"/>
  <c r="AP24" i="11"/>
  <c r="T176" i="5" a="1"/>
  <c r="T176" i="5" s="1"/>
  <c r="AG176" i="5" a="1"/>
  <c r="AG176" i="5" s="1"/>
  <c r="AF176" i="5" a="1"/>
  <c r="AF176" i="5" s="1"/>
  <c r="AE176" i="5" a="1"/>
  <c r="AE176" i="5" s="1"/>
  <c r="AD176" i="5" a="1"/>
  <c r="AD176" i="5" s="1"/>
  <c r="AC176" i="5" a="1"/>
  <c r="AC176" i="5" s="1"/>
  <c r="AB176" i="5" a="1"/>
  <c r="AB176" i="5" s="1"/>
  <c r="AA176" i="5" a="1"/>
  <c r="AA176" i="5" s="1"/>
  <c r="X176" i="5" a="1"/>
  <c r="X176" i="5" s="1"/>
  <c r="AO25" i="11" s="1"/>
  <c r="W176" i="5" a="1"/>
  <c r="W176" i="5" s="1"/>
  <c r="AN25" i="11" s="1"/>
  <c r="Z176" i="5" a="1"/>
  <c r="Z176" i="5" s="1"/>
  <c r="Y176" i="5" a="1"/>
  <c r="Y176" i="5" s="1"/>
  <c r="AP25" i="11" s="1"/>
  <c r="BD22" i="11"/>
  <c r="BE22" i="11"/>
  <c r="AN24" i="11"/>
  <c r="BC22" i="11"/>
  <c r="BA23" i="11"/>
  <c r="AX23" i="11"/>
  <c r="BC23" i="11" s="1"/>
  <c r="AZ23" i="11"/>
  <c r="BE23" i="11" s="1"/>
  <c r="AY23" i="11"/>
  <c r="BD23" i="11" s="1"/>
  <c r="BG23" i="11"/>
  <c r="AI24" i="11"/>
  <c r="AQ24" i="11"/>
  <c r="BH24" i="11"/>
  <c r="AH24" i="11"/>
  <c r="V176" i="5" a="1"/>
  <c r="V176" i="5" s="1"/>
  <c r="U176" i="5" a="1"/>
  <c r="U176" i="5" s="1"/>
  <c r="AH25" i="11" s="1"/>
  <c r="S176" i="5" a="1"/>
  <c r="S176" i="5" s="1"/>
  <c r="E176" i="5" a="1"/>
  <c r="E176" i="5" s="1"/>
  <c r="H176" i="5" a="1"/>
  <c r="H176" i="5" s="1"/>
  <c r="Q176" i="5" a="1"/>
  <c r="Q176" i="5" s="1"/>
  <c r="I176" i="5" a="1"/>
  <c r="I176" i="5" s="1"/>
  <c r="P176" i="5" a="1"/>
  <c r="P176" i="5" s="1"/>
  <c r="F176" i="5" a="1"/>
  <c r="F176" i="5" s="1"/>
  <c r="R176" i="5" a="1"/>
  <c r="R176" i="5" s="1"/>
  <c r="J176" i="5" a="1"/>
  <c r="J176" i="5" s="1"/>
  <c r="K176" i="5" a="1"/>
  <c r="K176" i="5" s="1"/>
  <c r="O176" i="5" a="1"/>
  <c r="O176" i="5" s="1"/>
  <c r="N176" i="5" a="1"/>
  <c r="N176" i="5" s="1"/>
  <c r="L176" i="5" a="1"/>
  <c r="L176" i="5" s="1"/>
  <c r="G176" i="5" a="1"/>
  <c r="G176" i="5" s="1"/>
  <c r="M176" i="5" a="1"/>
  <c r="M176" i="5" s="1"/>
  <c r="D176" i="5" a="1"/>
  <c r="D176" i="5" s="1"/>
  <c r="C177" i="5"/>
  <c r="BF22" i="11" l="1"/>
  <c r="T177" i="5" a="1"/>
  <c r="T177" i="5" s="1"/>
  <c r="AF177" i="5" a="1"/>
  <c r="AF177" i="5" s="1"/>
  <c r="AG177" i="5" a="1"/>
  <c r="AG177" i="5" s="1"/>
  <c r="AE177" i="5" a="1"/>
  <c r="AE177" i="5" s="1"/>
  <c r="AD177" i="5" a="1"/>
  <c r="AD177" i="5" s="1"/>
  <c r="AC177" i="5" a="1"/>
  <c r="AC177" i="5" s="1"/>
  <c r="AB177" i="5" a="1"/>
  <c r="AB177" i="5" s="1"/>
  <c r="AA177" i="5" a="1"/>
  <c r="AA177" i="5" s="1"/>
  <c r="Z177" i="5" a="1"/>
  <c r="Z177" i="5" s="1"/>
  <c r="Y177" i="5" a="1"/>
  <c r="Y177" i="5" s="1"/>
  <c r="AP26" i="11" s="1"/>
  <c r="X177" i="5" a="1"/>
  <c r="X177" i="5" s="1"/>
  <c r="AO26" i="11" s="1"/>
  <c r="W177" i="5" a="1"/>
  <c r="W177" i="5" s="1"/>
  <c r="BF23" i="11"/>
  <c r="AJ24" i="11"/>
  <c r="AI25" i="11"/>
  <c r="AJ25" i="11" s="1"/>
  <c r="BH25" i="11"/>
  <c r="AQ25" i="11"/>
  <c r="BA24" i="11"/>
  <c r="BG24" i="11" s="1"/>
  <c r="AX24" i="11"/>
  <c r="AZ24" i="11"/>
  <c r="BE24" i="11" s="1"/>
  <c r="AY24" i="11"/>
  <c r="V177" i="5" a="1"/>
  <c r="V177" i="5" s="1"/>
  <c r="U177" i="5" a="1"/>
  <c r="U177" i="5" s="1"/>
  <c r="AH26" i="11" s="1"/>
  <c r="S177" i="5" a="1"/>
  <c r="S177" i="5" s="1"/>
  <c r="E177" i="5" a="1"/>
  <c r="E177" i="5" s="1"/>
  <c r="H177" i="5" a="1"/>
  <c r="H177" i="5" s="1"/>
  <c r="Q177" i="5" a="1"/>
  <c r="Q177" i="5" s="1"/>
  <c r="I177" i="5" a="1"/>
  <c r="I177" i="5" s="1"/>
  <c r="P177" i="5" a="1"/>
  <c r="P177" i="5" s="1"/>
  <c r="O177" i="5" a="1"/>
  <c r="O177" i="5" s="1"/>
  <c r="K177" i="5" a="1"/>
  <c r="K177" i="5" s="1"/>
  <c r="F177" i="5" a="1"/>
  <c r="F177" i="5" s="1"/>
  <c r="L177" i="5" a="1"/>
  <c r="L177" i="5" s="1"/>
  <c r="J177" i="5" a="1"/>
  <c r="J177" i="5" s="1"/>
  <c r="R177" i="5" a="1"/>
  <c r="R177" i="5" s="1"/>
  <c r="N177" i="5" a="1"/>
  <c r="N177" i="5" s="1"/>
  <c r="M177" i="5" a="1"/>
  <c r="M177" i="5" s="1"/>
  <c r="G177" i="5" a="1"/>
  <c r="G177" i="5" s="1"/>
  <c r="D177" i="5" a="1"/>
  <c r="D177" i="5" s="1"/>
  <c r="C178" i="5"/>
  <c r="AN26" i="11" l="1"/>
  <c r="T178" i="5" a="1"/>
  <c r="T178" i="5" s="1"/>
  <c r="AG178" i="5" a="1"/>
  <c r="AG178" i="5" s="1"/>
  <c r="AF178" i="5" a="1"/>
  <c r="AF178" i="5" s="1"/>
  <c r="AE178" i="5" a="1"/>
  <c r="AE178" i="5" s="1"/>
  <c r="AD178" i="5" a="1"/>
  <c r="AD178" i="5" s="1"/>
  <c r="AB49" i="8" s="1"/>
  <c r="AC178" i="5" a="1"/>
  <c r="AC178" i="5" s="1"/>
  <c r="AB178" i="5" a="1"/>
  <c r="AB178" i="5" s="1"/>
  <c r="Z49" i="8" s="1"/>
  <c r="AA178" i="5" a="1"/>
  <c r="AA178" i="5" s="1"/>
  <c r="X178" i="5" a="1"/>
  <c r="X178" i="5" s="1"/>
  <c r="W178" i="5" a="1"/>
  <c r="W178" i="5" s="1"/>
  <c r="Z178" i="5" a="1"/>
  <c r="Z178" i="5" s="1"/>
  <c r="Y178" i="5" a="1"/>
  <c r="Y178" i="5" s="1"/>
  <c r="W49" i="8"/>
  <c r="AA49" i="8"/>
  <c r="BC24" i="11"/>
  <c r="BD24" i="11"/>
  <c r="BA25" i="11"/>
  <c r="AY25" i="11"/>
  <c r="BD25" i="11" s="1"/>
  <c r="AX25" i="11"/>
  <c r="BC25" i="11" s="1"/>
  <c r="AZ25" i="11"/>
  <c r="BE25" i="11" s="1"/>
  <c r="BG25" i="11"/>
  <c r="AI26" i="11"/>
  <c r="AJ26" i="11" s="1"/>
  <c r="BH26" i="11"/>
  <c r="AQ26" i="11"/>
  <c r="V178" i="5" a="1"/>
  <c r="V178" i="5" s="1"/>
  <c r="U178" i="5" a="1"/>
  <c r="U178" i="5" s="1"/>
  <c r="AH27" i="11" s="1"/>
  <c r="S178" i="5" a="1"/>
  <c r="S178" i="5" s="1"/>
  <c r="Q49" i="8" s="1"/>
  <c r="E178" i="5" a="1"/>
  <c r="E178" i="5" s="1"/>
  <c r="H178" i="5" a="1"/>
  <c r="H178" i="5" s="1"/>
  <c r="I178" i="5" a="1"/>
  <c r="I178" i="5" s="1"/>
  <c r="F178" i="5" a="1"/>
  <c r="F178" i="5" s="1"/>
  <c r="Q178" i="5" a="1"/>
  <c r="Q178" i="5" s="1"/>
  <c r="O178" i="5" a="1"/>
  <c r="O178" i="5" s="1"/>
  <c r="K178" i="5" a="1"/>
  <c r="K178" i="5" s="1"/>
  <c r="P178" i="5" a="1"/>
  <c r="P178" i="5" s="1"/>
  <c r="L178" i="5" a="1"/>
  <c r="L178" i="5" s="1"/>
  <c r="J178" i="5" a="1"/>
  <c r="J178" i="5" s="1"/>
  <c r="R178" i="5" a="1"/>
  <c r="R178" i="5" s="1"/>
  <c r="N178" i="5" a="1"/>
  <c r="N178" i="5" s="1"/>
  <c r="L49" i="8" s="1"/>
  <c r="G178" i="5" a="1"/>
  <c r="G178" i="5" s="1"/>
  <c r="M178" i="5" a="1"/>
  <c r="M178" i="5" s="1"/>
  <c r="D178" i="5" a="1"/>
  <c r="D178" i="5" s="1"/>
  <c r="C179" i="5"/>
  <c r="AU28" i="11" l="1"/>
  <c r="AU31" i="11"/>
  <c r="AP27" i="11"/>
  <c r="AU29" i="11"/>
  <c r="AU30" i="11"/>
  <c r="BF24" i="11"/>
  <c r="AS30" i="11"/>
  <c r="AS28" i="11"/>
  <c r="AN27" i="11"/>
  <c r="AS31" i="11"/>
  <c r="AS29" i="11"/>
  <c r="AT28" i="11"/>
  <c r="AT31" i="11"/>
  <c r="AO27" i="11"/>
  <c r="AT29" i="11"/>
  <c r="AT30" i="11"/>
  <c r="V49" i="8"/>
  <c r="T179" i="5" a="1"/>
  <c r="T179" i="5" s="1"/>
  <c r="AG179" i="5" a="1"/>
  <c r="AG179" i="5" s="1"/>
  <c r="AF179" i="5" a="1"/>
  <c r="AF179" i="5" s="1"/>
  <c r="AE179" i="5" a="1"/>
  <c r="AE179" i="5" s="1"/>
  <c r="AD179" i="5" a="1"/>
  <c r="AD179" i="5" s="1"/>
  <c r="AC179" i="5" a="1"/>
  <c r="AC179" i="5" s="1"/>
  <c r="AB179" i="5" a="1"/>
  <c r="AB179" i="5" s="1"/>
  <c r="AA179" i="5" a="1"/>
  <c r="AA179" i="5" s="1"/>
  <c r="Z179" i="5" a="1"/>
  <c r="Z179" i="5" s="1"/>
  <c r="Y179" i="5" a="1"/>
  <c r="Y179" i="5" s="1"/>
  <c r="X179" i="5" a="1"/>
  <c r="X179" i="5" s="1"/>
  <c r="W179" i="5" a="1"/>
  <c r="W179" i="5" s="1"/>
  <c r="U49" i="8"/>
  <c r="BF25" i="11"/>
  <c r="AI27" i="11"/>
  <c r="AJ27" i="11" s="1"/>
  <c r="AV31" i="11"/>
  <c r="AV30" i="11"/>
  <c r="AV29" i="11"/>
  <c r="AV28" i="11"/>
  <c r="AQ27" i="11"/>
  <c r="BH27" i="11"/>
  <c r="T49" i="8"/>
  <c r="S49" i="8"/>
  <c r="BA26" i="11"/>
  <c r="BG26" i="11" s="1"/>
  <c r="AZ26" i="11"/>
  <c r="AX26" i="11"/>
  <c r="AY26" i="11"/>
  <c r="U179" i="5" a="1"/>
  <c r="U179" i="5" s="1"/>
  <c r="V179" i="5" a="1"/>
  <c r="V179" i="5" s="1"/>
  <c r="S179" i="5" a="1"/>
  <c r="S179" i="5" s="1"/>
  <c r="E179" i="5" a="1"/>
  <c r="E179" i="5" s="1"/>
  <c r="H179" i="5" a="1"/>
  <c r="H179" i="5" s="1"/>
  <c r="I179" i="5" a="1"/>
  <c r="I179" i="5" s="1"/>
  <c r="Q179" i="5" a="1"/>
  <c r="Q179" i="5" s="1"/>
  <c r="K179" i="5" a="1"/>
  <c r="K179" i="5" s="1"/>
  <c r="O179" i="5" a="1"/>
  <c r="O179" i="5" s="1"/>
  <c r="P179" i="5" a="1"/>
  <c r="P179" i="5" s="1"/>
  <c r="L179" i="5" a="1"/>
  <c r="L179" i="5" s="1"/>
  <c r="J179" i="5" a="1"/>
  <c r="J179" i="5" s="1"/>
  <c r="F179" i="5" a="1"/>
  <c r="F179" i="5" s="1"/>
  <c r="N179" i="5" a="1"/>
  <c r="N179" i="5" s="1"/>
  <c r="R179" i="5" a="1"/>
  <c r="R179" i="5" s="1"/>
  <c r="M179" i="5" a="1"/>
  <c r="M179" i="5" s="1"/>
  <c r="G179" i="5" a="1"/>
  <c r="G179" i="5" s="1"/>
  <c r="D179" i="5" a="1"/>
  <c r="D179" i="5" s="1"/>
  <c r="C180" i="5"/>
  <c r="T180" i="5" l="1" a="1"/>
  <c r="T180" i="5" s="1"/>
  <c r="AG180" i="5" a="1"/>
  <c r="AG180" i="5" s="1"/>
  <c r="AF180" i="5" a="1"/>
  <c r="AF180" i="5" s="1"/>
  <c r="AE180" i="5" a="1"/>
  <c r="AE180" i="5" s="1"/>
  <c r="AD180" i="5" a="1"/>
  <c r="AD180" i="5" s="1"/>
  <c r="AB180" i="5" a="1"/>
  <c r="AB180" i="5" s="1"/>
  <c r="AC180" i="5" a="1"/>
  <c r="AC180" i="5" s="1"/>
  <c r="AA180" i="5" a="1"/>
  <c r="AA180" i="5" s="1"/>
  <c r="X180" i="5" a="1"/>
  <c r="X180" i="5" s="1"/>
  <c r="AO29" i="11" s="1"/>
  <c r="W180" i="5" a="1"/>
  <c r="W180" i="5" s="1"/>
  <c r="AN29" i="11" s="1"/>
  <c r="Z180" i="5" a="1"/>
  <c r="Z180" i="5" s="1"/>
  <c r="Y180" i="5" a="1"/>
  <c r="Y180" i="5" s="1"/>
  <c r="AP29" i="11" s="1"/>
  <c r="AN28" i="11"/>
  <c r="BD26" i="11"/>
  <c r="AO28" i="11"/>
  <c r="BC26" i="11"/>
  <c r="AP28" i="11"/>
  <c r="BE26" i="11"/>
  <c r="BA27" i="11"/>
  <c r="BG27" i="11" s="1"/>
  <c r="AX27" i="11"/>
  <c r="BC27" i="11" s="1"/>
  <c r="AY27" i="11"/>
  <c r="AZ27" i="11"/>
  <c r="AI28" i="11"/>
  <c r="AQ28" i="11"/>
  <c r="BH28" i="11"/>
  <c r="AH28" i="11"/>
  <c r="U180" i="5" a="1"/>
  <c r="U180" i="5" s="1"/>
  <c r="AH29" i="11" s="1"/>
  <c r="V180" i="5" a="1"/>
  <c r="V180" i="5" s="1"/>
  <c r="S180" i="5" a="1"/>
  <c r="S180" i="5" s="1"/>
  <c r="E180" i="5" a="1"/>
  <c r="E180" i="5" s="1"/>
  <c r="H180" i="5" a="1"/>
  <c r="H180" i="5" s="1"/>
  <c r="I180" i="5" a="1"/>
  <c r="I180" i="5" s="1"/>
  <c r="F180" i="5" a="1"/>
  <c r="F180" i="5" s="1"/>
  <c r="Q180" i="5" a="1"/>
  <c r="Q180" i="5" s="1"/>
  <c r="O180" i="5" a="1"/>
  <c r="O180" i="5" s="1"/>
  <c r="K180" i="5" a="1"/>
  <c r="K180" i="5" s="1"/>
  <c r="P180" i="5" a="1"/>
  <c r="P180" i="5" s="1"/>
  <c r="R180" i="5" a="1"/>
  <c r="R180" i="5" s="1"/>
  <c r="J180" i="5" a="1"/>
  <c r="J180" i="5" s="1"/>
  <c r="N180" i="5" a="1"/>
  <c r="N180" i="5" s="1"/>
  <c r="M180" i="5" a="1"/>
  <c r="M180" i="5" s="1"/>
  <c r="L180" i="5" a="1"/>
  <c r="L180" i="5" s="1"/>
  <c r="G180" i="5" a="1"/>
  <c r="G180" i="5" s="1"/>
  <c r="D180" i="5" a="1"/>
  <c r="D180" i="5" s="1"/>
  <c r="C181" i="5"/>
  <c r="BF26" i="11" l="1"/>
  <c r="BE27" i="11"/>
  <c r="BD27" i="11"/>
  <c r="T181" i="5" a="1"/>
  <c r="T181" i="5" s="1"/>
  <c r="AF181" i="5" a="1"/>
  <c r="AF181" i="5" s="1"/>
  <c r="AG181" i="5" a="1"/>
  <c r="AG181" i="5" s="1"/>
  <c r="AE181" i="5" a="1"/>
  <c r="AE181" i="5" s="1"/>
  <c r="AD181" i="5" a="1"/>
  <c r="AD181" i="5" s="1"/>
  <c r="AC181" i="5" a="1"/>
  <c r="AC181" i="5" s="1"/>
  <c r="AB181" i="5" a="1"/>
  <c r="AB181" i="5" s="1"/>
  <c r="AA181" i="5" a="1"/>
  <c r="AA181" i="5" s="1"/>
  <c r="Z181" i="5" a="1"/>
  <c r="Z181" i="5" s="1"/>
  <c r="Y181" i="5" a="1"/>
  <c r="Y181" i="5" s="1"/>
  <c r="X181" i="5" a="1"/>
  <c r="X181" i="5" s="1"/>
  <c r="W181" i="5" a="1"/>
  <c r="W181" i="5" s="1"/>
  <c r="AJ28" i="11"/>
  <c r="BA28" i="11"/>
  <c r="BG28" i="11" s="1"/>
  <c r="AX28" i="11"/>
  <c r="AZ28" i="11"/>
  <c r="AY28" i="11"/>
  <c r="AI29" i="11"/>
  <c r="AJ29" i="11" s="1"/>
  <c r="BH29" i="11"/>
  <c r="AQ29" i="11"/>
  <c r="BF27" i="11"/>
  <c r="U181" i="5" a="1"/>
  <c r="U181" i="5" s="1"/>
  <c r="V181" i="5" a="1"/>
  <c r="V181" i="5" s="1"/>
  <c r="S181" i="5" a="1"/>
  <c r="S181" i="5" s="1"/>
  <c r="E181" i="5" a="1"/>
  <c r="E181" i="5" s="1"/>
  <c r="H181" i="5" a="1"/>
  <c r="H181" i="5" s="1"/>
  <c r="I181" i="5" a="1"/>
  <c r="I181" i="5" s="1"/>
  <c r="Q181" i="5" a="1"/>
  <c r="Q181" i="5" s="1"/>
  <c r="K181" i="5" a="1"/>
  <c r="K181" i="5" s="1"/>
  <c r="O181" i="5" a="1"/>
  <c r="O181" i="5" s="1"/>
  <c r="F181" i="5" a="1"/>
  <c r="F181" i="5" s="1"/>
  <c r="P181" i="5" a="1"/>
  <c r="P181" i="5" s="1"/>
  <c r="N181" i="5" a="1"/>
  <c r="N181" i="5" s="1"/>
  <c r="R181" i="5" a="1"/>
  <c r="R181" i="5" s="1"/>
  <c r="J181" i="5" a="1"/>
  <c r="J181" i="5" s="1"/>
  <c r="L181" i="5" a="1"/>
  <c r="L181" i="5" s="1"/>
  <c r="M181" i="5" a="1"/>
  <c r="M181" i="5" s="1"/>
  <c r="G181" i="5" a="1"/>
  <c r="G181" i="5" s="1"/>
  <c r="D181" i="5" a="1"/>
  <c r="D181" i="5" s="1"/>
  <c r="C182" i="5"/>
  <c r="BD28" i="11" l="1"/>
  <c r="BE28" i="11"/>
  <c r="BC28" i="11"/>
  <c r="AN30" i="11"/>
  <c r="AO30" i="11"/>
  <c r="AE50" i="8"/>
  <c r="AP30" i="11"/>
  <c r="T182" i="5" a="1"/>
  <c r="T182" i="5" s="1"/>
  <c r="AG182" i="5" a="1"/>
  <c r="AG182" i="5" s="1"/>
  <c r="AF182" i="5" a="1"/>
  <c r="AF182" i="5" s="1"/>
  <c r="AE182" i="5" a="1"/>
  <c r="AE182" i="5" s="1"/>
  <c r="AD182" i="5" a="1"/>
  <c r="AD182" i="5" s="1"/>
  <c r="AB50" i="8" s="1"/>
  <c r="AC182" i="5" a="1"/>
  <c r="AC182" i="5" s="1"/>
  <c r="AB182" i="5" a="1"/>
  <c r="AB182" i="5" s="1"/>
  <c r="AA182" i="5" a="1"/>
  <c r="AA182" i="5" s="1"/>
  <c r="X182" i="5" a="1"/>
  <c r="X182" i="5" s="1"/>
  <c r="V50" i="8" s="1"/>
  <c r="W182" i="5" a="1"/>
  <c r="W182" i="5" s="1"/>
  <c r="Z182" i="5" a="1"/>
  <c r="Z182" i="5" s="1"/>
  <c r="Y182" i="5" a="1"/>
  <c r="Y182" i="5" s="1"/>
  <c r="BA29" i="11"/>
  <c r="BG29" i="11" s="1"/>
  <c r="AZ29" i="11"/>
  <c r="AY29" i="11"/>
  <c r="AX29" i="11"/>
  <c r="AI30" i="11"/>
  <c r="BH30" i="11"/>
  <c r="AQ30" i="11"/>
  <c r="AH30" i="11"/>
  <c r="BF28" i="11"/>
  <c r="U182" i="5" a="1"/>
  <c r="U182" i="5" s="1"/>
  <c r="AH31" i="11" s="1"/>
  <c r="V182" i="5" a="1"/>
  <c r="V182" i="5" s="1"/>
  <c r="S182" i="5" a="1"/>
  <c r="S182" i="5" s="1"/>
  <c r="E182" i="5" a="1"/>
  <c r="E182" i="5" s="1"/>
  <c r="H182" i="5" a="1"/>
  <c r="H182" i="5" s="1"/>
  <c r="Q182" i="5" a="1"/>
  <c r="Q182" i="5" s="1"/>
  <c r="I182" i="5" a="1"/>
  <c r="I182" i="5" s="1"/>
  <c r="O182" i="5" a="1"/>
  <c r="O182" i="5" s="1"/>
  <c r="K182" i="5" a="1"/>
  <c r="K182" i="5" s="1"/>
  <c r="P182" i="5" a="1"/>
  <c r="P182" i="5" s="1"/>
  <c r="F182" i="5" a="1"/>
  <c r="F182" i="5" s="1"/>
  <c r="R182" i="5" a="1"/>
  <c r="R182" i="5" s="1"/>
  <c r="L182" i="5" a="1"/>
  <c r="L182" i="5" s="1"/>
  <c r="N182" i="5" a="1"/>
  <c r="N182" i="5" s="1"/>
  <c r="L50" i="8" s="1"/>
  <c r="J182" i="5" a="1"/>
  <c r="J182" i="5" s="1"/>
  <c r="G182" i="5" a="1"/>
  <c r="G182" i="5" s="1"/>
  <c r="M182" i="5" a="1"/>
  <c r="M182" i="5" s="1"/>
  <c r="K50" i="8" s="1"/>
  <c r="D182" i="5" a="1"/>
  <c r="D182" i="5" s="1"/>
  <c r="C183" i="5"/>
  <c r="BC29" i="11" l="1"/>
  <c r="BD29" i="11"/>
  <c r="AP31" i="11"/>
  <c r="AU35" i="11"/>
  <c r="AU33" i="11"/>
  <c r="AU32" i="11"/>
  <c r="AU34" i="11"/>
  <c r="T183" i="5" a="1"/>
  <c r="T183" i="5" s="1"/>
  <c r="AG183" i="5" a="1"/>
  <c r="AG183" i="5" s="1"/>
  <c r="AF183" i="5" a="1"/>
  <c r="AF183" i="5" s="1"/>
  <c r="AE183" i="5" a="1"/>
  <c r="AE183" i="5" s="1"/>
  <c r="AD183" i="5" a="1"/>
  <c r="AD183" i="5" s="1"/>
  <c r="AC183" i="5" a="1"/>
  <c r="AC183" i="5" s="1"/>
  <c r="AB183" i="5" a="1"/>
  <c r="AB183" i="5" s="1"/>
  <c r="AA183" i="5" a="1"/>
  <c r="AA183" i="5" s="1"/>
  <c r="Z183" i="5" a="1"/>
  <c r="Z183" i="5" s="1"/>
  <c r="Y183" i="5" a="1"/>
  <c r="Y183" i="5" s="1"/>
  <c r="X183" i="5" a="1"/>
  <c r="X183" i="5" s="1"/>
  <c r="W183" i="5" a="1"/>
  <c r="W183" i="5" s="1"/>
  <c r="AS35" i="11"/>
  <c r="AS33" i="11"/>
  <c r="AS34" i="11"/>
  <c r="AS32" i="11"/>
  <c r="AN31" i="11"/>
  <c r="AT33" i="11"/>
  <c r="AT34" i="11"/>
  <c r="AO31" i="11"/>
  <c r="AT32" i="11"/>
  <c r="AT35" i="11"/>
  <c r="U50" i="8"/>
  <c r="BE29" i="11"/>
  <c r="BF29" i="11" s="1"/>
  <c r="W50" i="8"/>
  <c r="AJ30" i="11"/>
  <c r="BA30" i="11"/>
  <c r="BG30" i="11" s="1"/>
  <c r="AZ30" i="11"/>
  <c r="AY30" i="11"/>
  <c r="AX30" i="11"/>
  <c r="AI31" i="11"/>
  <c r="AJ31" i="11" s="1"/>
  <c r="AV32" i="11"/>
  <c r="AQ31" i="11"/>
  <c r="BH31" i="11"/>
  <c r="AV35" i="11"/>
  <c r="AV34" i="11"/>
  <c r="AV33" i="11"/>
  <c r="T50" i="8"/>
  <c r="S50" i="8"/>
  <c r="V183" i="5" a="1"/>
  <c r="V183" i="5" s="1"/>
  <c r="U183" i="5" a="1"/>
  <c r="U183" i="5" s="1"/>
  <c r="S183" i="5" a="1"/>
  <c r="S183" i="5" s="1"/>
  <c r="E183" i="5" a="1"/>
  <c r="E183" i="5" s="1"/>
  <c r="H183" i="5" a="1"/>
  <c r="H183" i="5" s="1"/>
  <c r="I183" i="5" a="1"/>
  <c r="I183" i="5" s="1"/>
  <c r="Q183" i="5" a="1"/>
  <c r="Q183" i="5" s="1"/>
  <c r="K183" i="5" a="1"/>
  <c r="K183" i="5" s="1"/>
  <c r="F183" i="5" a="1"/>
  <c r="F183" i="5" s="1"/>
  <c r="O183" i="5" a="1"/>
  <c r="O183" i="5" s="1"/>
  <c r="P183" i="5" a="1"/>
  <c r="P183" i="5" s="1"/>
  <c r="R183" i="5" a="1"/>
  <c r="R183" i="5" s="1"/>
  <c r="J183" i="5" a="1"/>
  <c r="J183" i="5" s="1"/>
  <c r="N183" i="5" a="1"/>
  <c r="N183" i="5" s="1"/>
  <c r="G183" i="5" a="1"/>
  <c r="G183" i="5" s="1"/>
  <c r="M183" i="5" a="1"/>
  <c r="M183" i="5" s="1"/>
  <c r="L183" i="5" a="1"/>
  <c r="L183" i="5" s="1"/>
  <c r="D183" i="5" a="1"/>
  <c r="D183" i="5" s="1"/>
  <c r="C184" i="5"/>
  <c r="AP32" i="11" l="1"/>
  <c r="BC30" i="11"/>
  <c r="BD30" i="11"/>
  <c r="AO32" i="11"/>
  <c r="T184" i="5" a="1"/>
  <c r="T184" i="5" s="1"/>
  <c r="AG184" i="5" a="1"/>
  <c r="AG184" i="5" s="1"/>
  <c r="AF184" i="5" a="1"/>
  <c r="AF184" i="5" s="1"/>
  <c r="AE184" i="5" a="1"/>
  <c r="AE184" i="5" s="1"/>
  <c r="AD184" i="5" a="1"/>
  <c r="AD184" i="5" s="1"/>
  <c r="AC184" i="5" a="1"/>
  <c r="AC184" i="5" s="1"/>
  <c r="AB184" i="5" a="1"/>
  <c r="AB184" i="5" s="1"/>
  <c r="AA184" i="5" a="1"/>
  <c r="AA184" i="5" s="1"/>
  <c r="X184" i="5" a="1"/>
  <c r="X184" i="5" s="1"/>
  <c r="AO33" i="11" s="1"/>
  <c r="W184" i="5" a="1"/>
  <c r="W184" i="5" s="1"/>
  <c r="AN33" i="11" s="1"/>
  <c r="Z184" i="5" a="1"/>
  <c r="Z184" i="5" s="1"/>
  <c r="Y184" i="5" a="1"/>
  <c r="Y184" i="5" s="1"/>
  <c r="AP33" i="11" s="1"/>
  <c r="AN32" i="11"/>
  <c r="BE30" i="11"/>
  <c r="BA31" i="11"/>
  <c r="BG31" i="11" s="1"/>
  <c r="AY31" i="11"/>
  <c r="AX31" i="11"/>
  <c r="BC31" i="11" s="1"/>
  <c r="AZ31" i="11"/>
  <c r="AH32" i="11"/>
  <c r="AI32" i="11"/>
  <c r="AQ32" i="11"/>
  <c r="BH32" i="11"/>
  <c r="V184" i="5" a="1"/>
  <c r="V184" i="5" s="1"/>
  <c r="U184" i="5" a="1"/>
  <c r="U184" i="5" s="1"/>
  <c r="AH33" i="11" s="1"/>
  <c r="S184" i="5" a="1"/>
  <c r="S184" i="5" s="1"/>
  <c r="E184" i="5" a="1"/>
  <c r="E184" i="5" s="1"/>
  <c r="H184" i="5" a="1"/>
  <c r="H184" i="5" s="1"/>
  <c r="I184" i="5" a="1"/>
  <c r="I184" i="5" s="1"/>
  <c r="Q184" i="5" a="1"/>
  <c r="Q184" i="5" s="1"/>
  <c r="K184" i="5" a="1"/>
  <c r="K184" i="5" s="1"/>
  <c r="O184" i="5" a="1"/>
  <c r="O184" i="5" s="1"/>
  <c r="F184" i="5" a="1"/>
  <c r="F184" i="5" s="1"/>
  <c r="P184" i="5" a="1"/>
  <c r="P184" i="5" s="1"/>
  <c r="L184" i="5" a="1"/>
  <c r="L184" i="5" s="1"/>
  <c r="J184" i="5" a="1"/>
  <c r="J184" i="5" s="1"/>
  <c r="R184" i="5" a="1"/>
  <c r="R184" i="5" s="1"/>
  <c r="N184" i="5" a="1"/>
  <c r="N184" i="5" s="1"/>
  <c r="G184" i="5" a="1"/>
  <c r="G184" i="5" s="1"/>
  <c r="M184" i="5" a="1"/>
  <c r="M184" i="5" s="1"/>
  <c r="D184" i="5" a="1"/>
  <c r="D184" i="5" s="1"/>
  <c r="C185" i="5"/>
  <c r="BF30" i="11" l="1"/>
  <c r="BD31" i="11"/>
  <c r="T185" i="5" a="1"/>
  <c r="T185" i="5" s="1"/>
  <c r="AG185" i="5" a="1"/>
  <c r="AG185" i="5" s="1"/>
  <c r="AF185" i="5" a="1"/>
  <c r="AF185" i="5" s="1"/>
  <c r="AE185" i="5" a="1"/>
  <c r="AE185" i="5" s="1"/>
  <c r="AD185" i="5" a="1"/>
  <c r="AD185" i="5" s="1"/>
  <c r="AC185" i="5" a="1"/>
  <c r="AC185" i="5" s="1"/>
  <c r="AB185" i="5" a="1"/>
  <c r="AB185" i="5" s="1"/>
  <c r="AA185" i="5" a="1"/>
  <c r="AA185" i="5" s="1"/>
  <c r="Z185" i="5" a="1"/>
  <c r="Z185" i="5" s="1"/>
  <c r="Y185" i="5" a="1"/>
  <c r="Y185" i="5" s="1"/>
  <c r="AP34" i="11" s="1"/>
  <c r="X185" i="5" a="1"/>
  <c r="X185" i="5" s="1"/>
  <c r="AO34" i="11" s="1"/>
  <c r="W185" i="5" a="1"/>
  <c r="W185" i="5" s="1"/>
  <c r="BE31" i="11"/>
  <c r="BF31" i="11" s="1"/>
  <c r="BA32" i="11"/>
  <c r="BG32" i="11" s="1"/>
  <c r="AZ32" i="11"/>
  <c r="AY32" i="11"/>
  <c r="AX32" i="11"/>
  <c r="AI33" i="11"/>
  <c r="AJ33" i="11" s="1"/>
  <c r="BH33" i="11"/>
  <c r="AQ33" i="11"/>
  <c r="AJ32" i="11"/>
  <c r="V185" i="5" a="1"/>
  <c r="V185" i="5" s="1"/>
  <c r="U185" i="5" a="1"/>
  <c r="U185" i="5" s="1"/>
  <c r="AH34" i="11" s="1"/>
  <c r="S185" i="5" a="1"/>
  <c r="S185" i="5" s="1"/>
  <c r="E185" i="5" a="1"/>
  <c r="E185" i="5" s="1"/>
  <c r="H185" i="5" a="1"/>
  <c r="H185" i="5" s="1"/>
  <c r="Q185" i="5" a="1"/>
  <c r="Q185" i="5" s="1"/>
  <c r="I185" i="5" a="1"/>
  <c r="I185" i="5" s="1"/>
  <c r="F185" i="5" a="1"/>
  <c r="F185" i="5" s="1"/>
  <c r="P185" i="5" a="1"/>
  <c r="P185" i="5" s="1"/>
  <c r="O185" i="5" a="1"/>
  <c r="O185" i="5" s="1"/>
  <c r="K185" i="5" a="1"/>
  <c r="K185" i="5" s="1"/>
  <c r="M185" i="5" a="1"/>
  <c r="M185" i="5" s="1"/>
  <c r="R185" i="5" a="1"/>
  <c r="R185" i="5" s="1"/>
  <c r="J185" i="5" a="1"/>
  <c r="J185" i="5" s="1"/>
  <c r="L185" i="5" a="1"/>
  <c r="L185" i="5" s="1"/>
  <c r="N185" i="5" a="1"/>
  <c r="N185" i="5" s="1"/>
  <c r="G185" i="5" a="1"/>
  <c r="G185" i="5" s="1"/>
  <c r="D185" i="5" a="1"/>
  <c r="D185" i="5" s="1"/>
  <c r="C186" i="5"/>
  <c r="BC32" i="11" l="1"/>
  <c r="AN34" i="11"/>
  <c r="T186" i="5" a="1"/>
  <c r="T186" i="5" s="1"/>
  <c r="AG186" i="5" a="1"/>
  <c r="AG186" i="5" s="1"/>
  <c r="AF186" i="5" a="1"/>
  <c r="AF186" i="5" s="1"/>
  <c r="AE186" i="5" a="1"/>
  <c r="AE186" i="5" s="1"/>
  <c r="AC51" i="8" s="1"/>
  <c r="AD186" i="5" a="1"/>
  <c r="AD186" i="5" s="1"/>
  <c r="AC186" i="5" a="1"/>
  <c r="AC186" i="5" s="1"/>
  <c r="AA51" i="8" s="1"/>
  <c r="AB186" i="5" a="1"/>
  <c r="AB186" i="5" s="1"/>
  <c r="AA186" i="5" a="1"/>
  <c r="AA186" i="5" s="1"/>
  <c r="X186" i="5" a="1"/>
  <c r="X186" i="5" s="1"/>
  <c r="W186" i="5" a="1"/>
  <c r="W186" i="5" s="1"/>
  <c r="Z186" i="5" a="1"/>
  <c r="Z186" i="5" s="1"/>
  <c r="Y186" i="5" a="1"/>
  <c r="Y186" i="5" s="1"/>
  <c r="W51" i="8" s="1"/>
  <c r="BD32" i="11"/>
  <c r="BE32" i="11"/>
  <c r="AI34" i="11"/>
  <c r="AJ34" i="11" s="1"/>
  <c r="BH34" i="11"/>
  <c r="AQ34" i="11"/>
  <c r="BA33" i="11"/>
  <c r="BG33" i="11" s="1"/>
  <c r="AZ33" i="11"/>
  <c r="AY33" i="11"/>
  <c r="AX33" i="11"/>
  <c r="V186" i="5" a="1"/>
  <c r="V186" i="5" s="1"/>
  <c r="U186" i="5" a="1"/>
  <c r="U186" i="5" s="1"/>
  <c r="AH35" i="11" s="1"/>
  <c r="S186" i="5" a="1"/>
  <c r="S186" i="5" s="1"/>
  <c r="E186" i="5" a="1"/>
  <c r="E186" i="5" s="1"/>
  <c r="H186" i="5" a="1"/>
  <c r="H186" i="5" s="1"/>
  <c r="Q186" i="5" a="1"/>
  <c r="Q186" i="5" s="1"/>
  <c r="K186" i="5" a="1"/>
  <c r="K186" i="5" s="1"/>
  <c r="I186" i="5" a="1"/>
  <c r="I186" i="5" s="1"/>
  <c r="R186" i="5" a="1"/>
  <c r="R186" i="5" s="1"/>
  <c r="P51" i="8" s="1"/>
  <c r="O186" i="5" a="1"/>
  <c r="O186" i="5" s="1"/>
  <c r="F186" i="5" a="1"/>
  <c r="F186" i="5" s="1"/>
  <c r="P186" i="5" a="1"/>
  <c r="P186" i="5" s="1"/>
  <c r="M186" i="5" a="1"/>
  <c r="M186" i="5" s="1"/>
  <c r="N186" i="5" a="1"/>
  <c r="N186" i="5" s="1"/>
  <c r="L51" i="8" s="1"/>
  <c r="L186" i="5" a="1"/>
  <c r="L186" i="5" s="1"/>
  <c r="J186" i="5" a="1"/>
  <c r="J186" i="5" s="1"/>
  <c r="G186" i="5" a="1"/>
  <c r="G186" i="5" s="1"/>
  <c r="D186" i="5" a="1"/>
  <c r="D186" i="5" s="1"/>
  <c r="C187" i="5"/>
  <c r="BF32" i="11" l="1"/>
  <c r="AS39" i="11"/>
  <c r="AS38" i="11"/>
  <c r="AS36" i="11"/>
  <c r="AS37" i="11"/>
  <c r="AN35" i="11"/>
  <c r="AT36" i="11"/>
  <c r="AT39" i="11"/>
  <c r="AO35" i="11"/>
  <c r="AT37" i="11"/>
  <c r="AT38" i="11"/>
  <c r="V51" i="8"/>
  <c r="T187" i="5" a="1"/>
  <c r="T187" i="5" s="1"/>
  <c r="AG187" i="5" a="1"/>
  <c r="AG187" i="5" s="1"/>
  <c r="AF187" i="5" a="1"/>
  <c r="AF187" i="5" s="1"/>
  <c r="AE187" i="5" a="1"/>
  <c r="AE187" i="5" s="1"/>
  <c r="AD187" i="5" a="1"/>
  <c r="AD187" i="5" s="1"/>
  <c r="AC187" i="5" a="1"/>
  <c r="AC187" i="5" s="1"/>
  <c r="AB187" i="5" a="1"/>
  <c r="AB187" i="5" s="1"/>
  <c r="AA187" i="5" a="1"/>
  <c r="AA187" i="5" s="1"/>
  <c r="Z187" i="5" a="1"/>
  <c r="Z187" i="5" s="1"/>
  <c r="Y187" i="5" a="1"/>
  <c r="Y187" i="5" s="1"/>
  <c r="X187" i="5" a="1"/>
  <c r="X187" i="5" s="1"/>
  <c r="W187" i="5" a="1"/>
  <c r="W187" i="5" s="1"/>
  <c r="U51" i="8"/>
  <c r="AU36" i="11"/>
  <c r="AU38" i="11"/>
  <c r="AU39" i="11"/>
  <c r="AP35" i="11"/>
  <c r="AU37" i="11"/>
  <c r="S51" i="8"/>
  <c r="AI35" i="11"/>
  <c r="AJ35" i="11" s="1"/>
  <c r="AV39" i="11"/>
  <c r="AV38" i="11"/>
  <c r="AV37" i="11"/>
  <c r="AV36" i="11"/>
  <c r="AQ35" i="11"/>
  <c r="BH35" i="11"/>
  <c r="T51" i="8"/>
  <c r="BA34" i="11"/>
  <c r="BG34" i="11" s="1"/>
  <c r="AX34" i="11"/>
  <c r="AY34" i="11"/>
  <c r="AZ34" i="11"/>
  <c r="BC33" i="11"/>
  <c r="BD33" i="11"/>
  <c r="BE33" i="11"/>
  <c r="U187" i="5" a="1"/>
  <c r="U187" i="5" s="1"/>
  <c r="V187" i="5" a="1"/>
  <c r="V187" i="5" s="1"/>
  <c r="S187" i="5" a="1"/>
  <c r="S187" i="5" s="1"/>
  <c r="E187" i="5" a="1"/>
  <c r="E187" i="5" s="1"/>
  <c r="H187" i="5" a="1"/>
  <c r="H187" i="5" s="1"/>
  <c r="Q187" i="5" a="1"/>
  <c r="Q187" i="5" s="1"/>
  <c r="I187" i="5" a="1"/>
  <c r="I187" i="5" s="1"/>
  <c r="K187" i="5" a="1"/>
  <c r="K187" i="5" s="1"/>
  <c r="P187" i="5" a="1"/>
  <c r="P187" i="5" s="1"/>
  <c r="O187" i="5" a="1"/>
  <c r="O187" i="5" s="1"/>
  <c r="J187" i="5" a="1"/>
  <c r="J187" i="5" s="1"/>
  <c r="M187" i="5" a="1"/>
  <c r="M187" i="5" s="1"/>
  <c r="R187" i="5" a="1"/>
  <c r="R187" i="5" s="1"/>
  <c r="L187" i="5" a="1"/>
  <c r="L187" i="5" s="1"/>
  <c r="N187" i="5" a="1"/>
  <c r="N187" i="5" s="1"/>
  <c r="F187" i="5" a="1"/>
  <c r="F187" i="5" s="1"/>
  <c r="G187" i="5" a="1"/>
  <c r="G187" i="5" s="1"/>
  <c r="D187" i="5" a="1"/>
  <c r="D187" i="5" s="1"/>
  <c r="C188" i="5"/>
  <c r="AN36" i="11" l="1"/>
  <c r="AO36" i="11"/>
  <c r="AP36" i="11"/>
  <c r="BE34" i="11"/>
  <c r="T188" i="5" a="1"/>
  <c r="T188" i="5" s="1"/>
  <c r="AG188" i="5" a="1"/>
  <c r="AG188" i="5" s="1"/>
  <c r="AF188" i="5" a="1"/>
  <c r="AF188" i="5" s="1"/>
  <c r="AE188" i="5" a="1"/>
  <c r="AE188" i="5" s="1"/>
  <c r="AD188" i="5" a="1"/>
  <c r="AD188" i="5" s="1"/>
  <c r="AB188" i="5" a="1"/>
  <c r="AB188" i="5" s="1"/>
  <c r="AC188" i="5" a="1"/>
  <c r="AC188" i="5" s="1"/>
  <c r="AA188" i="5" a="1"/>
  <c r="AA188" i="5" s="1"/>
  <c r="X188" i="5" a="1"/>
  <c r="X188" i="5" s="1"/>
  <c r="AO37" i="11" s="1"/>
  <c r="W188" i="5" a="1"/>
  <c r="W188" i="5" s="1"/>
  <c r="AN37" i="11" s="1"/>
  <c r="Z188" i="5" a="1"/>
  <c r="Z188" i="5" s="1"/>
  <c r="Y188" i="5" a="1"/>
  <c r="Y188" i="5" s="1"/>
  <c r="AP37" i="11" s="1"/>
  <c r="BD34" i="11"/>
  <c r="BC34" i="11"/>
  <c r="BF33" i="11"/>
  <c r="AI36" i="11"/>
  <c r="AQ36" i="11"/>
  <c r="BH36" i="11"/>
  <c r="AH36" i="11"/>
  <c r="BA35" i="11"/>
  <c r="BG35" i="11" s="1"/>
  <c r="AX35" i="11"/>
  <c r="AY35" i="11"/>
  <c r="AZ35" i="11"/>
  <c r="U188" i="5" a="1"/>
  <c r="U188" i="5" s="1"/>
  <c r="AH37" i="11" s="1"/>
  <c r="V188" i="5" a="1"/>
  <c r="V188" i="5" s="1"/>
  <c r="S188" i="5" a="1"/>
  <c r="S188" i="5" s="1"/>
  <c r="E188" i="5" a="1"/>
  <c r="E188" i="5" s="1"/>
  <c r="H188" i="5" a="1"/>
  <c r="H188" i="5" s="1"/>
  <c r="I188" i="5" a="1"/>
  <c r="I188" i="5" s="1"/>
  <c r="Q188" i="5" a="1"/>
  <c r="Q188" i="5" s="1"/>
  <c r="K188" i="5" a="1"/>
  <c r="K188" i="5" s="1"/>
  <c r="O188" i="5" a="1"/>
  <c r="O188" i="5" s="1"/>
  <c r="F188" i="5" a="1"/>
  <c r="F188" i="5" s="1"/>
  <c r="R188" i="5" a="1"/>
  <c r="R188" i="5" s="1"/>
  <c r="M188" i="5" a="1"/>
  <c r="M188" i="5" s="1"/>
  <c r="J188" i="5" a="1"/>
  <c r="J188" i="5" s="1"/>
  <c r="L188" i="5" a="1"/>
  <c r="L188" i="5" s="1"/>
  <c r="P188" i="5" a="1"/>
  <c r="P188" i="5" s="1"/>
  <c r="N188" i="5" a="1"/>
  <c r="N188" i="5" s="1"/>
  <c r="G188" i="5" a="1"/>
  <c r="G188" i="5" s="1"/>
  <c r="D188" i="5" a="1"/>
  <c r="D188" i="5" s="1"/>
  <c r="C189" i="5"/>
  <c r="BF34" i="11" l="1"/>
  <c r="T189" i="5" a="1"/>
  <c r="T189" i="5" s="1"/>
  <c r="AG189" i="5" a="1"/>
  <c r="AG189" i="5" s="1"/>
  <c r="AF189" i="5" a="1"/>
  <c r="AF189" i="5" s="1"/>
  <c r="AE189" i="5" a="1"/>
  <c r="AE189" i="5" s="1"/>
  <c r="AD189" i="5" a="1"/>
  <c r="AD189" i="5" s="1"/>
  <c r="AC189" i="5" a="1"/>
  <c r="AC189" i="5" s="1"/>
  <c r="AB189" i="5" a="1"/>
  <c r="AB189" i="5" s="1"/>
  <c r="AA189" i="5" a="1"/>
  <c r="AA189" i="5" s="1"/>
  <c r="Z189" i="5" a="1"/>
  <c r="Z189" i="5" s="1"/>
  <c r="Y189" i="5" a="1"/>
  <c r="Y189" i="5" s="1"/>
  <c r="AP38" i="11" s="1"/>
  <c r="X189" i="5" a="1"/>
  <c r="X189" i="5" s="1"/>
  <c r="AO38" i="11" s="1"/>
  <c r="W189" i="5" a="1"/>
  <c r="W189" i="5" s="1"/>
  <c r="AN38" i="11" s="1"/>
  <c r="AJ36" i="11"/>
  <c r="BE35" i="11"/>
  <c r="BD35" i="11"/>
  <c r="BC35" i="11"/>
  <c r="BA36" i="11"/>
  <c r="BG36" i="11" s="1"/>
  <c r="AZ36" i="11"/>
  <c r="AY36" i="11"/>
  <c r="AX36" i="11"/>
  <c r="AI37" i="11"/>
  <c r="AJ37" i="11" s="1"/>
  <c r="BH37" i="11"/>
  <c r="AQ37" i="11"/>
  <c r="U189" i="5" a="1"/>
  <c r="U189" i="5" s="1"/>
  <c r="AH38" i="11" s="1"/>
  <c r="V189" i="5" a="1"/>
  <c r="V189" i="5" s="1"/>
  <c r="S189" i="5" a="1"/>
  <c r="S189" i="5" s="1"/>
  <c r="E189" i="5" a="1"/>
  <c r="E189" i="5" s="1"/>
  <c r="H189" i="5" a="1"/>
  <c r="H189" i="5" s="1"/>
  <c r="Q189" i="5" a="1"/>
  <c r="Q189" i="5" s="1"/>
  <c r="O189" i="5" a="1"/>
  <c r="O189" i="5" s="1"/>
  <c r="P189" i="5" a="1"/>
  <c r="P189" i="5" s="1"/>
  <c r="K189" i="5" a="1"/>
  <c r="K189" i="5" s="1"/>
  <c r="I189" i="5" a="1"/>
  <c r="I189" i="5" s="1"/>
  <c r="L189" i="5" a="1"/>
  <c r="L189" i="5" s="1"/>
  <c r="F189" i="5" a="1"/>
  <c r="F189" i="5" s="1"/>
  <c r="R189" i="5" a="1"/>
  <c r="R189" i="5" s="1"/>
  <c r="N189" i="5" a="1"/>
  <c r="N189" i="5" s="1"/>
  <c r="M189" i="5" a="1"/>
  <c r="M189" i="5" s="1"/>
  <c r="J189" i="5" a="1"/>
  <c r="J189" i="5" s="1"/>
  <c r="G189" i="5" a="1"/>
  <c r="G189" i="5" s="1"/>
  <c r="D189" i="5" a="1"/>
  <c r="D189" i="5" s="1"/>
  <c r="C190" i="5"/>
  <c r="BC36" i="11" l="1"/>
  <c r="BD36" i="11"/>
  <c r="T190" i="5" a="1"/>
  <c r="T190" i="5" s="1"/>
  <c r="AG190" i="5" a="1"/>
  <c r="AG190" i="5" s="1"/>
  <c r="AF190" i="5" a="1"/>
  <c r="AF190" i="5" s="1"/>
  <c r="AE190" i="5" a="1"/>
  <c r="AE190" i="5" s="1"/>
  <c r="AD190" i="5" a="1"/>
  <c r="AD190" i="5" s="1"/>
  <c r="AC190" i="5" a="1"/>
  <c r="AC190" i="5" s="1"/>
  <c r="AA52" i="8" s="1"/>
  <c r="AB190" i="5" a="1"/>
  <c r="AB190" i="5" s="1"/>
  <c r="AA190" i="5" a="1"/>
  <c r="AA190" i="5" s="1"/>
  <c r="X190" i="5" a="1"/>
  <c r="X190" i="5" s="1"/>
  <c r="W190" i="5" a="1"/>
  <c r="W190" i="5" s="1"/>
  <c r="Z190" i="5" a="1"/>
  <c r="Z190" i="5" s="1"/>
  <c r="Y190" i="5" a="1"/>
  <c r="Y190" i="5" s="1"/>
  <c r="BE36" i="11"/>
  <c r="BF36" i="11" s="1"/>
  <c r="U52" i="8"/>
  <c r="BF35" i="11"/>
  <c r="BA37" i="11"/>
  <c r="BG37" i="11" s="1"/>
  <c r="AY37" i="11"/>
  <c r="AZ37" i="11"/>
  <c r="BE37" i="11" s="1"/>
  <c r="AX37" i="11"/>
  <c r="BC37" i="11" s="1"/>
  <c r="AI38" i="11"/>
  <c r="AJ38" i="11" s="1"/>
  <c r="BH38" i="11"/>
  <c r="AQ38" i="11"/>
  <c r="U190" i="5" a="1"/>
  <c r="U190" i="5" s="1"/>
  <c r="AH39" i="11" s="1"/>
  <c r="V190" i="5" a="1"/>
  <c r="V190" i="5" s="1"/>
  <c r="S190" i="5" a="1"/>
  <c r="S190" i="5" s="1"/>
  <c r="E190" i="5" a="1"/>
  <c r="E190" i="5" s="1"/>
  <c r="H190" i="5" a="1"/>
  <c r="H190" i="5" s="1"/>
  <c r="Q190" i="5" a="1"/>
  <c r="Q190" i="5" s="1"/>
  <c r="O52" i="8" s="1"/>
  <c r="I190" i="5" a="1"/>
  <c r="I190" i="5" s="1"/>
  <c r="F190" i="5" a="1"/>
  <c r="F190" i="5" s="1"/>
  <c r="O190" i="5" a="1"/>
  <c r="O190" i="5" s="1"/>
  <c r="P190" i="5" a="1"/>
  <c r="P190" i="5" s="1"/>
  <c r="N190" i="5" a="1"/>
  <c r="N190" i="5" s="1"/>
  <c r="L190" i="5" a="1"/>
  <c r="L190" i="5" s="1"/>
  <c r="J190" i="5" a="1"/>
  <c r="J190" i="5" s="1"/>
  <c r="H52" i="8" s="1"/>
  <c r="R190" i="5" a="1"/>
  <c r="R190" i="5" s="1"/>
  <c r="K190" i="5" a="1"/>
  <c r="K190" i="5" s="1"/>
  <c r="M190" i="5" a="1"/>
  <c r="M190" i="5" s="1"/>
  <c r="G190" i="5" a="1"/>
  <c r="G190" i="5" s="1"/>
  <c r="D190" i="5" a="1"/>
  <c r="D190" i="5" s="1"/>
  <c r="C191" i="5"/>
  <c r="BD37" i="11" l="1"/>
  <c r="AU40" i="11"/>
  <c r="AU43" i="11"/>
  <c r="AU41" i="11"/>
  <c r="AU42" i="11"/>
  <c r="AP39" i="11"/>
  <c r="AS42" i="11"/>
  <c r="AS40" i="11"/>
  <c r="AN39" i="11"/>
  <c r="AS43" i="11"/>
  <c r="AS41" i="11"/>
  <c r="T191" i="5" a="1"/>
  <c r="T191" i="5" s="1"/>
  <c r="AG191" i="5" a="1"/>
  <c r="AG191" i="5" s="1"/>
  <c r="AF191" i="5" a="1"/>
  <c r="AF191" i="5" s="1"/>
  <c r="AD191" i="5" a="1"/>
  <c r="AD191" i="5" s="1"/>
  <c r="AC191" i="5" a="1"/>
  <c r="AC191" i="5" s="1"/>
  <c r="AB191" i="5" a="1"/>
  <c r="AB191" i="5" s="1"/>
  <c r="AE191" i="5" a="1"/>
  <c r="AE191" i="5" s="1"/>
  <c r="AA191" i="5" a="1"/>
  <c r="AA191" i="5" s="1"/>
  <c r="Z191" i="5" a="1"/>
  <c r="Z191" i="5" s="1"/>
  <c r="Y191" i="5" a="1"/>
  <c r="Y191" i="5" s="1"/>
  <c r="X191" i="5" a="1"/>
  <c r="X191" i="5" s="1"/>
  <c r="W191" i="5" a="1"/>
  <c r="W191" i="5" s="1"/>
  <c r="AT41" i="11"/>
  <c r="AT42" i="11"/>
  <c r="AO39" i="11"/>
  <c r="AT40" i="11"/>
  <c r="AT43" i="11"/>
  <c r="V52" i="8"/>
  <c r="W52" i="8"/>
  <c r="BF37" i="11"/>
  <c r="AI39" i="11"/>
  <c r="AJ39" i="11" s="1"/>
  <c r="AV40" i="11"/>
  <c r="AQ39" i="11"/>
  <c r="BH39" i="11"/>
  <c r="AV43" i="11"/>
  <c r="AV42" i="11"/>
  <c r="AV41" i="11"/>
  <c r="T52" i="8"/>
  <c r="BA38" i="11"/>
  <c r="BG38" i="11" s="1"/>
  <c r="AY38" i="11"/>
  <c r="AX38" i="11"/>
  <c r="AZ38" i="11"/>
  <c r="S52" i="8"/>
  <c r="V191" i="5" a="1"/>
  <c r="V191" i="5" s="1"/>
  <c r="S191" i="5" a="1"/>
  <c r="S191" i="5" s="1"/>
  <c r="U191" i="5" a="1"/>
  <c r="U191" i="5" s="1"/>
  <c r="E191" i="5" a="1"/>
  <c r="E191" i="5" s="1"/>
  <c r="H191" i="5" a="1"/>
  <c r="H191" i="5" s="1"/>
  <c r="Q191" i="5" a="1"/>
  <c r="Q191" i="5" s="1"/>
  <c r="I191" i="5" a="1"/>
  <c r="I191" i="5" s="1"/>
  <c r="K191" i="5" a="1"/>
  <c r="K191" i="5" s="1"/>
  <c r="O191" i="5" a="1"/>
  <c r="O191" i="5" s="1"/>
  <c r="P191" i="5" a="1"/>
  <c r="P191" i="5" s="1"/>
  <c r="R191" i="5" a="1"/>
  <c r="R191" i="5" s="1"/>
  <c r="F191" i="5" a="1"/>
  <c r="F191" i="5" s="1"/>
  <c r="M191" i="5" a="1"/>
  <c r="M191" i="5" s="1"/>
  <c r="L191" i="5" a="1"/>
  <c r="L191" i="5" s="1"/>
  <c r="J191" i="5" a="1"/>
  <c r="J191" i="5" s="1"/>
  <c r="N191" i="5" a="1"/>
  <c r="N191" i="5" s="1"/>
  <c r="G191" i="5" a="1"/>
  <c r="G191" i="5" s="1"/>
  <c r="D191" i="5" a="1"/>
  <c r="D191" i="5" s="1"/>
  <c r="C192" i="5"/>
  <c r="BD38" i="11" l="1"/>
  <c r="AN40" i="11"/>
  <c r="T192" i="5" a="1"/>
  <c r="T192" i="5" s="1"/>
  <c r="AG192" i="5" a="1"/>
  <c r="AG192" i="5" s="1"/>
  <c r="AF192" i="5" a="1"/>
  <c r="AF192" i="5" s="1"/>
  <c r="AE192" i="5" a="1"/>
  <c r="AE192" i="5" s="1"/>
  <c r="AD192" i="5" a="1"/>
  <c r="AD192" i="5" s="1"/>
  <c r="AC192" i="5" a="1"/>
  <c r="AC192" i="5" s="1"/>
  <c r="AB192" i="5" a="1"/>
  <c r="AB192" i="5" s="1"/>
  <c r="AA192" i="5" a="1"/>
  <c r="AA192" i="5" s="1"/>
  <c r="X192" i="5" a="1"/>
  <c r="X192" i="5" s="1"/>
  <c r="AO41" i="11" s="1"/>
  <c r="W192" i="5" a="1"/>
  <c r="W192" i="5" s="1"/>
  <c r="AN41" i="11" s="1"/>
  <c r="Z192" i="5" a="1"/>
  <c r="Z192" i="5" s="1"/>
  <c r="Y192" i="5" a="1"/>
  <c r="Y192" i="5" s="1"/>
  <c r="AP41" i="11" s="1"/>
  <c r="AO40" i="11"/>
  <c r="AP40" i="11"/>
  <c r="BE38" i="11"/>
  <c r="BF38" i="11" s="1"/>
  <c r="BC38" i="11"/>
  <c r="AI40" i="11"/>
  <c r="AQ40" i="11"/>
  <c r="BH40" i="11"/>
  <c r="BA39" i="11"/>
  <c r="BG39" i="11" s="1"/>
  <c r="AZ39" i="11"/>
  <c r="AY39" i="11"/>
  <c r="AX39" i="11"/>
  <c r="AH40" i="11"/>
  <c r="V192" i="5" a="1"/>
  <c r="V192" i="5" s="1"/>
  <c r="U192" i="5" a="1"/>
  <c r="U192" i="5" s="1"/>
  <c r="AH41" i="11" s="1"/>
  <c r="S192" i="5" a="1"/>
  <c r="S192" i="5" s="1"/>
  <c r="E192" i="5" a="1"/>
  <c r="E192" i="5" s="1"/>
  <c r="H192" i="5" a="1"/>
  <c r="H192" i="5" s="1"/>
  <c r="I192" i="5" a="1"/>
  <c r="I192" i="5" s="1"/>
  <c r="Q192" i="5" a="1"/>
  <c r="Q192" i="5" s="1"/>
  <c r="K192" i="5" a="1"/>
  <c r="K192" i="5" s="1"/>
  <c r="F192" i="5" a="1"/>
  <c r="F192" i="5" s="1"/>
  <c r="O192" i="5" a="1"/>
  <c r="O192" i="5" s="1"/>
  <c r="P192" i="5" a="1"/>
  <c r="P192" i="5" s="1"/>
  <c r="L192" i="5" a="1"/>
  <c r="L192" i="5" s="1"/>
  <c r="R192" i="5" a="1"/>
  <c r="R192" i="5" s="1"/>
  <c r="N192" i="5" a="1"/>
  <c r="N192" i="5" s="1"/>
  <c r="J192" i="5" a="1"/>
  <c r="J192" i="5" s="1"/>
  <c r="M192" i="5" a="1"/>
  <c r="M192" i="5" s="1"/>
  <c r="G192" i="5" a="1"/>
  <c r="G192" i="5" s="1"/>
  <c r="D192" i="5" a="1"/>
  <c r="D192" i="5" s="1"/>
  <c r="C193" i="5"/>
  <c r="BD39" i="11" l="1"/>
  <c r="BE39" i="11"/>
  <c r="AJ40" i="11"/>
  <c r="BC39" i="11"/>
  <c r="T193" i="5" a="1"/>
  <c r="T193" i="5" s="1"/>
  <c r="AG193" i="5" a="1"/>
  <c r="AG193" i="5" s="1"/>
  <c r="AF193" i="5" a="1"/>
  <c r="AF193" i="5" s="1"/>
  <c r="AC193" i="5" a="1"/>
  <c r="AC193" i="5" s="1"/>
  <c r="AB193" i="5" a="1"/>
  <c r="AB193" i="5" s="1"/>
  <c r="AE193" i="5" a="1"/>
  <c r="AE193" i="5" s="1"/>
  <c r="AD193" i="5" a="1"/>
  <c r="AD193" i="5" s="1"/>
  <c r="AA193" i="5" a="1"/>
  <c r="AA193" i="5" s="1"/>
  <c r="Z193" i="5" a="1"/>
  <c r="Z193" i="5" s="1"/>
  <c r="Y193" i="5" a="1"/>
  <c r="Y193" i="5" s="1"/>
  <c r="X193" i="5" a="1"/>
  <c r="X193" i="5" s="1"/>
  <c r="AO42" i="11" s="1"/>
  <c r="W193" i="5" a="1"/>
  <c r="W193" i="5" s="1"/>
  <c r="AN42" i="11" s="1"/>
  <c r="AI41" i="11"/>
  <c r="AJ41" i="11" s="1"/>
  <c r="BH41" i="11"/>
  <c r="AQ41" i="11"/>
  <c r="BF39" i="11"/>
  <c r="BA40" i="11"/>
  <c r="BG40" i="11" s="1"/>
  <c r="AY40" i="11"/>
  <c r="AZ40" i="11"/>
  <c r="AX40" i="11"/>
  <c r="V193" i="5" a="1"/>
  <c r="V193" i="5" s="1"/>
  <c r="U193" i="5" a="1"/>
  <c r="U193" i="5" s="1"/>
  <c r="AH42" i="11" s="1"/>
  <c r="S193" i="5" a="1"/>
  <c r="S193" i="5" s="1"/>
  <c r="E193" i="5" a="1"/>
  <c r="E193" i="5" s="1"/>
  <c r="H193" i="5" a="1"/>
  <c r="H193" i="5" s="1"/>
  <c r="Q193" i="5" a="1"/>
  <c r="Q193" i="5" s="1"/>
  <c r="I193" i="5" a="1"/>
  <c r="I193" i="5" s="1"/>
  <c r="K193" i="5" a="1"/>
  <c r="K193" i="5" s="1"/>
  <c r="O193" i="5" a="1"/>
  <c r="O193" i="5" s="1"/>
  <c r="P193" i="5" a="1"/>
  <c r="P193" i="5" s="1"/>
  <c r="J193" i="5" a="1"/>
  <c r="J193" i="5" s="1"/>
  <c r="R193" i="5" a="1"/>
  <c r="R193" i="5" s="1"/>
  <c r="N193" i="5" a="1"/>
  <c r="N193" i="5" s="1"/>
  <c r="F193" i="5" a="1"/>
  <c r="F193" i="5" s="1"/>
  <c r="L193" i="5" a="1"/>
  <c r="L193" i="5" s="1"/>
  <c r="G193" i="5" a="1"/>
  <c r="G193" i="5" s="1"/>
  <c r="M193" i="5" a="1"/>
  <c r="M193" i="5" s="1"/>
  <c r="D193" i="5" a="1"/>
  <c r="D193" i="5" s="1"/>
  <c r="C194" i="5"/>
  <c r="BD40" i="11" l="1"/>
  <c r="BE40" i="11"/>
  <c r="AP42" i="11"/>
  <c r="T194" i="5" a="1"/>
  <c r="T194" i="5" s="1"/>
  <c r="AG194" i="5" a="1"/>
  <c r="AG194" i="5" s="1"/>
  <c r="AF194" i="5" a="1"/>
  <c r="AF194" i="5" s="1"/>
  <c r="AE194" i="5" a="1"/>
  <c r="AE194" i="5" s="1"/>
  <c r="AD194" i="5" a="1"/>
  <c r="AD194" i="5" s="1"/>
  <c r="AC194" i="5" a="1"/>
  <c r="AC194" i="5" s="1"/>
  <c r="AB194" i="5" a="1"/>
  <c r="AB194" i="5" s="1"/>
  <c r="AA194" i="5" a="1"/>
  <c r="AA194" i="5" s="1"/>
  <c r="X194" i="5" a="1"/>
  <c r="X194" i="5" s="1"/>
  <c r="W194" i="5" a="1"/>
  <c r="W194" i="5" s="1"/>
  <c r="Z194" i="5" a="1"/>
  <c r="Z194" i="5" s="1"/>
  <c r="Y194" i="5" a="1"/>
  <c r="Y194" i="5" s="1"/>
  <c r="X53" i="8"/>
  <c r="Y53" i="8"/>
  <c r="BA41" i="11"/>
  <c r="AX41" i="11"/>
  <c r="BC41" i="11" s="1"/>
  <c r="AZ41" i="11"/>
  <c r="AY41" i="11"/>
  <c r="BD41" i="11" s="1"/>
  <c r="BG41" i="11"/>
  <c r="AI42" i="11"/>
  <c r="AJ42" i="11" s="1"/>
  <c r="BH42" i="11"/>
  <c r="AQ42" i="11"/>
  <c r="BC40" i="11"/>
  <c r="BF40" i="11" s="1"/>
  <c r="V194" i="5" a="1"/>
  <c r="V194" i="5" s="1"/>
  <c r="U194" i="5" a="1"/>
  <c r="U194" i="5" s="1"/>
  <c r="AH43" i="11" s="1"/>
  <c r="S194" i="5" a="1"/>
  <c r="S194" i="5" s="1"/>
  <c r="E194" i="5" a="1"/>
  <c r="E194" i="5" s="1"/>
  <c r="H194" i="5" a="1"/>
  <c r="H194" i="5" s="1"/>
  <c r="Q194" i="5" a="1"/>
  <c r="Q194" i="5" s="1"/>
  <c r="K194" i="5" a="1"/>
  <c r="K194" i="5" s="1"/>
  <c r="F194" i="5" a="1"/>
  <c r="F194" i="5" s="1"/>
  <c r="I194" i="5" a="1"/>
  <c r="I194" i="5" s="1"/>
  <c r="P194" i="5" a="1"/>
  <c r="P194" i="5" s="1"/>
  <c r="O194" i="5" a="1"/>
  <c r="O194" i="5" s="1"/>
  <c r="L194" i="5" a="1"/>
  <c r="L194" i="5" s="1"/>
  <c r="J53" i="8" s="1"/>
  <c r="R194" i="5" a="1"/>
  <c r="R194" i="5" s="1"/>
  <c r="J194" i="5" a="1"/>
  <c r="J194" i="5" s="1"/>
  <c r="N194" i="5" a="1"/>
  <c r="N194" i="5" s="1"/>
  <c r="L53" i="8" s="1"/>
  <c r="M194" i="5" a="1"/>
  <c r="M194" i="5" s="1"/>
  <c r="G194" i="5" a="1"/>
  <c r="G194" i="5" s="1"/>
  <c r="D194" i="5" a="1"/>
  <c r="D194" i="5" s="1"/>
  <c r="C195" i="5"/>
  <c r="AU46" i="11" l="1"/>
  <c r="AU44" i="11"/>
  <c r="AU47" i="11"/>
  <c r="AP43" i="11"/>
  <c r="AU45" i="11"/>
  <c r="AS44" i="11"/>
  <c r="AN43" i="11"/>
  <c r="AS47" i="11"/>
  <c r="AS45" i="11"/>
  <c r="AS46" i="11"/>
  <c r="U53" i="8"/>
  <c r="BE41" i="11"/>
  <c r="AT47" i="11"/>
  <c r="AO43" i="11"/>
  <c r="AT45" i="11"/>
  <c r="AT46" i="11"/>
  <c r="AT44" i="11"/>
  <c r="T195" i="5" a="1"/>
  <c r="T195" i="5" s="1"/>
  <c r="AG195" i="5" a="1"/>
  <c r="AG195" i="5" s="1"/>
  <c r="AF195" i="5" a="1"/>
  <c r="AF195" i="5" s="1"/>
  <c r="AB195" i="5" a="1"/>
  <c r="AB195" i="5" s="1"/>
  <c r="AE195" i="5" a="1"/>
  <c r="AE195" i="5" s="1"/>
  <c r="AD195" i="5" a="1"/>
  <c r="AD195" i="5" s="1"/>
  <c r="AC195" i="5" a="1"/>
  <c r="AC195" i="5" s="1"/>
  <c r="AA195" i="5" a="1"/>
  <c r="AA195" i="5" s="1"/>
  <c r="Z195" i="5" a="1"/>
  <c r="Z195" i="5" s="1"/>
  <c r="Y195" i="5" a="1"/>
  <c r="Y195" i="5" s="1"/>
  <c r="X195" i="5" a="1"/>
  <c r="X195" i="5" s="1"/>
  <c r="W195" i="5" a="1"/>
  <c r="W195" i="5" s="1"/>
  <c r="W53" i="8"/>
  <c r="V53" i="8"/>
  <c r="BF41" i="11"/>
  <c r="AI43" i="11"/>
  <c r="AJ43" i="11" s="1"/>
  <c r="AV47" i="11"/>
  <c r="AV46" i="11"/>
  <c r="AV45" i="11"/>
  <c r="AV44" i="11"/>
  <c r="AQ43" i="11"/>
  <c r="BH43" i="11"/>
  <c r="S53" i="8"/>
  <c r="T53" i="8"/>
  <c r="BA42" i="11"/>
  <c r="BG42" i="11" s="1"/>
  <c r="AX42" i="11"/>
  <c r="BC42" i="11" s="1"/>
  <c r="AZ42" i="11"/>
  <c r="AY42" i="11"/>
  <c r="U195" i="5" a="1"/>
  <c r="U195" i="5" s="1"/>
  <c r="S195" i="5" a="1"/>
  <c r="S195" i="5" s="1"/>
  <c r="V195" i="5" a="1"/>
  <c r="V195" i="5" s="1"/>
  <c r="E195" i="5" a="1"/>
  <c r="E195" i="5" s="1"/>
  <c r="H195" i="5" a="1"/>
  <c r="H195" i="5" s="1"/>
  <c r="I195" i="5" a="1"/>
  <c r="I195" i="5" s="1"/>
  <c r="Q195" i="5" a="1"/>
  <c r="Q195" i="5" s="1"/>
  <c r="K195" i="5" a="1"/>
  <c r="K195" i="5" s="1"/>
  <c r="O195" i="5" a="1"/>
  <c r="O195" i="5" s="1"/>
  <c r="F195" i="5" a="1"/>
  <c r="F195" i="5" s="1"/>
  <c r="P195" i="5" a="1"/>
  <c r="P195" i="5" s="1"/>
  <c r="J195" i="5" a="1"/>
  <c r="J195" i="5" s="1"/>
  <c r="R195" i="5" a="1"/>
  <c r="R195" i="5" s="1"/>
  <c r="N195" i="5" a="1"/>
  <c r="N195" i="5" s="1"/>
  <c r="M195" i="5" a="1"/>
  <c r="M195" i="5" s="1"/>
  <c r="G195" i="5" a="1"/>
  <c r="G195" i="5" s="1"/>
  <c r="L195" i="5" a="1"/>
  <c r="L195" i="5" s="1"/>
  <c r="D195" i="5" a="1"/>
  <c r="D195" i="5" s="1"/>
  <c r="C196" i="5"/>
  <c r="BD42" i="11" l="1"/>
  <c r="BE42" i="11"/>
  <c r="AN44" i="11"/>
  <c r="AO44" i="11"/>
  <c r="AP44" i="11"/>
  <c r="T196" i="5" a="1"/>
  <c r="T196" i="5" s="1"/>
  <c r="AG196" i="5" a="1"/>
  <c r="AG196" i="5" s="1"/>
  <c r="AF196" i="5" a="1"/>
  <c r="AF196" i="5" s="1"/>
  <c r="AE196" i="5" a="1"/>
  <c r="AE196" i="5" s="1"/>
  <c r="AD196" i="5" a="1"/>
  <c r="AD196" i="5" s="1"/>
  <c r="AC196" i="5" a="1"/>
  <c r="AC196" i="5" s="1"/>
  <c r="AB196" i="5" a="1"/>
  <c r="AB196" i="5" s="1"/>
  <c r="AA196" i="5" a="1"/>
  <c r="AA196" i="5" s="1"/>
  <c r="X196" i="5" a="1"/>
  <c r="X196" i="5" s="1"/>
  <c r="AO45" i="11" s="1"/>
  <c r="W196" i="5" a="1"/>
  <c r="W196" i="5" s="1"/>
  <c r="AN45" i="11" s="1"/>
  <c r="Z196" i="5" a="1"/>
  <c r="Z196" i="5" s="1"/>
  <c r="Y196" i="5" a="1"/>
  <c r="Y196" i="5" s="1"/>
  <c r="AP45" i="11" s="1"/>
  <c r="BF42" i="11"/>
  <c r="BA43" i="11"/>
  <c r="AX43" i="11"/>
  <c r="BC43" i="11" s="1"/>
  <c r="AZ43" i="11"/>
  <c r="BE43" i="11" s="1"/>
  <c r="AY43" i="11"/>
  <c r="BD43" i="11" s="1"/>
  <c r="BG43" i="11"/>
  <c r="AH44" i="11"/>
  <c r="AI44" i="11"/>
  <c r="AQ44" i="11"/>
  <c r="BH44" i="11"/>
  <c r="U196" i="5" a="1"/>
  <c r="U196" i="5" s="1"/>
  <c r="AH45" i="11" s="1"/>
  <c r="V196" i="5" a="1"/>
  <c r="V196" i="5" s="1"/>
  <c r="S196" i="5" a="1"/>
  <c r="S196" i="5" s="1"/>
  <c r="E196" i="5" a="1"/>
  <c r="E196" i="5" s="1"/>
  <c r="H196" i="5" a="1"/>
  <c r="H196" i="5" s="1"/>
  <c r="Q196" i="5" a="1"/>
  <c r="Q196" i="5" s="1"/>
  <c r="I196" i="5" a="1"/>
  <c r="I196" i="5" s="1"/>
  <c r="O196" i="5" a="1"/>
  <c r="O196" i="5" s="1"/>
  <c r="K196" i="5" a="1"/>
  <c r="K196" i="5" s="1"/>
  <c r="F196" i="5" a="1"/>
  <c r="F196" i="5" s="1"/>
  <c r="R196" i="5" a="1"/>
  <c r="R196" i="5" s="1"/>
  <c r="L196" i="5" a="1"/>
  <c r="L196" i="5" s="1"/>
  <c r="M196" i="5" a="1"/>
  <c r="M196" i="5" s="1"/>
  <c r="J196" i="5" a="1"/>
  <c r="J196" i="5" s="1"/>
  <c r="P196" i="5" a="1"/>
  <c r="P196" i="5" s="1"/>
  <c r="N196" i="5" a="1"/>
  <c r="N196" i="5" s="1"/>
  <c r="G196" i="5" a="1"/>
  <c r="G196" i="5" s="1"/>
  <c r="C197" i="5"/>
  <c r="D196" i="5" a="1"/>
  <c r="D196" i="5" s="1"/>
  <c r="T197" i="5" l="1" a="1"/>
  <c r="T197" i="5" s="1"/>
  <c r="AF197" i="5" a="1"/>
  <c r="AF197" i="5" s="1"/>
  <c r="AG197" i="5" a="1"/>
  <c r="AG197" i="5" s="1"/>
  <c r="AE197" i="5" a="1"/>
  <c r="AE197" i="5" s="1"/>
  <c r="AD197" i="5" a="1"/>
  <c r="AD197" i="5" s="1"/>
  <c r="AC197" i="5" a="1"/>
  <c r="AC197" i="5" s="1"/>
  <c r="AB197" i="5" a="1"/>
  <c r="AB197" i="5" s="1"/>
  <c r="AA197" i="5" a="1"/>
  <c r="AA197" i="5" s="1"/>
  <c r="Z197" i="5" a="1"/>
  <c r="Z197" i="5" s="1"/>
  <c r="Y197" i="5" a="1"/>
  <c r="Y197" i="5" s="1"/>
  <c r="AP46" i="11" s="1"/>
  <c r="X197" i="5" a="1"/>
  <c r="X197" i="5" s="1"/>
  <c r="W197" i="5" a="1"/>
  <c r="W197" i="5" s="1"/>
  <c r="AN46" i="11" s="1"/>
  <c r="BF43" i="11"/>
  <c r="AJ44" i="11"/>
  <c r="BA44" i="11"/>
  <c r="BG44" i="11" s="1"/>
  <c r="AZ44" i="11"/>
  <c r="AY44" i="11"/>
  <c r="AX44" i="11"/>
  <c r="AI45" i="11"/>
  <c r="AJ45" i="11" s="1"/>
  <c r="BH45" i="11"/>
  <c r="AQ45" i="11"/>
  <c r="U197" i="5" a="1"/>
  <c r="U197" i="5" s="1"/>
  <c r="AH46" i="11" s="1"/>
  <c r="V197" i="5" a="1"/>
  <c r="V197" i="5" s="1"/>
  <c r="S197" i="5" a="1"/>
  <c r="S197" i="5" s="1"/>
  <c r="E197" i="5" a="1"/>
  <c r="E197" i="5" s="1"/>
  <c r="H197" i="5" a="1"/>
  <c r="H197" i="5" s="1"/>
  <c r="I197" i="5" a="1"/>
  <c r="I197" i="5" s="1"/>
  <c r="Q197" i="5" a="1"/>
  <c r="Q197" i="5" s="1"/>
  <c r="P197" i="5" a="1"/>
  <c r="P197" i="5" s="1"/>
  <c r="F197" i="5" a="1"/>
  <c r="F197" i="5" s="1"/>
  <c r="K197" i="5" a="1"/>
  <c r="K197" i="5" s="1"/>
  <c r="O197" i="5" a="1"/>
  <c r="O197" i="5" s="1"/>
  <c r="M197" i="5" a="1"/>
  <c r="M197" i="5" s="1"/>
  <c r="J197" i="5" a="1"/>
  <c r="J197" i="5" s="1"/>
  <c r="L197" i="5" a="1"/>
  <c r="L197" i="5" s="1"/>
  <c r="N197" i="5" a="1"/>
  <c r="N197" i="5" s="1"/>
  <c r="R197" i="5" a="1"/>
  <c r="R197" i="5" s="1"/>
  <c r="G197" i="5" a="1"/>
  <c r="G197" i="5" s="1"/>
  <c r="C198" i="5"/>
  <c r="D197" i="5" a="1"/>
  <c r="D197" i="5" s="1"/>
  <c r="T198" i="5" l="1" a="1"/>
  <c r="T198" i="5" s="1"/>
  <c r="AG198" i="5" a="1"/>
  <c r="AG198" i="5" s="1"/>
  <c r="AF198" i="5" a="1"/>
  <c r="AF198" i="5" s="1"/>
  <c r="AD198" i="5" a="1"/>
  <c r="AD198" i="5" s="1"/>
  <c r="AC198" i="5" a="1"/>
  <c r="AC198" i="5" s="1"/>
  <c r="AB198" i="5" a="1"/>
  <c r="AB198" i="5" s="1"/>
  <c r="AE198" i="5" a="1"/>
  <c r="AE198" i="5" s="1"/>
  <c r="AA198" i="5" a="1"/>
  <c r="AA198" i="5" s="1"/>
  <c r="Y54" i="8" s="1"/>
  <c r="X198" i="5" a="1"/>
  <c r="X198" i="5" s="1"/>
  <c r="W198" i="5" a="1"/>
  <c r="W198" i="5" s="1"/>
  <c r="Z198" i="5" a="1"/>
  <c r="Z198" i="5" s="1"/>
  <c r="Y198" i="5" a="1"/>
  <c r="Y198" i="5" s="1"/>
  <c r="W54" i="8"/>
  <c r="U54" i="8"/>
  <c r="BC44" i="11"/>
  <c r="BD44" i="11"/>
  <c r="AO46" i="11"/>
  <c r="V54" i="8"/>
  <c r="BE44" i="11"/>
  <c r="BA45" i="11"/>
  <c r="BG45" i="11" s="1"/>
  <c r="AY45" i="11"/>
  <c r="AZ45" i="11"/>
  <c r="AX45" i="11"/>
  <c r="AI46" i="11"/>
  <c r="AJ46" i="11" s="1"/>
  <c r="BH46" i="11"/>
  <c r="AQ46" i="11"/>
  <c r="U198" i="5" a="1"/>
  <c r="U198" i="5" s="1"/>
  <c r="AH47" i="11" s="1"/>
  <c r="V198" i="5" a="1"/>
  <c r="V198" i="5" s="1"/>
  <c r="S198" i="5" a="1"/>
  <c r="S198" i="5" s="1"/>
  <c r="Q54" i="8" s="1"/>
  <c r="E198" i="5" a="1"/>
  <c r="E198" i="5" s="1"/>
  <c r="H198" i="5" a="1"/>
  <c r="H198" i="5" s="1"/>
  <c r="I198" i="5" a="1"/>
  <c r="I198" i="5" s="1"/>
  <c r="Q198" i="5" a="1"/>
  <c r="Q198" i="5" s="1"/>
  <c r="K198" i="5" a="1"/>
  <c r="K198" i="5" s="1"/>
  <c r="F198" i="5" a="1"/>
  <c r="F198" i="5" s="1"/>
  <c r="O198" i="5" a="1"/>
  <c r="O198" i="5" s="1"/>
  <c r="R198" i="5" a="1"/>
  <c r="R198" i="5" s="1"/>
  <c r="N198" i="5" a="1"/>
  <c r="N198" i="5" s="1"/>
  <c r="L54" i="8" s="1"/>
  <c r="L198" i="5" a="1"/>
  <c r="L198" i="5" s="1"/>
  <c r="M198" i="5" a="1"/>
  <c r="M198" i="5" s="1"/>
  <c r="J198" i="5" a="1"/>
  <c r="J198" i="5" s="1"/>
  <c r="H54" i="8" s="1"/>
  <c r="P198" i="5" a="1"/>
  <c r="P198" i="5" s="1"/>
  <c r="G198" i="5" a="1"/>
  <c r="G198" i="5" s="1"/>
  <c r="C199" i="5"/>
  <c r="D198" i="5" a="1"/>
  <c r="D198" i="5" s="1"/>
  <c r="BF44" i="11" l="1"/>
  <c r="AU49" i="11"/>
  <c r="AP47" i="11"/>
  <c r="AU48" i="11"/>
  <c r="AU51" i="11"/>
  <c r="AU50" i="11"/>
  <c r="AS51" i="11"/>
  <c r="AS49" i="11"/>
  <c r="AS50" i="11"/>
  <c r="AS48" i="11"/>
  <c r="AN47" i="11"/>
  <c r="BC45" i="11"/>
  <c r="AT50" i="11"/>
  <c r="AO47" i="11"/>
  <c r="AT48" i="11"/>
  <c r="AT51" i="11"/>
  <c r="AT49" i="11"/>
  <c r="BE45" i="11"/>
  <c r="T199" i="5" a="1"/>
  <c r="T199" i="5" s="1"/>
  <c r="AG199" i="5" a="1"/>
  <c r="AG199" i="5" s="1"/>
  <c r="AF199" i="5" a="1"/>
  <c r="AF199" i="5" s="1"/>
  <c r="AE199" i="5" a="1"/>
  <c r="AE199" i="5" s="1"/>
  <c r="AD199" i="5" a="1"/>
  <c r="AD199" i="5" s="1"/>
  <c r="AC199" i="5" a="1"/>
  <c r="AC199" i="5" s="1"/>
  <c r="AB199" i="5" a="1"/>
  <c r="AB199" i="5" s="1"/>
  <c r="AA199" i="5" a="1"/>
  <c r="AA199" i="5" s="1"/>
  <c r="Z199" i="5" a="1"/>
  <c r="Z199" i="5" s="1"/>
  <c r="Y199" i="5" a="1"/>
  <c r="Y199" i="5" s="1"/>
  <c r="X199" i="5" a="1"/>
  <c r="X199" i="5" s="1"/>
  <c r="W199" i="5" a="1"/>
  <c r="W199" i="5" s="1"/>
  <c r="BD45" i="11"/>
  <c r="BF45" i="11"/>
  <c r="AI47" i="11"/>
  <c r="AJ47" i="11" s="1"/>
  <c r="AV48" i="11"/>
  <c r="AQ47" i="11"/>
  <c r="BH47" i="11"/>
  <c r="AV51" i="11"/>
  <c r="AV50" i="11"/>
  <c r="AV49" i="11"/>
  <c r="T54" i="8"/>
  <c r="BA46" i="11"/>
  <c r="BG46" i="11" s="1"/>
  <c r="AY46" i="11"/>
  <c r="AZ46" i="11"/>
  <c r="AX46" i="11"/>
  <c r="S54" i="8"/>
  <c r="V199" i="5" a="1"/>
  <c r="V199" i="5" s="1"/>
  <c r="S199" i="5" a="1"/>
  <c r="S199" i="5" s="1"/>
  <c r="U199" i="5" a="1"/>
  <c r="U199" i="5" s="1"/>
  <c r="E199" i="5" a="1"/>
  <c r="E199" i="5" s="1"/>
  <c r="H199" i="5" a="1"/>
  <c r="H199" i="5" s="1"/>
  <c r="Q199" i="5" a="1"/>
  <c r="Q199" i="5" s="1"/>
  <c r="I199" i="5" a="1"/>
  <c r="I199" i="5" s="1"/>
  <c r="K199" i="5" a="1"/>
  <c r="K199" i="5" s="1"/>
  <c r="P199" i="5" a="1"/>
  <c r="P199" i="5" s="1"/>
  <c r="F199" i="5" a="1"/>
  <c r="F199" i="5" s="1"/>
  <c r="L199" i="5" a="1"/>
  <c r="L199" i="5" s="1"/>
  <c r="R199" i="5" a="1"/>
  <c r="R199" i="5" s="1"/>
  <c r="O199" i="5" a="1"/>
  <c r="O199" i="5" s="1"/>
  <c r="J199" i="5" a="1"/>
  <c r="J199" i="5" s="1"/>
  <c r="N199" i="5" a="1"/>
  <c r="N199" i="5" s="1"/>
  <c r="G199" i="5" a="1"/>
  <c r="G199" i="5" s="1"/>
  <c r="M199" i="5" a="1"/>
  <c r="M199" i="5" s="1"/>
  <c r="D199" i="5" a="1"/>
  <c r="D199" i="5" s="1"/>
  <c r="C200" i="5"/>
  <c r="AN48" i="11" l="1"/>
  <c r="AO48" i="11"/>
  <c r="BC46" i="11"/>
  <c r="AP48" i="11"/>
  <c r="BE46" i="11"/>
  <c r="T200" i="5" a="1"/>
  <c r="T200" i="5" s="1"/>
  <c r="AG200" i="5" a="1"/>
  <c r="AG200" i="5" s="1"/>
  <c r="AF200" i="5" a="1"/>
  <c r="AF200" i="5" s="1"/>
  <c r="AC200" i="5" a="1"/>
  <c r="AC200" i="5" s="1"/>
  <c r="AB200" i="5" a="1"/>
  <c r="AB200" i="5" s="1"/>
  <c r="AE200" i="5" a="1"/>
  <c r="AE200" i="5" s="1"/>
  <c r="AD200" i="5" a="1"/>
  <c r="AD200" i="5" s="1"/>
  <c r="AA200" i="5" a="1"/>
  <c r="AA200" i="5" s="1"/>
  <c r="X200" i="5" a="1"/>
  <c r="X200" i="5" s="1"/>
  <c r="AO49" i="11" s="1"/>
  <c r="W200" i="5" a="1"/>
  <c r="W200" i="5" s="1"/>
  <c r="AN49" i="11" s="1"/>
  <c r="Z200" i="5" a="1"/>
  <c r="Z200" i="5" s="1"/>
  <c r="Y200" i="5" a="1"/>
  <c r="Y200" i="5" s="1"/>
  <c r="AP49" i="11" s="1"/>
  <c r="BD46" i="11"/>
  <c r="AI48" i="11"/>
  <c r="AQ48" i="11"/>
  <c r="BH48" i="11"/>
  <c r="BA47" i="11"/>
  <c r="BG47" i="11" s="1"/>
  <c r="AY47" i="11"/>
  <c r="AZ47" i="11"/>
  <c r="AX47" i="11"/>
  <c r="AH48" i="11"/>
  <c r="V200" i="5" a="1"/>
  <c r="V200" i="5" s="1"/>
  <c r="U200" i="5" a="1"/>
  <c r="U200" i="5" s="1"/>
  <c r="AH49" i="11" s="1"/>
  <c r="S200" i="5" a="1"/>
  <c r="S200" i="5" s="1"/>
  <c r="E200" i="5" a="1"/>
  <c r="E200" i="5" s="1"/>
  <c r="H200" i="5" a="1"/>
  <c r="H200" i="5" s="1"/>
  <c r="Q200" i="5" a="1"/>
  <c r="Q200" i="5" s="1"/>
  <c r="O200" i="5" a="1"/>
  <c r="O200" i="5" s="1"/>
  <c r="K200" i="5" a="1"/>
  <c r="K200" i="5" s="1"/>
  <c r="I200" i="5" a="1"/>
  <c r="I200" i="5" s="1"/>
  <c r="F200" i="5" a="1"/>
  <c r="F200" i="5" s="1"/>
  <c r="P200" i="5" a="1"/>
  <c r="P200" i="5" s="1"/>
  <c r="L200" i="5" a="1"/>
  <c r="L200" i="5" s="1"/>
  <c r="R200" i="5" a="1"/>
  <c r="R200" i="5" s="1"/>
  <c r="J200" i="5" a="1"/>
  <c r="J200" i="5" s="1"/>
  <c r="N200" i="5" a="1"/>
  <c r="N200" i="5" s="1"/>
  <c r="M200" i="5" a="1"/>
  <c r="M200" i="5" s="1"/>
  <c r="G200" i="5" a="1"/>
  <c r="G200" i="5" s="1"/>
  <c r="D200" i="5" a="1"/>
  <c r="D200" i="5" s="1"/>
  <c r="C201" i="5"/>
  <c r="BF46" i="11" l="1"/>
  <c r="T201" i="5" a="1"/>
  <c r="T201" i="5" s="1"/>
  <c r="AG201" i="5" a="1"/>
  <c r="AG201" i="5" s="1"/>
  <c r="AF201" i="5" a="1"/>
  <c r="AF201" i="5" s="1"/>
  <c r="AE201" i="5" a="1"/>
  <c r="AE201" i="5" s="1"/>
  <c r="AD201" i="5" a="1"/>
  <c r="AD201" i="5" s="1"/>
  <c r="AC201" i="5" a="1"/>
  <c r="AC201" i="5" s="1"/>
  <c r="AB201" i="5" a="1"/>
  <c r="AB201" i="5" s="1"/>
  <c r="AA201" i="5" a="1"/>
  <c r="AA201" i="5" s="1"/>
  <c r="Z201" i="5" a="1"/>
  <c r="Z201" i="5" s="1"/>
  <c r="Y201" i="5" a="1"/>
  <c r="Y201" i="5" s="1"/>
  <c r="AP50" i="11" s="1"/>
  <c r="X201" i="5" a="1"/>
  <c r="X201" i="5" s="1"/>
  <c r="AO50" i="11" s="1"/>
  <c r="W201" i="5" a="1"/>
  <c r="W201" i="5" s="1"/>
  <c r="AN50" i="11" s="1"/>
  <c r="AJ48" i="11"/>
  <c r="AI49" i="11"/>
  <c r="AJ49" i="11" s="1"/>
  <c r="BH49" i="11"/>
  <c r="AQ49" i="11"/>
  <c r="BC47" i="11"/>
  <c r="BE47" i="11"/>
  <c r="BA48" i="11"/>
  <c r="BG48" i="11" s="1"/>
  <c r="AY48" i="11"/>
  <c r="AX48" i="11"/>
  <c r="AZ48" i="11"/>
  <c r="BD47" i="11"/>
  <c r="V201" i="5" a="1"/>
  <c r="V201" i="5" s="1"/>
  <c r="U201" i="5" a="1"/>
  <c r="U201" i="5" s="1"/>
  <c r="AH50" i="11" s="1"/>
  <c r="S201" i="5" a="1"/>
  <c r="S201" i="5" s="1"/>
  <c r="E201" i="5" a="1"/>
  <c r="E201" i="5" s="1"/>
  <c r="H201" i="5" a="1"/>
  <c r="H201" i="5" s="1"/>
  <c r="I201" i="5" a="1"/>
  <c r="I201" i="5" s="1"/>
  <c r="Q201" i="5" a="1"/>
  <c r="Q201" i="5" s="1"/>
  <c r="F201" i="5" a="1"/>
  <c r="F201" i="5" s="1"/>
  <c r="P201" i="5" a="1"/>
  <c r="P201" i="5" s="1"/>
  <c r="M201" i="5" a="1"/>
  <c r="M201" i="5" s="1"/>
  <c r="L201" i="5" a="1"/>
  <c r="L201" i="5" s="1"/>
  <c r="O201" i="5" a="1"/>
  <c r="O201" i="5" s="1"/>
  <c r="K201" i="5" a="1"/>
  <c r="K201" i="5" s="1"/>
  <c r="R201" i="5" a="1"/>
  <c r="R201" i="5" s="1"/>
  <c r="J201" i="5" a="1"/>
  <c r="J201" i="5" s="1"/>
  <c r="N201" i="5" a="1"/>
  <c r="N201" i="5" s="1"/>
  <c r="G201" i="5" a="1"/>
  <c r="G201" i="5" s="1"/>
  <c r="D201" i="5" a="1"/>
  <c r="D201" i="5" s="1"/>
  <c r="C202" i="5"/>
  <c r="T202" i="5" l="1" a="1"/>
  <c r="T202" i="5" s="1"/>
  <c r="AG202" i="5" a="1"/>
  <c r="AG202" i="5" s="1"/>
  <c r="AF202" i="5" a="1"/>
  <c r="AF202" i="5" s="1"/>
  <c r="AC202" i="5" a="1"/>
  <c r="AC202" i="5" s="1"/>
  <c r="AB202" i="5" a="1"/>
  <c r="AB202" i="5" s="1"/>
  <c r="AD202" i="5" a="1"/>
  <c r="AD202" i="5" s="1"/>
  <c r="AE202" i="5" a="1"/>
  <c r="AE202" i="5" s="1"/>
  <c r="AA202" i="5" a="1"/>
  <c r="AA202" i="5" s="1"/>
  <c r="X202" i="5" a="1"/>
  <c r="X202" i="5" s="1"/>
  <c r="W202" i="5" a="1"/>
  <c r="W202" i="5" s="1"/>
  <c r="Z202" i="5" a="1"/>
  <c r="Z202" i="5" s="1"/>
  <c r="Y202" i="5" a="1"/>
  <c r="Y202" i="5" s="1"/>
  <c r="W55" i="8" s="1"/>
  <c r="Y55" i="8"/>
  <c r="BF47" i="11"/>
  <c r="AI50" i="11"/>
  <c r="AJ50" i="11" s="1"/>
  <c r="BH50" i="11"/>
  <c r="AQ50" i="11"/>
  <c r="BA49" i="11"/>
  <c r="BG49" i="11" s="1"/>
  <c r="AZ49" i="11"/>
  <c r="AX49" i="11"/>
  <c r="AY49" i="11"/>
  <c r="BD49" i="11" s="1"/>
  <c r="BE48" i="11"/>
  <c r="BC48" i="11"/>
  <c r="BD48" i="11"/>
  <c r="V202" i="5" a="1"/>
  <c r="V202" i="5" s="1"/>
  <c r="U202" i="5" a="1"/>
  <c r="U202" i="5" s="1"/>
  <c r="AH51" i="11" s="1"/>
  <c r="S202" i="5" a="1"/>
  <c r="S202" i="5" s="1"/>
  <c r="Q55" i="8" s="1"/>
  <c r="E202" i="5" a="1"/>
  <c r="E202" i="5" s="1"/>
  <c r="H202" i="5" a="1"/>
  <c r="H202" i="5" s="1"/>
  <c r="Q202" i="5" a="1"/>
  <c r="Q202" i="5" s="1"/>
  <c r="I202" i="5" a="1"/>
  <c r="I202" i="5" s="1"/>
  <c r="F202" i="5" a="1"/>
  <c r="F202" i="5" s="1"/>
  <c r="P202" i="5" a="1"/>
  <c r="P202" i="5" s="1"/>
  <c r="K202" i="5" a="1"/>
  <c r="K202" i="5" s="1"/>
  <c r="O202" i="5" a="1"/>
  <c r="O202" i="5" s="1"/>
  <c r="M55" i="8" s="1"/>
  <c r="N202" i="5" a="1"/>
  <c r="N202" i="5" s="1"/>
  <c r="R202" i="5" a="1"/>
  <c r="R202" i="5" s="1"/>
  <c r="P55" i="8" s="1"/>
  <c r="L202" i="5" a="1"/>
  <c r="L202" i="5" s="1"/>
  <c r="J202" i="5" a="1"/>
  <c r="J202" i="5" s="1"/>
  <c r="M202" i="5" a="1"/>
  <c r="M202" i="5" s="1"/>
  <c r="G202" i="5" a="1"/>
  <c r="G202" i="5" s="1"/>
  <c r="C203" i="5"/>
  <c r="D202" i="5" a="1"/>
  <c r="D202" i="5" s="1"/>
  <c r="AT53" i="11" l="1"/>
  <c r="AT54" i="11"/>
  <c r="AT52" i="11"/>
  <c r="AT55" i="11"/>
  <c r="AO51" i="11"/>
  <c r="AS52" i="11"/>
  <c r="AN51" i="11"/>
  <c r="AS55" i="11"/>
  <c r="AS53" i="11"/>
  <c r="AS54" i="11"/>
  <c r="U55" i="8"/>
  <c r="V55" i="8"/>
  <c r="AU55" i="11"/>
  <c r="AP51" i="11"/>
  <c r="AU53" i="11"/>
  <c r="AU54" i="11"/>
  <c r="AU52" i="11"/>
  <c r="T203" i="5" a="1"/>
  <c r="T203" i="5" s="1"/>
  <c r="AG203" i="5" a="1"/>
  <c r="AG203" i="5" s="1"/>
  <c r="AF203" i="5" a="1"/>
  <c r="AF203" i="5" s="1"/>
  <c r="AE203" i="5" a="1"/>
  <c r="AE203" i="5" s="1"/>
  <c r="AD203" i="5" a="1"/>
  <c r="AD203" i="5" s="1"/>
  <c r="AC203" i="5" a="1"/>
  <c r="AC203" i="5" s="1"/>
  <c r="AB203" i="5" a="1"/>
  <c r="AB203" i="5" s="1"/>
  <c r="AA203" i="5" a="1"/>
  <c r="AA203" i="5" s="1"/>
  <c r="Z203" i="5" a="1"/>
  <c r="Z203" i="5" s="1"/>
  <c r="Y203" i="5" a="1"/>
  <c r="Y203" i="5" s="1"/>
  <c r="X203" i="5" a="1"/>
  <c r="X203" i="5" s="1"/>
  <c r="W203" i="5" a="1"/>
  <c r="W203" i="5" s="1"/>
  <c r="BC49" i="11"/>
  <c r="BF48" i="11"/>
  <c r="S55" i="8"/>
  <c r="AI51" i="11"/>
  <c r="AJ51" i="11" s="1"/>
  <c r="AV55" i="11"/>
  <c r="AV54" i="11"/>
  <c r="AV53" i="11"/>
  <c r="AV52" i="11"/>
  <c r="AQ51" i="11"/>
  <c r="BH51" i="11"/>
  <c r="T55" i="8"/>
  <c r="BE49" i="11"/>
  <c r="BA50" i="11"/>
  <c r="BG50" i="11" s="1"/>
  <c r="AY50" i="11"/>
  <c r="BD50" i="11" s="1"/>
  <c r="AX50" i="11"/>
  <c r="BC50" i="11" s="1"/>
  <c r="AZ50" i="11"/>
  <c r="U203" i="5" a="1"/>
  <c r="U203" i="5" s="1"/>
  <c r="S203" i="5" a="1"/>
  <c r="S203" i="5" s="1"/>
  <c r="V203" i="5" a="1"/>
  <c r="V203" i="5" s="1"/>
  <c r="E203" i="5" a="1"/>
  <c r="E203" i="5" s="1"/>
  <c r="H203" i="5" a="1"/>
  <c r="H203" i="5" s="1"/>
  <c r="I203" i="5" a="1"/>
  <c r="I203" i="5" s="1"/>
  <c r="Q203" i="5" a="1"/>
  <c r="Q203" i="5" s="1"/>
  <c r="O203" i="5" a="1"/>
  <c r="O203" i="5" s="1"/>
  <c r="F203" i="5" a="1"/>
  <c r="F203" i="5" s="1"/>
  <c r="K203" i="5" a="1"/>
  <c r="K203" i="5" s="1"/>
  <c r="N203" i="5" a="1"/>
  <c r="N203" i="5" s="1"/>
  <c r="P203" i="5" a="1"/>
  <c r="P203" i="5" s="1"/>
  <c r="J203" i="5" a="1"/>
  <c r="J203" i="5" s="1"/>
  <c r="R203" i="5" a="1"/>
  <c r="R203" i="5" s="1"/>
  <c r="L203" i="5" a="1"/>
  <c r="L203" i="5" s="1"/>
  <c r="G203" i="5" a="1"/>
  <c r="G203" i="5" s="1"/>
  <c r="M203" i="5" a="1"/>
  <c r="M203" i="5" s="1"/>
  <c r="C204" i="5"/>
  <c r="D203" i="5" a="1"/>
  <c r="D203" i="5" s="1"/>
  <c r="BE50" i="11" l="1"/>
  <c r="T204" i="5" a="1"/>
  <c r="T204" i="5" s="1"/>
  <c r="AG204" i="5" a="1"/>
  <c r="AG204" i="5" s="1"/>
  <c r="AF204" i="5" a="1"/>
  <c r="AF204" i="5" s="1"/>
  <c r="AC204" i="5" a="1"/>
  <c r="AC204" i="5" s="1"/>
  <c r="AB204" i="5" a="1"/>
  <c r="AB204" i="5" s="1"/>
  <c r="AE204" i="5" a="1"/>
  <c r="AE204" i="5" s="1"/>
  <c r="AD204" i="5" a="1"/>
  <c r="AD204" i="5" s="1"/>
  <c r="AA204" i="5" a="1"/>
  <c r="AA204" i="5" s="1"/>
  <c r="X204" i="5" a="1"/>
  <c r="X204" i="5" s="1"/>
  <c r="AO53" i="11" s="1"/>
  <c r="W204" i="5" a="1"/>
  <c r="W204" i="5" s="1"/>
  <c r="AN53" i="11" s="1"/>
  <c r="Z204" i="5" a="1"/>
  <c r="Z204" i="5" s="1"/>
  <c r="Y204" i="5" a="1"/>
  <c r="Y204" i="5" s="1"/>
  <c r="AP53" i="11" s="1"/>
  <c r="BF50" i="11"/>
  <c r="AN52" i="11"/>
  <c r="AO52" i="11"/>
  <c r="AP52" i="11"/>
  <c r="BF49" i="11"/>
  <c r="BA51" i="11"/>
  <c r="BG51" i="11" s="1"/>
  <c r="AZ51" i="11"/>
  <c r="AY51" i="11"/>
  <c r="AX51" i="11"/>
  <c r="AH52" i="11"/>
  <c r="AI52" i="11"/>
  <c r="AQ52" i="11"/>
  <c r="BH52" i="11"/>
  <c r="U204" i="5" a="1"/>
  <c r="U204" i="5" s="1"/>
  <c r="AH53" i="11" s="1"/>
  <c r="V204" i="5" a="1"/>
  <c r="V204" i="5" s="1"/>
  <c r="S204" i="5" a="1"/>
  <c r="S204" i="5" s="1"/>
  <c r="E204" i="5" a="1"/>
  <c r="E204" i="5" s="1"/>
  <c r="H204" i="5" a="1"/>
  <c r="H204" i="5" s="1"/>
  <c r="I204" i="5" a="1"/>
  <c r="I204" i="5" s="1"/>
  <c r="Q204" i="5" a="1"/>
  <c r="Q204" i="5" s="1"/>
  <c r="O204" i="5" a="1"/>
  <c r="O204" i="5" s="1"/>
  <c r="K204" i="5" a="1"/>
  <c r="K204" i="5" s="1"/>
  <c r="F204" i="5" a="1"/>
  <c r="F204" i="5" s="1"/>
  <c r="N204" i="5" a="1"/>
  <c r="N204" i="5" s="1"/>
  <c r="J204" i="5" a="1"/>
  <c r="J204" i="5" s="1"/>
  <c r="M204" i="5" a="1"/>
  <c r="M204" i="5" s="1"/>
  <c r="L204" i="5" a="1"/>
  <c r="L204" i="5" s="1"/>
  <c r="P204" i="5" a="1"/>
  <c r="P204" i="5" s="1"/>
  <c r="G204" i="5" a="1"/>
  <c r="G204" i="5" s="1"/>
  <c r="R204" i="5" a="1"/>
  <c r="R204" i="5" s="1"/>
  <c r="D204" i="5" a="1"/>
  <c r="D204" i="5" s="1"/>
  <c r="C205" i="5"/>
  <c r="T205" i="5" l="1" a="1"/>
  <c r="T205" i="5" s="1"/>
  <c r="AG205" i="5" a="1"/>
  <c r="AG205" i="5" s="1"/>
  <c r="AF205" i="5" a="1"/>
  <c r="AF205" i="5" s="1"/>
  <c r="AE205" i="5" a="1"/>
  <c r="AE205" i="5" s="1"/>
  <c r="AD205" i="5" a="1"/>
  <c r="AD205" i="5" s="1"/>
  <c r="AC205" i="5" a="1"/>
  <c r="AC205" i="5" s="1"/>
  <c r="AB205" i="5" a="1"/>
  <c r="AB205" i="5" s="1"/>
  <c r="AA205" i="5" a="1"/>
  <c r="AA205" i="5" s="1"/>
  <c r="Z205" i="5" a="1"/>
  <c r="Z205" i="5" s="1"/>
  <c r="Y205" i="5" a="1"/>
  <c r="Y205" i="5" s="1"/>
  <c r="X205" i="5" a="1"/>
  <c r="X205" i="5" s="1"/>
  <c r="W205" i="5" a="1"/>
  <c r="W205" i="5" s="1"/>
  <c r="BC51" i="11"/>
  <c r="BD51" i="11"/>
  <c r="BE51" i="11"/>
  <c r="AJ52" i="11"/>
  <c r="BA52" i="11"/>
  <c r="BG52" i="11" s="1"/>
  <c r="AZ52" i="11"/>
  <c r="AX52" i="11"/>
  <c r="BC52" i="11" s="1"/>
  <c r="AY52" i="11"/>
  <c r="AI53" i="11"/>
  <c r="AJ53" i="11" s="1"/>
  <c r="BH53" i="11"/>
  <c r="AQ53" i="11"/>
  <c r="U205" i="5" a="1"/>
  <c r="U205" i="5" s="1"/>
  <c r="AH54" i="11" s="1"/>
  <c r="V205" i="5" a="1"/>
  <c r="V205" i="5" s="1"/>
  <c r="S205" i="5" a="1"/>
  <c r="S205" i="5" s="1"/>
  <c r="E205" i="5" a="1"/>
  <c r="E205" i="5" s="1"/>
  <c r="H205" i="5" a="1"/>
  <c r="H205" i="5" s="1"/>
  <c r="Q205" i="5" a="1"/>
  <c r="Q205" i="5" s="1"/>
  <c r="I205" i="5" a="1"/>
  <c r="I205" i="5" s="1"/>
  <c r="P205" i="5" a="1"/>
  <c r="P205" i="5" s="1"/>
  <c r="O205" i="5" a="1"/>
  <c r="O205" i="5" s="1"/>
  <c r="F205" i="5" a="1"/>
  <c r="F205" i="5" s="1"/>
  <c r="K205" i="5" a="1"/>
  <c r="K205" i="5" s="1"/>
  <c r="R205" i="5" a="1"/>
  <c r="R205" i="5" s="1"/>
  <c r="N205" i="5" a="1"/>
  <c r="N205" i="5" s="1"/>
  <c r="J205" i="5" a="1"/>
  <c r="J205" i="5" s="1"/>
  <c r="L205" i="5" a="1"/>
  <c r="L205" i="5" s="1"/>
  <c r="M205" i="5" a="1"/>
  <c r="M205" i="5" s="1"/>
  <c r="G205" i="5" a="1"/>
  <c r="G205" i="5" s="1"/>
  <c r="D205" i="5" a="1"/>
  <c r="D205" i="5" s="1"/>
  <c r="C206" i="5"/>
  <c r="T206" i="5" l="1" a="1"/>
  <c r="T206" i="5" s="1"/>
  <c r="AG206" i="5" a="1"/>
  <c r="AG206" i="5" s="1"/>
  <c r="AF206" i="5" a="1"/>
  <c r="AF206" i="5" s="1"/>
  <c r="AC206" i="5" a="1"/>
  <c r="AC206" i="5" s="1"/>
  <c r="AA56" i="8" s="1"/>
  <c r="AB206" i="5" a="1"/>
  <c r="AB206" i="5" s="1"/>
  <c r="AE206" i="5" a="1"/>
  <c r="AE206" i="5" s="1"/>
  <c r="AD206" i="5" a="1"/>
  <c r="AD206" i="5" s="1"/>
  <c r="AA206" i="5" a="1"/>
  <c r="AA206" i="5" s="1"/>
  <c r="Y56" i="8" s="1"/>
  <c r="X206" i="5" a="1"/>
  <c r="X206" i="5" s="1"/>
  <c r="W206" i="5" a="1"/>
  <c r="W206" i="5" s="1"/>
  <c r="Z206" i="5" a="1"/>
  <c r="Z206" i="5" s="1"/>
  <c r="Y206" i="5" a="1"/>
  <c r="Y206" i="5" s="1"/>
  <c r="W56" i="8" s="1"/>
  <c r="AN54" i="11"/>
  <c r="U56" i="8"/>
  <c r="AC56" i="8"/>
  <c r="AO54" i="11"/>
  <c r="V56" i="8"/>
  <c r="AD56" i="8"/>
  <c r="AP54" i="11"/>
  <c r="AE56" i="8"/>
  <c r="X56" i="8"/>
  <c r="BF51" i="11"/>
  <c r="BD52" i="11"/>
  <c r="BE52" i="11"/>
  <c r="BF52" i="11" s="1"/>
  <c r="BA53" i="11"/>
  <c r="BG53" i="11" s="1"/>
  <c r="AY53" i="11"/>
  <c r="AX53" i="11"/>
  <c r="AZ53" i="11"/>
  <c r="BE53" i="11" s="1"/>
  <c r="AI54" i="11"/>
  <c r="AJ54" i="11" s="1"/>
  <c r="BH54" i="11"/>
  <c r="AQ54" i="11"/>
  <c r="U206" i="5" a="1"/>
  <c r="U206" i="5" s="1"/>
  <c r="V206" i="5" a="1"/>
  <c r="V206" i="5" s="1"/>
  <c r="T56" i="8" s="1"/>
  <c r="S206" i="5" a="1"/>
  <c r="S206" i="5" s="1"/>
  <c r="Q56" i="8" s="1"/>
  <c r="E206" i="5" a="1"/>
  <c r="E206" i="5" s="1"/>
  <c r="H206" i="5" a="1"/>
  <c r="H206" i="5" s="1"/>
  <c r="I206" i="5" a="1"/>
  <c r="I206" i="5" s="1"/>
  <c r="P206" i="5" a="1"/>
  <c r="P206" i="5" s="1"/>
  <c r="Q206" i="5" a="1"/>
  <c r="Q206" i="5" s="1"/>
  <c r="O56" i="8" s="1"/>
  <c r="O206" i="5" a="1"/>
  <c r="O206" i="5" s="1"/>
  <c r="F206" i="5" a="1"/>
  <c r="F206" i="5" s="1"/>
  <c r="K206" i="5" a="1"/>
  <c r="K206" i="5" s="1"/>
  <c r="J206" i="5" a="1"/>
  <c r="J206" i="5" s="1"/>
  <c r="R206" i="5" a="1"/>
  <c r="R206" i="5" s="1"/>
  <c r="L206" i="5" a="1"/>
  <c r="L206" i="5" s="1"/>
  <c r="N206" i="5" a="1"/>
  <c r="N206" i="5" s="1"/>
  <c r="M206" i="5" a="1"/>
  <c r="M206" i="5" s="1"/>
  <c r="K56" i="8" s="1"/>
  <c r="G206" i="5" a="1"/>
  <c r="G206" i="5" s="1"/>
  <c r="D206" i="5" a="1"/>
  <c r="D206" i="5" s="1"/>
  <c r="C207" i="5"/>
  <c r="T207" i="5" l="1" a="1"/>
  <c r="T207" i="5" s="1"/>
  <c r="AG207" i="5" a="1"/>
  <c r="AG207" i="5" s="1"/>
  <c r="AF207" i="5" a="1"/>
  <c r="AF207" i="5" s="1"/>
  <c r="AE207" i="5" a="1"/>
  <c r="AE207" i="5" s="1"/>
  <c r="AD207" i="5" a="1"/>
  <c r="AD207" i="5" s="1"/>
  <c r="AC207" i="5" a="1"/>
  <c r="AC207" i="5" s="1"/>
  <c r="AB207" i="5" a="1"/>
  <c r="AB207" i="5" s="1"/>
  <c r="AA207" i="5" a="1"/>
  <c r="AA207" i="5" s="1"/>
  <c r="Z207" i="5" a="1"/>
  <c r="Z207" i="5" s="1"/>
  <c r="Y207" i="5" a="1"/>
  <c r="Y207" i="5" s="1"/>
  <c r="X207" i="5" a="1"/>
  <c r="X207" i="5" s="1"/>
  <c r="W207" i="5" a="1"/>
  <c r="W207" i="5" s="1"/>
  <c r="AU58" i="11"/>
  <c r="AU56" i="11"/>
  <c r="AU59" i="11"/>
  <c r="AU57" i="11"/>
  <c r="AP55" i="11"/>
  <c r="AS58" i="11"/>
  <c r="AS56" i="11"/>
  <c r="AN55" i="11"/>
  <c r="AS59" i="11"/>
  <c r="AS57" i="11"/>
  <c r="AT57" i="11"/>
  <c r="AT58" i="11"/>
  <c r="AO55" i="11"/>
  <c r="AT56" i="11"/>
  <c r="AT59" i="11"/>
  <c r="BC53" i="11"/>
  <c r="BD53" i="11"/>
  <c r="BA54" i="11"/>
  <c r="AZ54" i="11"/>
  <c r="BE54" i="11" s="1"/>
  <c r="AY54" i="11"/>
  <c r="BD54" i="11" s="1"/>
  <c r="AX54" i="11"/>
  <c r="BG54" i="11"/>
  <c r="AI55" i="11"/>
  <c r="AV56" i="11"/>
  <c r="AQ55" i="11"/>
  <c r="BH55" i="11"/>
  <c r="AV59" i="11"/>
  <c r="AV58" i="11"/>
  <c r="AV57" i="11"/>
  <c r="AH55" i="11"/>
  <c r="S56" i="8"/>
  <c r="V207" i="5" a="1"/>
  <c r="V207" i="5" s="1"/>
  <c r="S207" i="5" a="1"/>
  <c r="S207" i="5" s="1"/>
  <c r="U207" i="5" a="1"/>
  <c r="U207" i="5" s="1"/>
  <c r="E207" i="5" a="1"/>
  <c r="E207" i="5" s="1"/>
  <c r="H207" i="5" a="1"/>
  <c r="H207" i="5" s="1"/>
  <c r="I207" i="5" a="1"/>
  <c r="I207" i="5" s="1"/>
  <c r="Q207" i="5" a="1"/>
  <c r="Q207" i="5" s="1"/>
  <c r="F207" i="5" a="1"/>
  <c r="F207" i="5" s="1"/>
  <c r="O207" i="5" a="1"/>
  <c r="O207" i="5" s="1"/>
  <c r="M207" i="5" a="1"/>
  <c r="M207" i="5" s="1"/>
  <c r="J207" i="5" a="1"/>
  <c r="J207" i="5" s="1"/>
  <c r="R207" i="5" a="1"/>
  <c r="R207" i="5" s="1"/>
  <c r="L207" i="5" a="1"/>
  <c r="L207" i="5" s="1"/>
  <c r="P207" i="5" a="1"/>
  <c r="P207" i="5" s="1"/>
  <c r="K207" i="5" a="1"/>
  <c r="K207" i="5" s="1"/>
  <c r="N207" i="5" a="1"/>
  <c r="N207" i="5" s="1"/>
  <c r="G207" i="5" a="1"/>
  <c r="G207" i="5" s="1"/>
  <c r="D207" i="5" a="1"/>
  <c r="D207" i="5" s="1"/>
  <c r="C208" i="5"/>
  <c r="BC54" i="11" l="1"/>
  <c r="T208" i="5" a="1"/>
  <c r="T208" i="5" s="1"/>
  <c r="AG208" i="5" a="1"/>
  <c r="AG208" i="5" s="1"/>
  <c r="AF208" i="5" a="1"/>
  <c r="AF208" i="5" s="1"/>
  <c r="AC208" i="5" a="1"/>
  <c r="AC208" i="5" s="1"/>
  <c r="AB208" i="5" a="1"/>
  <c r="AB208" i="5" s="1"/>
  <c r="AE208" i="5" a="1"/>
  <c r="AE208" i="5" s="1"/>
  <c r="AD208" i="5" a="1"/>
  <c r="AD208" i="5" s="1"/>
  <c r="AA208" i="5" a="1"/>
  <c r="AA208" i="5" s="1"/>
  <c r="X208" i="5" a="1"/>
  <c r="X208" i="5" s="1"/>
  <c r="AO57" i="11" s="1"/>
  <c r="W208" i="5" a="1"/>
  <c r="W208" i="5" s="1"/>
  <c r="AN57" i="11" s="1"/>
  <c r="Z208" i="5" a="1"/>
  <c r="Z208" i="5" s="1"/>
  <c r="Y208" i="5" a="1"/>
  <c r="Y208" i="5" s="1"/>
  <c r="AP57" i="11" s="1"/>
  <c r="BF53" i="11"/>
  <c r="AN56" i="11"/>
  <c r="AO56" i="11"/>
  <c r="AP56" i="11"/>
  <c r="AJ55" i="11"/>
  <c r="BF54" i="11"/>
  <c r="BA55" i="11"/>
  <c r="BG55" i="11" s="1"/>
  <c r="AZ55" i="11"/>
  <c r="AX55" i="11"/>
  <c r="AY55" i="11"/>
  <c r="AH56" i="11"/>
  <c r="AI56" i="11"/>
  <c r="AQ56" i="11"/>
  <c r="BH56" i="11"/>
  <c r="V208" i="5" a="1"/>
  <c r="V208" i="5" s="1"/>
  <c r="U208" i="5" a="1"/>
  <c r="U208" i="5" s="1"/>
  <c r="AH57" i="11" s="1"/>
  <c r="S208" i="5" a="1"/>
  <c r="S208" i="5" s="1"/>
  <c r="W4" i="11"/>
  <c r="T4" i="11"/>
  <c r="U4" i="11" s="1"/>
  <c r="E208" i="5" a="1"/>
  <c r="E208" i="5" s="1"/>
  <c r="H208" i="5" a="1"/>
  <c r="H208" i="5" s="1"/>
  <c r="I208" i="5" a="1"/>
  <c r="I208" i="5" s="1"/>
  <c r="Q208" i="5" a="1"/>
  <c r="Q208" i="5" s="1"/>
  <c r="K208" i="5" a="1"/>
  <c r="K208" i="5" s="1"/>
  <c r="F208" i="5" a="1"/>
  <c r="F208" i="5" s="1"/>
  <c r="O208" i="5" a="1"/>
  <c r="O208" i="5" s="1"/>
  <c r="P208" i="5" a="1"/>
  <c r="P208" i="5" s="1"/>
  <c r="J208" i="5" a="1"/>
  <c r="J208" i="5" s="1"/>
  <c r="R208" i="5" a="1"/>
  <c r="R208" i="5" s="1"/>
  <c r="M208" i="5" a="1"/>
  <c r="M208" i="5" s="1"/>
  <c r="L208" i="5" a="1"/>
  <c r="L208" i="5" s="1"/>
  <c r="N208" i="5" a="1"/>
  <c r="N208" i="5" s="1"/>
  <c r="G208" i="5" a="1"/>
  <c r="G208" i="5" s="1"/>
  <c r="D208" i="5" a="1"/>
  <c r="D208" i="5" s="1"/>
  <c r="C209" i="5"/>
  <c r="BD55" i="11" l="1"/>
  <c r="BC55" i="11"/>
  <c r="T209" i="5" a="1"/>
  <c r="T209" i="5" s="1"/>
  <c r="AF209" i="5" a="1"/>
  <c r="AF209" i="5" s="1"/>
  <c r="AG209" i="5" a="1"/>
  <c r="AG209" i="5" s="1"/>
  <c r="AE209" i="5" a="1"/>
  <c r="AE209" i="5" s="1"/>
  <c r="AD209" i="5" a="1"/>
  <c r="AD209" i="5" s="1"/>
  <c r="AC209" i="5" a="1"/>
  <c r="AC209" i="5" s="1"/>
  <c r="AB209" i="5" a="1"/>
  <c r="AB209" i="5" s="1"/>
  <c r="AA209" i="5" a="1"/>
  <c r="AA209" i="5" s="1"/>
  <c r="Z209" i="5" a="1"/>
  <c r="Z209" i="5" s="1"/>
  <c r="Y209" i="5" a="1"/>
  <c r="Y209" i="5" s="1"/>
  <c r="X209" i="5" a="1"/>
  <c r="X209" i="5" s="1"/>
  <c r="W209" i="5" a="1"/>
  <c r="W209" i="5" s="1"/>
  <c r="BE55" i="11"/>
  <c r="BF55" i="11" s="1"/>
  <c r="AJ56" i="11"/>
  <c r="BA56" i="11"/>
  <c r="BG56" i="11" s="1"/>
  <c r="AZ56" i="11"/>
  <c r="AY56" i="11"/>
  <c r="AX56" i="11"/>
  <c r="AI57" i="11"/>
  <c r="AJ57" i="11" s="1"/>
  <c r="BH57" i="11"/>
  <c r="AQ57" i="11"/>
  <c r="V209" i="5" a="1"/>
  <c r="V209" i="5" s="1"/>
  <c r="U209" i="5" a="1"/>
  <c r="U209" i="5" s="1"/>
  <c r="AH58" i="11" s="1"/>
  <c r="S209" i="5" a="1"/>
  <c r="S209" i="5" s="1"/>
  <c r="W5" i="11"/>
  <c r="T5" i="11"/>
  <c r="U5" i="11" s="1"/>
  <c r="E209" i="5" a="1"/>
  <c r="E209" i="5" s="1"/>
  <c r="H209" i="5" a="1"/>
  <c r="H209" i="5" s="1"/>
  <c r="Q209" i="5" a="1"/>
  <c r="Q209" i="5" s="1"/>
  <c r="I209" i="5" a="1"/>
  <c r="I209" i="5" s="1"/>
  <c r="F209" i="5" a="1"/>
  <c r="F209" i="5" s="1"/>
  <c r="O209" i="5" a="1"/>
  <c r="O209" i="5" s="1"/>
  <c r="K209" i="5" a="1"/>
  <c r="K209" i="5" s="1"/>
  <c r="P209" i="5" a="1"/>
  <c r="P209" i="5" s="1"/>
  <c r="L209" i="5" a="1"/>
  <c r="L209" i="5" s="1"/>
  <c r="R209" i="5" a="1"/>
  <c r="R209" i="5" s="1"/>
  <c r="J209" i="5" a="1"/>
  <c r="J209" i="5" s="1"/>
  <c r="M209" i="5" a="1"/>
  <c r="M209" i="5" s="1"/>
  <c r="G209" i="5" a="1"/>
  <c r="G209" i="5" s="1"/>
  <c r="N209" i="5" a="1"/>
  <c r="N209" i="5" s="1"/>
  <c r="D209" i="5" a="1"/>
  <c r="D209" i="5" s="1"/>
  <c r="C210" i="5"/>
  <c r="BC56" i="11" l="1"/>
  <c r="AN58" i="11"/>
  <c r="AO58" i="11"/>
  <c r="AP58" i="11"/>
  <c r="T210" i="5" a="1"/>
  <c r="T210" i="5" s="1"/>
  <c r="AG210" i="5" a="1"/>
  <c r="AG210" i="5" s="1"/>
  <c r="AF210" i="5" a="1"/>
  <c r="AF210" i="5" s="1"/>
  <c r="AC210" i="5" a="1"/>
  <c r="AC210" i="5" s="1"/>
  <c r="AB4" i="11" s="1"/>
  <c r="AB210" i="5" a="1"/>
  <c r="AB210" i="5" s="1"/>
  <c r="AA4" i="11" s="1"/>
  <c r="AD210" i="5" a="1"/>
  <c r="AD210" i="5" s="1"/>
  <c r="AE210" i="5" a="1"/>
  <c r="AE210" i="5" s="1"/>
  <c r="AA210" i="5" a="1"/>
  <c r="AA210" i="5" s="1"/>
  <c r="Z4" i="11" s="1"/>
  <c r="X210" i="5" a="1"/>
  <c r="X210" i="5" s="1"/>
  <c r="V57" i="8" s="1"/>
  <c r="W210" i="5" a="1"/>
  <c r="W210" i="5" s="1"/>
  <c r="Z210" i="5" a="1"/>
  <c r="Z210" i="5" s="1"/>
  <c r="X57" i="8" s="1"/>
  <c r="Y210" i="5" a="1"/>
  <c r="Y210" i="5" s="1"/>
  <c r="BD56" i="11"/>
  <c r="BF56" i="11" s="1"/>
  <c r="BA57" i="11"/>
  <c r="AX57" i="11"/>
  <c r="BC57" i="11" s="1"/>
  <c r="AY57" i="11"/>
  <c r="BD57" i="11" s="1"/>
  <c r="AZ57" i="11"/>
  <c r="BG57" i="11"/>
  <c r="AI58" i="11"/>
  <c r="AJ58" i="11" s="1"/>
  <c r="BH58" i="11"/>
  <c r="AQ58" i="11"/>
  <c r="V210" i="5" a="1"/>
  <c r="V210" i="5" s="1"/>
  <c r="U210" i="5" a="1"/>
  <c r="U210" i="5" s="1"/>
  <c r="AH59" i="11" s="1"/>
  <c r="S210" i="5" a="1"/>
  <c r="S210" i="5" s="1"/>
  <c r="Q57" i="8" s="1"/>
  <c r="W6" i="11"/>
  <c r="T6" i="11"/>
  <c r="U6" i="11" s="1"/>
  <c r="E210" i="5" a="1"/>
  <c r="E210" i="5" s="1"/>
  <c r="C57" i="8" s="1"/>
  <c r="H210" i="5" a="1"/>
  <c r="H210" i="5" s="1"/>
  <c r="I210" i="5" a="1"/>
  <c r="I210" i="5" s="1"/>
  <c r="Q210" i="5" a="1"/>
  <c r="Q210" i="5" s="1"/>
  <c r="K210" i="5" a="1"/>
  <c r="K210" i="5" s="1"/>
  <c r="O210" i="5" a="1"/>
  <c r="O210" i="5" s="1"/>
  <c r="F210" i="5" a="1"/>
  <c r="F210" i="5" s="1"/>
  <c r="N210" i="5" a="1"/>
  <c r="N210" i="5" s="1"/>
  <c r="P210" i="5" a="1"/>
  <c r="P210" i="5" s="1"/>
  <c r="N57" i="8" s="1"/>
  <c r="J210" i="5" a="1"/>
  <c r="J210" i="5" s="1"/>
  <c r="L210" i="5" a="1"/>
  <c r="L210" i="5" s="1"/>
  <c r="R210" i="5" a="1"/>
  <c r="R210" i="5" s="1"/>
  <c r="P57" i="8" s="1"/>
  <c r="M210" i="5" a="1"/>
  <c r="M210" i="5" s="1"/>
  <c r="G210" i="5" a="1"/>
  <c r="G210" i="5" s="1"/>
  <c r="D210" i="5" a="1"/>
  <c r="D210" i="5" s="1"/>
  <c r="C211" i="5"/>
  <c r="AA57" i="8" l="1"/>
  <c r="T211" i="5" a="1"/>
  <c r="T211" i="5" s="1"/>
  <c r="AG211" i="5" a="1"/>
  <c r="AG211" i="5" s="1"/>
  <c r="AF211" i="5" a="1"/>
  <c r="AF211" i="5" s="1"/>
  <c r="AE211" i="5" a="1"/>
  <c r="AE211" i="5" s="1"/>
  <c r="AD211" i="5" a="1"/>
  <c r="AD211" i="5" s="1"/>
  <c r="AC211" i="5" a="1"/>
  <c r="AC211" i="5" s="1"/>
  <c r="AB211" i="5" a="1"/>
  <c r="AB211" i="5" s="1"/>
  <c r="AA211" i="5" a="1"/>
  <c r="AA211" i="5" s="1"/>
  <c r="Z211" i="5" a="1"/>
  <c r="Z211" i="5" s="1"/>
  <c r="Y211" i="5" a="1"/>
  <c r="Y211" i="5" s="1"/>
  <c r="X211" i="5" a="1"/>
  <c r="X211" i="5" s="1"/>
  <c r="W211" i="5" a="1"/>
  <c r="W211" i="5" s="1"/>
  <c r="AP59" i="11"/>
  <c r="AU61" i="11"/>
  <c r="AU62" i="11"/>
  <c r="AU60" i="11"/>
  <c r="AU63" i="11"/>
  <c r="BE57" i="11"/>
  <c r="BF57" i="11" s="1"/>
  <c r="AS62" i="11"/>
  <c r="AS60" i="11"/>
  <c r="AN59" i="11"/>
  <c r="AS63" i="11"/>
  <c r="AS61" i="11"/>
  <c r="AT63" i="11"/>
  <c r="AO59" i="11"/>
  <c r="AT61" i="11"/>
  <c r="AT62" i="11"/>
  <c r="AT60" i="11"/>
  <c r="U57" i="8"/>
  <c r="W57" i="8"/>
  <c r="AC4" i="11"/>
  <c r="B57" i="8"/>
  <c r="AE4" i="11"/>
  <c r="S57" i="8"/>
  <c r="AI59" i="11"/>
  <c r="AJ59" i="11" s="1"/>
  <c r="AV63" i="11"/>
  <c r="AV62" i="11"/>
  <c r="AV61" i="11"/>
  <c r="AV60" i="11"/>
  <c r="AQ59" i="11"/>
  <c r="BH59" i="11"/>
  <c r="T57" i="8"/>
  <c r="BA58" i="11"/>
  <c r="BG58" i="11" s="1"/>
  <c r="AX58" i="11"/>
  <c r="AY58" i="11"/>
  <c r="AZ58" i="11"/>
  <c r="U211" i="5" a="1"/>
  <c r="U211" i="5" s="1"/>
  <c r="V211" i="5" a="1"/>
  <c r="V211" i="5" s="1"/>
  <c r="S211" i="5" a="1"/>
  <c r="S211" i="5" s="1"/>
  <c r="W7" i="11"/>
  <c r="W17" i="11" s="1"/>
  <c r="T7" i="11"/>
  <c r="U7" i="11" s="1"/>
  <c r="E211" i="5" a="1"/>
  <c r="E211" i="5" s="1"/>
  <c r="H211" i="5" a="1"/>
  <c r="H211" i="5" s="1"/>
  <c r="Q211" i="5" a="1"/>
  <c r="Q211" i="5" s="1"/>
  <c r="I211" i="5" a="1"/>
  <c r="I211" i="5" s="1"/>
  <c r="F211" i="5" a="1"/>
  <c r="F211" i="5" s="1"/>
  <c r="K211" i="5" a="1"/>
  <c r="K211" i="5" s="1"/>
  <c r="P211" i="5" a="1"/>
  <c r="P211" i="5" s="1"/>
  <c r="O211" i="5" a="1"/>
  <c r="O211" i="5" s="1"/>
  <c r="M211" i="5" a="1"/>
  <c r="M211" i="5" s="1"/>
  <c r="J211" i="5" a="1"/>
  <c r="J211" i="5" s="1"/>
  <c r="L211" i="5" a="1"/>
  <c r="L211" i="5" s="1"/>
  <c r="R211" i="5" a="1"/>
  <c r="R211" i="5" s="1"/>
  <c r="N211" i="5" a="1"/>
  <c r="N211" i="5" s="1"/>
  <c r="G211" i="5" a="1"/>
  <c r="G211" i="5" s="1"/>
  <c r="D211" i="5" a="1"/>
  <c r="D211" i="5" s="1"/>
  <c r="AE5" i="11" s="1"/>
  <c r="C212" i="5"/>
  <c r="AD4" i="11" l="1"/>
  <c r="Z5" i="11"/>
  <c r="BE58" i="11"/>
  <c r="AA5" i="11"/>
  <c r="BD58" i="11"/>
  <c r="AB5" i="11"/>
  <c r="BC58" i="11"/>
  <c r="AC5" i="11"/>
  <c r="AD5" i="11" s="1"/>
  <c r="T212" i="5" a="1"/>
  <c r="T212" i="5" s="1"/>
  <c r="AG212" i="5" a="1"/>
  <c r="AG212" i="5" s="1"/>
  <c r="AF212" i="5" a="1"/>
  <c r="AF212" i="5" s="1"/>
  <c r="AC212" i="5" a="1"/>
  <c r="AC212" i="5" s="1"/>
  <c r="AB6" i="11" s="1"/>
  <c r="AB8" i="11" s="1"/>
  <c r="AB212" i="5" a="1"/>
  <c r="AB212" i="5" s="1"/>
  <c r="AA6" i="11" s="1"/>
  <c r="AE212" i="5" a="1"/>
  <c r="AE212" i="5" s="1"/>
  <c r="AD212" i="5" a="1"/>
  <c r="AD212" i="5" s="1"/>
  <c r="AA212" i="5" a="1"/>
  <c r="AA212" i="5" s="1"/>
  <c r="Z6" i="11" s="1"/>
  <c r="Z8" i="11" s="1"/>
  <c r="X212" i="5" a="1"/>
  <c r="X212" i="5" s="1"/>
  <c r="AO61" i="11" s="1"/>
  <c r="W212" i="5" a="1"/>
  <c r="W212" i="5" s="1"/>
  <c r="AN61" i="11" s="1"/>
  <c r="Z212" i="5" a="1"/>
  <c r="Z212" i="5" s="1"/>
  <c r="Y212" i="5" a="1"/>
  <c r="Y212" i="5" s="1"/>
  <c r="AP61" i="11" s="1"/>
  <c r="AN60" i="11"/>
  <c r="AO60" i="11"/>
  <c r="AP60" i="11"/>
  <c r="AA8" i="11"/>
  <c r="BA59" i="11"/>
  <c r="BG59" i="11" s="1"/>
  <c r="AZ59" i="11"/>
  <c r="AY59" i="11"/>
  <c r="AX59" i="11"/>
  <c r="AI60" i="11"/>
  <c r="AQ60" i="11"/>
  <c r="BH60" i="11"/>
  <c r="AH60" i="11"/>
  <c r="U212" i="5" a="1"/>
  <c r="U212" i="5" s="1"/>
  <c r="AH61" i="11" s="1"/>
  <c r="V212" i="5" a="1"/>
  <c r="V212" i="5" s="1"/>
  <c r="S212" i="5" a="1"/>
  <c r="S212" i="5" s="1"/>
  <c r="W8" i="11"/>
  <c r="T8" i="11"/>
  <c r="E212" i="5" a="1"/>
  <c r="E212" i="5" s="1"/>
  <c r="H212" i="5" a="1"/>
  <c r="H212" i="5" s="1"/>
  <c r="I212" i="5" a="1"/>
  <c r="I212" i="5" s="1"/>
  <c r="Q212" i="5" a="1"/>
  <c r="Q212" i="5" s="1"/>
  <c r="F212" i="5" a="1"/>
  <c r="F212" i="5" s="1"/>
  <c r="O212" i="5" a="1"/>
  <c r="O212" i="5" s="1"/>
  <c r="K212" i="5" a="1"/>
  <c r="K212" i="5" s="1"/>
  <c r="N212" i="5" a="1"/>
  <c r="N212" i="5" s="1"/>
  <c r="L212" i="5" a="1"/>
  <c r="L212" i="5" s="1"/>
  <c r="P212" i="5" a="1"/>
  <c r="P212" i="5" s="1"/>
  <c r="J212" i="5" a="1"/>
  <c r="J212" i="5" s="1"/>
  <c r="M212" i="5" a="1"/>
  <c r="M212" i="5" s="1"/>
  <c r="R212" i="5" a="1"/>
  <c r="R212" i="5" s="1"/>
  <c r="G212" i="5" a="1"/>
  <c r="G212" i="5" s="1"/>
  <c r="D212" i="5" a="1"/>
  <c r="D212" i="5" s="1"/>
  <c r="AE6" i="11" s="1"/>
  <c r="C213" i="5"/>
  <c r="AC6" i="11" l="1"/>
  <c r="AC8" i="11" s="1"/>
  <c r="BF58" i="11"/>
  <c r="T213" i="5" a="1"/>
  <c r="T213" i="5" s="1"/>
  <c r="AG213" i="5" a="1"/>
  <c r="AG213" i="5" s="1"/>
  <c r="AF213" i="5" a="1"/>
  <c r="AF213" i="5" s="1"/>
  <c r="AE213" i="5" a="1"/>
  <c r="AE213" i="5" s="1"/>
  <c r="AD213" i="5" a="1"/>
  <c r="AD213" i="5" s="1"/>
  <c r="AC213" i="5" a="1"/>
  <c r="AC213" i="5" s="1"/>
  <c r="AB213" i="5" a="1"/>
  <c r="AB213" i="5" s="1"/>
  <c r="AA213" i="5" a="1"/>
  <c r="AA213" i="5" s="1"/>
  <c r="Z213" i="5" a="1"/>
  <c r="Z213" i="5" s="1"/>
  <c r="Y213" i="5" a="1"/>
  <c r="Y213" i="5" s="1"/>
  <c r="X213" i="5" a="1"/>
  <c r="X213" i="5" s="1"/>
  <c r="W213" i="5" a="1"/>
  <c r="W213" i="5" s="1"/>
  <c r="AN62" i="11" s="1"/>
  <c r="BD59" i="11"/>
  <c r="BE59" i="11"/>
  <c r="U8" i="11"/>
  <c r="AE9" i="11"/>
  <c r="AE10" i="11" s="1"/>
  <c r="AD6" i="11"/>
  <c r="AD8" i="11" s="1"/>
  <c r="AE8" i="11" s="1"/>
  <c r="BC59" i="11"/>
  <c r="AJ60" i="11"/>
  <c r="BA60" i="11"/>
  <c r="BG60" i="11" s="1"/>
  <c r="AY60" i="11"/>
  <c r="AX60" i="11"/>
  <c r="AZ60" i="11"/>
  <c r="AI61" i="11"/>
  <c r="AJ61" i="11" s="1"/>
  <c r="BH61" i="11"/>
  <c r="AQ61" i="11"/>
  <c r="U213" i="5" a="1"/>
  <c r="U213" i="5" s="1"/>
  <c r="AH62" i="11" s="1"/>
  <c r="V213" i="5" a="1"/>
  <c r="V213" i="5" s="1"/>
  <c r="S213" i="5" a="1"/>
  <c r="S213" i="5" s="1"/>
  <c r="T9" i="11"/>
  <c r="U9" i="11" s="1"/>
  <c r="W9" i="11"/>
  <c r="E213" i="5" a="1"/>
  <c r="E213" i="5" s="1"/>
  <c r="H213" i="5" a="1"/>
  <c r="H213" i="5" s="1"/>
  <c r="I213" i="5" a="1"/>
  <c r="I213" i="5" s="1"/>
  <c r="Q213" i="5" a="1"/>
  <c r="Q213" i="5" s="1"/>
  <c r="O213" i="5" a="1"/>
  <c r="O213" i="5" s="1"/>
  <c r="K213" i="5" a="1"/>
  <c r="K213" i="5" s="1"/>
  <c r="P213" i="5" a="1"/>
  <c r="P213" i="5" s="1"/>
  <c r="F213" i="5" a="1"/>
  <c r="F213" i="5" s="1"/>
  <c r="R213" i="5" a="1"/>
  <c r="R213" i="5" s="1"/>
  <c r="L213" i="5" a="1"/>
  <c r="L213" i="5" s="1"/>
  <c r="N213" i="5" a="1"/>
  <c r="N213" i="5" s="1"/>
  <c r="M213" i="5" a="1"/>
  <c r="M213" i="5" s="1"/>
  <c r="J213" i="5" a="1"/>
  <c r="J213" i="5" s="1"/>
  <c r="G213" i="5" a="1"/>
  <c r="G213" i="5" s="1"/>
  <c r="D213" i="5" a="1"/>
  <c r="D213" i="5" s="1"/>
  <c r="T10" i="11" s="1"/>
  <c r="C214" i="5"/>
  <c r="BF59" i="11" l="1"/>
  <c r="AO62" i="11"/>
  <c r="BT131" i="11"/>
  <c r="AD58" i="8"/>
  <c r="T214" i="5" a="1"/>
  <c r="T214" i="5" s="1"/>
  <c r="AG214" i="5" a="1"/>
  <c r="AG214" i="5" s="1"/>
  <c r="BU134" i="11" s="1"/>
  <c r="AF214" i="5" a="1"/>
  <c r="AF214" i="5" s="1"/>
  <c r="BT134" i="11" s="1"/>
  <c r="AC214" i="5" a="1"/>
  <c r="AC214" i="5" s="1"/>
  <c r="AB214" i="5" a="1"/>
  <c r="AB214" i="5" s="1"/>
  <c r="Z58" i="8" s="1"/>
  <c r="AE214" i="5" a="1"/>
  <c r="AE214" i="5" s="1"/>
  <c r="AD214" i="5" a="1"/>
  <c r="AD214" i="5" s="1"/>
  <c r="AB58" i="8" s="1"/>
  <c r="AA214" i="5" a="1"/>
  <c r="AA214" i="5" s="1"/>
  <c r="Y58" i="8" s="1"/>
  <c r="X214" i="5" a="1"/>
  <c r="X214" i="5" s="1"/>
  <c r="V58" i="8" s="1"/>
  <c r="W214" i="5" a="1"/>
  <c r="W214" i="5" s="1"/>
  <c r="Z214" i="5" a="1"/>
  <c r="Z214" i="5" s="1"/>
  <c r="X58" i="8" s="1"/>
  <c r="Y214" i="5" a="1"/>
  <c r="Y214" i="5" s="1"/>
  <c r="W58" i="8" s="1"/>
  <c r="AP62" i="11"/>
  <c r="BU131" i="11"/>
  <c r="AE58" i="8"/>
  <c r="U58" i="8"/>
  <c r="U10" i="11"/>
  <c r="W10" i="11" s="1"/>
  <c r="T25" i="11"/>
  <c r="U25" i="11"/>
  <c r="BE60" i="11"/>
  <c r="BC60" i="11"/>
  <c r="BD60" i="11"/>
  <c r="BF60" i="11" s="1"/>
  <c r="AI62" i="11"/>
  <c r="AJ62" i="11" s="1"/>
  <c r="BH62" i="11"/>
  <c r="AQ62" i="11"/>
  <c r="BA61" i="11"/>
  <c r="BG61" i="11" s="1"/>
  <c r="AY61" i="11"/>
  <c r="AZ61" i="11"/>
  <c r="AX61" i="11"/>
  <c r="U214" i="5" a="1"/>
  <c r="U214" i="5" s="1"/>
  <c r="AH63" i="11" s="1"/>
  <c r="V214" i="5" a="1"/>
  <c r="V214" i="5" s="1"/>
  <c r="S214" i="5" a="1"/>
  <c r="S214" i="5" s="1"/>
  <c r="Q58" i="8" s="1"/>
  <c r="P5" i="11" s="1"/>
  <c r="E214" i="5" a="1"/>
  <c r="E214" i="5" s="1"/>
  <c r="H214" i="5" a="1"/>
  <c r="H214" i="5" s="1"/>
  <c r="F58" i="8" s="1"/>
  <c r="I214" i="5" a="1"/>
  <c r="I214" i="5" s="1"/>
  <c r="Q214" i="5" a="1"/>
  <c r="Q214" i="5" s="1"/>
  <c r="O214" i="5" a="1"/>
  <c r="O214" i="5" s="1"/>
  <c r="K214" i="5" a="1"/>
  <c r="K214" i="5" s="1"/>
  <c r="P214" i="5" a="1"/>
  <c r="P214" i="5" s="1"/>
  <c r="N58" i="8" s="1"/>
  <c r="M5" i="11" s="1"/>
  <c r="N214" i="5" a="1"/>
  <c r="N214" i="5" s="1"/>
  <c r="L214" i="5" a="1"/>
  <c r="L214" i="5" s="1"/>
  <c r="F214" i="5" a="1"/>
  <c r="F214" i="5" s="1"/>
  <c r="R214" i="5" a="1"/>
  <c r="R214" i="5" s="1"/>
  <c r="M214" i="5" a="1"/>
  <c r="M214" i="5" s="1"/>
  <c r="K58" i="8" s="1"/>
  <c r="J214" i="5" a="1"/>
  <c r="J214" i="5" s="1"/>
  <c r="G214" i="5" a="1"/>
  <c r="G214" i="5" s="1"/>
  <c r="D214" i="5" a="1"/>
  <c r="D214" i="5" s="1"/>
  <c r="T11" i="11" s="1"/>
  <c r="U11" i="11" s="1"/>
  <c r="C215" i="5"/>
  <c r="BU132" i="11" l="1"/>
  <c r="BM131" i="11"/>
  <c r="BX131" i="11" s="1"/>
  <c r="BL131" i="11"/>
  <c r="BW131" i="11" s="1"/>
  <c r="BT132" i="11"/>
  <c r="AU67" i="11"/>
  <c r="AU65" i="11"/>
  <c r="AU66" i="11"/>
  <c r="AP63" i="11"/>
  <c r="AU64" i="11"/>
  <c r="T215" i="5" a="1"/>
  <c r="T215" i="5" s="1"/>
  <c r="AG215" i="5" a="1"/>
  <c r="AG215" i="5" s="1"/>
  <c r="AF215" i="5" a="1"/>
  <c r="AF215" i="5" s="1"/>
  <c r="AE215" i="5" a="1"/>
  <c r="AE215" i="5" s="1"/>
  <c r="AD215" i="5" a="1"/>
  <c r="AD215" i="5" s="1"/>
  <c r="AC215" i="5" a="1"/>
  <c r="AC215" i="5" s="1"/>
  <c r="AB215" i="5" a="1"/>
  <c r="AB215" i="5" s="1"/>
  <c r="AA215" i="5" a="1"/>
  <c r="AA215" i="5" s="1"/>
  <c r="Z215" i="5" a="1"/>
  <c r="Z215" i="5" s="1"/>
  <c r="Y215" i="5" a="1"/>
  <c r="Y215" i="5" s="1"/>
  <c r="X215" i="5" a="1"/>
  <c r="X215" i="5" s="1"/>
  <c r="W215" i="5" a="1"/>
  <c r="W215" i="5" s="1"/>
  <c r="BL134" i="11"/>
  <c r="BW134" i="11" s="1"/>
  <c r="AS64" i="11"/>
  <c r="AS67" i="11"/>
  <c r="AS65" i="11"/>
  <c r="AS66" i="11"/>
  <c r="AN63" i="11"/>
  <c r="BM134" i="11"/>
  <c r="BX134" i="11" s="1"/>
  <c r="AT64" i="11"/>
  <c r="AT67" i="11"/>
  <c r="AT65" i="11"/>
  <c r="AT66" i="11"/>
  <c r="AO63" i="11"/>
  <c r="BC61" i="11"/>
  <c r="BD61" i="11"/>
  <c r="U26" i="11"/>
  <c r="BE61" i="11"/>
  <c r="AI63" i="11"/>
  <c r="AJ63" i="11" s="1"/>
  <c r="AV64" i="11"/>
  <c r="AQ63" i="11"/>
  <c r="BH63" i="11"/>
  <c r="AV67" i="11"/>
  <c r="AV66" i="11"/>
  <c r="AV65" i="11"/>
  <c r="S58" i="8"/>
  <c r="BA62" i="11"/>
  <c r="BG62" i="11" s="1"/>
  <c r="AY62" i="11"/>
  <c r="AX62" i="11"/>
  <c r="AZ62" i="11"/>
  <c r="T58" i="8"/>
  <c r="V215" i="5" a="1"/>
  <c r="V215" i="5" s="1"/>
  <c r="S215" i="5" a="1"/>
  <c r="S215" i="5" s="1"/>
  <c r="U215" i="5" a="1"/>
  <c r="U215" i="5" s="1"/>
  <c r="B58" i="8"/>
  <c r="W11" i="11"/>
  <c r="W12" i="11" s="1"/>
  <c r="E215" i="5" a="1"/>
  <c r="E215" i="5" s="1"/>
  <c r="H215" i="5" a="1"/>
  <c r="H215" i="5" s="1"/>
  <c r="I215" i="5" a="1"/>
  <c r="I215" i="5" s="1"/>
  <c r="Q215" i="5" a="1"/>
  <c r="Q215" i="5" s="1"/>
  <c r="O215" i="5" a="1"/>
  <c r="O215" i="5" s="1"/>
  <c r="P215" i="5" a="1"/>
  <c r="P215" i="5" s="1"/>
  <c r="K215" i="5" a="1"/>
  <c r="K215" i="5" s="1"/>
  <c r="F215" i="5" a="1"/>
  <c r="F215" i="5" s="1"/>
  <c r="N215" i="5" a="1"/>
  <c r="N215" i="5" s="1"/>
  <c r="L215" i="5" a="1"/>
  <c r="L215" i="5" s="1"/>
  <c r="J215" i="5" a="1"/>
  <c r="J215" i="5" s="1"/>
  <c r="M215" i="5" a="1"/>
  <c r="M215" i="5" s="1"/>
  <c r="R215" i="5" a="1"/>
  <c r="R215" i="5" s="1"/>
  <c r="G215" i="5" a="1"/>
  <c r="G215" i="5" s="1"/>
  <c r="D215" i="5" a="1"/>
  <c r="D215" i="5" s="1"/>
  <c r="C216" i="5"/>
  <c r="AN64" i="11" l="1"/>
  <c r="AO64" i="11"/>
  <c r="BT137" i="11"/>
  <c r="BT133" i="11"/>
  <c r="BL133" i="11" s="1"/>
  <c r="BW133" i="11" s="1"/>
  <c r="BL132" i="11"/>
  <c r="BW132" i="11" s="1"/>
  <c r="BE62" i="11"/>
  <c r="AP64" i="11"/>
  <c r="BU137" i="11"/>
  <c r="T216" i="5" a="1"/>
  <c r="T216" i="5" s="1"/>
  <c r="AG216" i="5" a="1"/>
  <c r="AG216" i="5" s="1"/>
  <c r="BU140" i="11" s="1"/>
  <c r="AF216" i="5" a="1"/>
  <c r="AF216" i="5" s="1"/>
  <c r="BT140" i="11" s="1"/>
  <c r="AC216" i="5" a="1"/>
  <c r="AC216" i="5" s="1"/>
  <c r="AB216" i="5" a="1"/>
  <c r="AB216" i="5" s="1"/>
  <c r="AE216" i="5" a="1"/>
  <c r="AE216" i="5" s="1"/>
  <c r="AD216" i="5" a="1"/>
  <c r="AD216" i="5" s="1"/>
  <c r="AA216" i="5" a="1"/>
  <c r="AA216" i="5" s="1"/>
  <c r="X216" i="5" a="1"/>
  <c r="X216" i="5" s="1"/>
  <c r="AO65" i="11" s="1"/>
  <c r="W216" i="5" a="1"/>
  <c r="W216" i="5" s="1"/>
  <c r="AN65" i="11" s="1"/>
  <c r="Z216" i="5" a="1"/>
  <c r="Z216" i="5" s="1"/>
  <c r="Y216" i="5" a="1"/>
  <c r="Y216" i="5" s="1"/>
  <c r="AP65" i="11" s="1"/>
  <c r="BD62" i="11"/>
  <c r="BU133" i="11"/>
  <c r="BM133" i="11" s="1"/>
  <c r="BX133" i="11" s="1"/>
  <c r="BM132" i="11"/>
  <c r="BX132" i="11" s="1"/>
  <c r="BF61" i="11"/>
  <c r="BC62" i="11"/>
  <c r="BA63" i="11"/>
  <c r="BG63" i="11" s="1"/>
  <c r="AX63" i="11"/>
  <c r="AY63" i="11"/>
  <c r="AZ63" i="11"/>
  <c r="AH64" i="11"/>
  <c r="AI64" i="11"/>
  <c r="AQ64" i="11"/>
  <c r="BH64" i="11"/>
  <c r="V216" i="5" a="1"/>
  <c r="V216" i="5" s="1"/>
  <c r="U216" i="5" a="1"/>
  <c r="U216" i="5" s="1"/>
  <c r="AH65" i="11" s="1"/>
  <c r="S216" i="5" a="1"/>
  <c r="S216" i="5" s="1"/>
  <c r="T18" i="11"/>
  <c r="Q5" i="11"/>
  <c r="W18" i="11"/>
  <c r="U18" i="11" s="1"/>
  <c r="T12" i="11"/>
  <c r="W13" i="11"/>
  <c r="W14" i="11" s="1"/>
  <c r="W15" i="11" s="1"/>
  <c r="E216" i="5" a="1"/>
  <c r="E216" i="5" s="1"/>
  <c r="H216" i="5" a="1"/>
  <c r="H216" i="5" s="1"/>
  <c r="Q216" i="5" a="1"/>
  <c r="Q216" i="5" s="1"/>
  <c r="I216" i="5" a="1"/>
  <c r="I216" i="5" s="1"/>
  <c r="P216" i="5" a="1"/>
  <c r="P216" i="5" s="1"/>
  <c r="K216" i="5" a="1"/>
  <c r="K216" i="5" s="1"/>
  <c r="O216" i="5" a="1"/>
  <c r="O216" i="5" s="1"/>
  <c r="F216" i="5" a="1"/>
  <c r="F216" i="5" s="1"/>
  <c r="R216" i="5" a="1"/>
  <c r="R216" i="5" s="1"/>
  <c r="J216" i="5" a="1"/>
  <c r="J216" i="5" s="1"/>
  <c r="L216" i="5" a="1"/>
  <c r="L216" i="5" s="1"/>
  <c r="N216" i="5" a="1"/>
  <c r="N216" i="5" s="1"/>
  <c r="G216" i="5" a="1"/>
  <c r="G216" i="5" s="1"/>
  <c r="M216" i="5" a="1"/>
  <c r="M216" i="5" s="1"/>
  <c r="D216" i="5" a="1"/>
  <c r="D216" i="5" s="1"/>
  <c r="T13" i="11" s="1"/>
  <c r="C217" i="5"/>
  <c r="BE63" i="11" l="1"/>
  <c r="BC63" i="11"/>
  <c r="BF62" i="11"/>
  <c r="BM137" i="11"/>
  <c r="BX137" i="11" s="1"/>
  <c r="BU138" i="11"/>
  <c r="BU135" i="11"/>
  <c r="BD63" i="11"/>
  <c r="BF63" i="11" s="1"/>
  <c r="T217" i="5" a="1"/>
  <c r="T217" i="5" s="1"/>
  <c r="AG217" i="5" a="1"/>
  <c r="AG217" i="5" s="1"/>
  <c r="AF217" i="5" a="1"/>
  <c r="AF217" i="5" s="1"/>
  <c r="BT143" i="11" s="1"/>
  <c r="BT141" i="11" s="1"/>
  <c r="AE217" i="5" a="1"/>
  <c r="AE217" i="5" s="1"/>
  <c r="AD217" i="5" a="1"/>
  <c r="AD217" i="5" s="1"/>
  <c r="AC217" i="5" a="1"/>
  <c r="AC217" i="5" s="1"/>
  <c r="AB217" i="5" a="1"/>
  <c r="AB217" i="5" s="1"/>
  <c r="AA217" i="5" a="1"/>
  <c r="AA217" i="5" s="1"/>
  <c r="Z217" i="5" a="1"/>
  <c r="Z217" i="5" s="1"/>
  <c r="Y217" i="5" a="1"/>
  <c r="Y217" i="5" s="1"/>
  <c r="AP66" i="11" s="1"/>
  <c r="X217" i="5" a="1"/>
  <c r="X217" i="5" s="1"/>
  <c r="AO66" i="11" s="1"/>
  <c r="W217" i="5" a="1"/>
  <c r="W217" i="5" s="1"/>
  <c r="AN66" i="11" s="1"/>
  <c r="BL140" i="11"/>
  <c r="BW140" i="11" s="1"/>
  <c r="BM140" i="11"/>
  <c r="BX140" i="11" s="1"/>
  <c r="BT138" i="11"/>
  <c r="BL137" i="11"/>
  <c r="BW137" i="11" s="1"/>
  <c r="BT135" i="11"/>
  <c r="AJ64" i="11"/>
  <c r="BA64" i="11"/>
  <c r="BG64" i="11" s="1"/>
  <c r="AZ64" i="11"/>
  <c r="AX64" i="11"/>
  <c r="AY64" i="11"/>
  <c r="AI65" i="11"/>
  <c r="AJ65" i="11" s="1"/>
  <c r="BH65" i="11"/>
  <c r="AQ65" i="11"/>
  <c r="W19" i="11"/>
  <c r="U19" i="11" s="1"/>
  <c r="V217" i="5" a="1"/>
  <c r="V217" i="5" s="1"/>
  <c r="U217" i="5" a="1"/>
  <c r="U217" i="5" s="1"/>
  <c r="S217" i="5" a="1"/>
  <c r="S217" i="5" s="1"/>
  <c r="E217" i="5" a="1"/>
  <c r="E217" i="5" s="1"/>
  <c r="H217" i="5" a="1"/>
  <c r="H217" i="5" s="1"/>
  <c r="I217" i="5" a="1"/>
  <c r="I217" i="5" s="1"/>
  <c r="F217" i="5" a="1"/>
  <c r="F217" i="5" s="1"/>
  <c r="K217" i="5" a="1"/>
  <c r="K217" i="5" s="1"/>
  <c r="P217" i="5" a="1"/>
  <c r="P217" i="5" s="1"/>
  <c r="O217" i="5" a="1"/>
  <c r="O217" i="5" s="1"/>
  <c r="N217" i="5" a="1"/>
  <c r="N217" i="5" s="1"/>
  <c r="R217" i="5" a="1"/>
  <c r="R217" i="5" s="1"/>
  <c r="L217" i="5" a="1"/>
  <c r="L217" i="5" s="1"/>
  <c r="J217" i="5" a="1"/>
  <c r="J217" i="5" s="1"/>
  <c r="M217" i="5" a="1"/>
  <c r="M217" i="5" s="1"/>
  <c r="Q217" i="5" a="1"/>
  <c r="Q217" i="5" s="1"/>
  <c r="G217" i="5" a="1"/>
  <c r="G217" i="5" s="1"/>
  <c r="D217" i="5" a="1"/>
  <c r="D217" i="5" s="1"/>
  <c r="T14" i="11" s="1"/>
  <c r="C218" i="5"/>
  <c r="BC64" i="11" l="1"/>
  <c r="BU139" i="11"/>
  <c r="BM139" i="11" s="1"/>
  <c r="BX139" i="11" s="1"/>
  <c r="BM138" i="11"/>
  <c r="BX138" i="11" s="1"/>
  <c r="BD64" i="11"/>
  <c r="BT139" i="11"/>
  <c r="BL139" i="11" s="1"/>
  <c r="BW139" i="11" s="1"/>
  <c r="BL138" i="11"/>
  <c r="BW138" i="11" s="1"/>
  <c r="BL143" i="11"/>
  <c r="BW143" i="11" s="1"/>
  <c r="BU143" i="11"/>
  <c r="T218" i="5" a="1"/>
  <c r="T218" i="5" s="1"/>
  <c r="AG218" i="5" a="1"/>
  <c r="AG218" i="5" s="1"/>
  <c r="BU146" i="11" s="1"/>
  <c r="AF218" i="5" a="1"/>
  <c r="AF218" i="5" s="1"/>
  <c r="AC218" i="5" a="1"/>
  <c r="AC218" i="5" s="1"/>
  <c r="AB218" i="5" a="1"/>
  <c r="AB218" i="5" s="1"/>
  <c r="AD218" i="5" a="1"/>
  <c r="AD218" i="5" s="1"/>
  <c r="AE218" i="5" a="1"/>
  <c r="AE218" i="5" s="1"/>
  <c r="AA218" i="5" a="1"/>
  <c r="AA218" i="5" s="1"/>
  <c r="X218" i="5" a="1"/>
  <c r="X218" i="5" s="1"/>
  <c r="AO67" i="11" s="1"/>
  <c r="W218" i="5" a="1"/>
  <c r="W218" i="5" s="1"/>
  <c r="Z218" i="5" a="1"/>
  <c r="Z218" i="5" s="1"/>
  <c r="Y218" i="5" a="1"/>
  <c r="Y218" i="5" s="1"/>
  <c r="AP67" i="11" s="1"/>
  <c r="BT142" i="11"/>
  <c r="BL142" i="11" s="1"/>
  <c r="BW142" i="11" s="1"/>
  <c r="BL141" i="11"/>
  <c r="BW141" i="11" s="1"/>
  <c r="BT136" i="11"/>
  <c r="BL136" i="11" s="1"/>
  <c r="BW136" i="11" s="1"/>
  <c r="BL135" i="11"/>
  <c r="BW135" i="11" s="1"/>
  <c r="BU136" i="11"/>
  <c r="BM136" i="11" s="1"/>
  <c r="BX136" i="11" s="1"/>
  <c r="BM135" i="11"/>
  <c r="BX135" i="11" s="1"/>
  <c r="BE64" i="11"/>
  <c r="BF64" i="11" s="1"/>
  <c r="AH66" i="11"/>
  <c r="AI66" i="11"/>
  <c r="BH66" i="11"/>
  <c r="AQ66" i="11"/>
  <c r="BA65" i="11"/>
  <c r="BG65" i="11" s="1"/>
  <c r="AY65" i="11"/>
  <c r="AX65" i="11"/>
  <c r="AZ65" i="11"/>
  <c r="V218" i="5" a="1"/>
  <c r="V218" i="5" s="1"/>
  <c r="U218" i="5" a="1"/>
  <c r="U218" i="5" s="1"/>
  <c r="AH67" i="11" s="1"/>
  <c r="S218" i="5" a="1"/>
  <c r="S218" i="5" s="1"/>
  <c r="Q59" i="8" s="1"/>
  <c r="E218" i="5" a="1"/>
  <c r="E218" i="5" s="1"/>
  <c r="C59" i="8" s="1"/>
  <c r="H218" i="5" a="1"/>
  <c r="H218" i="5" s="1"/>
  <c r="I218" i="5" a="1"/>
  <c r="I218" i="5" s="1"/>
  <c r="Q218" i="5" a="1"/>
  <c r="Q218" i="5" s="1"/>
  <c r="K218" i="5" a="1"/>
  <c r="K218" i="5" s="1"/>
  <c r="F218" i="5" a="1"/>
  <c r="F218" i="5" s="1"/>
  <c r="O218" i="5" a="1"/>
  <c r="O218" i="5" s="1"/>
  <c r="P218" i="5" a="1"/>
  <c r="P218" i="5" s="1"/>
  <c r="N59" i="8" s="1"/>
  <c r="R218" i="5" a="1"/>
  <c r="R218" i="5" s="1"/>
  <c r="L218" i="5" a="1"/>
  <c r="L218" i="5" s="1"/>
  <c r="J59" i="8" s="1"/>
  <c r="N218" i="5" a="1"/>
  <c r="N218" i="5" s="1"/>
  <c r="J218" i="5" a="1"/>
  <c r="J218" i="5" s="1"/>
  <c r="G218" i="5" a="1"/>
  <c r="G218" i="5" s="1"/>
  <c r="M218" i="5" a="1"/>
  <c r="M218" i="5" s="1"/>
  <c r="D218" i="5" a="1"/>
  <c r="D218" i="5" s="1"/>
  <c r="T15" i="11" s="1"/>
  <c r="T26" i="11" s="1"/>
  <c r="C219" i="5"/>
  <c r="V59" i="8" l="1"/>
  <c r="BT146" i="11"/>
  <c r="AD59" i="8"/>
  <c r="AN67" i="11"/>
  <c r="U59" i="8"/>
  <c r="BM146" i="11"/>
  <c r="BX146" i="11" s="1"/>
  <c r="T219" i="5" a="1"/>
  <c r="T219" i="5" s="1"/>
  <c r="AG219" i="5" a="1"/>
  <c r="AG219" i="5" s="1"/>
  <c r="AF219" i="5" a="1"/>
  <c r="AF219" i="5" s="1"/>
  <c r="AE219" i="5" a="1"/>
  <c r="AE219" i="5" s="1"/>
  <c r="AD219" i="5" a="1"/>
  <c r="AD219" i="5" s="1"/>
  <c r="AC219" i="5" a="1"/>
  <c r="AC219" i="5" s="1"/>
  <c r="AB219" i="5" a="1"/>
  <c r="AB219" i="5" s="1"/>
  <c r="AA219" i="5" a="1"/>
  <c r="AA219" i="5" s="1"/>
  <c r="Z219" i="5" a="1"/>
  <c r="Z219" i="5" s="1"/>
  <c r="Y219" i="5" a="1"/>
  <c r="Y219" i="5" s="1"/>
  <c r="X219" i="5" a="1"/>
  <c r="X219" i="5" s="1"/>
  <c r="W219" i="5" a="1"/>
  <c r="W219" i="5" s="1"/>
  <c r="W59" i="8"/>
  <c r="AE59" i="8"/>
  <c r="BU144" i="11"/>
  <c r="BM143" i="11"/>
  <c r="BX143" i="11" s="1"/>
  <c r="BU141" i="11"/>
  <c r="BC65" i="11"/>
  <c r="AJ66" i="11"/>
  <c r="AI67" i="11"/>
  <c r="AJ67" i="11" s="1"/>
  <c r="AQ67" i="11"/>
  <c r="BH67" i="11"/>
  <c r="T59" i="8"/>
  <c r="BA66" i="11"/>
  <c r="BG66" i="11" s="1"/>
  <c r="AY66" i="11"/>
  <c r="BD66" i="11" s="1"/>
  <c r="AZ66" i="11"/>
  <c r="AX66" i="11"/>
  <c r="BE65" i="11"/>
  <c r="S59" i="8"/>
  <c r="BD65" i="11"/>
  <c r="U219" i="5" a="1"/>
  <c r="U219" i="5" s="1"/>
  <c r="V219" i="5" a="1"/>
  <c r="V219" i="5" s="1"/>
  <c r="S219" i="5" a="1"/>
  <c r="S219" i="5" s="1"/>
  <c r="B59" i="8"/>
  <c r="T19" i="11" s="1"/>
  <c r="E219" i="5" a="1"/>
  <c r="E219" i="5" s="1"/>
  <c r="H219" i="5" a="1"/>
  <c r="H219" i="5" s="1"/>
  <c r="I219" i="5" a="1"/>
  <c r="I219" i="5" s="1"/>
  <c r="Q219" i="5" a="1"/>
  <c r="Q219" i="5" s="1"/>
  <c r="K219" i="5" a="1"/>
  <c r="K219" i="5" s="1"/>
  <c r="P219" i="5" a="1"/>
  <c r="P219" i="5" s="1"/>
  <c r="F219" i="5" a="1"/>
  <c r="F219" i="5" s="1"/>
  <c r="N219" i="5" a="1"/>
  <c r="N219" i="5" s="1"/>
  <c r="R219" i="5" a="1"/>
  <c r="R219" i="5" s="1"/>
  <c r="O219" i="5" a="1"/>
  <c r="O219" i="5" s="1"/>
  <c r="M219" i="5" a="1"/>
  <c r="M219" i="5" s="1"/>
  <c r="G219" i="5" a="1"/>
  <c r="G219" i="5" s="1"/>
  <c r="J219" i="5" a="1"/>
  <c r="J219" i="5" s="1"/>
  <c r="L219" i="5" a="1"/>
  <c r="L219" i="5" s="1"/>
  <c r="D219" i="5" a="1"/>
  <c r="D219" i="5" s="1"/>
  <c r="C220" i="5"/>
  <c r="BU149" i="11" l="1"/>
  <c r="BU147" i="11" s="1"/>
  <c r="BM147" i="11" s="1"/>
  <c r="BX147" i="11" s="1"/>
  <c r="BU142" i="11"/>
  <c r="BM142" i="11" s="1"/>
  <c r="BX142" i="11" s="1"/>
  <c r="BM141" i="11"/>
  <c r="BX141" i="11" s="1"/>
  <c r="T220" i="5" a="1"/>
  <c r="T220" i="5" s="1"/>
  <c r="AG220" i="5" a="1"/>
  <c r="AG220" i="5" s="1"/>
  <c r="AF220" i="5" a="1"/>
  <c r="AF220" i="5" s="1"/>
  <c r="AC220" i="5" a="1"/>
  <c r="AC220" i="5" s="1"/>
  <c r="AB220" i="5" a="1"/>
  <c r="AB220" i="5" s="1"/>
  <c r="AE220" i="5" a="1"/>
  <c r="AE220" i="5" s="1"/>
  <c r="AD220" i="5" a="1"/>
  <c r="AD220" i="5" s="1"/>
  <c r="AA220" i="5" a="1"/>
  <c r="AA220" i="5" s="1"/>
  <c r="X220" i="5" a="1"/>
  <c r="X220" i="5" s="1"/>
  <c r="W220" i="5" a="1"/>
  <c r="W220" i="5" s="1"/>
  <c r="Z220" i="5" a="1"/>
  <c r="Z220" i="5" s="1"/>
  <c r="Y220" i="5" a="1"/>
  <c r="Y220" i="5" s="1"/>
  <c r="BU145" i="11"/>
  <c r="BM145" i="11" s="1"/>
  <c r="BX145" i="11" s="1"/>
  <c r="BM144" i="11"/>
  <c r="BX144" i="11" s="1"/>
  <c r="BT149" i="11"/>
  <c r="BL146" i="11"/>
  <c r="BW146" i="11" s="1"/>
  <c r="BT147" i="11"/>
  <c r="BL147" i="11" s="1"/>
  <c r="BW147" i="11" s="1"/>
  <c r="BT144" i="11"/>
  <c r="BF65" i="11"/>
  <c r="BA67" i="11"/>
  <c r="BG67" i="11" s="1"/>
  <c r="AZ67" i="11"/>
  <c r="AX67" i="11"/>
  <c r="AY67" i="11"/>
  <c r="BC66" i="11"/>
  <c r="BE66" i="11"/>
  <c r="U220" i="5" a="1"/>
  <c r="U220" i="5" s="1"/>
  <c r="V220" i="5" a="1"/>
  <c r="V220" i="5" s="1"/>
  <c r="S220" i="5" a="1"/>
  <c r="S220" i="5" s="1"/>
  <c r="E220" i="5" a="1"/>
  <c r="E220" i="5" s="1"/>
  <c r="H220" i="5" a="1"/>
  <c r="H220" i="5" s="1"/>
  <c r="I220" i="5" a="1"/>
  <c r="I220" i="5" s="1"/>
  <c r="Q220" i="5" a="1"/>
  <c r="Q220" i="5" s="1"/>
  <c r="P220" i="5" a="1"/>
  <c r="P220" i="5" s="1"/>
  <c r="F220" i="5" a="1"/>
  <c r="F220" i="5" s="1"/>
  <c r="O220" i="5" a="1"/>
  <c r="O220" i="5" s="1"/>
  <c r="K220" i="5" a="1"/>
  <c r="K220" i="5" s="1"/>
  <c r="R220" i="5" a="1"/>
  <c r="R220" i="5" s="1"/>
  <c r="L220" i="5" a="1"/>
  <c r="L220" i="5" s="1"/>
  <c r="N220" i="5" a="1"/>
  <c r="N220" i="5" s="1"/>
  <c r="J220" i="5" a="1"/>
  <c r="J220" i="5" s="1"/>
  <c r="M220" i="5" a="1"/>
  <c r="M220" i="5" s="1"/>
  <c r="G220" i="5" a="1"/>
  <c r="G220" i="5" s="1"/>
  <c r="D220" i="5" a="1"/>
  <c r="D220" i="5" s="1"/>
  <c r="C221" i="5"/>
  <c r="BT145" i="11" l="1"/>
  <c r="BL145" i="11" s="1"/>
  <c r="BW145" i="11" s="1"/>
  <c r="BL144" i="11"/>
  <c r="BW144" i="11" s="1"/>
  <c r="T221" i="5" a="1"/>
  <c r="T221" i="5" s="1"/>
  <c r="AG221" i="5" a="1"/>
  <c r="AG221" i="5" s="1"/>
  <c r="AF221" i="5" a="1"/>
  <c r="AF221" i="5" s="1"/>
  <c r="AE221" i="5" a="1"/>
  <c r="AE221" i="5" s="1"/>
  <c r="AD221" i="5" a="1"/>
  <c r="AD221" i="5" s="1"/>
  <c r="AC221" i="5" a="1"/>
  <c r="AC221" i="5" s="1"/>
  <c r="AB221" i="5" a="1"/>
  <c r="AB221" i="5" s="1"/>
  <c r="AA221" i="5" a="1"/>
  <c r="AA221" i="5" s="1"/>
  <c r="Z221" i="5" a="1"/>
  <c r="Z221" i="5" s="1"/>
  <c r="Y221" i="5" a="1"/>
  <c r="Y221" i="5" s="1"/>
  <c r="X221" i="5" a="1"/>
  <c r="X221" i="5" s="1"/>
  <c r="W221" i="5" a="1"/>
  <c r="W221" i="5" s="1"/>
  <c r="BF66" i="11"/>
  <c r="BD67" i="11"/>
  <c r="BC67" i="11"/>
  <c r="BE67" i="11"/>
  <c r="U221" i="5" a="1"/>
  <c r="U221" i="5" s="1"/>
  <c r="V221" i="5" a="1"/>
  <c r="V221" i="5" s="1"/>
  <c r="S221" i="5" a="1"/>
  <c r="S221" i="5" s="1"/>
  <c r="E221" i="5" a="1"/>
  <c r="E221" i="5" s="1"/>
  <c r="H221" i="5" a="1"/>
  <c r="H221" i="5" s="1"/>
  <c r="Q221" i="5" a="1"/>
  <c r="Q221" i="5" s="1"/>
  <c r="I221" i="5" a="1"/>
  <c r="I221" i="5" s="1"/>
  <c r="O221" i="5" a="1"/>
  <c r="O221" i="5" s="1"/>
  <c r="K221" i="5" a="1"/>
  <c r="K221" i="5" s="1"/>
  <c r="J221" i="5" a="1"/>
  <c r="J221" i="5" s="1"/>
  <c r="P221" i="5" a="1"/>
  <c r="P221" i="5" s="1"/>
  <c r="F221" i="5" a="1"/>
  <c r="F221" i="5" s="1"/>
  <c r="R221" i="5" a="1"/>
  <c r="R221" i="5" s="1"/>
  <c r="L221" i="5" a="1"/>
  <c r="L221" i="5" s="1"/>
  <c r="M221" i="5" a="1"/>
  <c r="M221" i="5" s="1"/>
  <c r="N221" i="5" a="1"/>
  <c r="N221" i="5" s="1"/>
  <c r="G221" i="5" a="1"/>
  <c r="G221" i="5" s="1"/>
  <c r="D221" i="5" a="1"/>
  <c r="D221" i="5" s="1"/>
  <c r="C222" i="5"/>
  <c r="T222" i="5" l="1" a="1"/>
  <c r="T222" i="5" s="1"/>
  <c r="AG222" i="5" a="1"/>
  <c r="AG222" i="5" s="1"/>
  <c r="AF222" i="5" a="1"/>
  <c r="AF222" i="5" s="1"/>
  <c r="AC222" i="5" a="1"/>
  <c r="AC222" i="5" s="1"/>
  <c r="AB222" i="5" a="1"/>
  <c r="AB222" i="5" s="1"/>
  <c r="AE222" i="5" a="1"/>
  <c r="AE222" i="5" s="1"/>
  <c r="AD222" i="5" a="1"/>
  <c r="AD222" i="5" s="1"/>
  <c r="AB60" i="8" s="1"/>
  <c r="AA222" i="5" a="1"/>
  <c r="AA222" i="5" s="1"/>
  <c r="Y60" i="8" s="1"/>
  <c r="X222" i="5" a="1"/>
  <c r="X222" i="5" s="1"/>
  <c r="W222" i="5" a="1"/>
  <c r="W222" i="5" s="1"/>
  <c r="Z222" i="5" a="1"/>
  <c r="Z222" i="5" s="1"/>
  <c r="Y222" i="5" a="1"/>
  <c r="Y222" i="5" s="1"/>
  <c r="BF67" i="11"/>
  <c r="Z60" i="8"/>
  <c r="AA60" i="8"/>
  <c r="U60" i="8"/>
  <c r="AC60" i="8"/>
  <c r="U222" i="5" a="1"/>
  <c r="U222" i="5" s="1"/>
  <c r="V222" i="5" a="1"/>
  <c r="V222" i="5" s="1"/>
  <c r="T60" i="8" s="1"/>
  <c r="S222" i="5" a="1"/>
  <c r="S222" i="5" s="1"/>
  <c r="Q60" i="8" s="1"/>
  <c r="E222" i="5" a="1"/>
  <c r="E222" i="5" s="1"/>
  <c r="H222" i="5" a="1"/>
  <c r="H222" i="5" s="1"/>
  <c r="Q222" i="5" a="1"/>
  <c r="Q222" i="5" s="1"/>
  <c r="O60" i="8" s="1"/>
  <c r="I222" i="5" a="1"/>
  <c r="I222" i="5" s="1"/>
  <c r="F222" i="5" a="1"/>
  <c r="F222" i="5" s="1"/>
  <c r="O222" i="5" a="1"/>
  <c r="O222" i="5" s="1"/>
  <c r="K222" i="5" a="1"/>
  <c r="K222" i="5" s="1"/>
  <c r="P222" i="5" a="1"/>
  <c r="P222" i="5" s="1"/>
  <c r="R222" i="5" a="1"/>
  <c r="R222" i="5" s="1"/>
  <c r="J222" i="5" a="1"/>
  <c r="J222" i="5" s="1"/>
  <c r="L222" i="5" a="1"/>
  <c r="L222" i="5" s="1"/>
  <c r="M222" i="5" a="1"/>
  <c r="M222" i="5" s="1"/>
  <c r="K60" i="8" s="1"/>
  <c r="N222" i="5" a="1"/>
  <c r="N222" i="5" s="1"/>
  <c r="L60" i="8" s="1"/>
  <c r="G222" i="5" a="1"/>
  <c r="G222" i="5" s="1"/>
  <c r="D222" i="5" a="1"/>
  <c r="D222" i="5" s="1"/>
  <c r="C223" i="5"/>
  <c r="T223" i="5" l="1" a="1"/>
  <c r="T223" i="5" s="1"/>
  <c r="AG223" i="5" a="1"/>
  <c r="AG223" i="5" s="1"/>
  <c r="AF223" i="5" a="1"/>
  <c r="AF223" i="5" s="1"/>
  <c r="AE223" i="5" a="1"/>
  <c r="AE223" i="5" s="1"/>
  <c r="AD223" i="5" a="1"/>
  <c r="AD223" i="5" s="1"/>
  <c r="AC223" i="5" a="1"/>
  <c r="AC223" i="5" s="1"/>
  <c r="AB223" i="5" a="1"/>
  <c r="AB223" i="5" s="1"/>
  <c r="AA223" i="5" a="1"/>
  <c r="AA223" i="5" s="1"/>
  <c r="Z223" i="5" a="1"/>
  <c r="Z223" i="5" s="1"/>
  <c r="Y223" i="5" a="1"/>
  <c r="Y223" i="5" s="1"/>
  <c r="X223" i="5" a="1"/>
  <c r="X223" i="5" s="1"/>
  <c r="W223" i="5" a="1"/>
  <c r="W223" i="5" s="1"/>
  <c r="V223" i="5" a="1"/>
  <c r="V223" i="5" s="1"/>
  <c r="S223" i="5" a="1"/>
  <c r="S223" i="5" s="1"/>
  <c r="U223" i="5" a="1"/>
  <c r="U223" i="5" s="1"/>
  <c r="E223" i="5" a="1"/>
  <c r="E223" i="5" s="1"/>
  <c r="H223" i="5" a="1"/>
  <c r="H223" i="5" s="1"/>
  <c r="I223" i="5" a="1"/>
  <c r="I223" i="5" s="1"/>
  <c r="Q223" i="5" a="1"/>
  <c r="Q223" i="5" s="1"/>
  <c r="O223" i="5" a="1"/>
  <c r="O223" i="5" s="1"/>
  <c r="K223" i="5" a="1"/>
  <c r="K223" i="5" s="1"/>
  <c r="P223" i="5" a="1"/>
  <c r="P223" i="5" s="1"/>
  <c r="F223" i="5" a="1"/>
  <c r="F223" i="5" s="1"/>
  <c r="N223" i="5" a="1"/>
  <c r="N223" i="5" s="1"/>
  <c r="R223" i="5" a="1"/>
  <c r="R223" i="5" s="1"/>
  <c r="L223" i="5" a="1"/>
  <c r="L223" i="5" s="1"/>
  <c r="J223" i="5" a="1"/>
  <c r="J223" i="5" s="1"/>
  <c r="M223" i="5" a="1"/>
  <c r="M223" i="5" s="1"/>
  <c r="G223" i="5" a="1"/>
  <c r="G223" i="5" s="1"/>
  <c r="D223" i="5" a="1"/>
  <c r="D223" i="5" s="1"/>
  <c r="C224" i="5"/>
  <c r="T224" i="5" l="1" a="1"/>
  <c r="T224" i="5" s="1"/>
  <c r="AG224" i="5" a="1"/>
  <c r="AG224" i="5" s="1"/>
  <c r="AF224" i="5" a="1"/>
  <c r="AF224" i="5" s="1"/>
  <c r="AC224" i="5" a="1"/>
  <c r="AC224" i="5" s="1"/>
  <c r="AB224" i="5" a="1"/>
  <c r="AB224" i="5" s="1"/>
  <c r="AE224" i="5" a="1"/>
  <c r="AE224" i="5" s="1"/>
  <c r="AD224" i="5" a="1"/>
  <c r="AD224" i="5" s="1"/>
  <c r="AA224" i="5" a="1"/>
  <c r="AA224" i="5" s="1"/>
  <c r="X224" i="5" a="1"/>
  <c r="X224" i="5" s="1"/>
  <c r="W224" i="5" a="1"/>
  <c r="W224" i="5" s="1"/>
  <c r="Z224" i="5" a="1"/>
  <c r="Z224" i="5" s="1"/>
  <c r="Y224" i="5" a="1"/>
  <c r="Y224" i="5" s="1"/>
  <c r="V224" i="5" a="1"/>
  <c r="V224" i="5" s="1"/>
  <c r="U224" i="5" a="1"/>
  <c r="U224" i="5" s="1"/>
  <c r="S224" i="5" a="1"/>
  <c r="S224" i="5" s="1"/>
  <c r="E224" i="5" a="1"/>
  <c r="E224" i="5" s="1"/>
  <c r="H224" i="5" a="1"/>
  <c r="H224" i="5" s="1"/>
  <c r="Q224" i="5" a="1"/>
  <c r="Q224" i="5" s="1"/>
  <c r="I224" i="5" a="1"/>
  <c r="I224" i="5" s="1"/>
  <c r="K224" i="5" a="1"/>
  <c r="K224" i="5" s="1"/>
  <c r="F224" i="5" a="1"/>
  <c r="F224" i="5" s="1"/>
  <c r="P224" i="5" a="1"/>
  <c r="P224" i="5" s="1"/>
  <c r="L224" i="5" a="1"/>
  <c r="L224" i="5" s="1"/>
  <c r="R224" i="5" a="1"/>
  <c r="R224" i="5" s="1"/>
  <c r="N224" i="5" a="1"/>
  <c r="N224" i="5" s="1"/>
  <c r="O224" i="5" a="1"/>
  <c r="O224" i="5" s="1"/>
  <c r="J224" i="5" a="1"/>
  <c r="J224" i="5" s="1"/>
  <c r="G224" i="5" a="1"/>
  <c r="G224" i="5" s="1"/>
  <c r="M224" i="5" a="1"/>
  <c r="M224" i="5" s="1"/>
  <c r="D224" i="5" a="1"/>
  <c r="D224" i="5" s="1"/>
  <c r="C225" i="5"/>
  <c r="T225" i="5" l="1" a="1"/>
  <c r="T225" i="5" s="1"/>
  <c r="AG225" i="5" a="1"/>
  <c r="AG225" i="5" s="1"/>
  <c r="AF225" i="5" a="1"/>
  <c r="AF225" i="5" s="1"/>
  <c r="AE225" i="5" a="1"/>
  <c r="AE225" i="5" s="1"/>
  <c r="AD225" i="5" a="1"/>
  <c r="AD225" i="5" s="1"/>
  <c r="AC225" i="5" a="1"/>
  <c r="AC225" i="5" s="1"/>
  <c r="AB225" i="5" a="1"/>
  <c r="AB225" i="5" s="1"/>
  <c r="AA225" i="5" a="1"/>
  <c r="AA225" i="5" s="1"/>
  <c r="Z225" i="5" a="1"/>
  <c r="Z225" i="5" s="1"/>
  <c r="Y225" i="5" a="1"/>
  <c r="Y225" i="5" s="1"/>
  <c r="X225" i="5" a="1"/>
  <c r="X225" i="5" s="1"/>
  <c r="W225" i="5" a="1"/>
  <c r="W225" i="5" s="1"/>
  <c r="V225" i="5" a="1"/>
  <c r="V225" i="5" s="1"/>
  <c r="U225" i="5" a="1"/>
  <c r="U225" i="5" s="1"/>
  <c r="S225" i="5" a="1"/>
  <c r="S225" i="5" s="1"/>
  <c r="E225" i="5" a="1"/>
  <c r="E225" i="5" s="1"/>
  <c r="H225" i="5" a="1"/>
  <c r="H225" i="5" s="1"/>
  <c r="Q225" i="5" a="1"/>
  <c r="Q225" i="5" s="1"/>
  <c r="I225" i="5" a="1"/>
  <c r="I225" i="5" s="1"/>
  <c r="F225" i="5" a="1"/>
  <c r="F225" i="5" s="1"/>
  <c r="P225" i="5" a="1"/>
  <c r="P225" i="5" s="1"/>
  <c r="K225" i="5" a="1"/>
  <c r="K225" i="5" s="1"/>
  <c r="O225" i="5" a="1"/>
  <c r="O225" i="5" s="1"/>
  <c r="R225" i="5" a="1"/>
  <c r="R225" i="5" s="1"/>
  <c r="L225" i="5" a="1"/>
  <c r="L225" i="5" s="1"/>
  <c r="N225" i="5" a="1"/>
  <c r="N225" i="5" s="1"/>
  <c r="M225" i="5" a="1"/>
  <c r="M225" i="5" s="1"/>
  <c r="G225" i="5" a="1"/>
  <c r="G225" i="5" s="1"/>
  <c r="J225" i="5" a="1"/>
  <c r="J225" i="5" s="1"/>
  <c r="D225" i="5" a="1"/>
  <c r="D225" i="5" s="1"/>
  <c r="C226" i="5"/>
  <c r="R61" i="8" l="1"/>
  <c r="T226" i="5" a="1"/>
  <c r="T226" i="5" s="1"/>
  <c r="AG226" i="5" a="1"/>
  <c r="AG226" i="5" s="1"/>
  <c r="AF226" i="5" a="1"/>
  <c r="AF226" i="5" s="1"/>
  <c r="AC226" i="5" a="1"/>
  <c r="AC226" i="5" s="1"/>
  <c r="AB226" i="5" a="1"/>
  <c r="AB226" i="5" s="1"/>
  <c r="AD226" i="5" a="1"/>
  <c r="AD226" i="5" s="1"/>
  <c r="AE226" i="5" a="1"/>
  <c r="AE226" i="5" s="1"/>
  <c r="AC61" i="8" s="1"/>
  <c r="AA226" i="5" a="1"/>
  <c r="AA226" i="5" s="1"/>
  <c r="X226" i="5" a="1"/>
  <c r="X226" i="5" s="1"/>
  <c r="W226" i="5" a="1"/>
  <c r="W226" i="5" s="1"/>
  <c r="U61" i="8" s="1"/>
  <c r="Z226" i="5" a="1"/>
  <c r="Z226" i="5" s="1"/>
  <c r="Y226" i="5" a="1"/>
  <c r="Y226" i="5" s="1"/>
  <c r="W61" i="8" s="1"/>
  <c r="Z61" i="8"/>
  <c r="AA61" i="8"/>
  <c r="AB61" i="8"/>
  <c r="V61" i="8"/>
  <c r="AD61" i="8"/>
  <c r="AE61" i="8"/>
  <c r="X61" i="8"/>
  <c r="V226" i="5" a="1"/>
  <c r="V226" i="5" s="1"/>
  <c r="U226" i="5" a="1"/>
  <c r="U226" i="5" s="1"/>
  <c r="S226" i="5" a="1"/>
  <c r="S226" i="5" s="1"/>
  <c r="Q61" i="8" s="1"/>
  <c r="E226" i="5" a="1"/>
  <c r="E226" i="5" s="1"/>
  <c r="H226" i="5" a="1"/>
  <c r="H226" i="5" s="1"/>
  <c r="I226" i="5" a="1"/>
  <c r="I226" i="5" s="1"/>
  <c r="F226" i="5" a="1"/>
  <c r="F226" i="5" s="1"/>
  <c r="K226" i="5" a="1"/>
  <c r="K226" i="5" s="1"/>
  <c r="P226" i="5" a="1"/>
  <c r="P226" i="5" s="1"/>
  <c r="O226" i="5" a="1"/>
  <c r="O226" i="5" s="1"/>
  <c r="Q226" i="5" a="1"/>
  <c r="Q226" i="5" s="1"/>
  <c r="O61" i="8" s="1"/>
  <c r="N226" i="5" a="1"/>
  <c r="N226" i="5" s="1"/>
  <c r="L226" i="5" a="1"/>
  <c r="L226" i="5" s="1"/>
  <c r="R226" i="5" a="1"/>
  <c r="R226" i="5" s="1"/>
  <c r="J226" i="5" a="1"/>
  <c r="J226" i="5" s="1"/>
  <c r="M226" i="5" a="1"/>
  <c r="M226" i="5" s="1"/>
  <c r="G226" i="5" a="1"/>
  <c r="G226" i="5" s="1"/>
  <c r="E61" i="8" s="1"/>
  <c r="D226" i="5" a="1"/>
  <c r="D226" i="5" s="1"/>
  <c r="C227" i="5"/>
  <c r="T227" i="5" l="1" a="1"/>
  <c r="T227" i="5" s="1"/>
  <c r="AG227" i="5" a="1"/>
  <c r="AG227" i="5" s="1"/>
  <c r="AF227" i="5" a="1"/>
  <c r="AF227" i="5" s="1"/>
  <c r="AE227" i="5" a="1"/>
  <c r="AE227" i="5" s="1"/>
  <c r="AD227" i="5" a="1"/>
  <c r="AD227" i="5" s="1"/>
  <c r="AC227" i="5" a="1"/>
  <c r="AC227" i="5" s="1"/>
  <c r="AB227" i="5" a="1"/>
  <c r="AB227" i="5" s="1"/>
  <c r="AA227" i="5" a="1"/>
  <c r="AA227" i="5" s="1"/>
  <c r="Z227" i="5" a="1"/>
  <c r="Z227" i="5" s="1"/>
  <c r="Y227" i="5" a="1"/>
  <c r="Y227" i="5" s="1"/>
  <c r="X227" i="5" a="1"/>
  <c r="X227" i="5" s="1"/>
  <c r="W227" i="5" a="1"/>
  <c r="W227" i="5" s="1"/>
  <c r="U227" i="5" a="1"/>
  <c r="U227" i="5" s="1"/>
  <c r="V227" i="5" a="1"/>
  <c r="V227" i="5" s="1"/>
  <c r="S227" i="5" a="1"/>
  <c r="S227" i="5" s="1"/>
  <c r="E227" i="5" a="1"/>
  <c r="E227" i="5" s="1"/>
  <c r="H227" i="5" a="1"/>
  <c r="H227" i="5" s="1"/>
  <c r="Q227" i="5" a="1"/>
  <c r="Q227" i="5" s="1"/>
  <c r="I227" i="5" a="1"/>
  <c r="I227" i="5" s="1"/>
  <c r="F227" i="5" a="1"/>
  <c r="F227" i="5" s="1"/>
  <c r="P227" i="5" a="1"/>
  <c r="P227" i="5" s="1"/>
  <c r="K227" i="5" a="1"/>
  <c r="K227" i="5" s="1"/>
  <c r="O227" i="5" a="1"/>
  <c r="O227" i="5" s="1"/>
  <c r="N227" i="5" a="1"/>
  <c r="N227" i="5" s="1"/>
  <c r="J227" i="5" a="1"/>
  <c r="J227" i="5" s="1"/>
  <c r="R227" i="5" a="1"/>
  <c r="R227" i="5" s="1"/>
  <c r="M227" i="5" a="1"/>
  <c r="M227" i="5" s="1"/>
  <c r="L227" i="5" a="1"/>
  <c r="L227" i="5" s="1"/>
  <c r="G227" i="5" a="1"/>
  <c r="G227" i="5" s="1"/>
  <c r="D227" i="5" a="1"/>
  <c r="D227" i="5" s="1"/>
  <c r="C228" i="5"/>
  <c r="T228" i="5" l="1" a="1"/>
  <c r="T228" i="5" s="1"/>
  <c r="AG228" i="5" a="1"/>
  <c r="AG228" i="5" s="1"/>
  <c r="AF228" i="5" a="1"/>
  <c r="AF228" i="5" s="1"/>
  <c r="AC228" i="5" a="1"/>
  <c r="AC228" i="5" s="1"/>
  <c r="AB228" i="5" a="1"/>
  <c r="AB228" i="5" s="1"/>
  <c r="AE228" i="5" a="1"/>
  <c r="AE228" i="5" s="1"/>
  <c r="AD228" i="5" a="1"/>
  <c r="AD228" i="5" s="1"/>
  <c r="AA228" i="5" a="1"/>
  <c r="AA228" i="5" s="1"/>
  <c r="X228" i="5" a="1"/>
  <c r="X228" i="5" s="1"/>
  <c r="W228" i="5" a="1"/>
  <c r="W228" i="5" s="1"/>
  <c r="Z228" i="5" a="1"/>
  <c r="Z228" i="5" s="1"/>
  <c r="Y228" i="5" a="1"/>
  <c r="Y228" i="5" s="1"/>
  <c r="U228" i="5" a="1"/>
  <c r="U228" i="5" s="1"/>
  <c r="V228" i="5" a="1"/>
  <c r="V228" i="5" s="1"/>
  <c r="S228" i="5" a="1"/>
  <c r="S228" i="5" s="1"/>
  <c r="E228" i="5" a="1"/>
  <c r="E228" i="5" s="1"/>
  <c r="H228" i="5" a="1"/>
  <c r="H228" i="5" s="1"/>
  <c r="Q228" i="5" a="1"/>
  <c r="Q228" i="5" s="1"/>
  <c r="I228" i="5" a="1"/>
  <c r="I228" i="5" s="1"/>
  <c r="P228" i="5" a="1"/>
  <c r="P228" i="5" s="1"/>
  <c r="F228" i="5" a="1"/>
  <c r="F228" i="5" s="1"/>
  <c r="O228" i="5" a="1"/>
  <c r="O228" i="5" s="1"/>
  <c r="K228" i="5" a="1"/>
  <c r="K228" i="5" s="1"/>
  <c r="N228" i="5" a="1"/>
  <c r="N228" i="5" s="1"/>
  <c r="J228" i="5" a="1"/>
  <c r="J228" i="5" s="1"/>
  <c r="M228" i="5" a="1"/>
  <c r="M228" i="5" s="1"/>
  <c r="R228" i="5" a="1"/>
  <c r="R228" i="5" s="1"/>
  <c r="G228" i="5" a="1"/>
  <c r="G228" i="5" s="1"/>
  <c r="L228" i="5" a="1"/>
  <c r="L228" i="5" s="1"/>
  <c r="D228" i="5" a="1"/>
  <c r="D228" i="5" s="1"/>
  <c r="C229" i="5"/>
  <c r="T229" i="5" l="1" a="1"/>
  <c r="T229" i="5" s="1"/>
  <c r="AG229" i="5" a="1"/>
  <c r="AG229" i="5" s="1"/>
  <c r="AF229" i="5" a="1"/>
  <c r="AF229" i="5" s="1"/>
  <c r="AE229" i="5" a="1"/>
  <c r="AE229" i="5" s="1"/>
  <c r="AD229" i="5" a="1"/>
  <c r="AD229" i="5" s="1"/>
  <c r="AC229" i="5" a="1"/>
  <c r="AC229" i="5" s="1"/>
  <c r="AB229" i="5" a="1"/>
  <c r="AB229" i="5" s="1"/>
  <c r="AA229" i="5" a="1"/>
  <c r="AA229" i="5" s="1"/>
  <c r="Z229" i="5" a="1"/>
  <c r="Z229" i="5" s="1"/>
  <c r="Y229" i="5" a="1"/>
  <c r="Y229" i="5" s="1"/>
  <c r="X229" i="5" a="1"/>
  <c r="X229" i="5" s="1"/>
  <c r="W229" i="5" a="1"/>
  <c r="W229" i="5" s="1"/>
  <c r="U229" i="5" a="1"/>
  <c r="U229" i="5" s="1"/>
  <c r="V229" i="5" a="1"/>
  <c r="V229" i="5" s="1"/>
  <c r="S229" i="5" a="1"/>
  <c r="S229" i="5" s="1"/>
  <c r="E229" i="5" a="1"/>
  <c r="E229" i="5" s="1"/>
  <c r="H229" i="5" a="1"/>
  <c r="H229" i="5" s="1"/>
  <c r="Q229" i="5" a="1"/>
  <c r="Q229" i="5" s="1"/>
  <c r="I229" i="5" a="1"/>
  <c r="I229" i="5" s="1"/>
  <c r="P229" i="5" a="1"/>
  <c r="P229" i="5" s="1"/>
  <c r="F229" i="5" a="1"/>
  <c r="F229" i="5" s="1"/>
  <c r="O229" i="5" a="1"/>
  <c r="O229" i="5" s="1"/>
  <c r="R229" i="5" a="1"/>
  <c r="R229" i="5" s="1"/>
  <c r="L229" i="5" a="1"/>
  <c r="L229" i="5" s="1"/>
  <c r="K229" i="5" a="1"/>
  <c r="K229" i="5" s="1"/>
  <c r="N229" i="5" a="1"/>
  <c r="N229" i="5" s="1"/>
  <c r="J229" i="5" a="1"/>
  <c r="J229" i="5" s="1"/>
  <c r="M229" i="5" a="1"/>
  <c r="M229" i="5" s="1"/>
  <c r="G229" i="5" a="1"/>
  <c r="G229" i="5" s="1"/>
  <c r="D229" i="5" a="1"/>
  <c r="D229" i="5" s="1"/>
  <c r="C230" i="5"/>
  <c r="R62" i="8" l="1"/>
  <c r="T230" i="5" a="1"/>
  <c r="T230" i="5" s="1"/>
  <c r="AG230" i="5" a="1"/>
  <c r="AG230" i="5" s="1"/>
  <c r="AF230" i="5" a="1"/>
  <c r="AF230" i="5" s="1"/>
  <c r="AC230" i="5" a="1"/>
  <c r="AC230" i="5" s="1"/>
  <c r="AB230" i="5" a="1"/>
  <c r="AB230" i="5" s="1"/>
  <c r="AE230" i="5" a="1"/>
  <c r="AE230" i="5" s="1"/>
  <c r="AC62" i="8" s="1"/>
  <c r="AD230" i="5" a="1"/>
  <c r="AD230" i="5" s="1"/>
  <c r="AB62" i="8" s="1"/>
  <c r="AA230" i="5" a="1"/>
  <c r="AA230" i="5" s="1"/>
  <c r="X230" i="5" a="1"/>
  <c r="X230" i="5" s="1"/>
  <c r="W230" i="5" a="1"/>
  <c r="W230" i="5" s="1"/>
  <c r="Z230" i="5" a="1"/>
  <c r="Z230" i="5" s="1"/>
  <c r="Y230" i="5" a="1"/>
  <c r="Y230" i="5" s="1"/>
  <c r="Z62" i="8"/>
  <c r="AA62" i="8"/>
  <c r="U62" i="8"/>
  <c r="V62" i="8"/>
  <c r="AD62" i="8"/>
  <c r="W62" i="8"/>
  <c r="AE62" i="8"/>
  <c r="X62" i="8"/>
  <c r="U230" i="5" a="1"/>
  <c r="U230" i="5" s="1"/>
  <c r="V230" i="5" a="1"/>
  <c r="V230" i="5" s="1"/>
  <c r="T62" i="8" s="1"/>
  <c r="S230" i="5" a="1"/>
  <c r="S230" i="5" s="1"/>
  <c r="Q62" i="8" s="1"/>
  <c r="E230" i="5" a="1"/>
  <c r="E230" i="5" s="1"/>
  <c r="H230" i="5" a="1"/>
  <c r="H230" i="5" s="1"/>
  <c r="I230" i="5" a="1"/>
  <c r="I230" i="5" s="1"/>
  <c r="K230" i="5" a="1"/>
  <c r="K230" i="5" s="1"/>
  <c r="F230" i="5" a="1"/>
  <c r="F230" i="5" s="1"/>
  <c r="Q230" i="5" a="1"/>
  <c r="Q230" i="5" s="1"/>
  <c r="O62" i="8" s="1"/>
  <c r="P230" i="5" a="1"/>
  <c r="P230" i="5" s="1"/>
  <c r="O230" i="5" a="1"/>
  <c r="O230" i="5" s="1"/>
  <c r="R230" i="5" a="1"/>
  <c r="R230" i="5" s="1"/>
  <c r="P62" i="8" s="1"/>
  <c r="L230" i="5" a="1"/>
  <c r="L230" i="5" s="1"/>
  <c r="N230" i="5" a="1"/>
  <c r="N230" i="5" s="1"/>
  <c r="J230" i="5" a="1"/>
  <c r="J230" i="5" s="1"/>
  <c r="M230" i="5" a="1"/>
  <c r="M230" i="5" s="1"/>
  <c r="K62" i="8" s="1"/>
  <c r="G230" i="5" a="1"/>
  <c r="G230" i="5" s="1"/>
  <c r="D230" i="5" a="1"/>
  <c r="D230" i="5" s="1"/>
  <c r="C231" i="5"/>
  <c r="T231" i="5" l="1" a="1"/>
  <c r="T231" i="5" s="1"/>
  <c r="AG231" i="5" a="1"/>
  <c r="AG231" i="5" s="1"/>
  <c r="AF231" i="5" a="1"/>
  <c r="AF231" i="5" s="1"/>
  <c r="AE231" i="5" a="1"/>
  <c r="AE231" i="5" s="1"/>
  <c r="AD231" i="5" a="1"/>
  <c r="AD231" i="5" s="1"/>
  <c r="AC231" i="5" a="1"/>
  <c r="AC231" i="5" s="1"/>
  <c r="AB231" i="5" a="1"/>
  <c r="AB231" i="5" s="1"/>
  <c r="AA231" i="5" a="1"/>
  <c r="AA231" i="5" s="1"/>
  <c r="Z231" i="5" a="1"/>
  <c r="Z231" i="5" s="1"/>
  <c r="Y231" i="5" a="1"/>
  <c r="Y231" i="5" s="1"/>
  <c r="X231" i="5" a="1"/>
  <c r="X231" i="5" s="1"/>
  <c r="W231" i="5" a="1"/>
  <c r="W231" i="5" s="1"/>
  <c r="V231" i="5" a="1"/>
  <c r="V231" i="5" s="1"/>
  <c r="S231" i="5" a="1"/>
  <c r="S231" i="5" s="1"/>
  <c r="U231" i="5" a="1"/>
  <c r="U231" i="5" s="1"/>
  <c r="E231" i="5" a="1"/>
  <c r="E231" i="5" s="1"/>
  <c r="H231" i="5" a="1"/>
  <c r="H231" i="5" s="1"/>
  <c r="Q231" i="5" a="1"/>
  <c r="Q231" i="5" s="1"/>
  <c r="O231" i="5" a="1"/>
  <c r="O231" i="5" s="1"/>
  <c r="F231" i="5" a="1"/>
  <c r="F231" i="5" s="1"/>
  <c r="K231" i="5" a="1"/>
  <c r="K231" i="5" s="1"/>
  <c r="P231" i="5" a="1"/>
  <c r="P231" i="5" s="1"/>
  <c r="R231" i="5" a="1"/>
  <c r="R231" i="5" s="1"/>
  <c r="J231" i="5" a="1"/>
  <c r="J231" i="5" s="1"/>
  <c r="N231" i="5" a="1"/>
  <c r="N231" i="5" s="1"/>
  <c r="L231" i="5" a="1"/>
  <c r="L231" i="5" s="1"/>
  <c r="I231" i="5" a="1"/>
  <c r="I231" i="5" s="1"/>
  <c r="G231" i="5" a="1"/>
  <c r="G231" i="5" s="1"/>
  <c r="M231" i="5" a="1"/>
  <c r="M231" i="5" s="1"/>
  <c r="D231" i="5" a="1"/>
  <c r="D231" i="5" s="1"/>
  <c r="C232" i="5"/>
  <c r="T232" i="5" l="1" a="1"/>
  <c r="T232" i="5" s="1"/>
  <c r="AG232" i="5" a="1"/>
  <c r="AG232" i="5" s="1"/>
  <c r="AF232" i="5" a="1"/>
  <c r="AF232" i="5" s="1"/>
  <c r="AB232" i="5" a="1"/>
  <c r="AB232" i="5" s="1"/>
  <c r="AE232" i="5" a="1"/>
  <c r="AE232" i="5" s="1"/>
  <c r="AD232" i="5" a="1"/>
  <c r="AD232" i="5" s="1"/>
  <c r="AC232" i="5" a="1"/>
  <c r="AC232" i="5" s="1"/>
  <c r="AA232" i="5" a="1"/>
  <c r="AA232" i="5" s="1"/>
  <c r="X232" i="5" a="1"/>
  <c r="X232" i="5" s="1"/>
  <c r="W232" i="5" a="1"/>
  <c r="W232" i="5" s="1"/>
  <c r="Z232" i="5" a="1"/>
  <c r="Z232" i="5" s="1"/>
  <c r="Y232" i="5" a="1"/>
  <c r="Y232" i="5" s="1"/>
  <c r="V232" i="5" a="1"/>
  <c r="V232" i="5" s="1"/>
  <c r="U232" i="5" a="1"/>
  <c r="U232" i="5" s="1"/>
  <c r="S232" i="5" a="1"/>
  <c r="S232" i="5" s="1"/>
  <c r="E232" i="5" a="1"/>
  <c r="E232" i="5" s="1"/>
  <c r="H232" i="5" a="1"/>
  <c r="H232" i="5" s="1"/>
  <c r="I232" i="5" a="1"/>
  <c r="I232" i="5" s="1"/>
  <c r="Q232" i="5" a="1"/>
  <c r="Q232" i="5" s="1"/>
  <c r="O232" i="5" a="1"/>
  <c r="O232" i="5" s="1"/>
  <c r="F232" i="5" a="1"/>
  <c r="F232" i="5" s="1"/>
  <c r="P232" i="5" a="1"/>
  <c r="P232" i="5" s="1"/>
  <c r="K232" i="5" a="1"/>
  <c r="K232" i="5" s="1"/>
  <c r="J232" i="5" a="1"/>
  <c r="J232" i="5" s="1"/>
  <c r="L232" i="5" a="1"/>
  <c r="L232" i="5" s="1"/>
  <c r="R232" i="5" a="1"/>
  <c r="R232" i="5" s="1"/>
  <c r="G232" i="5" a="1"/>
  <c r="G232" i="5" s="1"/>
  <c r="N232" i="5" a="1"/>
  <c r="N232" i="5" s="1"/>
  <c r="M232" i="5" a="1"/>
  <c r="M232" i="5" s="1"/>
  <c r="D232" i="5" a="1"/>
  <c r="D232" i="5" s="1"/>
  <c r="C233" i="5"/>
  <c r="T233" i="5" l="1" a="1"/>
  <c r="T233" i="5" s="1"/>
  <c r="AG233" i="5" a="1"/>
  <c r="AG233" i="5" s="1"/>
  <c r="AF233" i="5" a="1"/>
  <c r="AF233" i="5" s="1"/>
  <c r="AE233" i="5" a="1"/>
  <c r="AE233" i="5" s="1"/>
  <c r="AD233" i="5" a="1"/>
  <c r="AD233" i="5" s="1"/>
  <c r="AC233" i="5" a="1"/>
  <c r="AC233" i="5" s="1"/>
  <c r="AB233" i="5" a="1"/>
  <c r="AB233" i="5" s="1"/>
  <c r="AA233" i="5" a="1"/>
  <c r="AA233" i="5" s="1"/>
  <c r="Z233" i="5" a="1"/>
  <c r="Z233" i="5" s="1"/>
  <c r="Y233" i="5" a="1"/>
  <c r="Y233" i="5" s="1"/>
  <c r="X233" i="5" a="1"/>
  <c r="X233" i="5" s="1"/>
  <c r="W233" i="5" a="1"/>
  <c r="W233" i="5" s="1"/>
  <c r="V233" i="5" a="1"/>
  <c r="V233" i="5" s="1"/>
  <c r="U233" i="5" a="1"/>
  <c r="U233" i="5" s="1"/>
  <c r="S233" i="5" a="1"/>
  <c r="S233" i="5" s="1"/>
  <c r="E233" i="5" a="1"/>
  <c r="E233" i="5" s="1"/>
  <c r="H233" i="5" a="1"/>
  <c r="H233" i="5" s="1"/>
  <c r="I233" i="5" a="1"/>
  <c r="I233" i="5" s="1"/>
  <c r="Q233" i="5" a="1"/>
  <c r="Q233" i="5" s="1"/>
  <c r="F233" i="5" a="1"/>
  <c r="F233" i="5" s="1"/>
  <c r="P233" i="5" a="1"/>
  <c r="P233" i="5" s="1"/>
  <c r="O233" i="5" a="1"/>
  <c r="O233" i="5" s="1"/>
  <c r="K233" i="5" a="1"/>
  <c r="K233" i="5" s="1"/>
  <c r="J233" i="5" a="1"/>
  <c r="J233" i="5" s="1"/>
  <c r="N233" i="5" a="1"/>
  <c r="N233" i="5" s="1"/>
  <c r="R233" i="5" a="1"/>
  <c r="R233" i="5" s="1"/>
  <c r="L233" i="5" a="1"/>
  <c r="L233" i="5" s="1"/>
  <c r="M233" i="5" a="1"/>
  <c r="M233" i="5" s="1"/>
  <c r="G233" i="5" a="1"/>
  <c r="G233" i="5" s="1"/>
  <c r="D233" i="5" a="1"/>
  <c r="D233" i="5" s="1"/>
  <c r="C234" i="5"/>
  <c r="R63" i="8" l="1"/>
  <c r="T234" i="5" a="1"/>
  <c r="T234" i="5" s="1"/>
  <c r="AG234" i="5" a="1"/>
  <c r="AG234" i="5" s="1"/>
  <c r="AF234" i="5" a="1"/>
  <c r="AF234" i="5" s="1"/>
  <c r="AB234" i="5" a="1"/>
  <c r="AB234" i="5" s="1"/>
  <c r="Z63" i="8" s="1"/>
  <c r="AE234" i="5" a="1"/>
  <c r="AE234" i="5" s="1"/>
  <c r="AC234" i="5" a="1"/>
  <c r="AC234" i="5" s="1"/>
  <c r="AD234" i="5" a="1"/>
  <c r="AD234" i="5" s="1"/>
  <c r="AA234" i="5" a="1"/>
  <c r="AA234" i="5" s="1"/>
  <c r="X234" i="5" a="1"/>
  <c r="X234" i="5" s="1"/>
  <c r="V63" i="8" s="1"/>
  <c r="W234" i="5" a="1"/>
  <c r="W234" i="5" s="1"/>
  <c r="Z234" i="5" a="1"/>
  <c r="Z234" i="5" s="1"/>
  <c r="Y234" i="5" a="1"/>
  <c r="Y234" i="5" s="1"/>
  <c r="AA63" i="8"/>
  <c r="AB63" i="8"/>
  <c r="U63" i="8"/>
  <c r="AC63" i="8"/>
  <c r="AD63" i="8"/>
  <c r="W63" i="8"/>
  <c r="AE63" i="8"/>
  <c r="X63" i="8"/>
  <c r="V234" i="5" a="1"/>
  <c r="V234" i="5" s="1"/>
  <c r="T63" i="8" s="1"/>
  <c r="U234" i="5" a="1"/>
  <c r="U234" i="5" s="1"/>
  <c r="S234" i="5" a="1"/>
  <c r="S234" i="5" s="1"/>
  <c r="Q63" i="8" s="1"/>
  <c r="E234" i="5" a="1"/>
  <c r="E234" i="5" s="1"/>
  <c r="H234" i="5" a="1"/>
  <c r="H234" i="5" s="1"/>
  <c r="Q234" i="5" a="1"/>
  <c r="Q234" i="5" s="1"/>
  <c r="I234" i="5" a="1"/>
  <c r="I234" i="5" s="1"/>
  <c r="F234" i="5" a="1"/>
  <c r="F234" i="5" s="1"/>
  <c r="K234" i="5" a="1"/>
  <c r="K234" i="5" s="1"/>
  <c r="P234" i="5" a="1"/>
  <c r="P234" i="5" s="1"/>
  <c r="O234" i="5" a="1"/>
  <c r="O234" i="5" s="1"/>
  <c r="M63" i="8" s="1"/>
  <c r="R234" i="5" a="1"/>
  <c r="R234" i="5" s="1"/>
  <c r="P63" i="8" s="1"/>
  <c r="L234" i="5" a="1"/>
  <c r="L234" i="5" s="1"/>
  <c r="N234" i="5" a="1"/>
  <c r="N234" i="5" s="1"/>
  <c r="J234" i="5" a="1"/>
  <c r="J234" i="5" s="1"/>
  <c r="M234" i="5" a="1"/>
  <c r="M234" i="5" s="1"/>
  <c r="G234" i="5" a="1"/>
  <c r="G234" i="5" s="1"/>
  <c r="D234" i="5" a="1"/>
  <c r="D234" i="5" s="1"/>
  <c r="C235" i="5"/>
  <c r="T235" i="5" l="1" a="1"/>
  <c r="T235" i="5" s="1"/>
  <c r="AG235" i="5" a="1"/>
  <c r="AG235" i="5" s="1"/>
  <c r="AF235" i="5" a="1"/>
  <c r="AF235" i="5" s="1"/>
  <c r="AE235" i="5" a="1"/>
  <c r="AE235" i="5" s="1"/>
  <c r="AD235" i="5" a="1"/>
  <c r="AD235" i="5" s="1"/>
  <c r="AC235" i="5" a="1"/>
  <c r="AC235" i="5" s="1"/>
  <c r="AB235" i="5" a="1"/>
  <c r="AB235" i="5" s="1"/>
  <c r="AA235" i="5" a="1"/>
  <c r="AA235" i="5" s="1"/>
  <c r="Z235" i="5" a="1"/>
  <c r="Z235" i="5" s="1"/>
  <c r="Y235" i="5" a="1"/>
  <c r="Y235" i="5" s="1"/>
  <c r="X235" i="5" a="1"/>
  <c r="X235" i="5" s="1"/>
  <c r="W235" i="5" a="1"/>
  <c r="W235" i="5" s="1"/>
  <c r="U235" i="5" a="1"/>
  <c r="U235" i="5" s="1"/>
  <c r="V235" i="5" a="1"/>
  <c r="V235" i="5" s="1"/>
  <c r="S235" i="5" a="1"/>
  <c r="S235" i="5" s="1"/>
  <c r="E235" i="5" a="1"/>
  <c r="E235" i="5" s="1"/>
  <c r="H235" i="5" a="1"/>
  <c r="H235" i="5" s="1"/>
  <c r="Q235" i="5" a="1"/>
  <c r="Q235" i="5" s="1"/>
  <c r="P235" i="5" a="1"/>
  <c r="P235" i="5" s="1"/>
  <c r="I235" i="5" a="1"/>
  <c r="I235" i="5" s="1"/>
  <c r="F235" i="5" a="1"/>
  <c r="F235" i="5" s="1"/>
  <c r="O235" i="5" a="1"/>
  <c r="O235" i="5" s="1"/>
  <c r="K235" i="5" a="1"/>
  <c r="K235" i="5" s="1"/>
  <c r="L235" i="5" a="1"/>
  <c r="L235" i="5" s="1"/>
  <c r="N235" i="5" a="1"/>
  <c r="N235" i="5" s="1"/>
  <c r="R235" i="5" a="1"/>
  <c r="R235" i="5" s="1"/>
  <c r="J235" i="5" a="1"/>
  <c r="J235" i="5" s="1"/>
  <c r="G235" i="5" a="1"/>
  <c r="G235" i="5" s="1"/>
  <c r="M235" i="5" a="1"/>
  <c r="M235" i="5" s="1"/>
  <c r="D235" i="5" a="1"/>
  <c r="D235" i="5" s="1"/>
  <c r="C236" i="5"/>
  <c r="T236" i="5" l="1" a="1"/>
  <c r="T236" i="5" s="1"/>
  <c r="AG236" i="5" a="1"/>
  <c r="AG236" i="5" s="1"/>
  <c r="AF236" i="5" a="1"/>
  <c r="AF236" i="5" s="1"/>
  <c r="AB236" i="5" a="1"/>
  <c r="AB236" i="5" s="1"/>
  <c r="AE236" i="5" a="1"/>
  <c r="AE236" i="5" s="1"/>
  <c r="AD236" i="5" a="1"/>
  <c r="AD236" i="5" s="1"/>
  <c r="AC236" i="5" a="1"/>
  <c r="AC236" i="5" s="1"/>
  <c r="AA236" i="5" a="1"/>
  <c r="AA236" i="5" s="1"/>
  <c r="X236" i="5" a="1"/>
  <c r="X236" i="5" s="1"/>
  <c r="W236" i="5" a="1"/>
  <c r="W236" i="5" s="1"/>
  <c r="Z236" i="5" a="1"/>
  <c r="Z236" i="5" s="1"/>
  <c r="Y236" i="5" a="1"/>
  <c r="Y236" i="5" s="1"/>
  <c r="U236" i="5" a="1"/>
  <c r="U236" i="5" s="1"/>
  <c r="V236" i="5" a="1"/>
  <c r="V236" i="5" s="1"/>
  <c r="S236" i="5" a="1"/>
  <c r="S236" i="5" s="1"/>
  <c r="E236" i="5" a="1"/>
  <c r="E236" i="5" s="1"/>
  <c r="H236" i="5" a="1"/>
  <c r="H236" i="5" s="1"/>
  <c r="I236" i="5" a="1"/>
  <c r="I236" i="5" s="1"/>
  <c r="Q236" i="5" a="1"/>
  <c r="Q236" i="5" s="1"/>
  <c r="F236" i="5" a="1"/>
  <c r="F236" i="5" s="1"/>
  <c r="K236" i="5" a="1"/>
  <c r="K236" i="5" s="1"/>
  <c r="P236" i="5" a="1"/>
  <c r="P236" i="5" s="1"/>
  <c r="L236" i="5" a="1"/>
  <c r="L236" i="5" s="1"/>
  <c r="O236" i="5" a="1"/>
  <c r="O236" i="5" s="1"/>
  <c r="R236" i="5" a="1"/>
  <c r="R236" i="5" s="1"/>
  <c r="M236" i="5" a="1"/>
  <c r="M236" i="5" s="1"/>
  <c r="G236" i="5" a="1"/>
  <c r="G236" i="5" s="1"/>
  <c r="N236" i="5" a="1"/>
  <c r="N236" i="5" s="1"/>
  <c r="J236" i="5" a="1"/>
  <c r="J236" i="5" s="1"/>
  <c r="D236" i="5" a="1"/>
  <c r="D236" i="5" s="1"/>
  <c r="C237" i="5"/>
  <c r="T237" i="5" l="1" a="1"/>
  <c r="T237" i="5" s="1"/>
  <c r="AG237" i="5" a="1"/>
  <c r="AG237" i="5" s="1"/>
  <c r="AF237" i="5" a="1"/>
  <c r="AF237" i="5" s="1"/>
  <c r="AE237" i="5" a="1"/>
  <c r="AE237" i="5" s="1"/>
  <c r="AD237" i="5" a="1"/>
  <c r="AD237" i="5" s="1"/>
  <c r="AC237" i="5" a="1"/>
  <c r="AC237" i="5" s="1"/>
  <c r="AB237" i="5" a="1"/>
  <c r="AB237" i="5" s="1"/>
  <c r="AA237" i="5" a="1"/>
  <c r="AA237" i="5" s="1"/>
  <c r="Z237" i="5" a="1"/>
  <c r="Z237" i="5" s="1"/>
  <c r="Y237" i="5" a="1"/>
  <c r="Y237" i="5" s="1"/>
  <c r="X237" i="5" a="1"/>
  <c r="X237" i="5" s="1"/>
  <c r="W237" i="5" a="1"/>
  <c r="W237" i="5" s="1"/>
  <c r="U237" i="5" a="1"/>
  <c r="U237" i="5" s="1"/>
  <c r="V237" i="5" a="1"/>
  <c r="V237" i="5" s="1"/>
  <c r="S237" i="5" a="1"/>
  <c r="S237" i="5" s="1"/>
  <c r="E237" i="5" a="1"/>
  <c r="E237" i="5" s="1"/>
  <c r="H237" i="5" a="1"/>
  <c r="H237" i="5" s="1"/>
  <c r="I237" i="5" a="1"/>
  <c r="I237" i="5" s="1"/>
  <c r="Q237" i="5" a="1"/>
  <c r="Q237" i="5" s="1"/>
  <c r="O237" i="5" a="1"/>
  <c r="O237" i="5" s="1"/>
  <c r="F237" i="5" a="1"/>
  <c r="F237" i="5" s="1"/>
  <c r="K237" i="5" a="1"/>
  <c r="K237" i="5" s="1"/>
  <c r="P237" i="5" a="1"/>
  <c r="P237" i="5" s="1"/>
  <c r="R237" i="5" a="1"/>
  <c r="R237" i="5" s="1"/>
  <c r="L237" i="5" a="1"/>
  <c r="L237" i="5" s="1"/>
  <c r="N237" i="5" a="1"/>
  <c r="N237" i="5" s="1"/>
  <c r="M237" i="5" a="1"/>
  <c r="M237" i="5" s="1"/>
  <c r="J237" i="5" a="1"/>
  <c r="J237" i="5" s="1"/>
  <c r="G237" i="5" a="1"/>
  <c r="G237" i="5" s="1"/>
  <c r="D237" i="5" a="1"/>
  <c r="D237" i="5" s="1"/>
  <c r="C238" i="5"/>
  <c r="R64" i="8" l="1"/>
  <c r="T238" i="5" a="1"/>
  <c r="T238" i="5" s="1"/>
  <c r="AG238" i="5" a="1"/>
  <c r="AG238" i="5" s="1"/>
  <c r="AF238" i="5" a="1"/>
  <c r="AF238" i="5" s="1"/>
  <c r="AB238" i="5" a="1"/>
  <c r="AB238" i="5" s="1"/>
  <c r="AE238" i="5" a="1"/>
  <c r="AE238" i="5" s="1"/>
  <c r="AD238" i="5" a="1"/>
  <c r="AD238" i="5" s="1"/>
  <c r="AC238" i="5" a="1"/>
  <c r="AC238" i="5" s="1"/>
  <c r="AA64" i="8" s="1"/>
  <c r="AA238" i="5" a="1"/>
  <c r="AA238" i="5" s="1"/>
  <c r="X238" i="5" a="1"/>
  <c r="X238" i="5" s="1"/>
  <c r="W238" i="5" a="1"/>
  <c r="W238" i="5" s="1"/>
  <c r="Z238" i="5" a="1"/>
  <c r="Z238" i="5" s="1"/>
  <c r="Y238" i="5" a="1"/>
  <c r="Y238" i="5" s="1"/>
  <c r="Z64" i="8"/>
  <c r="AB64" i="8"/>
  <c r="U64" i="8"/>
  <c r="AC64" i="8"/>
  <c r="V64" i="8"/>
  <c r="AD64" i="8"/>
  <c r="W64" i="8"/>
  <c r="AE64" i="8"/>
  <c r="X64" i="8"/>
  <c r="U238" i="5" a="1"/>
  <c r="U238" i="5" s="1"/>
  <c r="S64" i="8" s="1"/>
  <c r="V238" i="5" a="1"/>
  <c r="V238" i="5" s="1"/>
  <c r="S238" i="5" a="1"/>
  <c r="S238" i="5" s="1"/>
  <c r="Q64" i="8" s="1"/>
  <c r="E238" i="5" a="1"/>
  <c r="E238" i="5" s="1"/>
  <c r="H238" i="5" a="1"/>
  <c r="H238" i="5" s="1"/>
  <c r="I238" i="5" a="1"/>
  <c r="I238" i="5" s="1"/>
  <c r="Q238" i="5" a="1"/>
  <c r="Q238" i="5" s="1"/>
  <c r="O64" i="8" s="1"/>
  <c r="O238" i="5" a="1"/>
  <c r="O238" i="5" s="1"/>
  <c r="P238" i="5" a="1"/>
  <c r="P238" i="5" s="1"/>
  <c r="K238" i="5" a="1"/>
  <c r="K238" i="5" s="1"/>
  <c r="F238" i="5" a="1"/>
  <c r="F238" i="5" s="1"/>
  <c r="N238" i="5" a="1"/>
  <c r="N238" i="5" s="1"/>
  <c r="L64" i="8" s="1"/>
  <c r="L238" i="5" a="1"/>
  <c r="L238" i="5" s="1"/>
  <c r="R238" i="5" a="1"/>
  <c r="R238" i="5" s="1"/>
  <c r="J238" i="5" a="1"/>
  <c r="J238" i="5" s="1"/>
  <c r="M238" i="5" a="1"/>
  <c r="M238" i="5" s="1"/>
  <c r="G238" i="5" a="1"/>
  <c r="G238" i="5" s="1"/>
  <c r="D238" i="5" a="1"/>
  <c r="D238" i="5" s="1"/>
  <c r="C239" i="5"/>
  <c r="T239" i="5" l="1" a="1"/>
  <c r="T239" i="5" s="1"/>
  <c r="AG239" i="5" a="1"/>
  <c r="AG239" i="5" s="1"/>
  <c r="AF239" i="5" a="1"/>
  <c r="AF239" i="5" s="1"/>
  <c r="AE239" i="5" a="1"/>
  <c r="AE239" i="5" s="1"/>
  <c r="AD239" i="5" a="1"/>
  <c r="AD239" i="5" s="1"/>
  <c r="AC239" i="5" a="1"/>
  <c r="AC239" i="5" s="1"/>
  <c r="AB239" i="5" a="1"/>
  <c r="AB239" i="5" s="1"/>
  <c r="AA239" i="5" a="1"/>
  <c r="AA239" i="5" s="1"/>
  <c r="Z239" i="5" a="1"/>
  <c r="Z239" i="5" s="1"/>
  <c r="Y239" i="5" a="1"/>
  <c r="Y239" i="5" s="1"/>
  <c r="X239" i="5" a="1"/>
  <c r="X239" i="5" s="1"/>
  <c r="W239" i="5" a="1"/>
  <c r="W239" i="5" s="1"/>
  <c r="V239" i="5" a="1"/>
  <c r="V239" i="5" s="1"/>
  <c r="U239" i="5" a="1"/>
  <c r="U239" i="5" s="1"/>
  <c r="S239" i="5" a="1"/>
  <c r="S239" i="5" s="1"/>
  <c r="E239" i="5" a="1"/>
  <c r="E239" i="5" s="1"/>
  <c r="H239" i="5" a="1"/>
  <c r="H239" i="5" s="1"/>
  <c r="Q239" i="5" a="1"/>
  <c r="Q239" i="5" s="1"/>
  <c r="I239" i="5" a="1"/>
  <c r="I239" i="5" s="1"/>
  <c r="F239" i="5" a="1"/>
  <c r="F239" i="5" s="1"/>
  <c r="K239" i="5" a="1"/>
  <c r="K239" i="5" s="1"/>
  <c r="P239" i="5" a="1"/>
  <c r="P239" i="5" s="1"/>
  <c r="R239" i="5" a="1"/>
  <c r="R239" i="5" s="1"/>
  <c r="L239" i="5" a="1"/>
  <c r="L239" i="5" s="1"/>
  <c r="O239" i="5" a="1"/>
  <c r="O239" i="5" s="1"/>
  <c r="N239" i="5" a="1"/>
  <c r="N239" i="5" s="1"/>
  <c r="J239" i="5" a="1"/>
  <c r="J239" i="5" s="1"/>
  <c r="G239" i="5" a="1"/>
  <c r="G239" i="5" s="1"/>
  <c r="M239" i="5" a="1"/>
  <c r="M239" i="5" s="1"/>
  <c r="D239" i="5" a="1"/>
  <c r="D239" i="5" s="1"/>
  <c r="C240" i="5"/>
  <c r="T240" i="5" l="1" a="1"/>
  <c r="T240" i="5" s="1"/>
  <c r="AG240" i="5" a="1"/>
  <c r="AG240" i="5" s="1"/>
  <c r="AF240" i="5" a="1"/>
  <c r="AF240" i="5" s="1"/>
  <c r="AB240" i="5" a="1"/>
  <c r="AB240" i="5" s="1"/>
  <c r="AE240" i="5" a="1"/>
  <c r="AE240" i="5" s="1"/>
  <c r="AD240" i="5" a="1"/>
  <c r="AD240" i="5" s="1"/>
  <c r="AC240" i="5" a="1"/>
  <c r="AC240" i="5" s="1"/>
  <c r="AA240" i="5" a="1"/>
  <c r="AA240" i="5" s="1"/>
  <c r="X240" i="5" a="1"/>
  <c r="X240" i="5" s="1"/>
  <c r="W240" i="5" a="1"/>
  <c r="W240" i="5" s="1"/>
  <c r="Z240" i="5" a="1"/>
  <c r="Z240" i="5" s="1"/>
  <c r="Y240" i="5" a="1"/>
  <c r="Y240" i="5" s="1"/>
  <c r="V240" i="5" a="1"/>
  <c r="V240" i="5" s="1"/>
  <c r="U240" i="5" a="1"/>
  <c r="U240" i="5" s="1"/>
  <c r="S240" i="5" a="1"/>
  <c r="S240" i="5" s="1"/>
  <c r="E240" i="5" a="1"/>
  <c r="E240" i="5" s="1"/>
  <c r="H240" i="5" a="1"/>
  <c r="H240" i="5" s="1"/>
  <c r="I240" i="5" a="1"/>
  <c r="I240" i="5" s="1"/>
  <c r="K240" i="5" a="1"/>
  <c r="K240" i="5" s="1"/>
  <c r="O240" i="5" a="1"/>
  <c r="O240" i="5" s="1"/>
  <c r="Q240" i="5" a="1"/>
  <c r="Q240" i="5" s="1"/>
  <c r="F240" i="5" a="1"/>
  <c r="F240" i="5" s="1"/>
  <c r="P240" i="5" a="1"/>
  <c r="P240" i="5" s="1"/>
  <c r="R240" i="5" a="1"/>
  <c r="R240" i="5" s="1"/>
  <c r="L240" i="5" a="1"/>
  <c r="L240" i="5" s="1"/>
  <c r="M240" i="5" a="1"/>
  <c r="M240" i="5" s="1"/>
  <c r="J240" i="5" a="1"/>
  <c r="J240" i="5" s="1"/>
  <c r="N240" i="5" a="1"/>
  <c r="N240" i="5" s="1"/>
  <c r="G240" i="5" a="1"/>
  <c r="G240" i="5" s="1"/>
  <c r="D240" i="5" a="1"/>
  <c r="D240" i="5" s="1"/>
  <c r="C241" i="5"/>
  <c r="T241" i="5" l="1" a="1"/>
  <c r="T241" i="5" s="1"/>
  <c r="AG241" i="5" a="1"/>
  <c r="AG241" i="5" s="1"/>
  <c r="AF241" i="5" a="1"/>
  <c r="AF241" i="5" s="1"/>
  <c r="AE241" i="5" a="1"/>
  <c r="AE241" i="5" s="1"/>
  <c r="AD241" i="5" a="1"/>
  <c r="AD241" i="5" s="1"/>
  <c r="AC241" i="5" a="1"/>
  <c r="AC241" i="5" s="1"/>
  <c r="AB241" i="5" a="1"/>
  <c r="AB241" i="5" s="1"/>
  <c r="AA241" i="5" a="1"/>
  <c r="AA241" i="5" s="1"/>
  <c r="Z241" i="5" a="1"/>
  <c r="Z241" i="5" s="1"/>
  <c r="Y241" i="5" a="1"/>
  <c r="Y241" i="5" s="1"/>
  <c r="X241" i="5" a="1"/>
  <c r="X241" i="5" s="1"/>
  <c r="W241" i="5" a="1"/>
  <c r="W241" i="5" s="1"/>
  <c r="V241" i="5" a="1"/>
  <c r="V241" i="5" s="1"/>
  <c r="U241" i="5" a="1"/>
  <c r="U241" i="5" s="1"/>
  <c r="S241" i="5" a="1"/>
  <c r="S241" i="5" s="1"/>
  <c r="E241" i="5" a="1"/>
  <c r="E241" i="5" s="1"/>
  <c r="H241" i="5" a="1"/>
  <c r="H241" i="5" s="1"/>
  <c r="Q241" i="5" a="1"/>
  <c r="Q241" i="5" s="1"/>
  <c r="I241" i="5" a="1"/>
  <c r="I241" i="5" s="1"/>
  <c r="P241" i="5" a="1"/>
  <c r="P241" i="5" s="1"/>
  <c r="F241" i="5" a="1"/>
  <c r="F241" i="5" s="1"/>
  <c r="K241" i="5" a="1"/>
  <c r="K241" i="5" s="1"/>
  <c r="O241" i="5" a="1"/>
  <c r="O241" i="5" s="1"/>
  <c r="N241" i="5" a="1"/>
  <c r="N241" i="5" s="1"/>
  <c r="J241" i="5" a="1"/>
  <c r="J241" i="5" s="1"/>
  <c r="L241" i="5" a="1"/>
  <c r="L241" i="5" s="1"/>
  <c r="R241" i="5" a="1"/>
  <c r="R241" i="5" s="1"/>
  <c r="M241" i="5" a="1"/>
  <c r="M241" i="5" s="1"/>
  <c r="G241" i="5" a="1"/>
  <c r="G241" i="5" s="1"/>
  <c r="D241" i="5" a="1"/>
  <c r="D241" i="5" s="1"/>
  <c r="C242" i="5"/>
  <c r="T242" i="5" l="1" a="1"/>
  <c r="T242" i="5" s="1"/>
  <c r="R65" i="8" s="1"/>
  <c r="AG242" i="5" a="1"/>
  <c r="AG242" i="5" s="1"/>
  <c r="AF242" i="5" a="1"/>
  <c r="AF242" i="5" s="1"/>
  <c r="AB242" i="5" a="1"/>
  <c r="AB242" i="5" s="1"/>
  <c r="AE242" i="5" a="1"/>
  <c r="AE242" i="5" s="1"/>
  <c r="AD242" i="5" a="1"/>
  <c r="AD242" i="5" s="1"/>
  <c r="AC242" i="5" a="1"/>
  <c r="AC242" i="5" s="1"/>
  <c r="AA65" i="8" s="1"/>
  <c r="AA242" i="5" a="1"/>
  <c r="AA242" i="5" s="1"/>
  <c r="X242" i="5" a="1"/>
  <c r="X242" i="5" s="1"/>
  <c r="W242" i="5" a="1"/>
  <c r="W242" i="5" s="1"/>
  <c r="Z242" i="5" a="1"/>
  <c r="Z242" i="5" s="1"/>
  <c r="Y242" i="5" a="1"/>
  <c r="Y242" i="5" s="1"/>
  <c r="Z65" i="8"/>
  <c r="AB65" i="8"/>
  <c r="U65" i="8"/>
  <c r="AC65" i="8"/>
  <c r="V65" i="8"/>
  <c r="AD65" i="8"/>
  <c r="W65" i="8"/>
  <c r="AE65" i="8"/>
  <c r="X65" i="8"/>
  <c r="V242" i="5" a="1"/>
  <c r="V242" i="5" s="1"/>
  <c r="U242" i="5" a="1"/>
  <c r="U242" i="5" s="1"/>
  <c r="S242" i="5" a="1"/>
  <c r="S242" i="5" s="1"/>
  <c r="Q65" i="8" s="1"/>
  <c r="E242" i="5" a="1"/>
  <c r="E242" i="5" s="1"/>
  <c r="H242" i="5" a="1"/>
  <c r="H242" i="5" s="1"/>
  <c r="I242" i="5" a="1"/>
  <c r="I242" i="5" s="1"/>
  <c r="Q242" i="5" a="1"/>
  <c r="Q242" i="5" s="1"/>
  <c r="O65" i="8" s="1"/>
  <c r="P242" i="5" a="1"/>
  <c r="P242" i="5" s="1"/>
  <c r="O242" i="5" a="1"/>
  <c r="O242" i="5" s="1"/>
  <c r="K242" i="5" a="1"/>
  <c r="K242" i="5" s="1"/>
  <c r="F242" i="5" a="1"/>
  <c r="F242" i="5" s="1"/>
  <c r="J242" i="5" a="1"/>
  <c r="J242" i="5" s="1"/>
  <c r="N242" i="5" a="1"/>
  <c r="N242" i="5" s="1"/>
  <c r="L65" i="8" s="1"/>
  <c r="R242" i="5" a="1"/>
  <c r="R242" i="5" s="1"/>
  <c r="M242" i="5" a="1"/>
  <c r="M242" i="5" s="1"/>
  <c r="K65" i="8" s="1"/>
  <c r="L242" i="5" a="1"/>
  <c r="L242" i="5" s="1"/>
  <c r="G242" i="5" a="1"/>
  <c r="G242" i="5" s="1"/>
  <c r="D242" i="5" a="1"/>
  <c r="D242" i="5" s="1"/>
  <c r="C243" i="5"/>
  <c r="T243" i="5" l="1" a="1"/>
  <c r="T243" i="5" s="1"/>
  <c r="AG243" i="5" a="1"/>
  <c r="AG243" i="5" s="1"/>
  <c r="AF243" i="5" a="1"/>
  <c r="AF243" i="5" s="1"/>
  <c r="AE243" i="5" a="1"/>
  <c r="AE243" i="5" s="1"/>
  <c r="AD243" i="5" a="1"/>
  <c r="AD243" i="5" s="1"/>
  <c r="AC243" i="5" a="1"/>
  <c r="AC243" i="5" s="1"/>
  <c r="AB243" i="5" a="1"/>
  <c r="AB243" i="5" s="1"/>
  <c r="AA243" i="5" a="1"/>
  <c r="AA243" i="5" s="1"/>
  <c r="Z243" i="5" a="1"/>
  <c r="Z243" i="5" s="1"/>
  <c r="Y243" i="5" a="1"/>
  <c r="Y243" i="5" s="1"/>
  <c r="X243" i="5" a="1"/>
  <c r="X243" i="5" s="1"/>
  <c r="W243" i="5" a="1"/>
  <c r="W243" i="5" s="1"/>
  <c r="U243" i="5" a="1"/>
  <c r="U243" i="5" s="1"/>
  <c r="V243" i="5" a="1"/>
  <c r="V243" i="5" s="1"/>
  <c r="S243" i="5" a="1"/>
  <c r="S243" i="5" s="1"/>
  <c r="E243" i="5" a="1"/>
  <c r="E243" i="5" s="1"/>
  <c r="H243" i="5" a="1"/>
  <c r="H243" i="5" s="1"/>
  <c r="Q243" i="5" a="1"/>
  <c r="Q243" i="5" s="1"/>
  <c r="I243" i="5" a="1"/>
  <c r="I243" i="5" s="1"/>
  <c r="F243" i="5" a="1"/>
  <c r="F243" i="5" s="1"/>
  <c r="K243" i="5" a="1"/>
  <c r="K243" i="5" s="1"/>
  <c r="O243" i="5" a="1"/>
  <c r="O243" i="5" s="1"/>
  <c r="P243" i="5" a="1"/>
  <c r="P243" i="5" s="1"/>
  <c r="N243" i="5" a="1"/>
  <c r="N243" i="5" s="1"/>
  <c r="L243" i="5" a="1"/>
  <c r="L243" i="5" s="1"/>
  <c r="R243" i="5" a="1"/>
  <c r="R243" i="5" s="1"/>
  <c r="J243" i="5" a="1"/>
  <c r="J243" i="5" s="1"/>
  <c r="M243" i="5" a="1"/>
  <c r="M243" i="5" s="1"/>
  <c r="G243" i="5" a="1"/>
  <c r="G243" i="5" s="1"/>
  <c r="D243" i="5" a="1"/>
  <c r="D243" i="5" s="1"/>
  <c r="C244" i="5"/>
  <c r="T244" i="5" l="1" a="1"/>
  <c r="T244" i="5" s="1"/>
  <c r="AG244" i="5" a="1"/>
  <c r="AG244" i="5" s="1"/>
  <c r="AF244" i="5" a="1"/>
  <c r="AF244" i="5" s="1"/>
  <c r="AB244" i="5" a="1"/>
  <c r="AB244" i="5" s="1"/>
  <c r="AE244" i="5" a="1"/>
  <c r="AE244" i="5" s="1"/>
  <c r="AD244" i="5" a="1"/>
  <c r="AD244" i="5" s="1"/>
  <c r="AC244" i="5" a="1"/>
  <c r="AC244" i="5" s="1"/>
  <c r="AA244" i="5" a="1"/>
  <c r="AA244" i="5" s="1"/>
  <c r="X244" i="5" a="1"/>
  <c r="X244" i="5" s="1"/>
  <c r="W244" i="5" a="1"/>
  <c r="W244" i="5" s="1"/>
  <c r="Z244" i="5" a="1"/>
  <c r="Z244" i="5" s="1"/>
  <c r="Y244" i="5" a="1"/>
  <c r="Y244" i="5" s="1"/>
  <c r="U244" i="5" a="1"/>
  <c r="U244" i="5" s="1"/>
  <c r="V244" i="5" a="1"/>
  <c r="V244" i="5" s="1"/>
  <c r="S244" i="5" a="1"/>
  <c r="S244" i="5" s="1"/>
  <c r="E244" i="5" a="1"/>
  <c r="E244" i="5" s="1"/>
  <c r="H244" i="5" a="1"/>
  <c r="H244" i="5" s="1"/>
  <c r="I244" i="5" a="1"/>
  <c r="I244" i="5" s="1"/>
  <c r="Q244" i="5" a="1"/>
  <c r="Q244" i="5" s="1"/>
  <c r="O244" i="5" a="1"/>
  <c r="O244" i="5" s="1"/>
  <c r="K244" i="5" a="1"/>
  <c r="K244" i="5" s="1"/>
  <c r="F244" i="5" a="1"/>
  <c r="F244" i="5" s="1"/>
  <c r="P244" i="5" a="1"/>
  <c r="P244" i="5" s="1"/>
  <c r="J244" i="5" a="1"/>
  <c r="J244" i="5" s="1"/>
  <c r="N244" i="5" a="1"/>
  <c r="N244" i="5" s="1"/>
  <c r="L244" i="5" a="1"/>
  <c r="L244" i="5" s="1"/>
  <c r="R244" i="5" a="1"/>
  <c r="R244" i="5" s="1"/>
  <c r="M244" i="5" a="1"/>
  <c r="M244" i="5" s="1"/>
  <c r="G244" i="5" a="1"/>
  <c r="G244" i="5" s="1"/>
  <c r="D244" i="5" a="1"/>
  <c r="D244" i="5" s="1"/>
  <c r="C245" i="5"/>
  <c r="T245" i="5" l="1" a="1"/>
  <c r="T245" i="5" s="1"/>
  <c r="AG245" i="5" a="1"/>
  <c r="AG245" i="5" s="1"/>
  <c r="AF245" i="5" a="1"/>
  <c r="AF245" i="5" s="1"/>
  <c r="AE245" i="5" a="1"/>
  <c r="AE245" i="5" s="1"/>
  <c r="AD245" i="5" a="1"/>
  <c r="AD245" i="5" s="1"/>
  <c r="AC245" i="5" a="1"/>
  <c r="AC245" i="5" s="1"/>
  <c r="AB245" i="5" a="1"/>
  <c r="AB245" i="5" s="1"/>
  <c r="AA245" i="5" a="1"/>
  <c r="AA245" i="5" s="1"/>
  <c r="Z245" i="5" a="1"/>
  <c r="Z245" i="5" s="1"/>
  <c r="Y245" i="5" a="1"/>
  <c r="Y245" i="5" s="1"/>
  <c r="X245" i="5" a="1"/>
  <c r="X245" i="5" s="1"/>
  <c r="W245" i="5" a="1"/>
  <c r="W245" i="5" s="1"/>
  <c r="U245" i="5" a="1"/>
  <c r="U245" i="5" s="1"/>
  <c r="V245" i="5" a="1"/>
  <c r="V245" i="5" s="1"/>
  <c r="S245" i="5" a="1"/>
  <c r="S245" i="5" s="1"/>
  <c r="E245" i="5" a="1"/>
  <c r="E245" i="5" s="1"/>
  <c r="H245" i="5" a="1"/>
  <c r="H245" i="5" s="1"/>
  <c r="I245" i="5" a="1"/>
  <c r="I245" i="5" s="1"/>
  <c r="Q245" i="5" a="1"/>
  <c r="Q245" i="5" s="1"/>
  <c r="P245" i="5" a="1"/>
  <c r="P245" i="5" s="1"/>
  <c r="K245" i="5" a="1"/>
  <c r="K245" i="5" s="1"/>
  <c r="F245" i="5" a="1"/>
  <c r="F245" i="5" s="1"/>
  <c r="N245" i="5" a="1"/>
  <c r="N245" i="5" s="1"/>
  <c r="O245" i="5" a="1"/>
  <c r="O245" i="5" s="1"/>
  <c r="L245" i="5" a="1"/>
  <c r="L245" i="5" s="1"/>
  <c r="R245" i="5" a="1"/>
  <c r="R245" i="5" s="1"/>
  <c r="J245" i="5" a="1"/>
  <c r="J245" i="5" s="1"/>
  <c r="M245" i="5" a="1"/>
  <c r="M245" i="5" s="1"/>
  <c r="G245" i="5" a="1"/>
  <c r="G245" i="5" s="1"/>
  <c r="D245" i="5" a="1"/>
  <c r="D245" i="5" s="1"/>
  <c r="C246" i="5"/>
  <c r="R66" i="8" l="1"/>
  <c r="T246" i="5" a="1"/>
  <c r="T246" i="5" s="1"/>
  <c r="AG246" i="5" a="1"/>
  <c r="AG246" i="5" s="1"/>
  <c r="AF246" i="5" a="1"/>
  <c r="AF246" i="5" s="1"/>
  <c r="AB246" i="5" a="1"/>
  <c r="AB246" i="5" s="1"/>
  <c r="AE246" i="5" a="1"/>
  <c r="AE246" i="5" s="1"/>
  <c r="AD246" i="5" a="1"/>
  <c r="AD246" i="5" s="1"/>
  <c r="AC246" i="5" a="1"/>
  <c r="AC246" i="5" s="1"/>
  <c r="AA66" i="8" s="1"/>
  <c r="AA246" i="5" a="1"/>
  <c r="AA246" i="5" s="1"/>
  <c r="X246" i="5" a="1"/>
  <c r="X246" i="5" s="1"/>
  <c r="W246" i="5" a="1"/>
  <c r="W246" i="5" s="1"/>
  <c r="Z246" i="5" a="1"/>
  <c r="Z246" i="5" s="1"/>
  <c r="Y246" i="5" a="1"/>
  <c r="Y246" i="5" s="1"/>
  <c r="Z66" i="8"/>
  <c r="AB66" i="8"/>
  <c r="U66" i="8"/>
  <c r="AC66" i="8"/>
  <c r="V66" i="8"/>
  <c r="AD66" i="8"/>
  <c r="W66" i="8"/>
  <c r="AE66" i="8"/>
  <c r="X66" i="8"/>
  <c r="U246" i="5" a="1"/>
  <c r="U246" i="5" s="1"/>
  <c r="S66" i="8" s="1"/>
  <c r="V246" i="5" a="1"/>
  <c r="V246" i="5" s="1"/>
  <c r="S246" i="5" a="1"/>
  <c r="S246" i="5" s="1"/>
  <c r="E246" i="5" a="1"/>
  <c r="E246" i="5" s="1"/>
  <c r="H246" i="5" a="1"/>
  <c r="H246" i="5" s="1"/>
  <c r="Q246" i="5" a="1"/>
  <c r="Q246" i="5" s="1"/>
  <c r="O66" i="8" s="1"/>
  <c r="I246" i="5" a="1"/>
  <c r="I246" i="5" s="1"/>
  <c r="K246" i="5" a="1"/>
  <c r="K246" i="5" s="1"/>
  <c r="F246" i="5" a="1"/>
  <c r="F246" i="5" s="1"/>
  <c r="P246" i="5" a="1"/>
  <c r="P246" i="5" s="1"/>
  <c r="N246" i="5" a="1"/>
  <c r="N246" i="5" s="1"/>
  <c r="R246" i="5" a="1"/>
  <c r="R246" i="5" s="1"/>
  <c r="P66" i="8" s="1"/>
  <c r="L246" i="5" a="1"/>
  <c r="L246" i="5" s="1"/>
  <c r="J246" i="5" a="1"/>
  <c r="J246" i="5" s="1"/>
  <c r="O246" i="5" a="1"/>
  <c r="O246" i="5" s="1"/>
  <c r="G246" i="5" a="1"/>
  <c r="G246" i="5" s="1"/>
  <c r="M246" i="5" a="1"/>
  <c r="M246" i="5" s="1"/>
  <c r="D246" i="5" a="1"/>
  <c r="D246" i="5" s="1"/>
  <c r="C247" i="5"/>
  <c r="T247" i="5" l="1" a="1"/>
  <c r="T247" i="5" s="1"/>
  <c r="AG247" i="5" a="1"/>
  <c r="AG247" i="5" s="1"/>
  <c r="AF247" i="5" a="1"/>
  <c r="AF247" i="5" s="1"/>
  <c r="AE247" i="5" a="1"/>
  <c r="AE247" i="5" s="1"/>
  <c r="AD247" i="5" a="1"/>
  <c r="AD247" i="5" s="1"/>
  <c r="AC247" i="5" a="1"/>
  <c r="AC247" i="5" s="1"/>
  <c r="AB247" i="5" a="1"/>
  <c r="AB247" i="5" s="1"/>
  <c r="AA247" i="5" a="1"/>
  <c r="AA247" i="5" s="1"/>
  <c r="Z247" i="5" a="1"/>
  <c r="Z247" i="5" s="1"/>
  <c r="Y247" i="5" a="1"/>
  <c r="Y247" i="5" s="1"/>
  <c r="X247" i="5" a="1"/>
  <c r="X247" i="5" s="1"/>
  <c r="W247" i="5" a="1"/>
  <c r="W247" i="5" s="1"/>
  <c r="V247" i="5" a="1"/>
  <c r="V247" i="5" s="1"/>
  <c r="U247" i="5" a="1"/>
  <c r="U247" i="5" s="1"/>
  <c r="S247" i="5" a="1"/>
  <c r="S247" i="5" s="1"/>
  <c r="E247" i="5" a="1"/>
  <c r="E247" i="5" s="1"/>
  <c r="H247" i="5" a="1"/>
  <c r="H247" i="5" s="1"/>
  <c r="I247" i="5" a="1"/>
  <c r="I247" i="5" s="1"/>
  <c r="Q247" i="5" a="1"/>
  <c r="Q247" i="5" s="1"/>
  <c r="F247" i="5" a="1"/>
  <c r="F247" i="5" s="1"/>
  <c r="O247" i="5" a="1"/>
  <c r="O247" i="5" s="1"/>
  <c r="P247" i="5" a="1"/>
  <c r="P247" i="5" s="1"/>
  <c r="K247" i="5" a="1"/>
  <c r="K247" i="5" s="1"/>
  <c r="N247" i="5" a="1"/>
  <c r="N247" i="5" s="1"/>
  <c r="J247" i="5" a="1"/>
  <c r="J247" i="5" s="1"/>
  <c r="L247" i="5" a="1"/>
  <c r="L247" i="5" s="1"/>
  <c r="G247" i="5" a="1"/>
  <c r="G247" i="5" s="1"/>
  <c r="R247" i="5" a="1"/>
  <c r="R247" i="5" s="1"/>
  <c r="M247" i="5" a="1"/>
  <c r="M247" i="5" s="1"/>
  <c r="D247" i="5" a="1"/>
  <c r="D247" i="5" s="1"/>
  <c r="C248" i="5"/>
  <c r="T248" i="5" l="1" a="1"/>
  <c r="T248" i="5" s="1"/>
  <c r="AG248" i="5" a="1"/>
  <c r="AG248" i="5" s="1"/>
  <c r="AF248" i="5" a="1"/>
  <c r="AF248" i="5" s="1"/>
  <c r="AB248" i="5" a="1"/>
  <c r="AB248" i="5" s="1"/>
  <c r="AE248" i="5" a="1"/>
  <c r="AE248" i="5" s="1"/>
  <c r="AD248" i="5" a="1"/>
  <c r="AD248" i="5" s="1"/>
  <c r="AC248" i="5" a="1"/>
  <c r="AC248" i="5" s="1"/>
  <c r="AA248" i="5" a="1"/>
  <c r="AA248" i="5" s="1"/>
  <c r="X248" i="5" a="1"/>
  <c r="X248" i="5" s="1"/>
  <c r="W248" i="5" a="1"/>
  <c r="W248" i="5" s="1"/>
  <c r="Z248" i="5" a="1"/>
  <c r="Z248" i="5" s="1"/>
  <c r="Y248" i="5" a="1"/>
  <c r="Y248" i="5" s="1"/>
  <c r="V248" i="5" a="1"/>
  <c r="V248" i="5" s="1"/>
  <c r="U248" i="5" a="1"/>
  <c r="U248" i="5" s="1"/>
  <c r="S248" i="5" a="1"/>
  <c r="S248" i="5" s="1"/>
  <c r="E248" i="5" a="1"/>
  <c r="E248" i="5" s="1"/>
  <c r="H248" i="5" a="1"/>
  <c r="H248" i="5" s="1"/>
  <c r="Q248" i="5" a="1"/>
  <c r="Q248" i="5" s="1"/>
  <c r="I248" i="5" a="1"/>
  <c r="I248" i="5" s="1"/>
  <c r="O248" i="5" a="1"/>
  <c r="O248" i="5" s="1"/>
  <c r="F248" i="5" a="1"/>
  <c r="F248" i="5" s="1"/>
  <c r="K248" i="5" a="1"/>
  <c r="K248" i="5" s="1"/>
  <c r="P248" i="5" a="1"/>
  <c r="P248" i="5" s="1"/>
  <c r="J248" i="5" a="1"/>
  <c r="J248" i="5" s="1"/>
  <c r="N248" i="5" a="1"/>
  <c r="N248" i="5" s="1"/>
  <c r="R248" i="5" a="1"/>
  <c r="R248" i="5" s="1"/>
  <c r="L248" i="5" a="1"/>
  <c r="L248" i="5" s="1"/>
  <c r="M248" i="5" a="1"/>
  <c r="M248" i="5" s="1"/>
  <c r="G248" i="5" a="1"/>
  <c r="G248" i="5" s="1"/>
  <c r="D248" i="5" a="1"/>
  <c r="D248" i="5" s="1"/>
  <c r="C249" i="5"/>
  <c r="T249" i="5" l="1" a="1"/>
  <c r="T249" i="5" s="1"/>
  <c r="AG249" i="5" a="1"/>
  <c r="AG249" i="5" s="1"/>
  <c r="AF249" i="5" a="1"/>
  <c r="AF249" i="5" s="1"/>
  <c r="AE249" i="5" a="1"/>
  <c r="AE249" i="5" s="1"/>
  <c r="AD249" i="5" a="1"/>
  <c r="AD249" i="5" s="1"/>
  <c r="AC249" i="5" a="1"/>
  <c r="AC249" i="5" s="1"/>
  <c r="AB249" i="5" a="1"/>
  <c r="AB249" i="5" s="1"/>
  <c r="AA249" i="5" a="1"/>
  <c r="AA249" i="5" s="1"/>
  <c r="Z249" i="5" a="1"/>
  <c r="Z249" i="5" s="1"/>
  <c r="Y249" i="5" a="1"/>
  <c r="Y249" i="5" s="1"/>
  <c r="X249" i="5" a="1"/>
  <c r="X249" i="5" s="1"/>
  <c r="W249" i="5" a="1"/>
  <c r="W249" i="5" s="1"/>
  <c r="V249" i="5" a="1"/>
  <c r="V249" i="5" s="1"/>
  <c r="U249" i="5" a="1"/>
  <c r="U249" i="5" s="1"/>
  <c r="S249" i="5" a="1"/>
  <c r="S249" i="5" s="1"/>
  <c r="E249" i="5" a="1"/>
  <c r="E249" i="5" s="1"/>
  <c r="H249" i="5" a="1"/>
  <c r="H249" i="5" s="1"/>
  <c r="I249" i="5" a="1"/>
  <c r="I249" i="5" s="1"/>
  <c r="P249" i="5" a="1"/>
  <c r="P249" i="5" s="1"/>
  <c r="Q249" i="5" a="1"/>
  <c r="Q249" i="5" s="1"/>
  <c r="F249" i="5" a="1"/>
  <c r="F249" i="5" s="1"/>
  <c r="K249" i="5" a="1"/>
  <c r="K249" i="5" s="1"/>
  <c r="O249" i="5" a="1"/>
  <c r="O249" i="5" s="1"/>
  <c r="R249" i="5" a="1"/>
  <c r="R249" i="5" s="1"/>
  <c r="N249" i="5" a="1"/>
  <c r="N249" i="5" s="1"/>
  <c r="L249" i="5" a="1"/>
  <c r="L249" i="5" s="1"/>
  <c r="M249" i="5" a="1"/>
  <c r="M249" i="5" s="1"/>
  <c r="G249" i="5" a="1"/>
  <c r="G249" i="5" s="1"/>
  <c r="J249" i="5" a="1"/>
  <c r="J249" i="5" s="1"/>
  <c r="D249" i="5" a="1"/>
  <c r="D249" i="5" s="1"/>
  <c r="C250" i="5"/>
  <c r="R67" i="8" l="1"/>
  <c r="T250" i="5" a="1"/>
  <c r="T250" i="5" s="1"/>
  <c r="AG250" i="5" a="1"/>
  <c r="AG250" i="5" s="1"/>
  <c r="AF250" i="5" a="1"/>
  <c r="AF250" i="5" s="1"/>
  <c r="AB250" i="5" a="1"/>
  <c r="AB250" i="5" s="1"/>
  <c r="AE250" i="5" a="1"/>
  <c r="AE250" i="5" s="1"/>
  <c r="AC67" i="8" s="1"/>
  <c r="AD250" i="5" a="1"/>
  <c r="AD250" i="5" s="1"/>
  <c r="AC250" i="5" a="1"/>
  <c r="AC250" i="5" s="1"/>
  <c r="AA250" i="5" a="1"/>
  <c r="AA250" i="5" s="1"/>
  <c r="X250" i="5" a="1"/>
  <c r="X250" i="5" s="1"/>
  <c r="W250" i="5" a="1"/>
  <c r="W250" i="5" s="1"/>
  <c r="Z250" i="5" a="1"/>
  <c r="Z250" i="5" s="1"/>
  <c r="X67" i="8" s="1"/>
  <c r="Y250" i="5" a="1"/>
  <c r="Y250" i="5" s="1"/>
  <c r="V67" i="8"/>
  <c r="AD67" i="8"/>
  <c r="W67" i="8"/>
  <c r="AE67" i="8"/>
  <c r="Z67" i="8"/>
  <c r="V250" i="5" a="1"/>
  <c r="V250" i="5" s="1"/>
  <c r="T67" i="8" s="1"/>
  <c r="U250" i="5" a="1"/>
  <c r="U250" i="5" s="1"/>
  <c r="S250" i="5" a="1"/>
  <c r="S250" i="5" s="1"/>
  <c r="Q67" i="8" s="1"/>
  <c r="E250" i="5" a="1"/>
  <c r="E250" i="5" s="1"/>
  <c r="H250" i="5" a="1"/>
  <c r="H250" i="5" s="1"/>
  <c r="I250" i="5" a="1"/>
  <c r="I250" i="5" s="1"/>
  <c r="G67" i="8" s="1"/>
  <c r="P250" i="5" a="1"/>
  <c r="P250" i="5" s="1"/>
  <c r="F250" i="5" a="1"/>
  <c r="F250" i="5" s="1"/>
  <c r="Q250" i="5" a="1"/>
  <c r="Q250" i="5" s="1"/>
  <c r="O250" i="5" a="1"/>
  <c r="O250" i="5" s="1"/>
  <c r="J250" i="5" a="1"/>
  <c r="J250" i="5" s="1"/>
  <c r="K250" i="5" a="1"/>
  <c r="K250" i="5" s="1"/>
  <c r="R250" i="5" a="1"/>
  <c r="R250" i="5" s="1"/>
  <c r="P67" i="8" s="1"/>
  <c r="N250" i="5" a="1"/>
  <c r="N250" i="5" s="1"/>
  <c r="L250" i="5" a="1"/>
  <c r="L250" i="5" s="1"/>
  <c r="J67" i="8" s="1"/>
  <c r="G250" i="5" a="1"/>
  <c r="G250" i="5" s="1"/>
  <c r="M250" i="5" a="1"/>
  <c r="M250" i="5" s="1"/>
  <c r="D250" i="5" a="1"/>
  <c r="D250" i="5" s="1"/>
  <c r="C251" i="5"/>
  <c r="T251" i="5" l="1" a="1"/>
  <c r="T251" i="5" s="1"/>
  <c r="AG251" i="5" a="1"/>
  <c r="AG251" i="5" s="1"/>
  <c r="AF251" i="5" a="1"/>
  <c r="AF251" i="5" s="1"/>
  <c r="AE251" i="5" a="1"/>
  <c r="AE251" i="5" s="1"/>
  <c r="AD251" i="5" a="1"/>
  <c r="AD251" i="5" s="1"/>
  <c r="AC251" i="5" a="1"/>
  <c r="AC251" i="5" s="1"/>
  <c r="AB251" i="5" a="1"/>
  <c r="AB251" i="5" s="1"/>
  <c r="AA251" i="5" a="1"/>
  <c r="AA251" i="5" s="1"/>
  <c r="Z251" i="5" a="1"/>
  <c r="Z251" i="5" s="1"/>
  <c r="Y251" i="5" a="1"/>
  <c r="Y251" i="5" s="1"/>
  <c r="X251" i="5" a="1"/>
  <c r="X251" i="5" s="1"/>
  <c r="W251" i="5" a="1"/>
  <c r="W251" i="5" s="1"/>
  <c r="U251" i="5" a="1"/>
  <c r="U251" i="5" s="1"/>
  <c r="V251" i="5" a="1"/>
  <c r="V251" i="5" s="1"/>
  <c r="S251" i="5" a="1"/>
  <c r="S251" i="5" s="1"/>
  <c r="E251" i="5" a="1"/>
  <c r="E251" i="5" s="1"/>
  <c r="H251" i="5" a="1"/>
  <c r="H251" i="5" s="1"/>
  <c r="Q251" i="5" a="1"/>
  <c r="Q251" i="5" s="1"/>
  <c r="I251" i="5" a="1"/>
  <c r="I251" i="5" s="1"/>
  <c r="O251" i="5" a="1"/>
  <c r="O251" i="5" s="1"/>
  <c r="F251" i="5" a="1"/>
  <c r="F251" i="5" s="1"/>
  <c r="P251" i="5" a="1"/>
  <c r="P251" i="5" s="1"/>
  <c r="K251" i="5" a="1"/>
  <c r="K251" i="5" s="1"/>
  <c r="R251" i="5" a="1"/>
  <c r="R251" i="5" s="1"/>
  <c r="N251" i="5" a="1"/>
  <c r="N251" i="5" s="1"/>
  <c r="L251" i="5" a="1"/>
  <c r="L251" i="5" s="1"/>
  <c r="G251" i="5" a="1"/>
  <c r="G251" i="5" s="1"/>
  <c r="J251" i="5" a="1"/>
  <c r="J251" i="5" s="1"/>
  <c r="M251" i="5" a="1"/>
  <c r="M251" i="5" s="1"/>
  <c r="D251" i="5" a="1"/>
  <c r="D251" i="5" s="1"/>
  <c r="C252" i="5"/>
  <c r="T252" i="5" l="1" a="1"/>
  <c r="T252" i="5" s="1"/>
  <c r="AG252" i="5" a="1"/>
  <c r="AG252" i="5" s="1"/>
  <c r="AF252" i="5" a="1"/>
  <c r="AF252" i="5" s="1"/>
  <c r="AB252" i="5" a="1"/>
  <c r="AB252" i="5" s="1"/>
  <c r="AE252" i="5" a="1"/>
  <c r="AE252" i="5" s="1"/>
  <c r="AD252" i="5" a="1"/>
  <c r="AD252" i="5" s="1"/>
  <c r="AC252" i="5" a="1"/>
  <c r="AC252" i="5" s="1"/>
  <c r="AA252" i="5" a="1"/>
  <c r="AA252" i="5" s="1"/>
  <c r="X252" i="5" a="1"/>
  <c r="X252" i="5" s="1"/>
  <c r="W252" i="5" a="1"/>
  <c r="W252" i="5" s="1"/>
  <c r="Z252" i="5" a="1"/>
  <c r="Z252" i="5" s="1"/>
  <c r="Y252" i="5" a="1"/>
  <c r="Y252" i="5" s="1"/>
  <c r="U252" i="5" a="1"/>
  <c r="U252" i="5" s="1"/>
  <c r="V252" i="5" a="1"/>
  <c r="V252" i="5" s="1"/>
  <c r="S252" i="5" a="1"/>
  <c r="S252" i="5" s="1"/>
  <c r="E252" i="5" a="1"/>
  <c r="E252" i="5" s="1"/>
  <c r="H252" i="5" a="1"/>
  <c r="H252" i="5" s="1"/>
  <c r="Q252" i="5" a="1"/>
  <c r="Q252" i="5" s="1"/>
  <c r="I252" i="5" a="1"/>
  <c r="I252" i="5" s="1"/>
  <c r="K252" i="5" a="1"/>
  <c r="K252" i="5" s="1"/>
  <c r="F252" i="5" a="1"/>
  <c r="F252" i="5" s="1"/>
  <c r="J252" i="5" a="1"/>
  <c r="J252" i="5" s="1"/>
  <c r="O252" i="5" a="1"/>
  <c r="O252" i="5" s="1"/>
  <c r="R252" i="5" a="1"/>
  <c r="R252" i="5" s="1"/>
  <c r="L252" i="5" a="1"/>
  <c r="L252" i="5" s="1"/>
  <c r="N252" i="5" a="1"/>
  <c r="N252" i="5" s="1"/>
  <c r="P252" i="5" a="1"/>
  <c r="P252" i="5" s="1"/>
  <c r="M252" i="5" a="1"/>
  <c r="M252" i="5" s="1"/>
  <c r="G252" i="5" a="1"/>
  <c r="G252" i="5" s="1"/>
  <c r="D252" i="5" a="1"/>
  <c r="D252" i="5" s="1"/>
  <c r="C253" i="5"/>
  <c r="T253" i="5" l="1" a="1"/>
  <c r="T253" i="5" s="1"/>
  <c r="AG253" i="5" a="1"/>
  <c r="AG253" i="5" s="1"/>
  <c r="AF253" i="5" a="1"/>
  <c r="AF253" i="5" s="1"/>
  <c r="AE253" i="5" a="1"/>
  <c r="AE253" i="5" s="1"/>
  <c r="AD253" i="5" a="1"/>
  <c r="AD253" i="5" s="1"/>
  <c r="AC253" i="5" a="1"/>
  <c r="AC253" i="5" s="1"/>
  <c r="AB253" i="5" a="1"/>
  <c r="AB253" i="5" s="1"/>
  <c r="AA253" i="5" a="1"/>
  <c r="AA253" i="5" s="1"/>
  <c r="Z253" i="5" a="1"/>
  <c r="Z253" i="5" s="1"/>
  <c r="Y253" i="5" a="1"/>
  <c r="Y253" i="5" s="1"/>
  <c r="X253" i="5" a="1"/>
  <c r="X253" i="5" s="1"/>
  <c r="W253" i="5" a="1"/>
  <c r="W253" i="5" s="1"/>
  <c r="U253" i="5" a="1"/>
  <c r="U253" i="5" s="1"/>
  <c r="V253" i="5" a="1"/>
  <c r="V253" i="5" s="1"/>
  <c r="S253" i="5" a="1"/>
  <c r="S253" i="5" s="1"/>
  <c r="E253" i="5" a="1"/>
  <c r="E253" i="5" s="1"/>
  <c r="H253" i="5" a="1"/>
  <c r="H253" i="5" s="1"/>
  <c r="I253" i="5" a="1"/>
  <c r="I253" i="5" s="1"/>
  <c r="Q253" i="5" a="1"/>
  <c r="Q253" i="5" s="1"/>
  <c r="F253" i="5" a="1"/>
  <c r="F253" i="5" s="1"/>
  <c r="P253" i="5" a="1"/>
  <c r="P253" i="5" s="1"/>
  <c r="O253" i="5" a="1"/>
  <c r="O253" i="5" s="1"/>
  <c r="K253" i="5" a="1"/>
  <c r="K253" i="5" s="1"/>
  <c r="R253" i="5" a="1"/>
  <c r="R253" i="5" s="1"/>
  <c r="N253" i="5" a="1"/>
  <c r="N253" i="5" s="1"/>
  <c r="L253" i="5" a="1"/>
  <c r="L253" i="5" s="1"/>
  <c r="J253" i="5" a="1"/>
  <c r="J253" i="5" s="1"/>
  <c r="G253" i="5" a="1"/>
  <c r="G253" i="5" s="1"/>
  <c r="M253" i="5" a="1"/>
  <c r="M253" i="5" s="1"/>
  <c r="D253" i="5" a="1"/>
  <c r="D253" i="5" s="1"/>
  <c r="C254" i="5"/>
  <c r="R68" i="8" l="1"/>
  <c r="T254" i="5" a="1"/>
  <c r="T254" i="5" s="1"/>
  <c r="AG254" i="5" a="1"/>
  <c r="AG254" i="5" s="1"/>
  <c r="AF254" i="5" a="1"/>
  <c r="AF254" i="5" s="1"/>
  <c r="AB254" i="5" a="1"/>
  <c r="AB254" i="5" s="1"/>
  <c r="AE254" i="5" a="1"/>
  <c r="AE254" i="5" s="1"/>
  <c r="AD254" i="5" a="1"/>
  <c r="AD254" i="5" s="1"/>
  <c r="AC254" i="5" a="1"/>
  <c r="AC254" i="5" s="1"/>
  <c r="AA68" i="8" s="1"/>
  <c r="AA254" i="5" a="1"/>
  <c r="AA254" i="5" s="1"/>
  <c r="X254" i="5" a="1"/>
  <c r="X254" i="5" s="1"/>
  <c r="W254" i="5" a="1"/>
  <c r="W254" i="5" s="1"/>
  <c r="Z254" i="5" a="1"/>
  <c r="Z254" i="5" s="1"/>
  <c r="Y254" i="5" a="1"/>
  <c r="Y254" i="5" s="1"/>
  <c r="Z68" i="8"/>
  <c r="AB68" i="8"/>
  <c r="U68" i="8"/>
  <c r="AC68" i="8"/>
  <c r="V68" i="8"/>
  <c r="AD68" i="8"/>
  <c r="W68" i="8"/>
  <c r="AE68" i="8"/>
  <c r="X68" i="8"/>
  <c r="S68" i="8"/>
  <c r="U254" i="5" a="1"/>
  <c r="U254" i="5" s="1"/>
  <c r="V254" i="5" a="1"/>
  <c r="V254" i="5" s="1"/>
  <c r="S254" i="5" a="1"/>
  <c r="S254" i="5" s="1"/>
  <c r="Q68" i="8"/>
  <c r="E254" i="5" a="1"/>
  <c r="E254" i="5" s="1"/>
  <c r="H254" i="5" a="1"/>
  <c r="H254" i="5" s="1"/>
  <c r="Q254" i="5" a="1"/>
  <c r="Q254" i="5" s="1"/>
  <c r="I254" i="5" a="1"/>
  <c r="I254" i="5" s="1"/>
  <c r="G68" i="8" s="1"/>
  <c r="O254" i="5" a="1"/>
  <c r="O254" i="5" s="1"/>
  <c r="F254" i="5" a="1"/>
  <c r="F254" i="5" s="1"/>
  <c r="P254" i="5" a="1"/>
  <c r="P254" i="5" s="1"/>
  <c r="K254" i="5" a="1"/>
  <c r="K254" i="5" s="1"/>
  <c r="R254" i="5" a="1"/>
  <c r="R254" i="5" s="1"/>
  <c r="N254" i="5" a="1"/>
  <c r="N254" i="5" s="1"/>
  <c r="J254" i="5" a="1"/>
  <c r="J254" i="5" s="1"/>
  <c r="L254" i="5" a="1"/>
  <c r="L254" i="5" s="1"/>
  <c r="M254" i="5" a="1"/>
  <c r="M254" i="5" s="1"/>
  <c r="G254" i="5" a="1"/>
  <c r="G254" i="5" s="1"/>
  <c r="E68" i="8" s="1"/>
  <c r="D254" i="5" a="1"/>
  <c r="D254" i="5" s="1"/>
  <c r="B68" i="8" s="1"/>
  <c r="C255" i="5"/>
  <c r="T255" i="5" l="1" a="1"/>
  <c r="T255" i="5" s="1"/>
  <c r="AG255" i="5" a="1"/>
  <c r="AG255" i="5" s="1"/>
  <c r="AF255" i="5" a="1"/>
  <c r="AF255" i="5" s="1"/>
  <c r="AE255" i="5" a="1"/>
  <c r="AE255" i="5" s="1"/>
  <c r="AD255" i="5" a="1"/>
  <c r="AD255" i="5" s="1"/>
  <c r="AC255" i="5" a="1"/>
  <c r="AC255" i="5" s="1"/>
  <c r="AB255" i="5" a="1"/>
  <c r="AB255" i="5" s="1"/>
  <c r="AA255" i="5" a="1"/>
  <c r="AA255" i="5" s="1"/>
  <c r="Z255" i="5" a="1"/>
  <c r="Z255" i="5" s="1"/>
  <c r="Y255" i="5" a="1"/>
  <c r="Y255" i="5" s="1"/>
  <c r="X255" i="5" a="1"/>
  <c r="X255" i="5" s="1"/>
  <c r="W255" i="5" a="1"/>
  <c r="W255" i="5" s="1"/>
  <c r="V255" i="5" a="1"/>
  <c r="V255" i="5" s="1"/>
  <c r="S255" i="5" a="1"/>
  <c r="S255" i="5" s="1"/>
  <c r="U255" i="5" a="1"/>
  <c r="U255" i="5" s="1"/>
  <c r="E255" i="5" a="1"/>
  <c r="E255" i="5" s="1"/>
  <c r="H255" i="5" a="1"/>
  <c r="H255" i="5" s="1"/>
  <c r="Q255" i="5" a="1"/>
  <c r="Q255" i="5" s="1"/>
  <c r="I255" i="5" a="1"/>
  <c r="I255" i="5" s="1"/>
  <c r="F255" i="5" a="1"/>
  <c r="F255" i="5" s="1"/>
  <c r="K255" i="5" a="1"/>
  <c r="K255" i="5" s="1"/>
  <c r="P255" i="5" a="1"/>
  <c r="P255" i="5" s="1"/>
  <c r="O255" i="5" a="1"/>
  <c r="O255" i="5" s="1"/>
  <c r="J255" i="5" a="1"/>
  <c r="J255" i="5" s="1"/>
  <c r="N255" i="5" a="1"/>
  <c r="N255" i="5" s="1"/>
  <c r="L255" i="5" a="1"/>
  <c r="L255" i="5" s="1"/>
  <c r="R255" i="5" a="1"/>
  <c r="R255" i="5" s="1"/>
  <c r="M255" i="5" a="1"/>
  <c r="M255" i="5" s="1"/>
  <c r="G255" i="5" a="1"/>
  <c r="G255" i="5" s="1"/>
  <c r="D255" i="5" a="1"/>
  <c r="D255" i="5" s="1"/>
  <c r="C256" i="5"/>
  <c r="T256" i="5" l="1" a="1"/>
  <c r="T256" i="5" s="1"/>
  <c r="AG256" i="5" a="1"/>
  <c r="AG256" i="5" s="1"/>
  <c r="AF256" i="5" a="1"/>
  <c r="AF256" i="5" s="1"/>
  <c r="AB256" i="5" a="1"/>
  <c r="AB256" i="5" s="1"/>
  <c r="AE256" i="5" a="1"/>
  <c r="AE256" i="5" s="1"/>
  <c r="AD256" i="5" a="1"/>
  <c r="AD256" i="5" s="1"/>
  <c r="AC256" i="5" a="1"/>
  <c r="AC256" i="5" s="1"/>
  <c r="AA256" i="5" a="1"/>
  <c r="AA256" i="5" s="1"/>
  <c r="X256" i="5" a="1"/>
  <c r="X256" i="5" s="1"/>
  <c r="W256" i="5" a="1"/>
  <c r="W256" i="5" s="1"/>
  <c r="Z256" i="5" a="1"/>
  <c r="Z256" i="5" s="1"/>
  <c r="Y256" i="5" a="1"/>
  <c r="Y256" i="5" s="1"/>
  <c r="V256" i="5" a="1"/>
  <c r="V256" i="5" s="1"/>
  <c r="U256" i="5" a="1"/>
  <c r="U256" i="5" s="1"/>
  <c r="S256" i="5" a="1"/>
  <c r="S256" i="5" s="1"/>
  <c r="E256" i="5" a="1"/>
  <c r="E256" i="5" s="1"/>
  <c r="H256" i="5" a="1"/>
  <c r="H256" i="5" s="1"/>
  <c r="Q256" i="5" a="1"/>
  <c r="Q256" i="5" s="1"/>
  <c r="I256" i="5" a="1"/>
  <c r="I256" i="5" s="1"/>
  <c r="K256" i="5" a="1"/>
  <c r="K256" i="5" s="1"/>
  <c r="O256" i="5" a="1"/>
  <c r="O256" i="5" s="1"/>
  <c r="P256" i="5" a="1"/>
  <c r="P256" i="5" s="1"/>
  <c r="F256" i="5" a="1"/>
  <c r="F256" i="5" s="1"/>
  <c r="J256" i="5" a="1"/>
  <c r="J256" i="5" s="1"/>
  <c r="N256" i="5" a="1"/>
  <c r="N256" i="5" s="1"/>
  <c r="L256" i="5" a="1"/>
  <c r="L256" i="5" s="1"/>
  <c r="R256" i="5" a="1"/>
  <c r="R256" i="5" s="1"/>
  <c r="G256" i="5" a="1"/>
  <c r="G256" i="5" s="1"/>
  <c r="M256" i="5" a="1"/>
  <c r="M256" i="5" s="1"/>
  <c r="D256" i="5" a="1"/>
  <c r="D256" i="5" s="1"/>
  <c r="C257" i="5"/>
  <c r="T257" i="5" l="1" a="1"/>
  <c r="T257" i="5" s="1"/>
  <c r="AG257" i="5" a="1"/>
  <c r="AG257" i="5" s="1"/>
  <c r="AF257" i="5" a="1"/>
  <c r="AF257" i="5" s="1"/>
  <c r="AE257" i="5" a="1"/>
  <c r="AE257" i="5" s="1"/>
  <c r="AD257" i="5" a="1"/>
  <c r="AD257" i="5" s="1"/>
  <c r="AC257" i="5" a="1"/>
  <c r="AC257" i="5" s="1"/>
  <c r="AB257" i="5" a="1"/>
  <c r="AB257" i="5" s="1"/>
  <c r="AA257" i="5" a="1"/>
  <c r="AA257" i="5" s="1"/>
  <c r="Z257" i="5" a="1"/>
  <c r="Z257" i="5" s="1"/>
  <c r="Y257" i="5" a="1"/>
  <c r="Y257" i="5" s="1"/>
  <c r="X257" i="5" a="1"/>
  <c r="X257" i="5" s="1"/>
  <c r="W257" i="5" a="1"/>
  <c r="W257" i="5" s="1"/>
  <c r="V257" i="5" a="1"/>
  <c r="V257" i="5" s="1"/>
  <c r="U257" i="5" a="1"/>
  <c r="U257" i="5" s="1"/>
  <c r="S257" i="5" a="1"/>
  <c r="S257" i="5" s="1"/>
  <c r="E257" i="5" a="1"/>
  <c r="E257" i="5" s="1"/>
  <c r="H257" i="5" a="1"/>
  <c r="H257" i="5" s="1"/>
  <c r="I257" i="5" a="1"/>
  <c r="I257" i="5" s="1"/>
  <c r="Q257" i="5" a="1"/>
  <c r="Q257" i="5" s="1"/>
  <c r="P257" i="5" a="1"/>
  <c r="P257" i="5" s="1"/>
  <c r="O257" i="5" a="1"/>
  <c r="O257" i="5" s="1"/>
  <c r="K257" i="5" a="1"/>
  <c r="K257" i="5" s="1"/>
  <c r="J257" i="5" a="1"/>
  <c r="J257" i="5" s="1"/>
  <c r="R257" i="5" a="1"/>
  <c r="R257" i="5" s="1"/>
  <c r="N257" i="5" a="1"/>
  <c r="N257" i="5" s="1"/>
  <c r="L257" i="5" a="1"/>
  <c r="L257" i="5" s="1"/>
  <c r="G257" i="5" a="1"/>
  <c r="G257" i="5" s="1"/>
  <c r="F257" i="5" a="1"/>
  <c r="F257" i="5" s="1"/>
  <c r="M257" i="5" a="1"/>
  <c r="M257" i="5" s="1"/>
  <c r="D257" i="5" a="1"/>
  <c r="D257" i="5" s="1"/>
  <c r="C258" i="5"/>
  <c r="R69" i="8" l="1"/>
  <c r="T258" i="5" a="1"/>
  <c r="T258" i="5" s="1"/>
  <c r="AG258" i="5" a="1"/>
  <c r="AG258" i="5" s="1"/>
  <c r="AF258" i="5" a="1"/>
  <c r="AF258" i="5" s="1"/>
  <c r="AB258" i="5" a="1"/>
  <c r="AB258" i="5" s="1"/>
  <c r="AE258" i="5" a="1"/>
  <c r="AE258" i="5" s="1"/>
  <c r="AD258" i="5" a="1"/>
  <c r="AD258" i="5" s="1"/>
  <c r="AC258" i="5" a="1"/>
  <c r="AC258" i="5" s="1"/>
  <c r="AA69" i="8" s="1"/>
  <c r="AA258" i="5" a="1"/>
  <c r="AA258" i="5" s="1"/>
  <c r="X258" i="5" a="1"/>
  <c r="X258" i="5" s="1"/>
  <c r="W258" i="5" a="1"/>
  <c r="W258" i="5" s="1"/>
  <c r="Z258" i="5" a="1"/>
  <c r="Z258" i="5" s="1"/>
  <c r="X69" i="8" s="1"/>
  <c r="Y258" i="5" a="1"/>
  <c r="Y258" i="5" s="1"/>
  <c r="Z69" i="8"/>
  <c r="AB69" i="8"/>
  <c r="U69" i="8"/>
  <c r="AC69" i="8"/>
  <c r="V69" i="8"/>
  <c r="AD69" i="8"/>
  <c r="W69" i="8"/>
  <c r="AE69" i="8"/>
  <c r="V258" i="5" a="1"/>
  <c r="V258" i="5" s="1"/>
  <c r="T69" i="8" s="1"/>
  <c r="U258" i="5" a="1"/>
  <c r="U258" i="5" s="1"/>
  <c r="S69" i="8" s="1"/>
  <c r="S258" i="5" a="1"/>
  <c r="S258" i="5" s="1"/>
  <c r="Q69" i="8"/>
  <c r="E258" i="5" a="1"/>
  <c r="E258" i="5" s="1"/>
  <c r="H258" i="5" a="1"/>
  <c r="H258" i="5" s="1"/>
  <c r="F69" i="8" s="1"/>
  <c r="Q258" i="5" a="1"/>
  <c r="Q258" i="5" s="1"/>
  <c r="I258" i="5" a="1"/>
  <c r="I258" i="5" s="1"/>
  <c r="G69" i="8" s="1"/>
  <c r="P258" i="5" a="1"/>
  <c r="P258" i="5" s="1"/>
  <c r="F258" i="5" a="1"/>
  <c r="F258" i="5" s="1"/>
  <c r="K258" i="5" a="1"/>
  <c r="K258" i="5" s="1"/>
  <c r="O258" i="5" a="1"/>
  <c r="O258" i="5" s="1"/>
  <c r="N258" i="5" a="1"/>
  <c r="N258" i="5" s="1"/>
  <c r="J258" i="5" a="1"/>
  <c r="J258" i="5" s="1"/>
  <c r="R258" i="5" a="1"/>
  <c r="R258" i="5" s="1"/>
  <c r="L258" i="5" a="1"/>
  <c r="L258" i="5" s="1"/>
  <c r="G258" i="5" a="1"/>
  <c r="G258" i="5" s="1"/>
  <c r="E69" i="8" s="1"/>
  <c r="M258" i="5" a="1"/>
  <c r="M258" i="5" s="1"/>
  <c r="D258" i="5" a="1"/>
  <c r="D258" i="5" s="1"/>
  <c r="B69" i="8" s="1"/>
  <c r="C259" i="5"/>
  <c r="T259" i="5" l="1" a="1"/>
  <c r="T259" i="5" s="1"/>
  <c r="AG259" i="5" a="1"/>
  <c r="AG259" i="5" s="1"/>
  <c r="AF259" i="5" a="1"/>
  <c r="AF259" i="5" s="1"/>
  <c r="AE259" i="5" a="1"/>
  <c r="AE259" i="5" s="1"/>
  <c r="AD259" i="5" a="1"/>
  <c r="AD259" i="5" s="1"/>
  <c r="AC259" i="5" a="1"/>
  <c r="AC259" i="5" s="1"/>
  <c r="AB259" i="5" a="1"/>
  <c r="AB259" i="5" s="1"/>
  <c r="AA259" i="5" a="1"/>
  <c r="AA259" i="5" s="1"/>
  <c r="Z259" i="5" a="1"/>
  <c r="Z259" i="5" s="1"/>
  <c r="Y259" i="5" a="1"/>
  <c r="Y259" i="5" s="1"/>
  <c r="X259" i="5" a="1"/>
  <c r="X259" i="5" s="1"/>
  <c r="W259" i="5" a="1"/>
  <c r="W259" i="5" s="1"/>
  <c r="U259" i="5" a="1"/>
  <c r="U259" i="5" s="1"/>
  <c r="S259" i="5" a="1"/>
  <c r="S259" i="5" s="1"/>
  <c r="V259" i="5" a="1"/>
  <c r="V259" i="5" s="1"/>
  <c r="E259" i="5" a="1"/>
  <c r="E259" i="5" s="1"/>
  <c r="H259" i="5" a="1"/>
  <c r="H259" i="5" s="1"/>
  <c r="I259" i="5" a="1"/>
  <c r="I259" i="5" s="1"/>
  <c r="Q259" i="5" a="1"/>
  <c r="Q259" i="5" s="1"/>
  <c r="O259" i="5" a="1"/>
  <c r="O259" i="5" s="1"/>
  <c r="P259" i="5" a="1"/>
  <c r="P259" i="5" s="1"/>
  <c r="K259" i="5" a="1"/>
  <c r="K259" i="5" s="1"/>
  <c r="F259" i="5" a="1"/>
  <c r="F259" i="5" s="1"/>
  <c r="J259" i="5" a="1"/>
  <c r="J259" i="5" s="1"/>
  <c r="N259" i="5" a="1"/>
  <c r="N259" i="5" s="1"/>
  <c r="R259" i="5" a="1"/>
  <c r="R259" i="5" s="1"/>
  <c r="G259" i="5" a="1"/>
  <c r="G259" i="5" s="1"/>
  <c r="L259" i="5" a="1"/>
  <c r="L259" i="5" s="1"/>
  <c r="M259" i="5" a="1"/>
  <c r="M259" i="5" s="1"/>
  <c r="D259" i="5" a="1"/>
  <c r="D259" i="5" s="1"/>
  <c r="C260" i="5"/>
  <c r="T260" i="5" l="1" a="1"/>
  <c r="T260" i="5" s="1"/>
  <c r="AG260" i="5" a="1"/>
  <c r="AG260" i="5" s="1"/>
  <c r="AF260" i="5" a="1"/>
  <c r="AF260" i="5" s="1"/>
  <c r="AB260" i="5" a="1"/>
  <c r="AB260" i="5" s="1"/>
  <c r="AE260" i="5" a="1"/>
  <c r="AE260" i="5" s="1"/>
  <c r="AD260" i="5" a="1"/>
  <c r="AD260" i="5" s="1"/>
  <c r="AC260" i="5" a="1"/>
  <c r="AC260" i="5" s="1"/>
  <c r="AA260" i="5" a="1"/>
  <c r="AA260" i="5" s="1"/>
  <c r="X260" i="5" a="1"/>
  <c r="X260" i="5" s="1"/>
  <c r="W260" i="5" a="1"/>
  <c r="W260" i="5" s="1"/>
  <c r="Z260" i="5" a="1"/>
  <c r="Z260" i="5" s="1"/>
  <c r="Y260" i="5" a="1"/>
  <c r="Y260" i="5" s="1"/>
  <c r="U260" i="5" a="1"/>
  <c r="U260" i="5" s="1"/>
  <c r="V260" i="5" a="1"/>
  <c r="V260" i="5" s="1"/>
  <c r="S260" i="5" a="1"/>
  <c r="S260" i="5" s="1"/>
  <c r="E260" i="5" a="1"/>
  <c r="E260" i="5" s="1"/>
  <c r="H260" i="5" a="1"/>
  <c r="H260" i="5" s="1"/>
  <c r="Q260" i="5" a="1"/>
  <c r="Q260" i="5" s="1"/>
  <c r="I260" i="5" a="1"/>
  <c r="I260" i="5" s="1"/>
  <c r="F260" i="5" a="1"/>
  <c r="F260" i="5" s="1"/>
  <c r="O260" i="5" a="1"/>
  <c r="O260" i="5" s="1"/>
  <c r="P260" i="5" a="1"/>
  <c r="P260" i="5" s="1"/>
  <c r="K260" i="5" a="1"/>
  <c r="K260" i="5" s="1"/>
  <c r="N260" i="5" a="1"/>
  <c r="N260" i="5" s="1"/>
  <c r="L260" i="5" a="1"/>
  <c r="L260" i="5" s="1"/>
  <c r="R260" i="5" a="1"/>
  <c r="R260" i="5" s="1"/>
  <c r="G260" i="5" a="1"/>
  <c r="G260" i="5" s="1"/>
  <c r="J260" i="5" a="1"/>
  <c r="J260" i="5" s="1"/>
  <c r="M260" i="5" a="1"/>
  <c r="M260" i="5" s="1"/>
  <c r="D260" i="5" a="1"/>
  <c r="D260" i="5" s="1"/>
  <c r="C261" i="5"/>
  <c r="T261" i="5" l="1" a="1"/>
  <c r="T261" i="5" s="1"/>
  <c r="AG261" i="5" a="1"/>
  <c r="AG261" i="5" s="1"/>
  <c r="AF261" i="5" a="1"/>
  <c r="AF261" i="5" s="1"/>
  <c r="AE261" i="5" a="1"/>
  <c r="AE261" i="5" s="1"/>
  <c r="AD261" i="5" a="1"/>
  <c r="AD261" i="5" s="1"/>
  <c r="AC261" i="5" a="1"/>
  <c r="AC261" i="5" s="1"/>
  <c r="AB261" i="5" a="1"/>
  <c r="AB261" i="5" s="1"/>
  <c r="AA261" i="5" a="1"/>
  <c r="AA261" i="5" s="1"/>
  <c r="Z261" i="5" a="1"/>
  <c r="Z261" i="5" s="1"/>
  <c r="Y261" i="5" a="1"/>
  <c r="Y261" i="5" s="1"/>
  <c r="X261" i="5" a="1"/>
  <c r="X261" i="5" s="1"/>
  <c r="W261" i="5" a="1"/>
  <c r="W261" i="5" s="1"/>
  <c r="U261" i="5" a="1"/>
  <c r="U261" i="5" s="1"/>
  <c r="V261" i="5" a="1"/>
  <c r="V261" i="5" s="1"/>
  <c r="S261" i="5" a="1"/>
  <c r="S261" i="5" s="1"/>
  <c r="E261" i="5" a="1"/>
  <c r="E261" i="5" s="1"/>
  <c r="H261" i="5" a="1"/>
  <c r="H261" i="5" s="1"/>
  <c r="Q261" i="5" a="1"/>
  <c r="Q261" i="5" s="1"/>
  <c r="I261" i="5" a="1"/>
  <c r="I261" i="5" s="1"/>
  <c r="F261" i="5" a="1"/>
  <c r="F261" i="5" s="1"/>
  <c r="O261" i="5" a="1"/>
  <c r="O261" i="5" s="1"/>
  <c r="P261" i="5" a="1"/>
  <c r="P261" i="5" s="1"/>
  <c r="K261" i="5" a="1"/>
  <c r="K261" i="5" s="1"/>
  <c r="L261" i="5" a="1"/>
  <c r="L261" i="5" s="1"/>
  <c r="J261" i="5" a="1"/>
  <c r="J261" i="5" s="1"/>
  <c r="N261" i="5" a="1"/>
  <c r="N261" i="5" s="1"/>
  <c r="R261" i="5" a="1"/>
  <c r="R261" i="5" s="1"/>
  <c r="M261" i="5" a="1"/>
  <c r="M261" i="5" s="1"/>
  <c r="G261" i="5" a="1"/>
  <c r="G261" i="5" s="1"/>
  <c r="D261" i="5" a="1"/>
  <c r="D261" i="5" s="1"/>
  <c r="C262" i="5"/>
  <c r="R70" i="8" l="1"/>
  <c r="T262" i="5" a="1"/>
  <c r="T262" i="5" s="1"/>
  <c r="AG262" i="5" a="1"/>
  <c r="AG262" i="5" s="1"/>
  <c r="AF262" i="5" a="1"/>
  <c r="AF262" i="5" s="1"/>
  <c r="AB262" i="5" a="1"/>
  <c r="AB262" i="5" s="1"/>
  <c r="AE262" i="5" a="1"/>
  <c r="AE262" i="5" s="1"/>
  <c r="AD262" i="5" a="1"/>
  <c r="AD262" i="5" s="1"/>
  <c r="AC262" i="5" a="1"/>
  <c r="AC262" i="5" s="1"/>
  <c r="AA70" i="8" s="1"/>
  <c r="AA262" i="5" a="1"/>
  <c r="AA262" i="5" s="1"/>
  <c r="X262" i="5" a="1"/>
  <c r="X262" i="5" s="1"/>
  <c r="W262" i="5" a="1"/>
  <c r="W262" i="5" s="1"/>
  <c r="Z262" i="5" a="1"/>
  <c r="Z262" i="5" s="1"/>
  <c r="Y262" i="5" a="1"/>
  <c r="Y262" i="5" s="1"/>
  <c r="Z70" i="8"/>
  <c r="AB70" i="8"/>
  <c r="U70" i="8"/>
  <c r="AC70" i="8"/>
  <c r="V70" i="8"/>
  <c r="AD70" i="8"/>
  <c r="W70" i="8"/>
  <c r="AE70" i="8"/>
  <c r="X70" i="8"/>
  <c r="U262" i="5" a="1"/>
  <c r="U262" i="5" s="1"/>
  <c r="S70" i="8" s="1"/>
  <c r="V262" i="5" a="1"/>
  <c r="V262" i="5" s="1"/>
  <c r="T70" i="8" s="1"/>
  <c r="S262" i="5" a="1"/>
  <c r="S262" i="5" s="1"/>
  <c r="Q70" i="8"/>
  <c r="E262" i="5" a="1"/>
  <c r="E262" i="5" s="1"/>
  <c r="C70" i="8" s="1"/>
  <c r="H262" i="5" a="1"/>
  <c r="H262" i="5" s="1"/>
  <c r="F70" i="8" s="1"/>
  <c r="I262" i="5" a="1"/>
  <c r="I262" i="5" s="1"/>
  <c r="Q262" i="5" a="1"/>
  <c r="Q262" i="5" s="1"/>
  <c r="K262" i="5" a="1"/>
  <c r="K262" i="5" s="1"/>
  <c r="O262" i="5" a="1"/>
  <c r="O262" i="5" s="1"/>
  <c r="M70" i="8" s="1"/>
  <c r="P262" i="5" a="1"/>
  <c r="P262" i="5" s="1"/>
  <c r="J262" i="5" a="1"/>
  <c r="J262" i="5" s="1"/>
  <c r="R262" i="5" a="1"/>
  <c r="R262" i="5" s="1"/>
  <c r="P70" i="8" s="1"/>
  <c r="N262" i="5" a="1"/>
  <c r="N262" i="5" s="1"/>
  <c r="L70" i="8" s="1"/>
  <c r="L262" i="5" a="1"/>
  <c r="L262" i="5" s="1"/>
  <c r="J70" i="8" s="1"/>
  <c r="F262" i="5" a="1"/>
  <c r="F262" i="5" s="1"/>
  <c r="D70" i="8" s="1"/>
  <c r="M262" i="5" a="1"/>
  <c r="M262" i="5" s="1"/>
  <c r="G262" i="5" a="1"/>
  <c r="G262" i="5" s="1"/>
  <c r="E70" i="8" s="1"/>
  <c r="D262" i="5" a="1"/>
  <c r="D262" i="5" s="1"/>
  <c r="B70" i="8" s="1"/>
  <c r="C263" i="5"/>
  <c r="T263" i="5" l="1" a="1"/>
  <c r="T263" i="5" s="1"/>
  <c r="AG263" i="5" a="1"/>
  <c r="AG263" i="5" s="1"/>
  <c r="AF263" i="5" a="1"/>
  <c r="AF263" i="5" s="1"/>
  <c r="AE263" i="5" a="1"/>
  <c r="AE263" i="5" s="1"/>
  <c r="AD263" i="5" a="1"/>
  <c r="AD263" i="5" s="1"/>
  <c r="AC263" i="5" a="1"/>
  <c r="AC263" i="5" s="1"/>
  <c r="AB263" i="5" a="1"/>
  <c r="AB263" i="5" s="1"/>
  <c r="AA263" i="5" a="1"/>
  <c r="AA263" i="5" s="1"/>
  <c r="Z263" i="5" a="1"/>
  <c r="Z263" i="5" s="1"/>
  <c r="Y263" i="5" a="1"/>
  <c r="Y263" i="5" s="1"/>
  <c r="X263" i="5" a="1"/>
  <c r="X263" i="5" s="1"/>
  <c r="W263" i="5" a="1"/>
  <c r="W263" i="5" s="1"/>
  <c r="V263" i="5" a="1"/>
  <c r="V263" i="5" s="1"/>
  <c r="S263" i="5" a="1"/>
  <c r="S263" i="5" s="1"/>
  <c r="U263" i="5" a="1"/>
  <c r="U263" i="5" s="1"/>
  <c r="E263" i="5" a="1"/>
  <c r="E263" i="5" s="1"/>
  <c r="H263" i="5" a="1"/>
  <c r="H263" i="5" s="1"/>
  <c r="Q263" i="5" a="1"/>
  <c r="Q263" i="5" s="1"/>
  <c r="I263" i="5" a="1"/>
  <c r="I263" i="5" s="1"/>
  <c r="F263" i="5" a="1"/>
  <c r="F263" i="5" s="1"/>
  <c r="P263" i="5" a="1"/>
  <c r="P263" i="5" s="1"/>
  <c r="O263" i="5" a="1"/>
  <c r="O263" i="5" s="1"/>
  <c r="L263" i="5" a="1"/>
  <c r="L263" i="5" s="1"/>
  <c r="J263" i="5" a="1"/>
  <c r="J263" i="5" s="1"/>
  <c r="N263" i="5" a="1"/>
  <c r="N263" i="5" s="1"/>
  <c r="K263" i="5" a="1"/>
  <c r="K263" i="5" s="1"/>
  <c r="R263" i="5" a="1"/>
  <c r="R263" i="5" s="1"/>
  <c r="G263" i="5" a="1"/>
  <c r="G263" i="5" s="1"/>
  <c r="M263" i="5" a="1"/>
  <c r="M263" i="5" s="1"/>
  <c r="D263" i="5" a="1"/>
  <c r="D263" i="5" s="1"/>
  <c r="C264" i="5"/>
  <c r="T264" i="5" l="1" a="1"/>
  <c r="T264" i="5" s="1"/>
  <c r="AF264" i="5" a="1"/>
  <c r="AF264" i="5" s="1"/>
  <c r="AG264" i="5" a="1"/>
  <c r="AG264" i="5" s="1"/>
  <c r="AB264" i="5" a="1"/>
  <c r="AB264" i="5" s="1"/>
  <c r="AE264" i="5" a="1"/>
  <c r="AE264" i="5" s="1"/>
  <c r="AD264" i="5" a="1"/>
  <c r="AD264" i="5" s="1"/>
  <c r="AC264" i="5" a="1"/>
  <c r="AC264" i="5" s="1"/>
  <c r="AA264" i="5" a="1"/>
  <c r="AA264" i="5" s="1"/>
  <c r="X264" i="5" a="1"/>
  <c r="X264" i="5" s="1"/>
  <c r="W264" i="5" a="1"/>
  <c r="W264" i="5" s="1"/>
  <c r="Z264" i="5" a="1"/>
  <c r="Z264" i="5" s="1"/>
  <c r="Y264" i="5" a="1"/>
  <c r="Y264" i="5" s="1"/>
  <c r="V264" i="5" a="1"/>
  <c r="V264" i="5" s="1"/>
  <c r="U264" i="5" a="1"/>
  <c r="U264" i="5" s="1"/>
  <c r="S264" i="5" a="1"/>
  <c r="S264" i="5" s="1"/>
  <c r="E264" i="5" a="1"/>
  <c r="E264" i="5" s="1"/>
  <c r="H264" i="5" a="1"/>
  <c r="H264" i="5" s="1"/>
  <c r="Q264" i="5" a="1"/>
  <c r="Q264" i="5" s="1"/>
  <c r="F264" i="5" a="1"/>
  <c r="F264" i="5" s="1"/>
  <c r="K264" i="5" a="1"/>
  <c r="K264" i="5" s="1"/>
  <c r="P264" i="5" a="1"/>
  <c r="P264" i="5" s="1"/>
  <c r="O264" i="5" a="1"/>
  <c r="O264" i="5" s="1"/>
  <c r="I264" i="5" a="1"/>
  <c r="I264" i="5" s="1"/>
  <c r="R264" i="5" a="1"/>
  <c r="R264" i="5" s="1"/>
  <c r="J264" i="5" a="1"/>
  <c r="J264" i="5" s="1"/>
  <c r="L264" i="5" a="1"/>
  <c r="L264" i="5" s="1"/>
  <c r="N264" i="5" a="1"/>
  <c r="N264" i="5" s="1"/>
  <c r="M264" i="5" a="1"/>
  <c r="M264" i="5" s="1"/>
  <c r="G264" i="5" a="1"/>
  <c r="G264" i="5" s="1"/>
  <c r="D264" i="5" a="1"/>
  <c r="D264" i="5" s="1"/>
  <c r="C265" i="5"/>
  <c r="T265" i="5" l="1" a="1"/>
  <c r="T265" i="5" s="1"/>
  <c r="AG265" i="5" a="1"/>
  <c r="AG265" i="5" s="1"/>
  <c r="AF265" i="5" a="1"/>
  <c r="AF265" i="5" s="1"/>
  <c r="AE265" i="5" a="1"/>
  <c r="AE265" i="5" s="1"/>
  <c r="AD265" i="5" a="1"/>
  <c r="AD265" i="5" s="1"/>
  <c r="AC265" i="5" a="1"/>
  <c r="AC265" i="5" s="1"/>
  <c r="AB265" i="5" a="1"/>
  <c r="AB265" i="5" s="1"/>
  <c r="AA265" i="5" a="1"/>
  <c r="AA265" i="5" s="1"/>
  <c r="Z265" i="5" a="1"/>
  <c r="Z265" i="5" s="1"/>
  <c r="Y265" i="5" a="1"/>
  <c r="Y265" i="5" s="1"/>
  <c r="X265" i="5" a="1"/>
  <c r="X265" i="5" s="1"/>
  <c r="W265" i="5" a="1"/>
  <c r="W265" i="5" s="1"/>
  <c r="V265" i="5" a="1"/>
  <c r="V265" i="5" s="1"/>
  <c r="U265" i="5" a="1"/>
  <c r="U265" i="5" s="1"/>
  <c r="S265" i="5" a="1"/>
  <c r="S265" i="5" s="1"/>
  <c r="E265" i="5" a="1"/>
  <c r="E265" i="5" s="1"/>
  <c r="H265" i="5" a="1"/>
  <c r="H265" i="5" s="1"/>
  <c r="I265" i="5" a="1"/>
  <c r="I265" i="5" s="1"/>
  <c r="Q265" i="5" a="1"/>
  <c r="Q265" i="5" s="1"/>
  <c r="K265" i="5" a="1"/>
  <c r="K265" i="5" s="1"/>
  <c r="F265" i="5" a="1"/>
  <c r="F265" i="5" s="1"/>
  <c r="P265" i="5" a="1"/>
  <c r="P265" i="5" s="1"/>
  <c r="O265" i="5" a="1"/>
  <c r="O265" i="5" s="1"/>
  <c r="N265" i="5" a="1"/>
  <c r="N265" i="5" s="1"/>
  <c r="J265" i="5" a="1"/>
  <c r="J265" i="5" s="1"/>
  <c r="L265" i="5" a="1"/>
  <c r="L265" i="5" s="1"/>
  <c r="G265" i="5" a="1"/>
  <c r="G265" i="5" s="1"/>
  <c r="R265" i="5" a="1"/>
  <c r="R265" i="5" s="1"/>
  <c r="M265" i="5" a="1"/>
  <c r="M265" i="5" s="1"/>
  <c r="C266" i="5"/>
  <c r="D265" i="5" a="1"/>
  <c r="D265" i="5" s="1"/>
  <c r="R71" i="8" l="1"/>
  <c r="T266" i="5" a="1"/>
  <c r="T266" i="5" s="1"/>
  <c r="AG266" i="5" a="1"/>
  <c r="AG266" i="5" s="1"/>
  <c r="AF266" i="5" a="1"/>
  <c r="AF266" i="5" s="1"/>
  <c r="AB266" i="5" a="1"/>
  <c r="AB266" i="5" s="1"/>
  <c r="Z71" i="8" s="1"/>
  <c r="AE266" i="5" a="1"/>
  <c r="AE266" i="5" s="1"/>
  <c r="AD266" i="5" a="1"/>
  <c r="AD266" i="5" s="1"/>
  <c r="AC266" i="5" a="1"/>
  <c r="AC266" i="5" s="1"/>
  <c r="AA71" i="8" s="1"/>
  <c r="AA266" i="5" a="1"/>
  <c r="AA266" i="5" s="1"/>
  <c r="X266" i="5" a="1"/>
  <c r="X266" i="5" s="1"/>
  <c r="W266" i="5" a="1"/>
  <c r="W266" i="5" s="1"/>
  <c r="Z266" i="5" a="1"/>
  <c r="Z266" i="5" s="1"/>
  <c r="Y266" i="5" a="1"/>
  <c r="Y266" i="5" s="1"/>
  <c r="W71" i="8" s="1"/>
  <c r="AB71" i="8"/>
  <c r="U71" i="8"/>
  <c r="AC71" i="8"/>
  <c r="V71" i="8"/>
  <c r="AD71" i="8"/>
  <c r="AE71" i="8"/>
  <c r="X71" i="8"/>
  <c r="V266" i="5" a="1"/>
  <c r="V266" i="5" s="1"/>
  <c r="T71" i="8" s="1"/>
  <c r="U266" i="5" a="1"/>
  <c r="U266" i="5" s="1"/>
  <c r="S71" i="8" s="1"/>
  <c r="S266" i="5" a="1"/>
  <c r="S266" i="5" s="1"/>
  <c r="Q71" i="8" s="1"/>
  <c r="E266" i="5" a="1"/>
  <c r="E266" i="5" s="1"/>
  <c r="C71" i="8" s="1"/>
  <c r="H266" i="5" a="1"/>
  <c r="H266" i="5" s="1"/>
  <c r="F71" i="8" s="1"/>
  <c r="I266" i="5" a="1"/>
  <c r="I266" i="5" s="1"/>
  <c r="G71" i="8" s="1"/>
  <c r="Q266" i="5" a="1"/>
  <c r="Q266" i="5" s="1"/>
  <c r="F266" i="5" a="1"/>
  <c r="F266" i="5" s="1"/>
  <c r="D71" i="8" s="1"/>
  <c r="O266" i="5" a="1"/>
  <c r="O266" i="5" s="1"/>
  <c r="M71" i="8" s="1"/>
  <c r="K266" i="5" a="1"/>
  <c r="K266" i="5" s="1"/>
  <c r="I71" i="8" s="1"/>
  <c r="N266" i="5" a="1"/>
  <c r="N266" i="5" s="1"/>
  <c r="P266" i="5" a="1"/>
  <c r="P266" i="5" s="1"/>
  <c r="N71" i="8" s="1"/>
  <c r="R266" i="5" a="1"/>
  <c r="R266" i="5" s="1"/>
  <c r="J266" i="5" a="1"/>
  <c r="J266" i="5" s="1"/>
  <c r="H71" i="8" s="1"/>
  <c r="L266" i="5" a="1"/>
  <c r="L266" i="5" s="1"/>
  <c r="G266" i="5" a="1"/>
  <c r="G266" i="5" s="1"/>
  <c r="M266" i="5" a="1"/>
  <c r="M266" i="5" s="1"/>
  <c r="D266" i="5" a="1"/>
  <c r="D266" i="5" s="1"/>
  <c r="B71" i="8" s="1"/>
  <c r="C267" i="5"/>
  <c r="T267" i="5" l="1" a="1"/>
  <c r="T267" i="5" s="1"/>
  <c r="AG267" i="5" a="1"/>
  <c r="AG267" i="5" s="1"/>
  <c r="AF267" i="5" a="1"/>
  <c r="AF267" i="5" s="1"/>
  <c r="AE267" i="5" a="1"/>
  <c r="AE267" i="5" s="1"/>
  <c r="AD267" i="5" a="1"/>
  <c r="AD267" i="5" s="1"/>
  <c r="AC267" i="5" a="1"/>
  <c r="AC267" i="5" s="1"/>
  <c r="AB267" i="5" a="1"/>
  <c r="AB267" i="5" s="1"/>
  <c r="AA267" i="5" a="1"/>
  <c r="AA267" i="5" s="1"/>
  <c r="Z267" i="5" a="1"/>
  <c r="Z267" i="5" s="1"/>
  <c r="Y267" i="5" a="1"/>
  <c r="Y267" i="5" s="1"/>
  <c r="X267" i="5" a="1"/>
  <c r="X267" i="5" s="1"/>
  <c r="W267" i="5" a="1"/>
  <c r="W267" i="5" s="1"/>
  <c r="U267" i="5" a="1"/>
  <c r="U267" i="5" s="1"/>
  <c r="S267" i="5" a="1"/>
  <c r="S267" i="5" s="1"/>
  <c r="V267" i="5" a="1"/>
  <c r="V267" i="5" s="1"/>
  <c r="E267" i="5" a="1"/>
  <c r="E267" i="5" s="1"/>
  <c r="H267" i="5" a="1"/>
  <c r="H267" i="5" s="1"/>
  <c r="Q267" i="5" a="1"/>
  <c r="Q267" i="5" s="1"/>
  <c r="I267" i="5" a="1"/>
  <c r="I267" i="5" s="1"/>
  <c r="K267" i="5" a="1"/>
  <c r="K267" i="5" s="1"/>
  <c r="O267" i="5" a="1"/>
  <c r="O267" i="5" s="1"/>
  <c r="F267" i="5" a="1"/>
  <c r="F267" i="5" s="1"/>
  <c r="P267" i="5" a="1"/>
  <c r="P267" i="5" s="1"/>
  <c r="L267" i="5" a="1"/>
  <c r="L267" i="5" s="1"/>
  <c r="J267" i="5" a="1"/>
  <c r="J267" i="5" s="1"/>
  <c r="R267" i="5" a="1"/>
  <c r="R267" i="5" s="1"/>
  <c r="N267" i="5" a="1"/>
  <c r="N267" i="5" s="1"/>
  <c r="G267" i="5" a="1"/>
  <c r="G267" i="5" s="1"/>
  <c r="M267" i="5" a="1"/>
  <c r="M267" i="5" s="1"/>
  <c r="D267" i="5" a="1"/>
  <c r="D267" i="5" s="1"/>
  <c r="C268" i="5"/>
  <c r="T268" i="5" l="1" a="1"/>
  <c r="T268" i="5" s="1"/>
  <c r="AF268" i="5" a="1"/>
  <c r="AF268" i="5" s="1"/>
  <c r="AG268" i="5" a="1"/>
  <c r="AG268" i="5" s="1"/>
  <c r="AB268" i="5" a="1"/>
  <c r="AB268" i="5" s="1"/>
  <c r="AE268" i="5" a="1"/>
  <c r="AE268" i="5" s="1"/>
  <c r="AD268" i="5" a="1"/>
  <c r="AD268" i="5" s="1"/>
  <c r="AC268" i="5" a="1"/>
  <c r="AC268" i="5" s="1"/>
  <c r="AA268" i="5" a="1"/>
  <c r="AA268" i="5" s="1"/>
  <c r="X268" i="5" a="1"/>
  <c r="X268" i="5" s="1"/>
  <c r="W268" i="5" a="1"/>
  <c r="W268" i="5" s="1"/>
  <c r="Z268" i="5" a="1"/>
  <c r="Z268" i="5" s="1"/>
  <c r="Y268" i="5" a="1"/>
  <c r="Y268" i="5" s="1"/>
  <c r="U268" i="5" a="1"/>
  <c r="U268" i="5" s="1"/>
  <c r="V268" i="5" a="1"/>
  <c r="V268" i="5" s="1"/>
  <c r="S268" i="5" a="1"/>
  <c r="S268" i="5" s="1"/>
  <c r="E268" i="5" a="1"/>
  <c r="E268" i="5" s="1"/>
  <c r="H268" i="5" a="1"/>
  <c r="H268" i="5" s="1"/>
  <c r="Q268" i="5" a="1"/>
  <c r="Q268" i="5" s="1"/>
  <c r="I268" i="5" a="1"/>
  <c r="I268" i="5" s="1"/>
  <c r="O268" i="5" a="1"/>
  <c r="O268" i="5" s="1"/>
  <c r="F268" i="5" a="1"/>
  <c r="F268" i="5" s="1"/>
  <c r="K268" i="5" a="1"/>
  <c r="K268" i="5" s="1"/>
  <c r="P268" i="5" a="1"/>
  <c r="P268" i="5" s="1"/>
  <c r="R268" i="5" a="1"/>
  <c r="R268" i="5" s="1"/>
  <c r="J268" i="5" a="1"/>
  <c r="J268" i="5" s="1"/>
  <c r="N268" i="5" a="1"/>
  <c r="N268" i="5" s="1"/>
  <c r="L268" i="5" a="1"/>
  <c r="L268" i="5" s="1"/>
  <c r="G268" i="5" a="1"/>
  <c r="G268" i="5" s="1"/>
  <c r="M268" i="5" a="1"/>
  <c r="M268" i="5" s="1"/>
  <c r="D268" i="5" a="1"/>
  <c r="D268" i="5" s="1"/>
  <c r="C269" i="5"/>
  <c r="T269" i="5" l="1" a="1"/>
  <c r="T269" i="5" s="1"/>
  <c r="AF269" i="5" a="1"/>
  <c r="AF269" i="5" s="1"/>
  <c r="AG269" i="5" a="1"/>
  <c r="AG269" i="5" s="1"/>
  <c r="AE269" i="5" a="1"/>
  <c r="AE269" i="5" s="1"/>
  <c r="AD269" i="5" a="1"/>
  <c r="AD269" i="5" s="1"/>
  <c r="AC269" i="5" a="1"/>
  <c r="AC269" i="5" s="1"/>
  <c r="AB269" i="5" a="1"/>
  <c r="AB269" i="5" s="1"/>
  <c r="AA269" i="5" a="1"/>
  <c r="AA269" i="5" s="1"/>
  <c r="Z269" i="5" a="1"/>
  <c r="Z269" i="5" s="1"/>
  <c r="Y269" i="5" a="1"/>
  <c r="Y269" i="5" s="1"/>
  <c r="X269" i="5" a="1"/>
  <c r="X269" i="5" s="1"/>
  <c r="W269" i="5" a="1"/>
  <c r="W269" i="5" s="1"/>
  <c r="U269" i="5" a="1"/>
  <c r="U269" i="5" s="1"/>
  <c r="V269" i="5" a="1"/>
  <c r="V269" i="5" s="1"/>
  <c r="S269" i="5" a="1"/>
  <c r="S269" i="5" s="1"/>
  <c r="E269" i="5" a="1"/>
  <c r="E269" i="5" s="1"/>
  <c r="H269" i="5" a="1"/>
  <c r="H269" i="5" s="1"/>
  <c r="Q269" i="5" a="1"/>
  <c r="Q269" i="5" s="1"/>
  <c r="I269" i="5" a="1"/>
  <c r="I269" i="5" s="1"/>
  <c r="K269" i="5" a="1"/>
  <c r="K269" i="5" s="1"/>
  <c r="F269" i="5" a="1"/>
  <c r="F269" i="5" s="1"/>
  <c r="O269" i="5" a="1"/>
  <c r="O269" i="5" s="1"/>
  <c r="R269" i="5" a="1"/>
  <c r="R269" i="5" s="1"/>
  <c r="P269" i="5" a="1"/>
  <c r="P269" i="5" s="1"/>
  <c r="L269" i="5" a="1"/>
  <c r="L269" i="5" s="1"/>
  <c r="N269" i="5" a="1"/>
  <c r="N269" i="5" s="1"/>
  <c r="J269" i="5" a="1"/>
  <c r="J269" i="5" s="1"/>
  <c r="G269" i="5" a="1"/>
  <c r="G269" i="5" s="1"/>
  <c r="M269" i="5" a="1"/>
  <c r="M269" i="5" s="1"/>
  <c r="D269" i="5" a="1"/>
  <c r="D269" i="5" s="1"/>
  <c r="C270" i="5"/>
  <c r="R72" i="8" l="1"/>
  <c r="T270" i="5" a="1"/>
  <c r="T270" i="5" s="1"/>
  <c r="AG270" i="5" a="1"/>
  <c r="AG270" i="5" s="1"/>
  <c r="AF270" i="5" a="1"/>
  <c r="AF270" i="5" s="1"/>
  <c r="AB270" i="5" a="1"/>
  <c r="AB270" i="5" s="1"/>
  <c r="AE270" i="5" a="1"/>
  <c r="AE270" i="5" s="1"/>
  <c r="AD270" i="5" a="1"/>
  <c r="AD270" i="5" s="1"/>
  <c r="AC270" i="5" a="1"/>
  <c r="AC270" i="5" s="1"/>
  <c r="AA270" i="5" a="1"/>
  <c r="AA270" i="5" s="1"/>
  <c r="X270" i="5" a="1"/>
  <c r="X270" i="5" s="1"/>
  <c r="W270" i="5" a="1"/>
  <c r="W270" i="5" s="1"/>
  <c r="Z270" i="5" a="1"/>
  <c r="Z270" i="5" s="1"/>
  <c r="Y270" i="5" a="1"/>
  <c r="Y270" i="5" s="1"/>
  <c r="Z72" i="8"/>
  <c r="AA72" i="8"/>
  <c r="AB72" i="8"/>
  <c r="U72" i="8"/>
  <c r="AC72" i="8"/>
  <c r="V72" i="8"/>
  <c r="AE72" i="8"/>
  <c r="W72" i="8"/>
  <c r="AD72" i="8"/>
  <c r="X72" i="8"/>
  <c r="S72" i="8"/>
  <c r="U270" i="5" a="1"/>
  <c r="U270" i="5" s="1"/>
  <c r="V270" i="5" a="1"/>
  <c r="V270" i="5" s="1"/>
  <c r="T72" i="8" s="1"/>
  <c r="S270" i="5" a="1"/>
  <c r="S270" i="5" s="1"/>
  <c r="Q72" i="8"/>
  <c r="E270" i="5" a="1"/>
  <c r="E270" i="5" s="1"/>
  <c r="C72" i="8" s="1"/>
  <c r="H270" i="5" a="1"/>
  <c r="H270" i="5" s="1"/>
  <c r="F72" i="8" s="1"/>
  <c r="Q270" i="5" a="1"/>
  <c r="Q270" i="5" s="1"/>
  <c r="I270" i="5" a="1"/>
  <c r="I270" i="5" s="1"/>
  <c r="G72" i="8" s="1"/>
  <c r="K270" i="5" a="1"/>
  <c r="K270" i="5" s="1"/>
  <c r="I72" i="8" s="1"/>
  <c r="P270" i="5" a="1"/>
  <c r="P270" i="5" s="1"/>
  <c r="F270" i="5" a="1"/>
  <c r="F270" i="5" s="1"/>
  <c r="O270" i="5" a="1"/>
  <c r="O270" i="5" s="1"/>
  <c r="M72" i="8" s="1"/>
  <c r="M270" i="5" a="1"/>
  <c r="M270" i="5" s="1"/>
  <c r="K72" i="8" s="1"/>
  <c r="J270" i="5" a="1"/>
  <c r="J270" i="5" s="1"/>
  <c r="H72" i="8" s="1"/>
  <c r="R270" i="5" a="1"/>
  <c r="R270" i="5" s="1"/>
  <c r="N270" i="5" a="1"/>
  <c r="N270" i="5" s="1"/>
  <c r="L72" i="8" s="1"/>
  <c r="L270" i="5" a="1"/>
  <c r="L270" i="5" s="1"/>
  <c r="J72" i="8" s="1"/>
  <c r="G270" i="5" a="1"/>
  <c r="G270" i="5" s="1"/>
  <c r="D270" i="5" a="1"/>
  <c r="D270" i="5" s="1"/>
  <c r="B72" i="8" s="1"/>
  <c r="C271" i="5"/>
  <c r="T271" i="5" l="1" a="1"/>
  <c r="T271" i="5" s="1"/>
  <c r="AG271" i="5" a="1"/>
  <c r="AG271" i="5" s="1"/>
  <c r="AF271" i="5" a="1"/>
  <c r="AF271" i="5" s="1"/>
  <c r="AE271" i="5" a="1"/>
  <c r="AE271" i="5" s="1"/>
  <c r="AD271" i="5" a="1"/>
  <c r="AD271" i="5" s="1"/>
  <c r="AC271" i="5" a="1"/>
  <c r="AC271" i="5" s="1"/>
  <c r="AB271" i="5" a="1"/>
  <c r="AB271" i="5" s="1"/>
  <c r="AA271" i="5" a="1"/>
  <c r="AA271" i="5" s="1"/>
  <c r="Z271" i="5" a="1"/>
  <c r="Z271" i="5" s="1"/>
  <c r="Y271" i="5" a="1"/>
  <c r="Y271" i="5" s="1"/>
  <c r="X271" i="5" a="1"/>
  <c r="X271" i="5" s="1"/>
  <c r="W271" i="5" a="1"/>
  <c r="W271" i="5" s="1"/>
  <c r="V271" i="5" a="1"/>
  <c r="V271" i="5" s="1"/>
  <c r="S271" i="5" a="1"/>
  <c r="S271" i="5" s="1"/>
  <c r="U271" i="5" a="1"/>
  <c r="U271" i="5" s="1"/>
  <c r="E271" i="5" a="1"/>
  <c r="E271" i="5" s="1"/>
  <c r="H271" i="5" a="1"/>
  <c r="H271" i="5" s="1"/>
  <c r="Q271" i="5" a="1"/>
  <c r="Q271" i="5" s="1"/>
  <c r="I271" i="5" a="1"/>
  <c r="I271" i="5" s="1"/>
  <c r="K271" i="5" a="1"/>
  <c r="K271" i="5" s="1"/>
  <c r="F271" i="5" a="1"/>
  <c r="F271" i="5" s="1"/>
  <c r="P271" i="5" a="1"/>
  <c r="P271" i="5" s="1"/>
  <c r="O271" i="5" a="1"/>
  <c r="O271" i="5" s="1"/>
  <c r="N271" i="5" a="1"/>
  <c r="N271" i="5" s="1"/>
  <c r="J271" i="5" a="1"/>
  <c r="J271" i="5" s="1"/>
  <c r="L271" i="5" a="1"/>
  <c r="L271" i="5" s="1"/>
  <c r="R271" i="5" a="1"/>
  <c r="R271" i="5" s="1"/>
  <c r="G271" i="5" a="1"/>
  <c r="G271" i="5" s="1"/>
  <c r="M271" i="5" a="1"/>
  <c r="M271" i="5" s="1"/>
  <c r="D271" i="5" a="1"/>
  <c r="D271" i="5" s="1"/>
  <c r="C272" i="5"/>
  <c r="T272" i="5" l="1" a="1"/>
  <c r="T272" i="5" s="1"/>
  <c r="AF272" i="5" a="1"/>
  <c r="AF272" i="5" s="1"/>
  <c r="AG272" i="5" a="1"/>
  <c r="AG272" i="5" s="1"/>
  <c r="AB272" i="5" a="1"/>
  <c r="AB272" i="5" s="1"/>
  <c r="AE272" i="5" a="1"/>
  <c r="AE272" i="5" s="1"/>
  <c r="AD272" i="5" a="1"/>
  <c r="AD272" i="5" s="1"/>
  <c r="AC272" i="5" a="1"/>
  <c r="AC272" i="5" s="1"/>
  <c r="AA272" i="5" a="1"/>
  <c r="AA272" i="5" s="1"/>
  <c r="X272" i="5" a="1"/>
  <c r="X272" i="5" s="1"/>
  <c r="W272" i="5" a="1"/>
  <c r="W272" i="5" s="1"/>
  <c r="Z272" i="5" a="1"/>
  <c r="Z272" i="5" s="1"/>
  <c r="Y272" i="5" a="1"/>
  <c r="Y272" i="5" s="1"/>
  <c r="V272" i="5" a="1"/>
  <c r="V272" i="5" s="1"/>
  <c r="U272" i="5" a="1"/>
  <c r="U272" i="5" s="1"/>
  <c r="S272" i="5" a="1"/>
  <c r="S272" i="5" s="1"/>
  <c r="E272" i="5" a="1"/>
  <c r="E272" i="5" s="1"/>
  <c r="H272" i="5" a="1"/>
  <c r="H272" i="5" s="1"/>
  <c r="Q272" i="5" a="1"/>
  <c r="Q272" i="5" s="1"/>
  <c r="I272" i="5" a="1"/>
  <c r="I272" i="5" s="1"/>
  <c r="O272" i="5" a="1"/>
  <c r="O272" i="5" s="1"/>
  <c r="P272" i="5" a="1"/>
  <c r="P272" i="5" s="1"/>
  <c r="F272" i="5" a="1"/>
  <c r="F272" i="5" s="1"/>
  <c r="K272" i="5" a="1"/>
  <c r="K272" i="5" s="1"/>
  <c r="R272" i="5" a="1"/>
  <c r="R272" i="5" s="1"/>
  <c r="N272" i="5" a="1"/>
  <c r="N272" i="5" s="1"/>
  <c r="J272" i="5" a="1"/>
  <c r="J272" i="5" s="1"/>
  <c r="L272" i="5" a="1"/>
  <c r="L272" i="5" s="1"/>
  <c r="M272" i="5" a="1"/>
  <c r="M272" i="5" s="1"/>
  <c r="G272" i="5" a="1"/>
  <c r="G272" i="5" s="1"/>
  <c r="D272" i="5" a="1"/>
  <c r="D272" i="5" s="1"/>
  <c r="C273" i="5"/>
  <c r="T273" i="5" l="1" a="1"/>
  <c r="T273" i="5" s="1"/>
  <c r="AF273" i="5" a="1"/>
  <c r="AF273" i="5" s="1"/>
  <c r="AG273" i="5" a="1"/>
  <c r="AG273" i="5" s="1"/>
  <c r="AE273" i="5" a="1"/>
  <c r="AE273" i="5" s="1"/>
  <c r="AD273" i="5" a="1"/>
  <c r="AD273" i="5" s="1"/>
  <c r="AC273" i="5" a="1"/>
  <c r="AC273" i="5" s="1"/>
  <c r="AB273" i="5" a="1"/>
  <c r="AB273" i="5" s="1"/>
  <c r="AA273" i="5" a="1"/>
  <c r="AA273" i="5" s="1"/>
  <c r="Z273" i="5" a="1"/>
  <c r="Z273" i="5" s="1"/>
  <c r="Y273" i="5" a="1"/>
  <c r="Y273" i="5" s="1"/>
  <c r="X273" i="5" a="1"/>
  <c r="X273" i="5" s="1"/>
  <c r="W273" i="5" a="1"/>
  <c r="W273" i="5" s="1"/>
  <c r="V273" i="5" a="1"/>
  <c r="V273" i="5" s="1"/>
  <c r="U273" i="5" a="1"/>
  <c r="U273" i="5" s="1"/>
  <c r="S273" i="5" a="1"/>
  <c r="S273" i="5" s="1"/>
  <c r="E273" i="5" a="1"/>
  <c r="E273" i="5" s="1"/>
  <c r="H273" i="5" a="1"/>
  <c r="H273" i="5" s="1"/>
  <c r="Q273" i="5" a="1"/>
  <c r="Q273" i="5" s="1"/>
  <c r="I273" i="5" a="1"/>
  <c r="I273" i="5" s="1"/>
  <c r="F273" i="5" a="1"/>
  <c r="F273" i="5" s="1"/>
  <c r="K273" i="5" a="1"/>
  <c r="K273" i="5" s="1"/>
  <c r="O273" i="5" a="1"/>
  <c r="O273" i="5" s="1"/>
  <c r="J273" i="5" a="1"/>
  <c r="J273" i="5" s="1"/>
  <c r="L273" i="5" a="1"/>
  <c r="L273" i="5" s="1"/>
  <c r="R273" i="5" a="1"/>
  <c r="R273" i="5" s="1"/>
  <c r="N273" i="5" a="1"/>
  <c r="N273" i="5" s="1"/>
  <c r="G273" i="5" a="1"/>
  <c r="G273" i="5" s="1"/>
  <c r="P273" i="5" a="1"/>
  <c r="P273" i="5" s="1"/>
  <c r="M273" i="5" a="1"/>
  <c r="M273" i="5" s="1"/>
  <c r="D273" i="5" a="1"/>
  <c r="D273" i="5" s="1"/>
  <c r="C274" i="5"/>
  <c r="T274" i="5" l="1" a="1"/>
  <c r="T274" i="5" s="1"/>
  <c r="R73" i="8" s="1"/>
  <c r="AG274" i="5" a="1"/>
  <c r="AG274" i="5" s="1"/>
  <c r="AF274" i="5" a="1"/>
  <c r="AF274" i="5" s="1"/>
  <c r="AB274" i="5" a="1"/>
  <c r="AB274" i="5" s="1"/>
  <c r="AE274" i="5" a="1"/>
  <c r="AE274" i="5" s="1"/>
  <c r="AD274" i="5" a="1"/>
  <c r="AD274" i="5" s="1"/>
  <c r="AC274" i="5" a="1"/>
  <c r="AC274" i="5" s="1"/>
  <c r="AA274" i="5" a="1"/>
  <c r="AA274" i="5" s="1"/>
  <c r="X274" i="5" a="1"/>
  <c r="X274" i="5" s="1"/>
  <c r="W274" i="5" a="1"/>
  <c r="W274" i="5" s="1"/>
  <c r="Z274" i="5" a="1"/>
  <c r="Z274" i="5" s="1"/>
  <c r="Y274" i="5" a="1"/>
  <c r="Y274" i="5" s="1"/>
  <c r="Z73" i="8"/>
  <c r="AA73" i="8"/>
  <c r="AB73" i="8"/>
  <c r="U73" i="8"/>
  <c r="AC73" i="8"/>
  <c r="V73" i="8"/>
  <c r="AE73" i="8"/>
  <c r="W73" i="8"/>
  <c r="AD73" i="8"/>
  <c r="X73" i="8"/>
  <c r="V274" i="5" a="1"/>
  <c r="V274" i="5" s="1"/>
  <c r="U274" i="5" a="1"/>
  <c r="U274" i="5" s="1"/>
  <c r="S274" i="5" a="1"/>
  <c r="S274" i="5" s="1"/>
  <c r="Q73" i="8" s="1"/>
  <c r="E274" i="5" a="1"/>
  <c r="E274" i="5" s="1"/>
  <c r="C73" i="8" s="1"/>
  <c r="H274" i="5" a="1"/>
  <c r="H274" i="5" s="1"/>
  <c r="F73" i="8" s="1"/>
  <c r="I274" i="5" a="1"/>
  <c r="I274" i="5" s="1"/>
  <c r="G73" i="8" s="1"/>
  <c r="P274" i="5" a="1"/>
  <c r="P274" i="5" s="1"/>
  <c r="F274" i="5" a="1"/>
  <c r="F274" i="5" s="1"/>
  <c r="Q274" i="5" a="1"/>
  <c r="Q274" i="5" s="1"/>
  <c r="O73" i="8" s="1"/>
  <c r="K274" i="5" a="1"/>
  <c r="K274" i="5" s="1"/>
  <c r="O274" i="5" a="1"/>
  <c r="O274" i="5" s="1"/>
  <c r="N274" i="5" a="1"/>
  <c r="N274" i="5" s="1"/>
  <c r="L73" i="8" s="1"/>
  <c r="J274" i="5" a="1"/>
  <c r="J274" i="5" s="1"/>
  <c r="H73" i="8" s="1"/>
  <c r="L274" i="5" a="1"/>
  <c r="L274" i="5" s="1"/>
  <c r="M274" i="5" a="1"/>
  <c r="M274" i="5" s="1"/>
  <c r="G274" i="5" a="1"/>
  <c r="G274" i="5" s="1"/>
  <c r="R274" i="5" a="1"/>
  <c r="R274" i="5" s="1"/>
  <c r="P73" i="8" s="1"/>
  <c r="D274" i="5" a="1"/>
  <c r="D274" i="5" s="1"/>
  <c r="B73" i="8" s="1"/>
  <c r="C275" i="5"/>
  <c r="T275" i="5" l="1" a="1"/>
  <c r="T275" i="5" s="1"/>
  <c r="AG275" i="5" a="1"/>
  <c r="AG275" i="5" s="1"/>
  <c r="AF275" i="5" a="1"/>
  <c r="AF275" i="5" s="1"/>
  <c r="AE275" i="5" a="1"/>
  <c r="AE275" i="5" s="1"/>
  <c r="AD275" i="5" a="1"/>
  <c r="AD275" i="5" s="1"/>
  <c r="AC275" i="5" a="1"/>
  <c r="AC275" i="5" s="1"/>
  <c r="AB275" i="5" a="1"/>
  <c r="AB275" i="5" s="1"/>
  <c r="AA275" i="5" a="1"/>
  <c r="AA275" i="5" s="1"/>
  <c r="Z275" i="5" a="1"/>
  <c r="Z275" i="5" s="1"/>
  <c r="Y275" i="5" a="1"/>
  <c r="Y275" i="5" s="1"/>
  <c r="X275" i="5" a="1"/>
  <c r="X275" i="5" s="1"/>
  <c r="W275" i="5" a="1"/>
  <c r="W275" i="5" s="1"/>
  <c r="U275" i="5" a="1"/>
  <c r="U275" i="5" s="1"/>
  <c r="V275" i="5" a="1"/>
  <c r="V275" i="5" s="1"/>
  <c r="S275" i="5" a="1"/>
  <c r="S275" i="5" s="1"/>
  <c r="E275" i="5" a="1"/>
  <c r="E275" i="5" s="1"/>
  <c r="H275" i="5" a="1"/>
  <c r="H275" i="5" s="1"/>
  <c r="Q275" i="5" a="1"/>
  <c r="Q275" i="5" s="1"/>
  <c r="O275" i="5" a="1"/>
  <c r="O275" i="5" s="1"/>
  <c r="F275" i="5" a="1"/>
  <c r="F275" i="5" s="1"/>
  <c r="K275" i="5" a="1"/>
  <c r="K275" i="5" s="1"/>
  <c r="I275" i="5" a="1"/>
  <c r="I275" i="5" s="1"/>
  <c r="L275" i="5" a="1"/>
  <c r="L275" i="5" s="1"/>
  <c r="R275" i="5" a="1"/>
  <c r="R275" i="5" s="1"/>
  <c r="P275" i="5" a="1"/>
  <c r="P275" i="5" s="1"/>
  <c r="N275" i="5" a="1"/>
  <c r="N275" i="5" s="1"/>
  <c r="J275" i="5" a="1"/>
  <c r="J275" i="5" s="1"/>
  <c r="G275" i="5" a="1"/>
  <c r="G275" i="5" s="1"/>
  <c r="M275" i="5" a="1"/>
  <c r="M275" i="5" s="1"/>
  <c r="D275" i="5" a="1"/>
  <c r="D275" i="5" s="1"/>
  <c r="C276" i="5"/>
  <c r="T276" i="5" l="1" a="1"/>
  <c r="T276" i="5" s="1"/>
  <c r="AF276" i="5" a="1"/>
  <c r="AF276" i="5" s="1"/>
  <c r="AG276" i="5" a="1"/>
  <c r="AG276" i="5" s="1"/>
  <c r="AB276" i="5" a="1"/>
  <c r="AB276" i="5" s="1"/>
  <c r="AE276" i="5" a="1"/>
  <c r="AE276" i="5" s="1"/>
  <c r="AD276" i="5" a="1"/>
  <c r="AD276" i="5" s="1"/>
  <c r="AC276" i="5" a="1"/>
  <c r="AC276" i="5" s="1"/>
  <c r="AA276" i="5" a="1"/>
  <c r="AA276" i="5" s="1"/>
  <c r="X276" i="5" a="1"/>
  <c r="X276" i="5" s="1"/>
  <c r="W276" i="5" a="1"/>
  <c r="W276" i="5" s="1"/>
  <c r="Z276" i="5" a="1"/>
  <c r="Z276" i="5" s="1"/>
  <c r="Y276" i="5" a="1"/>
  <c r="Y276" i="5" s="1"/>
  <c r="U276" i="5" a="1"/>
  <c r="U276" i="5" s="1"/>
  <c r="V276" i="5" a="1"/>
  <c r="V276" i="5" s="1"/>
  <c r="S276" i="5" a="1"/>
  <c r="S276" i="5" s="1"/>
  <c r="E276" i="5" a="1"/>
  <c r="E276" i="5" s="1"/>
  <c r="H276" i="5" a="1"/>
  <c r="H276" i="5" s="1"/>
  <c r="I276" i="5" a="1"/>
  <c r="I276" i="5" s="1"/>
  <c r="Q276" i="5" a="1"/>
  <c r="Q276" i="5" s="1"/>
  <c r="P276" i="5" a="1"/>
  <c r="P276" i="5" s="1"/>
  <c r="F276" i="5" a="1"/>
  <c r="F276" i="5" s="1"/>
  <c r="K276" i="5" a="1"/>
  <c r="K276" i="5" s="1"/>
  <c r="O276" i="5" a="1"/>
  <c r="O276" i="5" s="1"/>
  <c r="J276" i="5" a="1"/>
  <c r="J276" i="5" s="1"/>
  <c r="L276" i="5" a="1"/>
  <c r="L276" i="5" s="1"/>
  <c r="R276" i="5" a="1"/>
  <c r="R276" i="5" s="1"/>
  <c r="N276" i="5" a="1"/>
  <c r="N276" i="5" s="1"/>
  <c r="M276" i="5" a="1"/>
  <c r="M276" i="5" s="1"/>
  <c r="G276" i="5" a="1"/>
  <c r="G276" i="5" s="1"/>
  <c r="D276" i="5" a="1"/>
  <c r="D276" i="5" s="1"/>
  <c r="C277" i="5"/>
  <c r="T277" i="5" l="1" a="1"/>
  <c r="T277" i="5" s="1"/>
  <c r="AF277" i="5" a="1"/>
  <c r="AF277" i="5" s="1"/>
  <c r="AG277" i="5" a="1"/>
  <c r="AG277" i="5" s="1"/>
  <c r="AE277" i="5" a="1"/>
  <c r="AE277" i="5" s="1"/>
  <c r="AD277" i="5" a="1"/>
  <c r="AD277" i="5" s="1"/>
  <c r="AC277" i="5" a="1"/>
  <c r="AC277" i="5" s="1"/>
  <c r="AB277" i="5" a="1"/>
  <c r="AB277" i="5" s="1"/>
  <c r="AA277" i="5" a="1"/>
  <c r="AA277" i="5" s="1"/>
  <c r="Z277" i="5" a="1"/>
  <c r="Z277" i="5" s="1"/>
  <c r="Y277" i="5" a="1"/>
  <c r="Y277" i="5" s="1"/>
  <c r="X277" i="5" a="1"/>
  <c r="X277" i="5" s="1"/>
  <c r="W277" i="5" a="1"/>
  <c r="W277" i="5" s="1"/>
  <c r="U277" i="5" a="1"/>
  <c r="U277" i="5" s="1"/>
  <c r="V277" i="5" a="1"/>
  <c r="V277" i="5" s="1"/>
  <c r="S277" i="5" a="1"/>
  <c r="S277" i="5" s="1"/>
  <c r="E277" i="5" a="1"/>
  <c r="E277" i="5" s="1"/>
  <c r="H277" i="5" a="1"/>
  <c r="H277" i="5" s="1"/>
  <c r="Q277" i="5" a="1"/>
  <c r="Q277" i="5" s="1"/>
  <c r="I277" i="5" a="1"/>
  <c r="I277" i="5" s="1"/>
  <c r="K277" i="5" a="1"/>
  <c r="K277" i="5" s="1"/>
  <c r="F277" i="5" a="1"/>
  <c r="F277" i="5" s="1"/>
  <c r="P277" i="5" a="1"/>
  <c r="P277" i="5" s="1"/>
  <c r="R277" i="5" a="1"/>
  <c r="R277" i="5" s="1"/>
  <c r="O277" i="5" a="1"/>
  <c r="O277" i="5" s="1"/>
  <c r="G277" i="5" a="1"/>
  <c r="G277" i="5" s="1"/>
  <c r="M277" i="5" a="1"/>
  <c r="M277" i="5" s="1"/>
  <c r="N277" i="5" a="1"/>
  <c r="N277" i="5" s="1"/>
  <c r="L277" i="5" a="1"/>
  <c r="L277" i="5" s="1"/>
  <c r="J277" i="5" a="1"/>
  <c r="J277" i="5" s="1"/>
  <c r="D277" i="5" a="1"/>
  <c r="D277" i="5" s="1"/>
  <c r="C278" i="5"/>
  <c r="R74" i="8" l="1"/>
  <c r="T278" i="5" a="1"/>
  <c r="T278" i="5" s="1"/>
  <c r="AG278" i="5" a="1"/>
  <c r="AG278" i="5" s="1"/>
  <c r="AF278" i="5" a="1"/>
  <c r="AF278" i="5" s="1"/>
  <c r="AB278" i="5" a="1"/>
  <c r="AB278" i="5" s="1"/>
  <c r="AE278" i="5" a="1"/>
  <c r="AE278" i="5" s="1"/>
  <c r="AD278" i="5" a="1"/>
  <c r="AD278" i="5" s="1"/>
  <c r="AC278" i="5" a="1"/>
  <c r="AC278" i="5" s="1"/>
  <c r="AA74" i="8" s="1"/>
  <c r="AA278" i="5" a="1"/>
  <c r="AA278" i="5" s="1"/>
  <c r="X278" i="5" a="1"/>
  <c r="X278" i="5" s="1"/>
  <c r="W278" i="5" a="1"/>
  <c r="W278" i="5" s="1"/>
  <c r="Z278" i="5" a="1"/>
  <c r="Z278" i="5" s="1"/>
  <c r="Y278" i="5" a="1"/>
  <c r="Y278" i="5" s="1"/>
  <c r="Z74" i="8"/>
  <c r="AB74" i="8"/>
  <c r="U74" i="8"/>
  <c r="AC74" i="8"/>
  <c r="V74" i="8"/>
  <c r="AE74" i="8"/>
  <c r="W74" i="8"/>
  <c r="AD74" i="8"/>
  <c r="X74" i="8"/>
  <c r="S74" i="8"/>
  <c r="U278" i="5" a="1"/>
  <c r="U278" i="5" s="1"/>
  <c r="V278" i="5" a="1"/>
  <c r="V278" i="5" s="1"/>
  <c r="T74" i="8" s="1"/>
  <c r="S278" i="5" a="1"/>
  <c r="S278" i="5" s="1"/>
  <c r="Q74" i="8"/>
  <c r="E278" i="5" a="1"/>
  <c r="E278" i="5" s="1"/>
  <c r="H278" i="5" a="1"/>
  <c r="H278" i="5" s="1"/>
  <c r="F74" i="8" s="1"/>
  <c r="Q278" i="5" a="1"/>
  <c r="Q278" i="5" s="1"/>
  <c r="I278" i="5" a="1"/>
  <c r="I278" i="5" s="1"/>
  <c r="G74" i="8" s="1"/>
  <c r="O278" i="5" a="1"/>
  <c r="O278" i="5" s="1"/>
  <c r="F278" i="5" a="1"/>
  <c r="F278" i="5" s="1"/>
  <c r="P278" i="5" a="1"/>
  <c r="P278" i="5" s="1"/>
  <c r="R278" i="5" a="1"/>
  <c r="R278" i="5" s="1"/>
  <c r="P74" i="8" s="1"/>
  <c r="L278" i="5" a="1"/>
  <c r="L278" i="5" s="1"/>
  <c r="K278" i="5" a="1"/>
  <c r="K278" i="5" s="1"/>
  <c r="I74" i="8" s="1"/>
  <c r="N278" i="5" a="1"/>
  <c r="N278" i="5" s="1"/>
  <c r="L74" i="8" s="1"/>
  <c r="J278" i="5" a="1"/>
  <c r="J278" i="5" s="1"/>
  <c r="G278" i="5" a="1"/>
  <c r="G278" i="5" s="1"/>
  <c r="E74" i="8" s="1"/>
  <c r="M278" i="5" a="1"/>
  <c r="M278" i="5" s="1"/>
  <c r="D278" i="5" a="1"/>
  <c r="D278" i="5" s="1"/>
  <c r="B74" i="8" s="1"/>
  <c r="C279" i="5"/>
  <c r="T279" i="5" l="1" a="1"/>
  <c r="T279" i="5" s="1"/>
  <c r="AG279" i="5" a="1"/>
  <c r="AG279" i="5" s="1"/>
  <c r="AF279" i="5" a="1"/>
  <c r="AF279" i="5" s="1"/>
  <c r="AE279" i="5" a="1"/>
  <c r="AE279" i="5" s="1"/>
  <c r="AD279" i="5" a="1"/>
  <c r="AD279" i="5" s="1"/>
  <c r="AC279" i="5" a="1"/>
  <c r="AC279" i="5" s="1"/>
  <c r="AB279" i="5" a="1"/>
  <c r="AB279" i="5" s="1"/>
  <c r="AA279" i="5" a="1"/>
  <c r="AA279" i="5" s="1"/>
  <c r="Z279" i="5" a="1"/>
  <c r="Z279" i="5" s="1"/>
  <c r="Y279" i="5" a="1"/>
  <c r="Y279" i="5" s="1"/>
  <c r="X279" i="5" a="1"/>
  <c r="X279" i="5" s="1"/>
  <c r="W279" i="5" a="1"/>
  <c r="W279" i="5" s="1"/>
  <c r="V279" i="5" a="1"/>
  <c r="V279" i="5" s="1"/>
  <c r="S279" i="5" a="1"/>
  <c r="S279" i="5" s="1"/>
  <c r="U279" i="5" a="1"/>
  <c r="U279" i="5" s="1"/>
  <c r="E279" i="5" a="1"/>
  <c r="E279" i="5" s="1"/>
  <c r="H279" i="5" a="1"/>
  <c r="H279" i="5" s="1"/>
  <c r="Q279" i="5" a="1"/>
  <c r="Q279" i="5" s="1"/>
  <c r="I279" i="5" a="1"/>
  <c r="I279" i="5" s="1"/>
  <c r="F279" i="5" a="1"/>
  <c r="F279" i="5" s="1"/>
  <c r="P279" i="5" a="1"/>
  <c r="P279" i="5" s="1"/>
  <c r="K279" i="5" a="1"/>
  <c r="K279" i="5" s="1"/>
  <c r="N279" i="5" a="1"/>
  <c r="N279" i="5" s="1"/>
  <c r="L279" i="5" a="1"/>
  <c r="L279" i="5" s="1"/>
  <c r="O279" i="5" a="1"/>
  <c r="O279" i="5" s="1"/>
  <c r="R279" i="5" a="1"/>
  <c r="R279" i="5" s="1"/>
  <c r="J279" i="5" a="1"/>
  <c r="J279" i="5" s="1"/>
  <c r="G279" i="5" a="1"/>
  <c r="G279" i="5" s="1"/>
  <c r="M279" i="5" a="1"/>
  <c r="M279" i="5" s="1"/>
  <c r="D279" i="5" a="1"/>
  <c r="D279" i="5" s="1"/>
  <c r="C280" i="5"/>
  <c r="T280" i="5" l="1" a="1"/>
  <c r="T280" i="5" s="1"/>
  <c r="AF280" i="5" a="1"/>
  <c r="AF280" i="5" s="1"/>
  <c r="AG280" i="5" a="1"/>
  <c r="AG280" i="5" s="1"/>
  <c r="AB280" i="5" a="1"/>
  <c r="AB280" i="5" s="1"/>
  <c r="AE280" i="5" a="1"/>
  <c r="AE280" i="5" s="1"/>
  <c r="AD280" i="5" a="1"/>
  <c r="AD280" i="5" s="1"/>
  <c r="AC280" i="5" a="1"/>
  <c r="AC280" i="5" s="1"/>
  <c r="AA280" i="5" a="1"/>
  <c r="AA280" i="5" s="1"/>
  <c r="X280" i="5" a="1"/>
  <c r="X280" i="5" s="1"/>
  <c r="W280" i="5" a="1"/>
  <c r="W280" i="5" s="1"/>
  <c r="Z280" i="5" a="1"/>
  <c r="Z280" i="5" s="1"/>
  <c r="Y280" i="5" a="1"/>
  <c r="Y280" i="5" s="1"/>
  <c r="V280" i="5" a="1"/>
  <c r="V280" i="5" s="1"/>
  <c r="U280" i="5" a="1"/>
  <c r="U280" i="5" s="1"/>
  <c r="S280" i="5" a="1"/>
  <c r="S280" i="5" s="1"/>
  <c r="E280" i="5" a="1"/>
  <c r="E280" i="5" s="1"/>
  <c r="H280" i="5" a="1"/>
  <c r="H280" i="5" s="1"/>
  <c r="I280" i="5" a="1"/>
  <c r="I280" i="5" s="1"/>
  <c r="Q280" i="5" a="1"/>
  <c r="Q280" i="5" s="1"/>
  <c r="O280" i="5" a="1"/>
  <c r="O280" i="5" s="1"/>
  <c r="P280" i="5" a="1"/>
  <c r="P280" i="5" s="1"/>
  <c r="K280" i="5" a="1"/>
  <c r="K280" i="5" s="1"/>
  <c r="F280" i="5" a="1"/>
  <c r="F280" i="5" s="1"/>
  <c r="J280" i="5" a="1"/>
  <c r="J280" i="5" s="1"/>
  <c r="R280" i="5" a="1"/>
  <c r="R280" i="5" s="1"/>
  <c r="L280" i="5" a="1"/>
  <c r="L280" i="5" s="1"/>
  <c r="N280" i="5" a="1"/>
  <c r="N280" i="5" s="1"/>
  <c r="G280" i="5" a="1"/>
  <c r="G280" i="5" s="1"/>
  <c r="M280" i="5" a="1"/>
  <c r="M280" i="5" s="1"/>
  <c r="D280" i="5" a="1"/>
  <c r="D280" i="5" s="1"/>
  <c r="C281" i="5"/>
  <c r="T281" i="5" l="1" a="1"/>
  <c r="T281" i="5" s="1"/>
  <c r="AF281" i="5" a="1"/>
  <c r="AF281" i="5" s="1"/>
  <c r="AG281" i="5" a="1"/>
  <c r="AG281" i="5" s="1"/>
  <c r="AE281" i="5" a="1"/>
  <c r="AE281" i="5" s="1"/>
  <c r="AD281" i="5" a="1"/>
  <c r="AD281" i="5" s="1"/>
  <c r="AC281" i="5" a="1"/>
  <c r="AC281" i="5" s="1"/>
  <c r="AB281" i="5" a="1"/>
  <c r="AB281" i="5" s="1"/>
  <c r="AA281" i="5" a="1"/>
  <c r="AA281" i="5" s="1"/>
  <c r="Z281" i="5" a="1"/>
  <c r="Z281" i="5" s="1"/>
  <c r="Y281" i="5" a="1"/>
  <c r="Y281" i="5" s="1"/>
  <c r="X281" i="5" a="1"/>
  <c r="X281" i="5" s="1"/>
  <c r="W281" i="5" a="1"/>
  <c r="W281" i="5" s="1"/>
  <c r="V281" i="5" a="1"/>
  <c r="V281" i="5" s="1"/>
  <c r="U281" i="5" a="1"/>
  <c r="U281" i="5" s="1"/>
  <c r="S281" i="5" a="1"/>
  <c r="S281" i="5" s="1"/>
  <c r="E281" i="5" a="1"/>
  <c r="E281" i="5" s="1"/>
  <c r="H281" i="5" a="1"/>
  <c r="H281" i="5" s="1"/>
  <c r="I281" i="5" a="1"/>
  <c r="I281" i="5" s="1"/>
  <c r="Q281" i="5" a="1"/>
  <c r="Q281" i="5" s="1"/>
  <c r="O281" i="5" a="1"/>
  <c r="O281" i="5" s="1"/>
  <c r="P281" i="5" a="1"/>
  <c r="P281" i="5" s="1"/>
  <c r="F281" i="5" a="1"/>
  <c r="F281" i="5" s="1"/>
  <c r="K281" i="5" a="1"/>
  <c r="K281" i="5" s="1"/>
  <c r="J281" i="5" a="1"/>
  <c r="J281" i="5" s="1"/>
  <c r="R281" i="5" a="1"/>
  <c r="R281" i="5" s="1"/>
  <c r="N281" i="5" a="1"/>
  <c r="N281" i="5" s="1"/>
  <c r="L281" i="5" a="1"/>
  <c r="L281" i="5" s="1"/>
  <c r="M281" i="5" a="1"/>
  <c r="M281" i="5" s="1"/>
  <c r="G281" i="5" a="1"/>
  <c r="G281" i="5" s="1"/>
  <c r="D281" i="5" a="1"/>
  <c r="D281" i="5" s="1"/>
  <c r="C282" i="5"/>
  <c r="R75" i="8" l="1"/>
  <c r="T282" i="5" a="1"/>
  <c r="T282" i="5" s="1"/>
  <c r="AG282" i="5" a="1"/>
  <c r="AG282" i="5" s="1"/>
  <c r="AF282" i="5" a="1"/>
  <c r="AF282" i="5" s="1"/>
  <c r="AB282" i="5" a="1"/>
  <c r="AB282" i="5" s="1"/>
  <c r="AE282" i="5" a="1"/>
  <c r="AE282" i="5" s="1"/>
  <c r="AD282" i="5" a="1"/>
  <c r="AD282" i="5" s="1"/>
  <c r="AB75" i="8" s="1"/>
  <c r="AC282" i="5" a="1"/>
  <c r="AC282" i="5" s="1"/>
  <c r="AA75" i="8" s="1"/>
  <c r="AA282" i="5" a="1"/>
  <c r="AA282" i="5" s="1"/>
  <c r="X282" i="5" a="1"/>
  <c r="X282" i="5" s="1"/>
  <c r="W282" i="5" a="1"/>
  <c r="W282" i="5" s="1"/>
  <c r="Z282" i="5" a="1"/>
  <c r="Z282" i="5" s="1"/>
  <c r="Y282" i="5" a="1"/>
  <c r="Y282" i="5" s="1"/>
  <c r="Z75" i="8"/>
  <c r="U75" i="8"/>
  <c r="AC75" i="8"/>
  <c r="V75" i="8"/>
  <c r="AE75" i="8"/>
  <c r="W75" i="8"/>
  <c r="AD75" i="8"/>
  <c r="X75" i="8"/>
  <c r="T75" i="8"/>
  <c r="V282" i="5" a="1"/>
  <c r="V282" i="5" s="1"/>
  <c r="U282" i="5" a="1"/>
  <c r="U282" i="5" s="1"/>
  <c r="S282" i="5" a="1"/>
  <c r="S282" i="5" s="1"/>
  <c r="Q75" i="8" s="1"/>
  <c r="E282" i="5" a="1"/>
  <c r="E282" i="5" s="1"/>
  <c r="C75" i="8" s="1"/>
  <c r="H282" i="5" a="1"/>
  <c r="H282" i="5" s="1"/>
  <c r="F75" i="8" s="1"/>
  <c r="I282" i="5" a="1"/>
  <c r="I282" i="5" s="1"/>
  <c r="G75" i="8" s="1"/>
  <c r="Q282" i="5" a="1"/>
  <c r="Q282" i="5" s="1"/>
  <c r="O282" i="5" a="1"/>
  <c r="O282" i="5" s="1"/>
  <c r="K282" i="5" a="1"/>
  <c r="K282" i="5" s="1"/>
  <c r="P282" i="5" a="1"/>
  <c r="P282" i="5" s="1"/>
  <c r="F282" i="5" a="1"/>
  <c r="F282" i="5" s="1"/>
  <c r="J282" i="5" a="1"/>
  <c r="J282" i="5" s="1"/>
  <c r="N282" i="5" a="1"/>
  <c r="N282" i="5" s="1"/>
  <c r="L282" i="5" a="1"/>
  <c r="L282" i="5" s="1"/>
  <c r="J75" i="8" s="1"/>
  <c r="G282" i="5" a="1"/>
  <c r="G282" i="5" s="1"/>
  <c r="E75" i="8" s="1"/>
  <c r="R282" i="5" a="1"/>
  <c r="R282" i="5" s="1"/>
  <c r="P75" i="8" s="1"/>
  <c r="M282" i="5" a="1"/>
  <c r="M282" i="5" s="1"/>
  <c r="D282" i="5" a="1"/>
  <c r="D282" i="5" s="1"/>
  <c r="B75" i="8" s="1"/>
  <c r="C283" i="5"/>
  <c r="T283" i="5" l="1" a="1"/>
  <c r="T283" i="5" s="1"/>
  <c r="AG283" i="5" a="1"/>
  <c r="AG283" i="5" s="1"/>
  <c r="AF283" i="5" a="1"/>
  <c r="AF283" i="5" s="1"/>
  <c r="AE283" i="5" a="1"/>
  <c r="AE283" i="5" s="1"/>
  <c r="AD283" i="5" a="1"/>
  <c r="AD283" i="5" s="1"/>
  <c r="AC283" i="5" a="1"/>
  <c r="AC283" i="5" s="1"/>
  <c r="AB283" i="5" a="1"/>
  <c r="AB283" i="5" s="1"/>
  <c r="AA283" i="5" a="1"/>
  <c r="AA283" i="5" s="1"/>
  <c r="Z283" i="5" a="1"/>
  <c r="Z283" i="5" s="1"/>
  <c r="Y283" i="5" a="1"/>
  <c r="Y283" i="5" s="1"/>
  <c r="X283" i="5" a="1"/>
  <c r="X283" i="5" s="1"/>
  <c r="W283" i="5" a="1"/>
  <c r="W283" i="5" s="1"/>
  <c r="U283" i="5" a="1"/>
  <c r="U283" i="5" s="1"/>
  <c r="V283" i="5" a="1"/>
  <c r="V283" i="5" s="1"/>
  <c r="S283" i="5" a="1"/>
  <c r="S283" i="5" s="1"/>
  <c r="E283" i="5" a="1"/>
  <c r="E283" i="5" s="1"/>
  <c r="H283" i="5" a="1"/>
  <c r="H283" i="5" s="1"/>
  <c r="Q283" i="5" a="1"/>
  <c r="Q283" i="5" s="1"/>
  <c r="I283" i="5" a="1"/>
  <c r="I283" i="5" s="1"/>
  <c r="P283" i="5" a="1"/>
  <c r="P283" i="5" s="1"/>
  <c r="F283" i="5" a="1"/>
  <c r="F283" i="5" s="1"/>
  <c r="J283" i="5" a="1"/>
  <c r="J283" i="5" s="1"/>
  <c r="K283" i="5" a="1"/>
  <c r="K283" i="5" s="1"/>
  <c r="R283" i="5" a="1"/>
  <c r="R283" i="5" s="1"/>
  <c r="L283" i="5" a="1"/>
  <c r="L283" i="5" s="1"/>
  <c r="O283" i="5" a="1"/>
  <c r="O283" i="5" s="1"/>
  <c r="N283" i="5" a="1"/>
  <c r="N283" i="5" s="1"/>
  <c r="G283" i="5" a="1"/>
  <c r="G283" i="5" s="1"/>
  <c r="M283" i="5" a="1"/>
  <c r="M283" i="5" s="1"/>
  <c r="D283" i="5" a="1"/>
  <c r="D283" i="5" s="1"/>
  <c r="C284" i="5"/>
  <c r="T284" i="5" l="1" a="1"/>
  <c r="T284" i="5" s="1"/>
  <c r="AF284" i="5" a="1"/>
  <c r="AF284" i="5" s="1"/>
  <c r="AG284" i="5" a="1"/>
  <c r="AG284" i="5" s="1"/>
  <c r="AB284" i="5" a="1"/>
  <c r="AB284" i="5" s="1"/>
  <c r="AE284" i="5" a="1"/>
  <c r="AE284" i="5" s="1"/>
  <c r="AD284" i="5" a="1"/>
  <c r="AD284" i="5" s="1"/>
  <c r="AC284" i="5" a="1"/>
  <c r="AC284" i="5" s="1"/>
  <c r="AA284" i="5" a="1"/>
  <c r="AA284" i="5" s="1"/>
  <c r="X284" i="5" a="1"/>
  <c r="X284" i="5" s="1"/>
  <c r="W284" i="5" a="1"/>
  <c r="W284" i="5" s="1"/>
  <c r="Z284" i="5" a="1"/>
  <c r="Z284" i="5" s="1"/>
  <c r="Y284" i="5" a="1"/>
  <c r="Y284" i="5" s="1"/>
  <c r="U284" i="5" a="1"/>
  <c r="U284" i="5" s="1"/>
  <c r="V284" i="5" a="1"/>
  <c r="V284" i="5" s="1"/>
  <c r="S284" i="5" a="1"/>
  <c r="S284" i="5" s="1"/>
  <c r="E284" i="5" a="1"/>
  <c r="E284" i="5" s="1"/>
  <c r="H284" i="5" a="1"/>
  <c r="H284" i="5" s="1"/>
  <c r="Q284" i="5" a="1"/>
  <c r="Q284" i="5" s="1"/>
  <c r="K284" i="5" a="1"/>
  <c r="K284" i="5" s="1"/>
  <c r="I284" i="5" a="1"/>
  <c r="I284" i="5" s="1"/>
  <c r="F284" i="5" a="1"/>
  <c r="F284" i="5" s="1"/>
  <c r="P284" i="5" a="1"/>
  <c r="P284" i="5" s="1"/>
  <c r="J284" i="5" a="1"/>
  <c r="J284" i="5" s="1"/>
  <c r="R284" i="5" a="1"/>
  <c r="R284" i="5" s="1"/>
  <c r="O284" i="5" a="1"/>
  <c r="O284" i="5" s="1"/>
  <c r="L284" i="5" a="1"/>
  <c r="L284" i="5" s="1"/>
  <c r="N284" i="5" a="1"/>
  <c r="N284" i="5" s="1"/>
  <c r="M284" i="5" a="1"/>
  <c r="M284" i="5" s="1"/>
  <c r="G284" i="5" a="1"/>
  <c r="G284" i="5" s="1"/>
  <c r="D284" i="5" a="1"/>
  <c r="D284" i="5" s="1"/>
  <c r="C285" i="5"/>
  <c r="T285" i="5" l="1" a="1"/>
  <c r="T285" i="5" s="1"/>
  <c r="AG285" i="5" a="1"/>
  <c r="AG285" i="5" s="1"/>
  <c r="AF285" i="5" a="1"/>
  <c r="AF285" i="5" s="1"/>
  <c r="AE285" i="5" a="1"/>
  <c r="AE285" i="5" s="1"/>
  <c r="AD285" i="5" a="1"/>
  <c r="AD285" i="5" s="1"/>
  <c r="AC285" i="5" a="1"/>
  <c r="AC285" i="5" s="1"/>
  <c r="AB285" i="5" a="1"/>
  <c r="AB285" i="5" s="1"/>
  <c r="AA285" i="5" a="1"/>
  <c r="AA285" i="5" s="1"/>
  <c r="Z285" i="5" a="1"/>
  <c r="Z285" i="5" s="1"/>
  <c r="Y285" i="5" a="1"/>
  <c r="Y285" i="5" s="1"/>
  <c r="X285" i="5" a="1"/>
  <c r="X285" i="5" s="1"/>
  <c r="W285" i="5" a="1"/>
  <c r="W285" i="5" s="1"/>
  <c r="U285" i="5" a="1"/>
  <c r="U285" i="5" s="1"/>
  <c r="V285" i="5" a="1"/>
  <c r="V285" i="5" s="1"/>
  <c r="S285" i="5" a="1"/>
  <c r="S285" i="5" s="1"/>
  <c r="E285" i="5" a="1"/>
  <c r="E285" i="5" s="1"/>
  <c r="H285" i="5" a="1"/>
  <c r="H285" i="5" s="1"/>
  <c r="Q285" i="5" a="1"/>
  <c r="Q285" i="5" s="1"/>
  <c r="I285" i="5" a="1"/>
  <c r="I285" i="5" s="1"/>
  <c r="O285" i="5" a="1"/>
  <c r="O285" i="5" s="1"/>
  <c r="F285" i="5" a="1"/>
  <c r="F285" i="5" s="1"/>
  <c r="P285" i="5" a="1"/>
  <c r="P285" i="5" s="1"/>
  <c r="K285" i="5" a="1"/>
  <c r="K285" i="5" s="1"/>
  <c r="J285" i="5" a="1"/>
  <c r="J285" i="5" s="1"/>
  <c r="N285" i="5" a="1"/>
  <c r="N285" i="5" s="1"/>
  <c r="R285" i="5" a="1"/>
  <c r="R285" i="5" s="1"/>
  <c r="L285" i="5" a="1"/>
  <c r="L285" i="5" s="1"/>
  <c r="M285" i="5" a="1"/>
  <c r="M285" i="5" s="1"/>
  <c r="G285" i="5" a="1"/>
  <c r="G285" i="5" s="1"/>
  <c r="D285" i="5" a="1"/>
  <c r="D285" i="5" s="1"/>
  <c r="C286" i="5"/>
  <c r="R76" i="8" l="1"/>
  <c r="T286" i="5" a="1"/>
  <c r="T286" i="5" s="1"/>
  <c r="AG286" i="5" a="1"/>
  <c r="AG286" i="5" s="1"/>
  <c r="AF286" i="5" a="1"/>
  <c r="AF286" i="5" s="1"/>
  <c r="AB286" i="5" a="1"/>
  <c r="AB286" i="5" s="1"/>
  <c r="AE286" i="5" a="1"/>
  <c r="AE286" i="5" s="1"/>
  <c r="AD286" i="5" a="1"/>
  <c r="AD286" i="5" s="1"/>
  <c r="AC286" i="5" a="1"/>
  <c r="AC286" i="5" s="1"/>
  <c r="AA286" i="5" a="1"/>
  <c r="AA286" i="5" s="1"/>
  <c r="X286" i="5" a="1"/>
  <c r="X286" i="5" s="1"/>
  <c r="W286" i="5" a="1"/>
  <c r="W286" i="5" s="1"/>
  <c r="Z286" i="5" a="1"/>
  <c r="Z286" i="5" s="1"/>
  <c r="Y286" i="5" a="1"/>
  <c r="Y286" i="5" s="1"/>
  <c r="Z76" i="8"/>
  <c r="AA76" i="8"/>
  <c r="AB76" i="8"/>
  <c r="U76" i="8"/>
  <c r="AC76" i="8"/>
  <c r="V76" i="8"/>
  <c r="AD76" i="8"/>
  <c r="W76" i="8"/>
  <c r="AE76" i="8"/>
  <c r="X76" i="8"/>
  <c r="S76" i="8"/>
  <c r="U286" i="5" a="1"/>
  <c r="U286" i="5" s="1"/>
  <c r="V286" i="5" a="1"/>
  <c r="V286" i="5" s="1"/>
  <c r="T76" i="8" s="1"/>
  <c r="S286" i="5" a="1"/>
  <c r="S286" i="5" s="1"/>
  <c r="Q76" i="8"/>
  <c r="E286" i="5" a="1"/>
  <c r="E286" i="5" s="1"/>
  <c r="C76" i="8" s="1"/>
  <c r="H286" i="5" a="1"/>
  <c r="H286" i="5" s="1"/>
  <c r="I286" i="5" a="1"/>
  <c r="I286" i="5" s="1"/>
  <c r="G76" i="8" s="1"/>
  <c r="Q286" i="5" a="1"/>
  <c r="Q286" i="5" s="1"/>
  <c r="O286" i="5" a="1"/>
  <c r="O286" i="5" s="1"/>
  <c r="M76" i="8" s="1"/>
  <c r="F286" i="5" a="1"/>
  <c r="F286" i="5" s="1"/>
  <c r="K286" i="5" a="1"/>
  <c r="K286" i="5" s="1"/>
  <c r="I76" i="8" s="1"/>
  <c r="P286" i="5" a="1"/>
  <c r="P286" i="5" s="1"/>
  <c r="J286" i="5" a="1"/>
  <c r="J286" i="5" s="1"/>
  <c r="L286" i="5" a="1"/>
  <c r="L286" i="5" s="1"/>
  <c r="R286" i="5" a="1"/>
  <c r="R286" i="5" s="1"/>
  <c r="N286" i="5" a="1"/>
  <c r="N286" i="5" s="1"/>
  <c r="L76" i="8" s="1"/>
  <c r="G286" i="5" a="1"/>
  <c r="G286" i="5" s="1"/>
  <c r="M286" i="5" a="1"/>
  <c r="M286" i="5" s="1"/>
  <c r="D286" i="5" a="1"/>
  <c r="D286" i="5" s="1"/>
  <c r="B76" i="8" s="1"/>
  <c r="C287" i="5"/>
  <c r="T287" i="5" l="1" a="1"/>
  <c r="T287" i="5" s="1"/>
  <c r="AG287" i="5" a="1"/>
  <c r="AG287" i="5" s="1"/>
  <c r="AF287" i="5" a="1"/>
  <c r="AF287" i="5" s="1"/>
  <c r="AE287" i="5" a="1"/>
  <c r="AE287" i="5" s="1"/>
  <c r="AD287" i="5" a="1"/>
  <c r="AD287" i="5" s="1"/>
  <c r="AC287" i="5" a="1"/>
  <c r="AC287" i="5" s="1"/>
  <c r="AB287" i="5" a="1"/>
  <c r="AB287" i="5" s="1"/>
  <c r="AA287" i="5" a="1"/>
  <c r="AA287" i="5" s="1"/>
  <c r="Z287" i="5" a="1"/>
  <c r="Z287" i="5" s="1"/>
  <c r="Y287" i="5" a="1"/>
  <c r="Y287" i="5" s="1"/>
  <c r="X287" i="5" a="1"/>
  <c r="X287" i="5" s="1"/>
  <c r="W287" i="5" a="1"/>
  <c r="W287" i="5" s="1"/>
  <c r="V287" i="5" a="1"/>
  <c r="V287" i="5" s="1"/>
  <c r="S287" i="5" a="1"/>
  <c r="S287" i="5" s="1"/>
  <c r="U287" i="5" a="1"/>
  <c r="U287" i="5" s="1"/>
  <c r="E287" i="5" a="1"/>
  <c r="E287" i="5" s="1"/>
  <c r="H287" i="5" a="1"/>
  <c r="H287" i="5" s="1"/>
  <c r="I287" i="5" a="1"/>
  <c r="I287" i="5" s="1"/>
  <c r="Q287" i="5" a="1"/>
  <c r="Q287" i="5" s="1"/>
  <c r="O287" i="5" a="1"/>
  <c r="O287" i="5" s="1"/>
  <c r="K287" i="5" a="1"/>
  <c r="K287" i="5" s="1"/>
  <c r="F287" i="5" a="1"/>
  <c r="F287" i="5" s="1"/>
  <c r="P287" i="5" a="1"/>
  <c r="P287" i="5" s="1"/>
  <c r="N287" i="5" a="1"/>
  <c r="N287" i="5" s="1"/>
  <c r="J287" i="5" a="1"/>
  <c r="J287" i="5" s="1"/>
  <c r="L287" i="5" a="1"/>
  <c r="L287" i="5" s="1"/>
  <c r="R287" i="5" a="1"/>
  <c r="R287" i="5" s="1"/>
  <c r="M287" i="5" a="1"/>
  <c r="M287" i="5" s="1"/>
  <c r="G287" i="5" a="1"/>
  <c r="G287" i="5" s="1"/>
  <c r="D287" i="5" a="1"/>
  <c r="D287" i="5" s="1"/>
  <c r="C288" i="5"/>
  <c r="T288" i="5" l="1" a="1"/>
  <c r="T288" i="5" s="1"/>
  <c r="AF288" i="5" a="1"/>
  <c r="AF288" i="5" s="1"/>
  <c r="AG288" i="5" a="1"/>
  <c r="AG288" i="5" s="1"/>
  <c r="AB288" i="5" a="1"/>
  <c r="AB288" i="5" s="1"/>
  <c r="AE288" i="5" a="1"/>
  <c r="AE288" i="5" s="1"/>
  <c r="AD288" i="5" a="1"/>
  <c r="AD288" i="5" s="1"/>
  <c r="AC288" i="5" a="1"/>
  <c r="AC288" i="5" s="1"/>
  <c r="AA288" i="5" a="1"/>
  <c r="AA288" i="5" s="1"/>
  <c r="X288" i="5" a="1"/>
  <c r="X288" i="5" s="1"/>
  <c r="W288" i="5" a="1"/>
  <c r="W288" i="5" s="1"/>
  <c r="Z288" i="5" a="1"/>
  <c r="Z288" i="5" s="1"/>
  <c r="Y288" i="5" a="1"/>
  <c r="Y288" i="5" s="1"/>
  <c r="V288" i="5" a="1"/>
  <c r="V288" i="5" s="1"/>
  <c r="U288" i="5" a="1"/>
  <c r="U288" i="5" s="1"/>
  <c r="S288" i="5" a="1"/>
  <c r="S288" i="5" s="1"/>
  <c r="E288" i="5" a="1"/>
  <c r="E288" i="5" s="1"/>
  <c r="H288" i="5" a="1"/>
  <c r="H288" i="5" s="1"/>
  <c r="Q288" i="5" a="1"/>
  <c r="Q288" i="5" s="1"/>
  <c r="I288" i="5" a="1"/>
  <c r="I288" i="5" s="1"/>
  <c r="P288" i="5" a="1"/>
  <c r="P288" i="5" s="1"/>
  <c r="O288" i="5" a="1"/>
  <c r="O288" i="5" s="1"/>
  <c r="F288" i="5" a="1"/>
  <c r="F288" i="5" s="1"/>
  <c r="L288" i="5" a="1"/>
  <c r="L288" i="5" s="1"/>
  <c r="J288" i="5" a="1"/>
  <c r="J288" i="5" s="1"/>
  <c r="K288" i="5" a="1"/>
  <c r="K288" i="5" s="1"/>
  <c r="R288" i="5" a="1"/>
  <c r="R288" i="5" s="1"/>
  <c r="G288" i="5" a="1"/>
  <c r="G288" i="5" s="1"/>
  <c r="N288" i="5" a="1"/>
  <c r="N288" i="5" s="1"/>
  <c r="M288" i="5" a="1"/>
  <c r="M288" i="5" s="1"/>
  <c r="D288" i="5" a="1"/>
  <c r="D288" i="5" s="1"/>
  <c r="C289" i="5"/>
  <c r="T289" i="5" l="1" a="1"/>
  <c r="T289" i="5" s="1"/>
  <c r="AF289" i="5" a="1"/>
  <c r="AF289" i="5" s="1"/>
  <c r="AG289" i="5" a="1"/>
  <c r="AG289" i="5" s="1"/>
  <c r="AE289" i="5" a="1"/>
  <c r="AE289" i="5" s="1"/>
  <c r="AD289" i="5" a="1"/>
  <c r="AD289" i="5" s="1"/>
  <c r="AC289" i="5" a="1"/>
  <c r="AC289" i="5" s="1"/>
  <c r="AB289" i="5" a="1"/>
  <c r="AB289" i="5" s="1"/>
  <c r="AA289" i="5" a="1"/>
  <c r="AA289" i="5" s="1"/>
  <c r="Z289" i="5" a="1"/>
  <c r="Z289" i="5" s="1"/>
  <c r="Y289" i="5" a="1"/>
  <c r="Y289" i="5" s="1"/>
  <c r="X289" i="5" a="1"/>
  <c r="X289" i="5" s="1"/>
  <c r="W289" i="5" a="1"/>
  <c r="W289" i="5" s="1"/>
  <c r="V289" i="5" a="1"/>
  <c r="V289" i="5" s="1"/>
  <c r="U289" i="5" a="1"/>
  <c r="U289" i="5" s="1"/>
  <c r="S289" i="5" a="1"/>
  <c r="S289" i="5" s="1"/>
  <c r="E289" i="5" a="1"/>
  <c r="E289" i="5" s="1"/>
  <c r="H289" i="5" a="1"/>
  <c r="H289" i="5" s="1"/>
  <c r="Q289" i="5" a="1"/>
  <c r="Q289" i="5" s="1"/>
  <c r="O289" i="5" a="1"/>
  <c r="O289" i="5" s="1"/>
  <c r="I289" i="5" a="1"/>
  <c r="I289" i="5" s="1"/>
  <c r="K289" i="5" a="1"/>
  <c r="K289" i="5" s="1"/>
  <c r="F289" i="5" a="1"/>
  <c r="F289" i="5" s="1"/>
  <c r="P289" i="5" a="1"/>
  <c r="P289" i="5" s="1"/>
  <c r="J289" i="5" a="1"/>
  <c r="J289" i="5" s="1"/>
  <c r="L289" i="5" a="1"/>
  <c r="L289" i="5" s="1"/>
  <c r="N289" i="5" a="1"/>
  <c r="N289" i="5" s="1"/>
  <c r="R289" i="5" a="1"/>
  <c r="R289" i="5" s="1"/>
  <c r="G289" i="5" a="1"/>
  <c r="G289" i="5" s="1"/>
  <c r="M289" i="5" a="1"/>
  <c r="M289" i="5" s="1"/>
  <c r="D289" i="5" a="1"/>
  <c r="D289" i="5" s="1"/>
  <c r="C290" i="5"/>
  <c r="R77" i="8" l="1"/>
  <c r="T290" i="5" a="1"/>
  <c r="T290" i="5" s="1"/>
  <c r="AG290" i="5" a="1"/>
  <c r="AG290" i="5" s="1"/>
  <c r="AF290" i="5" a="1"/>
  <c r="AF290" i="5" s="1"/>
  <c r="AB290" i="5" a="1"/>
  <c r="AB290" i="5" s="1"/>
  <c r="AE290" i="5" a="1"/>
  <c r="AE290" i="5" s="1"/>
  <c r="AD290" i="5" a="1"/>
  <c r="AD290" i="5" s="1"/>
  <c r="AC290" i="5" a="1"/>
  <c r="AC290" i="5" s="1"/>
  <c r="AA77" i="8" s="1"/>
  <c r="AA290" i="5" a="1"/>
  <c r="AA290" i="5" s="1"/>
  <c r="X290" i="5" a="1"/>
  <c r="X290" i="5" s="1"/>
  <c r="W290" i="5" a="1"/>
  <c r="W290" i="5" s="1"/>
  <c r="Z290" i="5" a="1"/>
  <c r="Z290" i="5" s="1"/>
  <c r="Y290" i="5" a="1"/>
  <c r="Y290" i="5" s="1"/>
  <c r="Z77" i="8"/>
  <c r="AB77" i="8"/>
  <c r="U77" i="8"/>
  <c r="AC77" i="8"/>
  <c r="V77" i="8"/>
  <c r="AE77" i="8"/>
  <c r="W77" i="8"/>
  <c r="AD77" i="8"/>
  <c r="X77" i="8"/>
  <c r="T77" i="8"/>
  <c r="V290" i="5" a="1"/>
  <c r="V290" i="5" s="1"/>
  <c r="U290" i="5" a="1"/>
  <c r="U290" i="5" s="1"/>
  <c r="S77" i="8" s="1"/>
  <c r="S290" i="5" a="1"/>
  <c r="S290" i="5" s="1"/>
  <c r="Q77" i="8"/>
  <c r="E290" i="5" a="1"/>
  <c r="E290" i="5" s="1"/>
  <c r="C77" i="8" s="1"/>
  <c r="H290" i="5" a="1"/>
  <c r="H290" i="5" s="1"/>
  <c r="I290" i="5" a="1"/>
  <c r="I290" i="5" s="1"/>
  <c r="O290" i="5" a="1"/>
  <c r="O290" i="5" s="1"/>
  <c r="K290" i="5" a="1"/>
  <c r="K290" i="5" s="1"/>
  <c r="Q290" i="5" a="1"/>
  <c r="Q290" i="5" s="1"/>
  <c r="F290" i="5" a="1"/>
  <c r="F290" i="5" s="1"/>
  <c r="P290" i="5" a="1"/>
  <c r="P290" i="5" s="1"/>
  <c r="N290" i="5" a="1"/>
  <c r="N290" i="5" s="1"/>
  <c r="J290" i="5" a="1"/>
  <c r="J290" i="5" s="1"/>
  <c r="R290" i="5" a="1"/>
  <c r="R290" i="5" s="1"/>
  <c r="P77" i="8" s="1"/>
  <c r="M290" i="5" a="1"/>
  <c r="M290" i="5" s="1"/>
  <c r="L290" i="5" a="1"/>
  <c r="L290" i="5" s="1"/>
  <c r="J77" i="8" s="1"/>
  <c r="G290" i="5" a="1"/>
  <c r="G290" i="5" s="1"/>
  <c r="E77" i="8" s="1"/>
  <c r="D290" i="5" a="1"/>
  <c r="D290" i="5" s="1"/>
  <c r="B77" i="8" s="1"/>
  <c r="C291" i="5"/>
  <c r="T291" i="5" l="1" a="1"/>
  <c r="T291" i="5" s="1"/>
  <c r="AG291" i="5" a="1"/>
  <c r="AG291" i="5" s="1"/>
  <c r="AF291" i="5" a="1"/>
  <c r="AF291" i="5" s="1"/>
  <c r="AE291" i="5" a="1"/>
  <c r="AE291" i="5" s="1"/>
  <c r="AD291" i="5" a="1"/>
  <c r="AD291" i="5" s="1"/>
  <c r="AC291" i="5" a="1"/>
  <c r="AC291" i="5" s="1"/>
  <c r="AB291" i="5" a="1"/>
  <c r="AB291" i="5" s="1"/>
  <c r="AA291" i="5" a="1"/>
  <c r="AA291" i="5" s="1"/>
  <c r="Z291" i="5" a="1"/>
  <c r="Z291" i="5" s="1"/>
  <c r="Y291" i="5" a="1"/>
  <c r="Y291" i="5" s="1"/>
  <c r="X291" i="5" a="1"/>
  <c r="X291" i="5" s="1"/>
  <c r="W291" i="5" a="1"/>
  <c r="W291" i="5" s="1"/>
  <c r="U291" i="5" a="1"/>
  <c r="U291" i="5" s="1"/>
  <c r="V291" i="5" a="1"/>
  <c r="V291" i="5" s="1"/>
  <c r="S291" i="5" a="1"/>
  <c r="S291" i="5" s="1"/>
  <c r="E291" i="5" a="1"/>
  <c r="E291" i="5" s="1"/>
  <c r="H291" i="5" a="1"/>
  <c r="H291" i="5" s="1"/>
  <c r="I291" i="5" a="1"/>
  <c r="I291" i="5" s="1"/>
  <c r="Q291" i="5" a="1"/>
  <c r="Q291" i="5" s="1"/>
  <c r="P291" i="5" a="1"/>
  <c r="P291" i="5" s="1"/>
  <c r="O291" i="5" a="1"/>
  <c r="O291" i="5" s="1"/>
  <c r="K291" i="5" a="1"/>
  <c r="K291" i="5" s="1"/>
  <c r="F291" i="5" a="1"/>
  <c r="F291" i="5" s="1"/>
  <c r="R291" i="5" a="1"/>
  <c r="R291" i="5" s="1"/>
  <c r="N291" i="5" a="1"/>
  <c r="N291" i="5" s="1"/>
  <c r="L291" i="5" a="1"/>
  <c r="L291" i="5" s="1"/>
  <c r="J291" i="5" a="1"/>
  <c r="J291" i="5" s="1"/>
  <c r="G291" i="5" a="1"/>
  <c r="G291" i="5" s="1"/>
  <c r="M291" i="5" a="1"/>
  <c r="M291" i="5" s="1"/>
  <c r="D291" i="5" a="1"/>
  <c r="D291" i="5" s="1"/>
  <c r="C292" i="5"/>
  <c r="T292" i="5" l="1" a="1"/>
  <c r="T292" i="5" s="1"/>
  <c r="AF292" i="5" a="1"/>
  <c r="AF292" i="5" s="1"/>
  <c r="AG292" i="5" a="1"/>
  <c r="AG292" i="5" s="1"/>
  <c r="AB292" i="5" a="1"/>
  <c r="AB292" i="5" s="1"/>
  <c r="AE292" i="5" a="1"/>
  <c r="AE292" i="5" s="1"/>
  <c r="AD292" i="5" a="1"/>
  <c r="AD292" i="5" s="1"/>
  <c r="AC292" i="5" a="1"/>
  <c r="AC292" i="5" s="1"/>
  <c r="AA292" i="5" a="1"/>
  <c r="AA292" i="5" s="1"/>
  <c r="X292" i="5" a="1"/>
  <c r="X292" i="5" s="1"/>
  <c r="W292" i="5" a="1"/>
  <c r="W292" i="5" s="1"/>
  <c r="Z292" i="5" a="1"/>
  <c r="Z292" i="5" s="1"/>
  <c r="Y292" i="5" a="1"/>
  <c r="Y292" i="5" s="1"/>
  <c r="U292" i="5" a="1"/>
  <c r="U292" i="5" s="1"/>
  <c r="V292" i="5" a="1"/>
  <c r="V292" i="5" s="1"/>
  <c r="S292" i="5" a="1"/>
  <c r="S292" i="5" s="1"/>
  <c r="E292" i="5" a="1"/>
  <c r="E292" i="5" s="1"/>
  <c r="H292" i="5" a="1"/>
  <c r="H292" i="5" s="1"/>
  <c r="I292" i="5" a="1"/>
  <c r="I292" i="5" s="1"/>
  <c r="Q292" i="5" a="1"/>
  <c r="Q292" i="5" s="1"/>
  <c r="O292" i="5" a="1"/>
  <c r="O292" i="5" s="1"/>
  <c r="K292" i="5" a="1"/>
  <c r="K292" i="5" s="1"/>
  <c r="F292" i="5" a="1"/>
  <c r="F292" i="5" s="1"/>
  <c r="P292" i="5" a="1"/>
  <c r="P292" i="5" s="1"/>
  <c r="N292" i="5" a="1"/>
  <c r="N292" i="5" s="1"/>
  <c r="R292" i="5" a="1"/>
  <c r="R292" i="5" s="1"/>
  <c r="J292" i="5" a="1"/>
  <c r="J292" i="5" s="1"/>
  <c r="L292" i="5" a="1"/>
  <c r="L292" i="5" s="1"/>
  <c r="M292" i="5" a="1"/>
  <c r="M292" i="5" s="1"/>
  <c r="G292" i="5" a="1"/>
  <c r="G292" i="5" s="1"/>
  <c r="D292" i="5" a="1"/>
  <c r="D292" i="5" s="1"/>
  <c r="C293" i="5"/>
  <c r="T293" i="5" l="1" a="1"/>
  <c r="T293" i="5" s="1"/>
  <c r="AG293" i="5" a="1"/>
  <c r="AG293" i="5" s="1"/>
  <c r="AF293" i="5" a="1"/>
  <c r="AF293" i="5" s="1"/>
  <c r="AE293" i="5" a="1"/>
  <c r="AE293" i="5" s="1"/>
  <c r="AD293" i="5" a="1"/>
  <c r="AD293" i="5" s="1"/>
  <c r="AC293" i="5" a="1"/>
  <c r="AC293" i="5" s="1"/>
  <c r="AB293" i="5" a="1"/>
  <c r="AB293" i="5" s="1"/>
  <c r="AA293" i="5" a="1"/>
  <c r="AA293" i="5" s="1"/>
  <c r="Z293" i="5" a="1"/>
  <c r="Z293" i="5" s="1"/>
  <c r="Y293" i="5" a="1"/>
  <c r="Y293" i="5" s="1"/>
  <c r="X293" i="5" a="1"/>
  <c r="X293" i="5" s="1"/>
  <c r="W293" i="5" a="1"/>
  <c r="W293" i="5" s="1"/>
  <c r="U293" i="5" a="1"/>
  <c r="U293" i="5" s="1"/>
  <c r="V293" i="5" a="1"/>
  <c r="V293" i="5" s="1"/>
  <c r="S293" i="5" a="1"/>
  <c r="S293" i="5" s="1"/>
  <c r="E293" i="5" a="1"/>
  <c r="E293" i="5" s="1"/>
  <c r="H293" i="5" a="1"/>
  <c r="H293" i="5" s="1"/>
  <c r="I293" i="5" a="1"/>
  <c r="I293" i="5" s="1"/>
  <c r="Q293" i="5" a="1"/>
  <c r="Q293" i="5" s="1"/>
  <c r="O293" i="5" a="1"/>
  <c r="O293" i="5" s="1"/>
  <c r="P293" i="5" a="1"/>
  <c r="P293" i="5" s="1"/>
  <c r="F293" i="5" a="1"/>
  <c r="F293" i="5" s="1"/>
  <c r="K293" i="5" a="1"/>
  <c r="K293" i="5" s="1"/>
  <c r="L293" i="5" a="1"/>
  <c r="L293" i="5" s="1"/>
  <c r="J293" i="5" a="1"/>
  <c r="J293" i="5" s="1"/>
  <c r="N293" i="5" a="1"/>
  <c r="N293" i="5" s="1"/>
  <c r="G293" i="5" a="1"/>
  <c r="G293" i="5" s="1"/>
  <c r="M293" i="5" a="1"/>
  <c r="M293" i="5" s="1"/>
  <c r="R293" i="5" a="1"/>
  <c r="R293" i="5" s="1"/>
  <c r="D293" i="5" a="1"/>
  <c r="D293" i="5" s="1"/>
  <c r="C294" i="5"/>
  <c r="R78" i="8" l="1"/>
  <c r="T294" i="5" a="1"/>
  <c r="T294" i="5" s="1"/>
  <c r="AG294" i="5" a="1"/>
  <c r="AG294" i="5" s="1"/>
  <c r="AF294" i="5" a="1"/>
  <c r="AF294" i="5" s="1"/>
  <c r="AB294" i="5" a="1"/>
  <c r="AB294" i="5" s="1"/>
  <c r="AE294" i="5" a="1"/>
  <c r="AE294" i="5" s="1"/>
  <c r="AD294" i="5" a="1"/>
  <c r="AD294" i="5" s="1"/>
  <c r="AC294" i="5" a="1"/>
  <c r="AC294" i="5" s="1"/>
  <c r="AA78" i="8" s="1"/>
  <c r="AA294" i="5" a="1"/>
  <c r="AA294" i="5" s="1"/>
  <c r="X294" i="5" a="1"/>
  <c r="X294" i="5" s="1"/>
  <c r="W294" i="5" a="1"/>
  <c r="W294" i="5" s="1"/>
  <c r="Z294" i="5" a="1"/>
  <c r="Z294" i="5" s="1"/>
  <c r="Y294" i="5" a="1"/>
  <c r="Y294" i="5" s="1"/>
  <c r="Z78" i="8"/>
  <c r="AB78" i="8"/>
  <c r="U78" i="8"/>
  <c r="AC78" i="8"/>
  <c r="V78" i="8"/>
  <c r="AD78" i="8"/>
  <c r="W78" i="8"/>
  <c r="AE78" i="8"/>
  <c r="X78" i="8"/>
  <c r="S78" i="8"/>
  <c r="U294" i="5" a="1"/>
  <c r="U294" i="5" s="1"/>
  <c r="V294" i="5" a="1"/>
  <c r="V294" i="5" s="1"/>
  <c r="T78" i="8" s="1"/>
  <c r="S294" i="5" a="1"/>
  <c r="S294" i="5" s="1"/>
  <c r="Q78" i="8"/>
  <c r="E294" i="5" a="1"/>
  <c r="E294" i="5" s="1"/>
  <c r="C78" i="8" s="1"/>
  <c r="H294" i="5" a="1"/>
  <c r="H294" i="5" s="1"/>
  <c r="Q294" i="5" a="1"/>
  <c r="Q294" i="5" s="1"/>
  <c r="I294" i="5" a="1"/>
  <c r="I294" i="5" s="1"/>
  <c r="G78" i="8" s="1"/>
  <c r="O294" i="5" a="1"/>
  <c r="O294" i="5" s="1"/>
  <c r="K294" i="5" a="1"/>
  <c r="K294" i="5" s="1"/>
  <c r="P294" i="5" a="1"/>
  <c r="P294" i="5" s="1"/>
  <c r="F294" i="5" a="1"/>
  <c r="F294" i="5" s="1"/>
  <c r="N294" i="5" a="1"/>
  <c r="N294" i="5" s="1"/>
  <c r="L294" i="5" a="1"/>
  <c r="L294" i="5" s="1"/>
  <c r="R294" i="5" a="1"/>
  <c r="R294" i="5" s="1"/>
  <c r="M294" i="5" a="1"/>
  <c r="M294" i="5" s="1"/>
  <c r="J294" i="5" a="1"/>
  <c r="J294" i="5" s="1"/>
  <c r="H78" i="8" s="1"/>
  <c r="G294" i="5" a="1"/>
  <c r="G294" i="5" s="1"/>
  <c r="D294" i="5" a="1"/>
  <c r="D294" i="5" s="1"/>
  <c r="B78" i="8" s="1"/>
  <c r="C295" i="5"/>
  <c r="T295" i="5" l="1" a="1"/>
  <c r="T295" i="5" s="1"/>
  <c r="AG295" i="5" a="1"/>
  <c r="AG295" i="5" s="1"/>
  <c r="AF295" i="5" a="1"/>
  <c r="AF295" i="5" s="1"/>
  <c r="AE295" i="5" a="1"/>
  <c r="AE295" i="5" s="1"/>
  <c r="AD295" i="5" a="1"/>
  <c r="AD295" i="5" s="1"/>
  <c r="AC295" i="5" a="1"/>
  <c r="AC295" i="5" s="1"/>
  <c r="AB295" i="5" a="1"/>
  <c r="AB295" i="5" s="1"/>
  <c r="AA295" i="5" a="1"/>
  <c r="AA295" i="5" s="1"/>
  <c r="Z295" i="5" a="1"/>
  <c r="Z295" i="5" s="1"/>
  <c r="Y295" i="5" a="1"/>
  <c r="Y295" i="5" s="1"/>
  <c r="X295" i="5" a="1"/>
  <c r="X295" i="5" s="1"/>
  <c r="W295" i="5" a="1"/>
  <c r="W295" i="5" s="1"/>
  <c r="V295" i="5" a="1"/>
  <c r="V295" i="5" s="1"/>
  <c r="U295" i="5" a="1"/>
  <c r="U295" i="5" s="1"/>
  <c r="S295" i="5" a="1"/>
  <c r="S295" i="5" s="1"/>
  <c r="E295" i="5" a="1"/>
  <c r="E295" i="5" s="1"/>
  <c r="H295" i="5" a="1"/>
  <c r="H295" i="5" s="1"/>
  <c r="I295" i="5" a="1"/>
  <c r="I295" i="5" s="1"/>
  <c r="Q295" i="5" a="1"/>
  <c r="Q295" i="5" s="1"/>
  <c r="O295" i="5" a="1"/>
  <c r="O295" i="5" s="1"/>
  <c r="P295" i="5" a="1"/>
  <c r="P295" i="5" s="1"/>
  <c r="F295" i="5" a="1"/>
  <c r="F295" i="5" s="1"/>
  <c r="K295" i="5" a="1"/>
  <c r="K295" i="5" s="1"/>
  <c r="J295" i="5" a="1"/>
  <c r="J295" i="5" s="1"/>
  <c r="R295" i="5" a="1"/>
  <c r="R295" i="5" s="1"/>
  <c r="L295" i="5" a="1"/>
  <c r="L295" i="5" s="1"/>
  <c r="M295" i="5" a="1"/>
  <c r="M295" i="5" s="1"/>
  <c r="N295" i="5" a="1"/>
  <c r="N295" i="5" s="1"/>
  <c r="G295" i="5" a="1"/>
  <c r="G295" i="5" s="1"/>
  <c r="D295" i="5" a="1"/>
  <c r="D295" i="5" s="1"/>
  <c r="C296" i="5"/>
  <c r="T296" i="5" l="1" a="1"/>
  <c r="T296" i="5" s="1"/>
  <c r="AF296" i="5" a="1"/>
  <c r="AF296" i="5" s="1"/>
  <c r="AG296" i="5" a="1"/>
  <c r="AG296" i="5" s="1"/>
  <c r="AE296" i="5" a="1"/>
  <c r="AE296" i="5" s="1"/>
  <c r="AD296" i="5" a="1"/>
  <c r="AD296" i="5" s="1"/>
  <c r="AC296" i="5" a="1"/>
  <c r="AC296" i="5" s="1"/>
  <c r="AB296" i="5" a="1"/>
  <c r="AB296" i="5" s="1"/>
  <c r="AA296" i="5" a="1"/>
  <c r="AA296" i="5" s="1"/>
  <c r="X296" i="5" a="1"/>
  <c r="X296" i="5" s="1"/>
  <c r="W296" i="5" a="1"/>
  <c r="W296" i="5" s="1"/>
  <c r="Z296" i="5" a="1"/>
  <c r="Z296" i="5" s="1"/>
  <c r="Y296" i="5" a="1"/>
  <c r="Y296" i="5" s="1"/>
  <c r="V296" i="5" a="1"/>
  <c r="V296" i="5" s="1"/>
  <c r="U296" i="5" a="1"/>
  <c r="U296" i="5" s="1"/>
  <c r="S296" i="5" a="1"/>
  <c r="S296" i="5" s="1"/>
  <c r="E296" i="5" a="1"/>
  <c r="E296" i="5" s="1"/>
  <c r="H296" i="5" a="1"/>
  <c r="H296" i="5" s="1"/>
  <c r="Q296" i="5" a="1"/>
  <c r="Q296" i="5" s="1"/>
  <c r="I296" i="5" a="1"/>
  <c r="I296" i="5" s="1"/>
  <c r="O296" i="5" a="1"/>
  <c r="O296" i="5" s="1"/>
  <c r="F296" i="5" a="1"/>
  <c r="F296" i="5" s="1"/>
  <c r="P296" i="5" a="1"/>
  <c r="P296" i="5" s="1"/>
  <c r="R296" i="5" a="1"/>
  <c r="R296" i="5" s="1"/>
  <c r="N296" i="5" a="1"/>
  <c r="N296" i="5" s="1"/>
  <c r="L296" i="5" a="1"/>
  <c r="L296" i="5" s="1"/>
  <c r="J296" i="5" a="1"/>
  <c r="J296" i="5" s="1"/>
  <c r="K296" i="5" a="1"/>
  <c r="K296" i="5" s="1"/>
  <c r="G296" i="5" a="1"/>
  <c r="G296" i="5" s="1"/>
  <c r="M296" i="5" a="1"/>
  <c r="M296" i="5" s="1"/>
  <c r="D296" i="5" a="1"/>
  <c r="D296" i="5" s="1"/>
  <c r="C297" i="5"/>
  <c r="T297" i="5" l="1" a="1"/>
  <c r="T297" i="5" s="1"/>
  <c r="AF297" i="5" a="1"/>
  <c r="AF297" i="5" s="1"/>
  <c r="AG297" i="5" a="1"/>
  <c r="AG297" i="5" s="1"/>
  <c r="AE297" i="5" a="1"/>
  <c r="AE297" i="5" s="1"/>
  <c r="AD297" i="5" a="1"/>
  <c r="AD297" i="5" s="1"/>
  <c r="AC297" i="5" a="1"/>
  <c r="AC297" i="5" s="1"/>
  <c r="AB297" i="5" a="1"/>
  <c r="AB297" i="5" s="1"/>
  <c r="AA297" i="5" a="1"/>
  <c r="AA297" i="5" s="1"/>
  <c r="Z297" i="5" a="1"/>
  <c r="Z297" i="5" s="1"/>
  <c r="Y297" i="5" a="1"/>
  <c r="Y297" i="5" s="1"/>
  <c r="X297" i="5" a="1"/>
  <c r="X297" i="5" s="1"/>
  <c r="W297" i="5" a="1"/>
  <c r="W297" i="5" s="1"/>
  <c r="V297" i="5" a="1"/>
  <c r="V297" i="5" s="1"/>
  <c r="U297" i="5" a="1"/>
  <c r="U297" i="5" s="1"/>
  <c r="S297" i="5" a="1"/>
  <c r="S297" i="5" s="1"/>
  <c r="E297" i="5" a="1"/>
  <c r="E297" i="5" s="1"/>
  <c r="H297" i="5" a="1"/>
  <c r="H297" i="5" s="1"/>
  <c r="Q297" i="5" a="1"/>
  <c r="Q297" i="5" s="1"/>
  <c r="I297" i="5" a="1"/>
  <c r="I297" i="5" s="1"/>
  <c r="F297" i="5" a="1"/>
  <c r="F297" i="5" s="1"/>
  <c r="O297" i="5" a="1"/>
  <c r="O297" i="5" s="1"/>
  <c r="K297" i="5" a="1"/>
  <c r="K297" i="5" s="1"/>
  <c r="P297" i="5" a="1"/>
  <c r="P297" i="5" s="1"/>
  <c r="N297" i="5" a="1"/>
  <c r="N297" i="5" s="1"/>
  <c r="J297" i="5" a="1"/>
  <c r="J297" i="5" s="1"/>
  <c r="L297" i="5" a="1"/>
  <c r="L297" i="5" s="1"/>
  <c r="R297" i="5" a="1"/>
  <c r="R297" i="5" s="1"/>
  <c r="G297" i="5" a="1"/>
  <c r="G297" i="5" s="1"/>
  <c r="M297" i="5" a="1"/>
  <c r="M297" i="5" s="1"/>
  <c r="D297" i="5" a="1"/>
  <c r="D297" i="5" s="1"/>
  <c r="C298" i="5"/>
  <c r="R79" i="8" l="1"/>
  <c r="T298" i="5" a="1"/>
  <c r="T298" i="5" s="1"/>
  <c r="AG298" i="5" a="1"/>
  <c r="AG298" i="5" s="1"/>
  <c r="AF298" i="5" a="1"/>
  <c r="AF298" i="5" s="1"/>
  <c r="AE298" i="5" a="1"/>
  <c r="AE298" i="5" s="1"/>
  <c r="AD298" i="5" a="1"/>
  <c r="AD298" i="5" s="1"/>
  <c r="AC298" i="5" a="1"/>
  <c r="AC298" i="5" s="1"/>
  <c r="AB298" i="5" a="1"/>
  <c r="AB298" i="5" s="1"/>
  <c r="Z79" i="8" s="1"/>
  <c r="AA298" i="5" a="1"/>
  <c r="AA298" i="5" s="1"/>
  <c r="X298" i="5" a="1"/>
  <c r="X298" i="5" s="1"/>
  <c r="W298" i="5" a="1"/>
  <c r="W298" i="5" s="1"/>
  <c r="Z298" i="5" a="1"/>
  <c r="Z298" i="5" s="1"/>
  <c r="Y298" i="5" a="1"/>
  <c r="Y298" i="5" s="1"/>
  <c r="AA79" i="8"/>
  <c r="AB79" i="8"/>
  <c r="U79" i="8"/>
  <c r="AC79" i="8"/>
  <c r="V79" i="8"/>
  <c r="AE79" i="8"/>
  <c r="W79" i="8"/>
  <c r="AD79" i="8"/>
  <c r="X79" i="8"/>
  <c r="V298" i="5" a="1"/>
  <c r="V298" i="5" s="1"/>
  <c r="T79" i="8" s="1"/>
  <c r="U298" i="5" a="1"/>
  <c r="U298" i="5" s="1"/>
  <c r="S79" i="8" s="1"/>
  <c r="S298" i="5" a="1"/>
  <c r="S298" i="5" s="1"/>
  <c r="Q79" i="8"/>
  <c r="E298" i="5" a="1"/>
  <c r="E298" i="5" s="1"/>
  <c r="C79" i="8" s="1"/>
  <c r="H298" i="5" a="1"/>
  <c r="H298" i="5" s="1"/>
  <c r="Q298" i="5" a="1"/>
  <c r="Q298" i="5" s="1"/>
  <c r="O79" i="8" s="1"/>
  <c r="I298" i="5" a="1"/>
  <c r="I298" i="5" s="1"/>
  <c r="G79" i="8" s="1"/>
  <c r="K298" i="5" a="1"/>
  <c r="K298" i="5" s="1"/>
  <c r="O298" i="5" a="1"/>
  <c r="O298" i="5" s="1"/>
  <c r="P298" i="5" a="1"/>
  <c r="P298" i="5" s="1"/>
  <c r="F298" i="5" a="1"/>
  <c r="F298" i="5" s="1"/>
  <c r="R298" i="5" a="1"/>
  <c r="R298" i="5" s="1"/>
  <c r="N298" i="5" a="1"/>
  <c r="N298" i="5" s="1"/>
  <c r="J298" i="5" a="1"/>
  <c r="J298" i="5" s="1"/>
  <c r="L298" i="5" a="1"/>
  <c r="L298" i="5" s="1"/>
  <c r="M298" i="5" a="1"/>
  <c r="M298" i="5" s="1"/>
  <c r="G298" i="5" a="1"/>
  <c r="G298" i="5" s="1"/>
  <c r="D298" i="5" a="1"/>
  <c r="D298" i="5" s="1"/>
  <c r="B79" i="8" s="1"/>
  <c r="C299" i="5"/>
  <c r="T299" i="5" l="1" a="1"/>
  <c r="T299" i="5" s="1"/>
  <c r="AG299" i="5" a="1"/>
  <c r="AG299" i="5" s="1"/>
  <c r="AF299" i="5" a="1"/>
  <c r="AF299" i="5" s="1"/>
  <c r="AE299" i="5" a="1"/>
  <c r="AE299" i="5" s="1"/>
  <c r="AD299" i="5" a="1"/>
  <c r="AD299" i="5" s="1"/>
  <c r="AC299" i="5" a="1"/>
  <c r="AC299" i="5" s="1"/>
  <c r="AB299" i="5" a="1"/>
  <c r="AB299" i="5" s="1"/>
  <c r="AA299" i="5" a="1"/>
  <c r="AA299" i="5" s="1"/>
  <c r="Z299" i="5" a="1"/>
  <c r="Z299" i="5" s="1"/>
  <c r="Y299" i="5" a="1"/>
  <c r="Y299" i="5" s="1"/>
  <c r="X299" i="5" a="1"/>
  <c r="X299" i="5" s="1"/>
  <c r="W299" i="5" a="1"/>
  <c r="W299" i="5" s="1"/>
  <c r="U299" i="5" a="1"/>
  <c r="U299" i="5" s="1"/>
  <c r="V299" i="5" a="1"/>
  <c r="V299" i="5" s="1"/>
  <c r="S299" i="5" a="1"/>
  <c r="S299" i="5" s="1"/>
  <c r="E299" i="5" a="1"/>
  <c r="E299" i="5" s="1"/>
  <c r="H299" i="5" a="1"/>
  <c r="H299" i="5" s="1"/>
  <c r="I299" i="5" a="1"/>
  <c r="I299" i="5" s="1"/>
  <c r="Q299" i="5" a="1"/>
  <c r="Q299" i="5" s="1"/>
  <c r="O299" i="5" a="1"/>
  <c r="O299" i="5" s="1"/>
  <c r="K299" i="5" a="1"/>
  <c r="K299" i="5" s="1"/>
  <c r="F299" i="5" a="1"/>
  <c r="F299" i="5" s="1"/>
  <c r="R299" i="5" a="1"/>
  <c r="R299" i="5" s="1"/>
  <c r="N299" i="5" a="1"/>
  <c r="N299" i="5" s="1"/>
  <c r="L299" i="5" a="1"/>
  <c r="L299" i="5" s="1"/>
  <c r="J299" i="5" a="1"/>
  <c r="J299" i="5" s="1"/>
  <c r="P299" i="5" a="1"/>
  <c r="P299" i="5" s="1"/>
  <c r="M299" i="5" a="1"/>
  <c r="M299" i="5" s="1"/>
  <c r="G299" i="5" a="1"/>
  <c r="G299" i="5" s="1"/>
  <c r="D299" i="5" a="1"/>
  <c r="D299" i="5" s="1"/>
  <c r="C300" i="5"/>
  <c r="T300" i="5" l="1" a="1"/>
  <c r="T300" i="5" s="1"/>
  <c r="AF300" i="5" a="1"/>
  <c r="AF300" i="5" s="1"/>
  <c r="AG300" i="5" a="1"/>
  <c r="AG300" i="5" s="1"/>
  <c r="AE300" i="5" a="1"/>
  <c r="AE300" i="5" s="1"/>
  <c r="AD300" i="5" a="1"/>
  <c r="AD300" i="5" s="1"/>
  <c r="AC300" i="5" a="1"/>
  <c r="AC300" i="5" s="1"/>
  <c r="AB300" i="5" a="1"/>
  <c r="AB300" i="5" s="1"/>
  <c r="AA300" i="5" a="1"/>
  <c r="AA300" i="5" s="1"/>
  <c r="X300" i="5" a="1"/>
  <c r="X300" i="5" s="1"/>
  <c r="W300" i="5" a="1"/>
  <c r="W300" i="5" s="1"/>
  <c r="Z300" i="5" a="1"/>
  <c r="Z300" i="5" s="1"/>
  <c r="Y300" i="5" a="1"/>
  <c r="Y300" i="5" s="1"/>
  <c r="U300" i="5" a="1"/>
  <c r="U300" i="5" s="1"/>
  <c r="V300" i="5" a="1"/>
  <c r="V300" i="5" s="1"/>
  <c r="S300" i="5" a="1"/>
  <c r="S300" i="5" s="1"/>
  <c r="E300" i="5" a="1"/>
  <c r="E300" i="5" s="1"/>
  <c r="H300" i="5" a="1"/>
  <c r="H300" i="5" s="1"/>
  <c r="I300" i="5" a="1"/>
  <c r="I300" i="5" s="1"/>
  <c r="Q300" i="5" a="1"/>
  <c r="Q300" i="5" s="1"/>
  <c r="F300" i="5" a="1"/>
  <c r="F300" i="5" s="1"/>
  <c r="O300" i="5" a="1"/>
  <c r="O300" i="5" s="1"/>
  <c r="K300" i="5" a="1"/>
  <c r="K300" i="5" s="1"/>
  <c r="L300" i="5" a="1"/>
  <c r="L300" i="5" s="1"/>
  <c r="N300" i="5" a="1"/>
  <c r="N300" i="5" s="1"/>
  <c r="J300" i="5" a="1"/>
  <c r="J300" i="5" s="1"/>
  <c r="P300" i="5" a="1"/>
  <c r="P300" i="5" s="1"/>
  <c r="R300" i="5" a="1"/>
  <c r="R300" i="5" s="1"/>
  <c r="G300" i="5" a="1"/>
  <c r="G300" i="5" s="1"/>
  <c r="M300" i="5" a="1"/>
  <c r="M300" i="5" s="1"/>
  <c r="C301" i="5"/>
  <c r="D300" i="5" a="1"/>
  <c r="D300" i="5" s="1"/>
  <c r="T301" i="5" l="1" a="1"/>
  <c r="T301" i="5" s="1"/>
  <c r="AF301" i="5" a="1"/>
  <c r="AF301" i="5" s="1"/>
  <c r="AG301" i="5" a="1"/>
  <c r="AG301" i="5" s="1"/>
  <c r="AE301" i="5" a="1"/>
  <c r="AE301" i="5" s="1"/>
  <c r="AD301" i="5" a="1"/>
  <c r="AD301" i="5" s="1"/>
  <c r="AC301" i="5" a="1"/>
  <c r="AC301" i="5" s="1"/>
  <c r="AB301" i="5" a="1"/>
  <c r="AB301" i="5" s="1"/>
  <c r="AA301" i="5" a="1"/>
  <c r="AA301" i="5" s="1"/>
  <c r="Z301" i="5" a="1"/>
  <c r="Z301" i="5" s="1"/>
  <c r="Y301" i="5" a="1"/>
  <c r="Y301" i="5" s="1"/>
  <c r="X301" i="5" a="1"/>
  <c r="X301" i="5" s="1"/>
  <c r="W301" i="5" a="1"/>
  <c r="W301" i="5" s="1"/>
  <c r="U301" i="5" a="1"/>
  <c r="U301" i="5" s="1"/>
  <c r="V301" i="5" a="1"/>
  <c r="V301" i="5" s="1"/>
  <c r="S301" i="5" a="1"/>
  <c r="S301" i="5" s="1"/>
  <c r="E301" i="5" a="1"/>
  <c r="E301" i="5" s="1"/>
  <c r="H301" i="5" a="1"/>
  <c r="H301" i="5" s="1"/>
  <c r="I301" i="5" a="1"/>
  <c r="I301" i="5" s="1"/>
  <c r="Q301" i="5" a="1"/>
  <c r="Q301" i="5" s="1"/>
  <c r="K301" i="5" a="1"/>
  <c r="K301" i="5" s="1"/>
  <c r="O301" i="5" a="1"/>
  <c r="O301" i="5" s="1"/>
  <c r="P301" i="5" a="1"/>
  <c r="P301" i="5" s="1"/>
  <c r="F301" i="5" a="1"/>
  <c r="F301" i="5" s="1"/>
  <c r="N301" i="5" a="1"/>
  <c r="N301" i="5" s="1"/>
  <c r="R301" i="5" a="1"/>
  <c r="R301" i="5" s="1"/>
  <c r="J301" i="5" a="1"/>
  <c r="J301" i="5" s="1"/>
  <c r="L301" i="5" a="1"/>
  <c r="L301" i="5" s="1"/>
  <c r="G301" i="5" a="1"/>
  <c r="G301" i="5" s="1"/>
  <c r="M301" i="5" a="1"/>
  <c r="M301" i="5" s="1"/>
  <c r="D301" i="5" a="1"/>
  <c r="D301" i="5" s="1"/>
  <c r="C302" i="5"/>
  <c r="R80" i="8" l="1"/>
  <c r="T302" i="5" a="1"/>
  <c r="T302" i="5" s="1"/>
  <c r="AG302" i="5" a="1"/>
  <c r="AG302" i="5" s="1"/>
  <c r="AF302" i="5" a="1"/>
  <c r="AF302" i="5" s="1"/>
  <c r="AE302" i="5" a="1"/>
  <c r="AE302" i="5" s="1"/>
  <c r="AD302" i="5" a="1"/>
  <c r="AD302" i="5" s="1"/>
  <c r="AC302" i="5" a="1"/>
  <c r="AC302" i="5" s="1"/>
  <c r="AB302" i="5" a="1"/>
  <c r="AB302" i="5" s="1"/>
  <c r="Z80" i="8" s="1"/>
  <c r="AA302" i="5" a="1"/>
  <c r="AA302" i="5" s="1"/>
  <c r="X302" i="5" a="1"/>
  <c r="X302" i="5" s="1"/>
  <c r="W302" i="5" a="1"/>
  <c r="W302" i="5" s="1"/>
  <c r="Z302" i="5" a="1"/>
  <c r="Z302" i="5" s="1"/>
  <c r="Y302" i="5" a="1"/>
  <c r="Y302" i="5" s="1"/>
  <c r="AA80" i="8"/>
  <c r="AB80" i="8"/>
  <c r="U80" i="8"/>
  <c r="AC80" i="8"/>
  <c r="V80" i="8"/>
  <c r="AE80" i="8"/>
  <c r="W80" i="8"/>
  <c r="AD80" i="8"/>
  <c r="X80" i="8"/>
  <c r="T80" i="8"/>
  <c r="U302" i="5" a="1"/>
  <c r="U302" i="5" s="1"/>
  <c r="S80" i="8" s="1"/>
  <c r="V302" i="5" a="1"/>
  <c r="V302" i="5" s="1"/>
  <c r="S302" i="5" a="1"/>
  <c r="S302" i="5" s="1"/>
  <c r="Q80" i="8"/>
  <c r="E302" i="5" a="1"/>
  <c r="E302" i="5" s="1"/>
  <c r="C80" i="8" s="1"/>
  <c r="H302" i="5" a="1"/>
  <c r="H302" i="5" s="1"/>
  <c r="Q302" i="5" a="1"/>
  <c r="Q302" i="5" s="1"/>
  <c r="O80" i="8" s="1"/>
  <c r="I302" i="5" a="1"/>
  <c r="I302" i="5" s="1"/>
  <c r="G80" i="8" s="1"/>
  <c r="P302" i="5" a="1"/>
  <c r="P302" i="5" s="1"/>
  <c r="O302" i="5" a="1"/>
  <c r="O302" i="5" s="1"/>
  <c r="K302" i="5" a="1"/>
  <c r="K302" i="5" s="1"/>
  <c r="F302" i="5" a="1"/>
  <c r="F302" i="5" s="1"/>
  <c r="N302" i="5" a="1"/>
  <c r="N302" i="5" s="1"/>
  <c r="L302" i="5" a="1"/>
  <c r="L302" i="5" s="1"/>
  <c r="R302" i="5" a="1"/>
  <c r="R302" i="5" s="1"/>
  <c r="J302" i="5" a="1"/>
  <c r="J302" i="5" s="1"/>
  <c r="G302" i="5" a="1"/>
  <c r="G302" i="5" s="1"/>
  <c r="M302" i="5" a="1"/>
  <c r="M302" i="5" s="1"/>
  <c r="C303" i="5"/>
  <c r="D302" i="5" a="1"/>
  <c r="D302" i="5" s="1"/>
  <c r="B80" i="8" s="1"/>
  <c r="T303" i="5" l="1" a="1"/>
  <c r="T303" i="5" s="1"/>
  <c r="AG303" i="5" a="1"/>
  <c r="AG303" i="5" s="1"/>
  <c r="AF303" i="5" a="1"/>
  <c r="AF303" i="5" s="1"/>
  <c r="AE303" i="5" a="1"/>
  <c r="AE303" i="5" s="1"/>
  <c r="AD303" i="5" a="1"/>
  <c r="AD303" i="5" s="1"/>
  <c r="AC303" i="5" a="1"/>
  <c r="AC303" i="5" s="1"/>
  <c r="AB303" i="5" a="1"/>
  <c r="AB303" i="5" s="1"/>
  <c r="AA303" i="5" a="1"/>
  <c r="AA303" i="5" s="1"/>
  <c r="Z303" i="5" a="1"/>
  <c r="Z303" i="5" s="1"/>
  <c r="Y303" i="5" a="1"/>
  <c r="Y303" i="5" s="1"/>
  <c r="X303" i="5" a="1"/>
  <c r="X303" i="5" s="1"/>
  <c r="W303" i="5" a="1"/>
  <c r="W303" i="5" s="1"/>
  <c r="V303" i="5" a="1"/>
  <c r="V303" i="5" s="1"/>
  <c r="U303" i="5" a="1"/>
  <c r="U303" i="5" s="1"/>
  <c r="S303" i="5" a="1"/>
  <c r="S303" i="5" s="1"/>
  <c r="E303" i="5" a="1"/>
  <c r="E303" i="5" s="1"/>
  <c r="H303" i="5" a="1"/>
  <c r="H303" i="5" s="1"/>
  <c r="I303" i="5" a="1"/>
  <c r="I303" i="5" s="1"/>
  <c r="Q303" i="5" a="1"/>
  <c r="Q303" i="5" s="1"/>
  <c r="O303" i="5" a="1"/>
  <c r="O303" i="5" s="1"/>
  <c r="P303" i="5" a="1"/>
  <c r="P303" i="5" s="1"/>
  <c r="L303" i="5" a="1"/>
  <c r="L303" i="5" s="1"/>
  <c r="R303" i="5" a="1"/>
  <c r="R303" i="5" s="1"/>
  <c r="K303" i="5" a="1"/>
  <c r="K303" i="5" s="1"/>
  <c r="J303" i="5" a="1"/>
  <c r="J303" i="5" s="1"/>
  <c r="G303" i="5" a="1"/>
  <c r="G303" i="5" s="1"/>
  <c r="F303" i="5" a="1"/>
  <c r="F303" i="5" s="1"/>
  <c r="N303" i="5" a="1"/>
  <c r="N303" i="5" s="1"/>
  <c r="M303" i="5" a="1"/>
  <c r="M303" i="5" s="1"/>
  <c r="D303" i="5" a="1"/>
  <c r="D303" i="5" s="1"/>
  <c r="C304" i="5"/>
  <c r="T304" i="5" l="1" a="1"/>
  <c r="T304" i="5" s="1"/>
  <c r="AF304" i="5" a="1"/>
  <c r="AF304" i="5" s="1"/>
  <c r="AG304" i="5" a="1"/>
  <c r="AG304" i="5" s="1"/>
  <c r="AE304" i="5" a="1"/>
  <c r="AE304" i="5" s="1"/>
  <c r="AD304" i="5" a="1"/>
  <c r="AD304" i="5" s="1"/>
  <c r="AC304" i="5" a="1"/>
  <c r="AC304" i="5" s="1"/>
  <c r="AB304" i="5" a="1"/>
  <c r="AB304" i="5" s="1"/>
  <c r="AA304" i="5" a="1"/>
  <c r="AA304" i="5" s="1"/>
  <c r="X304" i="5" a="1"/>
  <c r="X304" i="5" s="1"/>
  <c r="W304" i="5" a="1"/>
  <c r="W304" i="5" s="1"/>
  <c r="Z304" i="5" a="1"/>
  <c r="Z304" i="5" s="1"/>
  <c r="Y304" i="5" a="1"/>
  <c r="Y304" i="5" s="1"/>
  <c r="V304" i="5" a="1"/>
  <c r="V304" i="5" s="1"/>
  <c r="U304" i="5" a="1"/>
  <c r="U304" i="5" s="1"/>
  <c r="S304" i="5" a="1"/>
  <c r="S304" i="5" s="1"/>
  <c r="E304" i="5" a="1"/>
  <c r="E304" i="5" s="1"/>
  <c r="H304" i="5" a="1"/>
  <c r="H304" i="5" s="1"/>
  <c r="I304" i="5" a="1"/>
  <c r="I304" i="5" s="1"/>
  <c r="P304" i="5" a="1"/>
  <c r="P304" i="5" s="1"/>
  <c r="Q304" i="5" a="1"/>
  <c r="Q304" i="5" s="1"/>
  <c r="O304" i="5" a="1"/>
  <c r="O304" i="5" s="1"/>
  <c r="K304" i="5" a="1"/>
  <c r="K304" i="5" s="1"/>
  <c r="F304" i="5" a="1"/>
  <c r="F304" i="5" s="1"/>
  <c r="N304" i="5" a="1"/>
  <c r="N304" i="5" s="1"/>
  <c r="J304" i="5" a="1"/>
  <c r="J304" i="5" s="1"/>
  <c r="R304" i="5" a="1"/>
  <c r="R304" i="5" s="1"/>
  <c r="L304" i="5" a="1"/>
  <c r="L304" i="5" s="1"/>
  <c r="M304" i="5" a="1"/>
  <c r="M304" i="5" s="1"/>
  <c r="G304" i="5" a="1"/>
  <c r="G304" i="5" s="1"/>
  <c r="D304" i="5" a="1"/>
  <c r="D304" i="5" s="1"/>
  <c r="C305" i="5"/>
  <c r="T305" i="5" l="1" a="1"/>
  <c r="T305" i="5" s="1"/>
  <c r="AF305" i="5" a="1"/>
  <c r="AF305" i="5" s="1"/>
  <c r="AG305" i="5" a="1"/>
  <c r="AG305" i="5" s="1"/>
  <c r="AE305" i="5" a="1"/>
  <c r="AE305" i="5" s="1"/>
  <c r="AD305" i="5" a="1"/>
  <c r="AD305" i="5" s="1"/>
  <c r="AC305" i="5" a="1"/>
  <c r="AC305" i="5" s="1"/>
  <c r="AB305" i="5" a="1"/>
  <c r="AB305" i="5" s="1"/>
  <c r="AA305" i="5" a="1"/>
  <c r="AA305" i="5" s="1"/>
  <c r="Z305" i="5" a="1"/>
  <c r="Z305" i="5" s="1"/>
  <c r="Y305" i="5" a="1"/>
  <c r="Y305" i="5" s="1"/>
  <c r="X305" i="5" a="1"/>
  <c r="X305" i="5" s="1"/>
  <c r="W305" i="5" a="1"/>
  <c r="W305" i="5" s="1"/>
  <c r="V305" i="5" a="1"/>
  <c r="V305" i="5" s="1"/>
  <c r="U305" i="5" a="1"/>
  <c r="U305" i="5" s="1"/>
  <c r="S305" i="5" a="1"/>
  <c r="S305" i="5" s="1"/>
  <c r="E305" i="5" a="1"/>
  <c r="E305" i="5" s="1"/>
  <c r="H305" i="5" a="1"/>
  <c r="H305" i="5" s="1"/>
  <c r="Q305" i="5" a="1"/>
  <c r="Q305" i="5" s="1"/>
  <c r="I305" i="5" a="1"/>
  <c r="I305" i="5" s="1"/>
  <c r="F305" i="5" a="1"/>
  <c r="F305" i="5" s="1"/>
  <c r="K305" i="5" a="1"/>
  <c r="K305" i="5" s="1"/>
  <c r="O305" i="5" a="1"/>
  <c r="O305" i="5" s="1"/>
  <c r="R305" i="5" a="1"/>
  <c r="R305" i="5" s="1"/>
  <c r="N305" i="5" a="1"/>
  <c r="N305" i="5" s="1"/>
  <c r="J305" i="5" a="1"/>
  <c r="J305" i="5" s="1"/>
  <c r="L305" i="5" a="1"/>
  <c r="L305" i="5" s="1"/>
  <c r="M305" i="5" a="1"/>
  <c r="M305" i="5" s="1"/>
  <c r="G305" i="5" a="1"/>
  <c r="G305" i="5" s="1"/>
  <c r="P305" i="5" a="1"/>
  <c r="P305" i="5" s="1"/>
  <c r="D305" i="5" a="1"/>
  <c r="D305" i="5" s="1"/>
  <c r="C306" i="5"/>
  <c r="R81" i="8" l="1"/>
  <c r="T306" i="5" a="1"/>
  <c r="T306" i="5" s="1"/>
  <c r="AG306" i="5" a="1"/>
  <c r="AG306" i="5" s="1"/>
  <c r="AE81" i="8" s="1"/>
  <c r="AF306" i="5" a="1"/>
  <c r="AF306" i="5" s="1"/>
  <c r="AE306" i="5" a="1"/>
  <c r="AE306" i="5" s="1"/>
  <c r="AC81" i="8" s="1"/>
  <c r="AD306" i="5" a="1"/>
  <c r="AD306" i="5" s="1"/>
  <c r="AB81" i="8" s="1"/>
  <c r="AC306" i="5" a="1"/>
  <c r="AC306" i="5" s="1"/>
  <c r="AB306" i="5" a="1"/>
  <c r="AB306" i="5" s="1"/>
  <c r="AA306" i="5" a="1"/>
  <c r="AA306" i="5" s="1"/>
  <c r="X306" i="5" a="1"/>
  <c r="X306" i="5" s="1"/>
  <c r="W306" i="5" a="1"/>
  <c r="W306" i="5" s="1"/>
  <c r="U81" i="8" s="1"/>
  <c r="Z306" i="5" a="1"/>
  <c r="Z306" i="5" s="1"/>
  <c r="X81" i="8" s="1"/>
  <c r="Y306" i="5" a="1"/>
  <c r="Y306" i="5" s="1"/>
  <c r="V306" i="5" a="1"/>
  <c r="V306" i="5" s="1"/>
  <c r="T81" i="8" s="1"/>
  <c r="U306" i="5" a="1"/>
  <c r="U306" i="5" s="1"/>
  <c r="S81" i="8" s="1"/>
  <c r="S306" i="5" a="1"/>
  <c r="S306" i="5" s="1"/>
  <c r="Q81" i="8" s="1"/>
  <c r="E306" i="5" a="1"/>
  <c r="E306" i="5" s="1"/>
  <c r="C81" i="8" s="1"/>
  <c r="H306" i="5" a="1"/>
  <c r="H306" i="5" s="1"/>
  <c r="Q306" i="5" a="1"/>
  <c r="Q306" i="5" s="1"/>
  <c r="I306" i="5" a="1"/>
  <c r="I306" i="5" s="1"/>
  <c r="P306" i="5" a="1"/>
  <c r="P306" i="5" s="1"/>
  <c r="O306" i="5" a="1"/>
  <c r="O306" i="5" s="1"/>
  <c r="N306" i="5" a="1"/>
  <c r="N306" i="5" s="1"/>
  <c r="F306" i="5" a="1"/>
  <c r="F306" i="5" s="1"/>
  <c r="J306" i="5" a="1"/>
  <c r="J306" i="5" s="1"/>
  <c r="H81" i="8" s="1"/>
  <c r="K306" i="5" a="1"/>
  <c r="K306" i="5" s="1"/>
  <c r="R306" i="5" a="1"/>
  <c r="R306" i="5" s="1"/>
  <c r="P81" i="8" s="1"/>
  <c r="L306" i="5" a="1"/>
  <c r="L306" i="5" s="1"/>
  <c r="G306" i="5" a="1"/>
  <c r="G306" i="5" s="1"/>
  <c r="E81" i="8" s="1"/>
  <c r="M306" i="5" a="1"/>
  <c r="M306" i="5" s="1"/>
  <c r="D306" i="5" a="1"/>
  <c r="D306" i="5" s="1"/>
  <c r="B81" i="8" s="1"/>
  <c r="C307" i="5"/>
  <c r="T307" i="5" l="1" a="1"/>
  <c r="T307" i="5" s="1"/>
  <c r="AG307" i="5" a="1"/>
  <c r="AG307" i="5" s="1"/>
  <c r="AF307" i="5" a="1"/>
  <c r="AF307" i="5" s="1"/>
  <c r="AE307" i="5" a="1"/>
  <c r="AE307" i="5" s="1"/>
  <c r="AD307" i="5" a="1"/>
  <c r="AD307" i="5" s="1"/>
  <c r="AC307" i="5" a="1"/>
  <c r="AC307" i="5" s="1"/>
  <c r="AB307" i="5" a="1"/>
  <c r="AB307" i="5" s="1"/>
  <c r="AA307" i="5" a="1"/>
  <c r="AA307" i="5" s="1"/>
  <c r="Z307" i="5" a="1"/>
  <c r="Z307" i="5" s="1"/>
  <c r="Y307" i="5" a="1"/>
  <c r="Y307" i="5" s="1"/>
  <c r="X307" i="5" a="1"/>
  <c r="X307" i="5" s="1"/>
  <c r="W307" i="5" a="1"/>
  <c r="W307" i="5" s="1"/>
  <c r="U307" i="5" a="1"/>
  <c r="U307" i="5" s="1"/>
  <c r="S307" i="5" a="1"/>
  <c r="S307" i="5" s="1"/>
  <c r="V307" i="5" a="1"/>
  <c r="V307" i="5" s="1"/>
  <c r="E307" i="5" a="1"/>
  <c r="E307" i="5" s="1"/>
  <c r="H307" i="5" a="1"/>
  <c r="H307" i="5" s="1"/>
  <c r="Q307" i="5" a="1"/>
  <c r="Q307" i="5" s="1"/>
  <c r="O307" i="5" a="1"/>
  <c r="O307" i="5" s="1"/>
  <c r="P307" i="5" a="1"/>
  <c r="P307" i="5" s="1"/>
  <c r="I307" i="5" a="1"/>
  <c r="I307" i="5" s="1"/>
  <c r="F307" i="5" a="1"/>
  <c r="F307" i="5" s="1"/>
  <c r="K307" i="5" a="1"/>
  <c r="K307" i="5" s="1"/>
  <c r="N307" i="5" a="1"/>
  <c r="N307" i="5" s="1"/>
  <c r="L307" i="5" a="1"/>
  <c r="L307" i="5" s="1"/>
  <c r="R307" i="5" a="1"/>
  <c r="R307" i="5" s="1"/>
  <c r="J307" i="5" a="1"/>
  <c r="J307" i="5" s="1"/>
  <c r="M307" i="5" a="1"/>
  <c r="M307" i="5" s="1"/>
  <c r="G307" i="5" a="1"/>
  <c r="G307" i="5" s="1"/>
  <c r="D307" i="5" a="1"/>
  <c r="D307" i="5" s="1"/>
  <c r="C308" i="5"/>
  <c r="T308" i="5" l="1" a="1"/>
  <c r="T308" i="5" s="1"/>
  <c r="AF308" i="5" a="1"/>
  <c r="AF308" i="5" s="1"/>
  <c r="AG308" i="5" a="1"/>
  <c r="AG308" i="5" s="1"/>
  <c r="AE308" i="5" a="1"/>
  <c r="AE308" i="5" s="1"/>
  <c r="AD308" i="5" a="1"/>
  <c r="AD308" i="5" s="1"/>
  <c r="AC308" i="5" a="1"/>
  <c r="AC308" i="5" s="1"/>
  <c r="AB308" i="5" a="1"/>
  <c r="AB308" i="5" s="1"/>
  <c r="AA308" i="5" a="1"/>
  <c r="AA308" i="5" s="1"/>
  <c r="X308" i="5" a="1"/>
  <c r="X308" i="5" s="1"/>
  <c r="W308" i="5" a="1"/>
  <c r="W308" i="5" s="1"/>
  <c r="Z308" i="5" a="1"/>
  <c r="Z308" i="5" s="1"/>
  <c r="Y308" i="5" a="1"/>
  <c r="Y308" i="5" s="1"/>
  <c r="U308" i="5" a="1"/>
  <c r="U308" i="5" s="1"/>
  <c r="V308" i="5" a="1"/>
  <c r="V308" i="5" s="1"/>
  <c r="S308" i="5" a="1"/>
  <c r="S308" i="5" s="1"/>
  <c r="E308" i="5" a="1"/>
  <c r="E308" i="5" s="1"/>
  <c r="H308" i="5" a="1"/>
  <c r="H308" i="5" s="1"/>
  <c r="I308" i="5" a="1"/>
  <c r="I308" i="5" s="1"/>
  <c r="Q308" i="5" a="1"/>
  <c r="Q308" i="5" s="1"/>
  <c r="P308" i="5" a="1"/>
  <c r="P308" i="5" s="1"/>
  <c r="K308" i="5" a="1"/>
  <c r="K308" i="5" s="1"/>
  <c r="F308" i="5" a="1"/>
  <c r="F308" i="5" s="1"/>
  <c r="O308" i="5" a="1"/>
  <c r="O308" i="5" s="1"/>
  <c r="R308" i="5" a="1"/>
  <c r="R308" i="5" s="1"/>
  <c r="N308" i="5" a="1"/>
  <c r="N308" i="5" s="1"/>
  <c r="J308" i="5" a="1"/>
  <c r="J308" i="5" s="1"/>
  <c r="L308" i="5" a="1"/>
  <c r="L308" i="5" s="1"/>
  <c r="M308" i="5" a="1"/>
  <c r="M308" i="5" s="1"/>
  <c r="G308" i="5" a="1"/>
  <c r="G308" i="5" s="1"/>
  <c r="D308" i="5" a="1"/>
  <c r="D308" i="5" s="1"/>
  <c r="C309" i="5"/>
  <c r="T309" i="5" l="1" a="1"/>
  <c r="T309" i="5" s="1"/>
  <c r="AF309" i="5" a="1"/>
  <c r="AF309" i="5" s="1"/>
  <c r="AG309" i="5" a="1"/>
  <c r="AG309" i="5" s="1"/>
  <c r="AE309" i="5" a="1"/>
  <c r="AE309" i="5" s="1"/>
  <c r="AD309" i="5" a="1"/>
  <c r="AD309" i="5" s="1"/>
  <c r="AC309" i="5" a="1"/>
  <c r="AC309" i="5" s="1"/>
  <c r="AB309" i="5" a="1"/>
  <c r="AB309" i="5" s="1"/>
  <c r="AA309" i="5" a="1"/>
  <c r="AA309" i="5" s="1"/>
  <c r="Z309" i="5" a="1"/>
  <c r="Z309" i="5" s="1"/>
  <c r="Y309" i="5" a="1"/>
  <c r="Y309" i="5" s="1"/>
  <c r="X309" i="5" a="1"/>
  <c r="X309" i="5" s="1"/>
  <c r="W309" i="5" a="1"/>
  <c r="W309" i="5" s="1"/>
  <c r="U309" i="5" a="1"/>
  <c r="U309" i="5" s="1"/>
  <c r="V309" i="5" a="1"/>
  <c r="V309" i="5" s="1"/>
  <c r="S309" i="5" a="1"/>
  <c r="S309" i="5" s="1"/>
  <c r="E309" i="5" a="1"/>
  <c r="E309" i="5" s="1"/>
  <c r="H309" i="5" a="1"/>
  <c r="H309" i="5" s="1"/>
  <c r="I309" i="5" a="1"/>
  <c r="I309" i="5" s="1"/>
  <c r="Q309" i="5" a="1"/>
  <c r="Q309" i="5" s="1"/>
  <c r="K309" i="5" a="1"/>
  <c r="K309" i="5" s="1"/>
  <c r="F309" i="5" a="1"/>
  <c r="F309" i="5" s="1"/>
  <c r="O309" i="5" a="1"/>
  <c r="O309" i="5" s="1"/>
  <c r="P309" i="5" a="1"/>
  <c r="P309" i="5" s="1"/>
  <c r="L309" i="5" a="1"/>
  <c r="L309" i="5" s="1"/>
  <c r="R309" i="5" a="1"/>
  <c r="R309" i="5" s="1"/>
  <c r="N309" i="5" a="1"/>
  <c r="N309" i="5" s="1"/>
  <c r="J309" i="5" a="1"/>
  <c r="J309" i="5" s="1"/>
  <c r="G309" i="5" a="1"/>
  <c r="G309" i="5" s="1"/>
  <c r="M309" i="5" a="1"/>
  <c r="M309" i="5" s="1"/>
  <c r="D309" i="5" a="1"/>
  <c r="D309" i="5" s="1"/>
  <c r="C310" i="5"/>
  <c r="R82" i="8" l="1"/>
  <c r="AD82" i="8"/>
  <c r="T310" i="5" a="1"/>
  <c r="T310" i="5" s="1"/>
  <c r="AG310" i="5" a="1"/>
  <c r="AG310" i="5" s="1"/>
  <c r="AF310" i="5" a="1"/>
  <c r="AF310" i="5" s="1"/>
  <c r="AE310" i="5" a="1"/>
  <c r="AE310" i="5" s="1"/>
  <c r="AC82" i="8" s="1"/>
  <c r="AD310" i="5" a="1"/>
  <c r="AD310" i="5" s="1"/>
  <c r="AB82" i="8" s="1"/>
  <c r="AC310" i="5" a="1"/>
  <c r="AC310" i="5" s="1"/>
  <c r="AB310" i="5" a="1"/>
  <c r="AB310" i="5" s="1"/>
  <c r="AA310" i="5" a="1"/>
  <c r="AA310" i="5" s="1"/>
  <c r="X310" i="5" a="1"/>
  <c r="X310" i="5" s="1"/>
  <c r="W310" i="5" a="1"/>
  <c r="W310" i="5" s="1"/>
  <c r="U82" i="8" s="1"/>
  <c r="Z310" i="5" a="1"/>
  <c r="Z310" i="5" s="1"/>
  <c r="X82" i="8" s="1"/>
  <c r="Y310" i="5" a="1"/>
  <c r="Y310" i="5" s="1"/>
  <c r="U310" i="5" a="1"/>
  <c r="U310" i="5" s="1"/>
  <c r="S82" i="8" s="1"/>
  <c r="V310" i="5" a="1"/>
  <c r="V310" i="5" s="1"/>
  <c r="S310" i="5" a="1"/>
  <c r="S310" i="5" s="1"/>
  <c r="Q82" i="8" s="1"/>
  <c r="E310" i="5" a="1"/>
  <c r="E310" i="5" s="1"/>
  <c r="C82" i="8" s="1"/>
  <c r="H310" i="5" a="1"/>
  <c r="H310" i="5" s="1"/>
  <c r="Q310" i="5" a="1"/>
  <c r="Q310" i="5" s="1"/>
  <c r="I310" i="5" a="1"/>
  <c r="I310" i="5" s="1"/>
  <c r="K310" i="5" a="1"/>
  <c r="K310" i="5" s="1"/>
  <c r="O310" i="5" a="1"/>
  <c r="O310" i="5" s="1"/>
  <c r="P310" i="5" a="1"/>
  <c r="P310" i="5" s="1"/>
  <c r="N310" i="5" a="1"/>
  <c r="N310" i="5" s="1"/>
  <c r="J310" i="5" a="1"/>
  <c r="J310" i="5" s="1"/>
  <c r="H82" i="8" s="1"/>
  <c r="F310" i="5" a="1"/>
  <c r="F310" i="5" s="1"/>
  <c r="L310" i="5" a="1"/>
  <c r="L310" i="5" s="1"/>
  <c r="G310" i="5" a="1"/>
  <c r="G310" i="5" s="1"/>
  <c r="R310" i="5" a="1"/>
  <c r="R310" i="5" s="1"/>
  <c r="P82" i="8" s="1"/>
  <c r="M310" i="5" a="1"/>
  <c r="M310" i="5" s="1"/>
  <c r="K82" i="8" s="1"/>
  <c r="C311" i="5"/>
  <c r="D310" i="5" a="1"/>
  <c r="D310" i="5" s="1"/>
  <c r="B82" i="8" s="1"/>
  <c r="T311" i="5" l="1" a="1"/>
  <c r="T311" i="5" s="1"/>
  <c r="AG311" i="5" a="1"/>
  <c r="AG311" i="5" s="1"/>
  <c r="AF311" i="5" a="1"/>
  <c r="AF311" i="5" s="1"/>
  <c r="AE311" i="5" a="1"/>
  <c r="AE311" i="5" s="1"/>
  <c r="AD311" i="5" a="1"/>
  <c r="AD311" i="5" s="1"/>
  <c r="AC311" i="5" a="1"/>
  <c r="AC311" i="5" s="1"/>
  <c r="AB311" i="5" a="1"/>
  <c r="AB311" i="5" s="1"/>
  <c r="AA311" i="5" a="1"/>
  <c r="AA311" i="5" s="1"/>
  <c r="Z311" i="5" a="1"/>
  <c r="Z311" i="5" s="1"/>
  <c r="Y311" i="5" a="1"/>
  <c r="Y311" i="5" s="1"/>
  <c r="X311" i="5" a="1"/>
  <c r="X311" i="5" s="1"/>
  <c r="W311" i="5" a="1"/>
  <c r="W311" i="5" s="1"/>
  <c r="V311" i="5" a="1"/>
  <c r="V311" i="5" s="1"/>
  <c r="U311" i="5" a="1"/>
  <c r="U311" i="5" s="1"/>
  <c r="S311" i="5" a="1"/>
  <c r="S311" i="5" s="1"/>
  <c r="E311" i="5" a="1"/>
  <c r="E311" i="5" s="1"/>
  <c r="H311" i="5" a="1"/>
  <c r="H311" i="5" s="1"/>
  <c r="I311" i="5" a="1"/>
  <c r="I311" i="5" s="1"/>
  <c r="Q311" i="5" a="1"/>
  <c r="Q311" i="5" s="1"/>
  <c r="K311" i="5" a="1"/>
  <c r="K311" i="5" s="1"/>
  <c r="O311" i="5" a="1"/>
  <c r="O311" i="5" s="1"/>
  <c r="P311" i="5" a="1"/>
  <c r="P311" i="5" s="1"/>
  <c r="N311" i="5" a="1"/>
  <c r="N311" i="5" s="1"/>
  <c r="F311" i="5" a="1"/>
  <c r="F311" i="5" s="1"/>
  <c r="R311" i="5" a="1"/>
  <c r="R311" i="5" s="1"/>
  <c r="J311" i="5" a="1"/>
  <c r="J311" i="5" s="1"/>
  <c r="L311" i="5" a="1"/>
  <c r="L311" i="5" s="1"/>
  <c r="G311" i="5" a="1"/>
  <c r="G311" i="5" s="1"/>
  <c r="M311" i="5" a="1"/>
  <c r="M311" i="5" s="1"/>
  <c r="D311" i="5" a="1"/>
  <c r="D311" i="5" s="1"/>
  <c r="C312" i="5"/>
  <c r="T312" i="5" l="1" a="1"/>
  <c r="T312" i="5" s="1"/>
  <c r="AF312" i="5" a="1"/>
  <c r="AF312" i="5" s="1"/>
  <c r="AG312" i="5" a="1"/>
  <c r="AG312" i="5" s="1"/>
  <c r="AE312" i="5" a="1"/>
  <c r="AE312" i="5" s="1"/>
  <c r="AD312" i="5" a="1"/>
  <c r="AD312" i="5" s="1"/>
  <c r="AC312" i="5" a="1"/>
  <c r="AC312" i="5" s="1"/>
  <c r="AB312" i="5" a="1"/>
  <c r="AB312" i="5" s="1"/>
  <c r="AA312" i="5" a="1"/>
  <c r="AA312" i="5" s="1"/>
  <c r="X312" i="5" a="1"/>
  <c r="X312" i="5" s="1"/>
  <c r="W312" i="5" a="1"/>
  <c r="W312" i="5" s="1"/>
  <c r="Z312" i="5" a="1"/>
  <c r="Z312" i="5" s="1"/>
  <c r="Y312" i="5" a="1"/>
  <c r="Y312" i="5" s="1"/>
  <c r="V312" i="5" a="1"/>
  <c r="V312" i="5" s="1"/>
  <c r="U312" i="5" a="1"/>
  <c r="U312" i="5" s="1"/>
  <c r="S312" i="5" a="1"/>
  <c r="S312" i="5" s="1"/>
  <c r="E312" i="5" a="1"/>
  <c r="E312" i="5" s="1"/>
  <c r="H312" i="5" a="1"/>
  <c r="H312" i="5" s="1"/>
  <c r="I312" i="5" a="1"/>
  <c r="I312" i="5" s="1"/>
  <c r="O312" i="5" a="1"/>
  <c r="O312" i="5" s="1"/>
  <c r="K312" i="5" a="1"/>
  <c r="K312" i="5" s="1"/>
  <c r="Q312" i="5" a="1"/>
  <c r="Q312" i="5" s="1"/>
  <c r="P312" i="5" a="1"/>
  <c r="P312" i="5" s="1"/>
  <c r="F312" i="5" a="1"/>
  <c r="F312" i="5" s="1"/>
  <c r="J312" i="5" a="1"/>
  <c r="J312" i="5" s="1"/>
  <c r="L312" i="5" a="1"/>
  <c r="L312" i="5" s="1"/>
  <c r="N312" i="5" a="1"/>
  <c r="N312" i="5" s="1"/>
  <c r="R312" i="5" a="1"/>
  <c r="R312" i="5" s="1"/>
  <c r="M312" i="5" a="1"/>
  <c r="M312" i="5" s="1"/>
  <c r="G312" i="5" a="1"/>
  <c r="G312" i="5" s="1"/>
  <c r="D312" i="5" a="1"/>
  <c r="D312" i="5" s="1"/>
  <c r="C313" i="5"/>
  <c r="T313" i="5" l="1" a="1"/>
  <c r="T313" i="5" s="1"/>
  <c r="AG313" i="5" a="1"/>
  <c r="AG313" i="5" s="1"/>
  <c r="AF313" i="5" a="1"/>
  <c r="AF313" i="5" s="1"/>
  <c r="AE313" i="5" a="1"/>
  <c r="AE313" i="5" s="1"/>
  <c r="AD313" i="5" a="1"/>
  <c r="AD313" i="5" s="1"/>
  <c r="AC313" i="5" a="1"/>
  <c r="AC313" i="5" s="1"/>
  <c r="AB313" i="5" a="1"/>
  <c r="AB313" i="5" s="1"/>
  <c r="AA313" i="5" a="1"/>
  <c r="AA313" i="5" s="1"/>
  <c r="Z313" i="5" a="1"/>
  <c r="Z313" i="5" s="1"/>
  <c r="Y313" i="5" a="1"/>
  <c r="Y313" i="5" s="1"/>
  <c r="X313" i="5" a="1"/>
  <c r="X313" i="5" s="1"/>
  <c r="W313" i="5" a="1"/>
  <c r="W313" i="5" s="1"/>
  <c r="V313" i="5" a="1"/>
  <c r="V313" i="5" s="1"/>
  <c r="U313" i="5" a="1"/>
  <c r="U313" i="5" s="1"/>
  <c r="S313" i="5" a="1"/>
  <c r="S313" i="5" s="1"/>
  <c r="E313" i="5" a="1"/>
  <c r="E313" i="5" s="1"/>
  <c r="H313" i="5" a="1"/>
  <c r="H313" i="5" s="1"/>
  <c r="I313" i="5" a="1"/>
  <c r="I313" i="5" s="1"/>
  <c r="Q313" i="5" a="1"/>
  <c r="Q313" i="5" s="1"/>
  <c r="K313" i="5" a="1"/>
  <c r="K313" i="5" s="1"/>
  <c r="F313" i="5" a="1"/>
  <c r="F313" i="5" s="1"/>
  <c r="P313" i="5" a="1"/>
  <c r="P313" i="5" s="1"/>
  <c r="N313" i="5" a="1"/>
  <c r="N313" i="5" s="1"/>
  <c r="O313" i="5" a="1"/>
  <c r="O313" i="5" s="1"/>
  <c r="R313" i="5" a="1"/>
  <c r="R313" i="5" s="1"/>
  <c r="J313" i="5" a="1"/>
  <c r="J313" i="5" s="1"/>
  <c r="L313" i="5" a="1"/>
  <c r="L313" i="5" s="1"/>
  <c r="M313" i="5" a="1"/>
  <c r="M313" i="5" s="1"/>
  <c r="G313" i="5" a="1"/>
  <c r="G313" i="5" s="1"/>
  <c r="D313" i="5" a="1"/>
  <c r="D313" i="5" s="1"/>
  <c r="C314" i="5"/>
  <c r="R83" i="8" l="1"/>
  <c r="T314" i="5" a="1"/>
  <c r="T314" i="5" s="1"/>
  <c r="AG314" i="5" a="1"/>
  <c r="AG314" i="5" s="1"/>
  <c r="AF314" i="5" a="1"/>
  <c r="AF314" i="5" s="1"/>
  <c r="AD83" i="8" s="1"/>
  <c r="AE314" i="5" a="1"/>
  <c r="AE314" i="5" s="1"/>
  <c r="AC83" i="8" s="1"/>
  <c r="AD314" i="5" a="1"/>
  <c r="AD314" i="5" s="1"/>
  <c r="AB83" i="8" s="1"/>
  <c r="AC314" i="5" a="1"/>
  <c r="AC314" i="5" s="1"/>
  <c r="AB314" i="5" a="1"/>
  <c r="AB314" i="5" s="1"/>
  <c r="AA314" i="5" a="1"/>
  <c r="AA314" i="5" s="1"/>
  <c r="X314" i="5" a="1"/>
  <c r="X314" i="5" s="1"/>
  <c r="W314" i="5" a="1"/>
  <c r="W314" i="5" s="1"/>
  <c r="Z314" i="5" a="1"/>
  <c r="Z314" i="5" s="1"/>
  <c r="X83" i="8" s="1"/>
  <c r="Y314" i="5" a="1"/>
  <c r="Y314" i="5" s="1"/>
  <c r="V314" i="5" a="1"/>
  <c r="V314" i="5" s="1"/>
  <c r="T83" i="8" s="1"/>
  <c r="U314" i="5" a="1"/>
  <c r="U314" i="5" s="1"/>
  <c r="S83" i="8" s="1"/>
  <c r="S314" i="5" a="1"/>
  <c r="S314" i="5" s="1"/>
  <c r="Q83" i="8"/>
  <c r="E314" i="5" a="1"/>
  <c r="E314" i="5" s="1"/>
  <c r="C83" i="8" s="1"/>
  <c r="H314" i="5" a="1"/>
  <c r="H314" i="5" s="1"/>
  <c r="Q314" i="5" a="1"/>
  <c r="Q314" i="5" s="1"/>
  <c r="I314" i="5" a="1"/>
  <c r="I314" i="5" s="1"/>
  <c r="K314" i="5" a="1"/>
  <c r="K314" i="5" s="1"/>
  <c r="F314" i="5" a="1"/>
  <c r="F314" i="5" s="1"/>
  <c r="O314" i="5" a="1"/>
  <c r="O314" i="5" s="1"/>
  <c r="P314" i="5" a="1"/>
  <c r="P314" i="5" s="1"/>
  <c r="L314" i="5" a="1"/>
  <c r="L314" i="5" s="1"/>
  <c r="R314" i="5" a="1"/>
  <c r="R314" i="5" s="1"/>
  <c r="J314" i="5" a="1"/>
  <c r="J314" i="5" s="1"/>
  <c r="H83" i="8" s="1"/>
  <c r="G314" i="5" a="1"/>
  <c r="G314" i="5" s="1"/>
  <c r="M314" i="5" a="1"/>
  <c r="M314" i="5" s="1"/>
  <c r="N314" i="5" a="1"/>
  <c r="N314" i="5" s="1"/>
  <c r="L83" i="8" s="1"/>
  <c r="D314" i="5" a="1"/>
  <c r="D314" i="5" s="1"/>
  <c r="B83" i="8" s="1"/>
  <c r="C315" i="5"/>
  <c r="T315" i="5" l="1" a="1"/>
  <c r="T315" i="5" s="1"/>
  <c r="AG315" i="5" a="1"/>
  <c r="AG315" i="5" s="1"/>
  <c r="AF315" i="5" a="1"/>
  <c r="AF315" i="5" s="1"/>
  <c r="AE315" i="5" a="1"/>
  <c r="AE315" i="5" s="1"/>
  <c r="AD315" i="5" a="1"/>
  <c r="AD315" i="5" s="1"/>
  <c r="AC315" i="5" a="1"/>
  <c r="AC315" i="5" s="1"/>
  <c r="AB315" i="5" a="1"/>
  <c r="AB315" i="5" s="1"/>
  <c r="AA315" i="5" a="1"/>
  <c r="AA315" i="5" s="1"/>
  <c r="Z315" i="5" a="1"/>
  <c r="Z315" i="5" s="1"/>
  <c r="Y315" i="5" a="1"/>
  <c r="Y315" i="5" s="1"/>
  <c r="X315" i="5" a="1"/>
  <c r="X315" i="5" s="1"/>
  <c r="W315" i="5" a="1"/>
  <c r="W315" i="5" s="1"/>
  <c r="U315" i="5" a="1"/>
  <c r="U315" i="5" s="1"/>
  <c r="V315" i="5" a="1"/>
  <c r="V315" i="5" s="1"/>
  <c r="S315" i="5" a="1"/>
  <c r="S315" i="5" s="1"/>
  <c r="E315" i="5" a="1"/>
  <c r="E315" i="5" s="1"/>
  <c r="H315" i="5" a="1"/>
  <c r="H315" i="5" s="1"/>
  <c r="I315" i="5" a="1"/>
  <c r="I315" i="5" s="1"/>
  <c r="Q315" i="5" a="1"/>
  <c r="Q315" i="5" s="1"/>
  <c r="K315" i="5" a="1"/>
  <c r="K315" i="5" s="1"/>
  <c r="F315" i="5" a="1"/>
  <c r="F315" i="5" s="1"/>
  <c r="P315" i="5" a="1"/>
  <c r="P315" i="5" s="1"/>
  <c r="O315" i="5" a="1"/>
  <c r="O315" i="5" s="1"/>
  <c r="N315" i="5" a="1"/>
  <c r="N315" i="5" s="1"/>
  <c r="J315" i="5" a="1"/>
  <c r="J315" i="5" s="1"/>
  <c r="L315" i="5" a="1"/>
  <c r="L315" i="5" s="1"/>
  <c r="R315" i="5" a="1"/>
  <c r="R315" i="5" s="1"/>
  <c r="G315" i="5" a="1"/>
  <c r="G315" i="5" s="1"/>
  <c r="M315" i="5" a="1"/>
  <c r="M315" i="5" s="1"/>
  <c r="D315" i="5" a="1"/>
  <c r="D315" i="5" s="1"/>
  <c r="C316" i="5"/>
  <c r="T316" i="5" l="1" a="1"/>
  <c r="T316" i="5" s="1"/>
  <c r="AF316" i="5" a="1"/>
  <c r="AF316" i="5" s="1"/>
  <c r="AG316" i="5" a="1"/>
  <c r="AG316" i="5" s="1"/>
  <c r="AE316" i="5" a="1"/>
  <c r="AE316" i="5" s="1"/>
  <c r="AD316" i="5" a="1"/>
  <c r="AD316" i="5" s="1"/>
  <c r="AC316" i="5" a="1"/>
  <c r="AC316" i="5" s="1"/>
  <c r="AB316" i="5" a="1"/>
  <c r="AB316" i="5" s="1"/>
  <c r="AA316" i="5" a="1"/>
  <c r="AA316" i="5" s="1"/>
  <c r="X316" i="5" a="1"/>
  <c r="X316" i="5" s="1"/>
  <c r="W316" i="5" a="1"/>
  <c r="W316" i="5" s="1"/>
  <c r="Z316" i="5" a="1"/>
  <c r="Z316" i="5" s="1"/>
  <c r="Y316" i="5" a="1"/>
  <c r="Y316" i="5" s="1"/>
  <c r="U316" i="5" a="1"/>
  <c r="U316" i="5" s="1"/>
  <c r="V316" i="5" a="1"/>
  <c r="V316" i="5" s="1"/>
  <c r="S316" i="5" a="1"/>
  <c r="S316" i="5" s="1"/>
  <c r="E316" i="5" a="1"/>
  <c r="E316" i="5" s="1"/>
  <c r="H316" i="5" a="1"/>
  <c r="H316" i="5" s="1"/>
  <c r="Q316" i="5" a="1"/>
  <c r="Q316" i="5" s="1"/>
  <c r="I316" i="5" a="1"/>
  <c r="I316" i="5" s="1"/>
  <c r="K316" i="5" a="1"/>
  <c r="K316" i="5" s="1"/>
  <c r="F316" i="5" a="1"/>
  <c r="F316" i="5" s="1"/>
  <c r="O316" i="5" a="1"/>
  <c r="O316" i="5" s="1"/>
  <c r="R316" i="5" a="1"/>
  <c r="R316" i="5" s="1"/>
  <c r="N316" i="5" a="1"/>
  <c r="N316" i="5" s="1"/>
  <c r="P316" i="5" a="1"/>
  <c r="P316" i="5" s="1"/>
  <c r="J316" i="5" a="1"/>
  <c r="J316" i="5" s="1"/>
  <c r="M316" i="5" a="1"/>
  <c r="M316" i="5" s="1"/>
  <c r="L316" i="5" a="1"/>
  <c r="L316" i="5" s="1"/>
  <c r="G316" i="5" a="1"/>
  <c r="G316" i="5" s="1"/>
  <c r="D316" i="5" a="1"/>
  <c r="D316" i="5" s="1"/>
  <c r="C317" i="5"/>
  <c r="T317" i="5" l="1" a="1"/>
  <c r="T317" i="5" s="1"/>
  <c r="AG317" i="5" a="1"/>
  <c r="AG317" i="5" s="1"/>
  <c r="AF317" i="5" a="1"/>
  <c r="AF317" i="5" s="1"/>
  <c r="AE317" i="5" a="1"/>
  <c r="AE317" i="5" s="1"/>
  <c r="AD317" i="5" a="1"/>
  <c r="AD317" i="5" s="1"/>
  <c r="AC317" i="5" a="1"/>
  <c r="AC317" i="5" s="1"/>
  <c r="AB317" i="5" a="1"/>
  <c r="AB317" i="5" s="1"/>
  <c r="AA317" i="5" a="1"/>
  <c r="AA317" i="5" s="1"/>
  <c r="Z317" i="5" a="1"/>
  <c r="Z317" i="5" s="1"/>
  <c r="Y317" i="5" a="1"/>
  <c r="Y317" i="5" s="1"/>
  <c r="X317" i="5" a="1"/>
  <c r="X317" i="5" s="1"/>
  <c r="W317" i="5" a="1"/>
  <c r="W317" i="5" s="1"/>
  <c r="U317" i="5" a="1"/>
  <c r="U317" i="5" s="1"/>
  <c r="V317" i="5" a="1"/>
  <c r="V317" i="5" s="1"/>
  <c r="S317" i="5" a="1"/>
  <c r="S317" i="5" s="1"/>
  <c r="E317" i="5" a="1"/>
  <c r="E317" i="5" s="1"/>
  <c r="H317" i="5" a="1"/>
  <c r="H317" i="5" s="1"/>
  <c r="I317" i="5" a="1"/>
  <c r="I317" i="5" s="1"/>
  <c r="Q317" i="5" a="1"/>
  <c r="Q317" i="5" s="1"/>
  <c r="K317" i="5" a="1"/>
  <c r="K317" i="5" s="1"/>
  <c r="F317" i="5" a="1"/>
  <c r="F317" i="5" s="1"/>
  <c r="P317" i="5" a="1"/>
  <c r="P317" i="5" s="1"/>
  <c r="O317" i="5" a="1"/>
  <c r="O317" i="5" s="1"/>
  <c r="R317" i="5" a="1"/>
  <c r="R317" i="5" s="1"/>
  <c r="J317" i="5" a="1"/>
  <c r="J317" i="5" s="1"/>
  <c r="L317" i="5" a="1"/>
  <c r="L317" i="5" s="1"/>
  <c r="N317" i="5" a="1"/>
  <c r="N317" i="5" s="1"/>
  <c r="M317" i="5" a="1"/>
  <c r="M317" i="5" s="1"/>
  <c r="G317" i="5" a="1"/>
  <c r="G317" i="5" s="1"/>
  <c r="D317" i="5" a="1"/>
  <c r="D317" i="5" s="1"/>
  <c r="C318" i="5"/>
  <c r="R84" i="8" l="1"/>
  <c r="AE84" i="8"/>
  <c r="T318" i="5" a="1"/>
  <c r="T318" i="5" s="1"/>
  <c r="AG318" i="5" a="1"/>
  <c r="AG318" i="5" s="1"/>
  <c r="AF318" i="5" a="1"/>
  <c r="AF318" i="5" s="1"/>
  <c r="AD84" i="8" s="1"/>
  <c r="AE318" i="5" a="1"/>
  <c r="AE318" i="5" s="1"/>
  <c r="AD318" i="5" a="1"/>
  <c r="AD318" i="5" s="1"/>
  <c r="AC318" i="5" a="1"/>
  <c r="AC318" i="5" s="1"/>
  <c r="AB318" i="5" a="1"/>
  <c r="AB318" i="5" s="1"/>
  <c r="AA318" i="5" a="1"/>
  <c r="AA318" i="5" s="1"/>
  <c r="X318" i="5" a="1"/>
  <c r="X318" i="5" s="1"/>
  <c r="V84" i="8" s="1"/>
  <c r="W318" i="5" a="1"/>
  <c r="W318" i="5" s="1"/>
  <c r="Z318" i="5" a="1"/>
  <c r="Z318" i="5" s="1"/>
  <c r="Y318" i="5" a="1"/>
  <c r="Y318" i="5" s="1"/>
  <c r="W84" i="8" s="1"/>
  <c r="U318" i="5" a="1"/>
  <c r="U318" i="5" s="1"/>
  <c r="S84" i="8" s="1"/>
  <c r="V318" i="5" a="1"/>
  <c r="V318" i="5" s="1"/>
  <c r="T84" i="8" s="1"/>
  <c r="S318" i="5" a="1"/>
  <c r="S318" i="5" s="1"/>
  <c r="Q84" i="8" s="1"/>
  <c r="E318" i="5" a="1"/>
  <c r="E318" i="5" s="1"/>
  <c r="C6" i="5"/>
  <c r="H318" i="5" a="1"/>
  <c r="H318" i="5" s="1"/>
  <c r="Q318" i="5" a="1"/>
  <c r="Q318" i="5" s="1"/>
  <c r="K318" i="5" a="1"/>
  <c r="K318" i="5" s="1"/>
  <c r="I84" i="8" s="1"/>
  <c r="P318" i="5" a="1"/>
  <c r="P318" i="5" s="1"/>
  <c r="I318" i="5" a="1"/>
  <c r="I318" i="5" s="1"/>
  <c r="G84" i="8" s="1"/>
  <c r="O318" i="5" a="1"/>
  <c r="O318" i="5" s="1"/>
  <c r="M84" i="8" s="1"/>
  <c r="N318" i="5" a="1"/>
  <c r="N318" i="5" s="1"/>
  <c r="F318" i="5" a="1"/>
  <c r="F318" i="5" s="1"/>
  <c r="J318" i="5" a="1"/>
  <c r="J318" i="5" s="1"/>
  <c r="L318" i="5" a="1"/>
  <c r="L318" i="5" s="1"/>
  <c r="M318" i="5" a="1"/>
  <c r="M318" i="5" s="1"/>
  <c r="K84" i="8" s="1"/>
  <c r="G318" i="5" a="1"/>
  <c r="G318" i="5" s="1"/>
  <c r="E84" i="8" s="1"/>
  <c r="R318" i="5" a="1"/>
  <c r="R318" i="5" s="1"/>
  <c r="D318" i="5" a="1"/>
  <c r="D318" i="5" s="1"/>
  <c r="B84" i="8" s="1"/>
  <c r="R8" i="8" l="1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AA9" i="8"/>
  <c r="AA12" i="8"/>
  <c r="AA15" i="8"/>
  <c r="AA16" i="8"/>
  <c r="AA17" i="8"/>
  <c r="AA18" i="8"/>
  <c r="AA19" i="8"/>
  <c r="AA21" i="8"/>
  <c r="AA22" i="8"/>
  <c r="AA23" i="8"/>
  <c r="AA25" i="8"/>
  <c r="AA29" i="8"/>
  <c r="AA32" i="8"/>
  <c r="AA33" i="8"/>
  <c r="AA34" i="8"/>
  <c r="AA45" i="8"/>
  <c r="AA46" i="8"/>
  <c r="AA50" i="8"/>
  <c r="AA53" i="8"/>
  <c r="AA54" i="8"/>
  <c r="AA55" i="8"/>
  <c r="AA58" i="8"/>
  <c r="AA59" i="8"/>
  <c r="AA67" i="8"/>
  <c r="AA81" i="8"/>
  <c r="AA82" i="8"/>
  <c r="AA83" i="8"/>
  <c r="AB9" i="8"/>
  <c r="AB10" i="8"/>
  <c r="AB11" i="8"/>
  <c r="AB12" i="8"/>
  <c r="AB15" i="8"/>
  <c r="AB18" i="8"/>
  <c r="AB19" i="8"/>
  <c r="AB20" i="8"/>
  <c r="AB21" i="8"/>
  <c r="AB24" i="8"/>
  <c r="AB25" i="8"/>
  <c r="AB26" i="8"/>
  <c r="AB27" i="8"/>
  <c r="AB28" i="8"/>
  <c r="AB29" i="8"/>
  <c r="AB30" i="8"/>
  <c r="AB32" i="8"/>
  <c r="AB33" i="8"/>
  <c r="AB34" i="8"/>
  <c r="AB51" i="8"/>
  <c r="AB52" i="8"/>
  <c r="AB53" i="8"/>
  <c r="AB54" i="8"/>
  <c r="AB55" i="8"/>
  <c r="AB56" i="8"/>
  <c r="AB57" i="8"/>
  <c r="AB59" i="8"/>
  <c r="AB67" i="8"/>
  <c r="Z8" i="8"/>
  <c r="Z9" i="8"/>
  <c r="Z12" i="8"/>
  <c r="Z14" i="8"/>
  <c r="Z15" i="8"/>
  <c r="Z16" i="8"/>
  <c r="Z17" i="8"/>
  <c r="Z19" i="8"/>
  <c r="Z20" i="8"/>
  <c r="Z21" i="8"/>
  <c r="Z22" i="8"/>
  <c r="Z23" i="8"/>
  <c r="Z24" i="8"/>
  <c r="Z25" i="8"/>
  <c r="Z45" i="8"/>
  <c r="Z47" i="8"/>
  <c r="Z50" i="8"/>
  <c r="Z51" i="8"/>
  <c r="Z52" i="8"/>
  <c r="Z53" i="8"/>
  <c r="Z54" i="8"/>
  <c r="Z55" i="8"/>
  <c r="Z56" i="8"/>
  <c r="Z57" i="8"/>
  <c r="Z59" i="8"/>
  <c r="Z81" i="8"/>
  <c r="Z82" i="8"/>
  <c r="Z83" i="8"/>
  <c r="Z84" i="8"/>
  <c r="T6" i="5" a="1"/>
  <c r="T6" i="5" s="1"/>
  <c r="R6" i="8" s="1"/>
  <c r="AF6" i="5" a="1"/>
  <c r="AF6" i="5" s="1"/>
  <c r="AD6" i="8" s="1"/>
  <c r="AG6" i="5" a="1"/>
  <c r="AG6" i="5" s="1"/>
  <c r="AE6" i="8" s="1"/>
  <c r="AE6" i="5" a="1"/>
  <c r="AE6" i="5" s="1"/>
  <c r="AC6" i="8" s="1"/>
  <c r="AD6" i="5" a="1"/>
  <c r="AD6" i="5" s="1"/>
  <c r="AB6" i="8" s="1"/>
  <c r="AA6" i="5" a="1"/>
  <c r="AA6" i="5" s="1"/>
  <c r="Y6" i="8" s="1"/>
  <c r="AC6" i="5" a="1"/>
  <c r="AC6" i="5" s="1"/>
  <c r="AA6" i="8" s="1"/>
  <c r="AB6" i="5" a="1"/>
  <c r="AB6" i="5" s="1"/>
  <c r="Z6" i="8" s="1"/>
  <c r="Z6" i="5" a="1"/>
  <c r="Z6" i="5" s="1"/>
  <c r="X6" i="8" s="1"/>
  <c r="Y6" i="5" a="1"/>
  <c r="Y6" i="5" s="1"/>
  <c r="W6" i="8" s="1"/>
  <c r="X6" i="5" a="1"/>
  <c r="X6" i="5" s="1"/>
  <c r="V6" i="8" s="1"/>
  <c r="W6" i="5" a="1"/>
  <c r="W6" i="5" s="1"/>
  <c r="U6" i="8" s="1"/>
  <c r="W8" i="8"/>
  <c r="W9" i="8"/>
  <c r="W10" i="8"/>
  <c r="W11" i="8"/>
  <c r="W12" i="8"/>
  <c r="W13" i="8"/>
  <c r="W14" i="8"/>
  <c r="W15" i="8"/>
  <c r="W16" i="8"/>
  <c r="W17" i="8"/>
  <c r="W19" i="8"/>
  <c r="W20" i="8"/>
  <c r="W21" i="8"/>
  <c r="W22" i="8"/>
  <c r="W24" i="8"/>
  <c r="W25" i="8"/>
  <c r="W26" i="8"/>
  <c r="W27" i="8"/>
  <c r="W28" i="8"/>
  <c r="W29" i="8"/>
  <c r="W30" i="8"/>
  <c r="W32" i="8"/>
  <c r="W33" i="8"/>
  <c r="W34" i="8"/>
  <c r="W60" i="8"/>
  <c r="W81" i="8"/>
  <c r="W82" i="8"/>
  <c r="W83" i="8"/>
  <c r="AC9" i="8"/>
  <c r="AC10" i="8"/>
  <c r="AC11" i="8"/>
  <c r="AC12" i="8"/>
  <c r="AC14" i="8"/>
  <c r="AC15" i="8"/>
  <c r="AC16" i="8"/>
  <c r="AC18" i="8"/>
  <c r="AC19" i="8"/>
  <c r="AC20" i="8"/>
  <c r="AC22" i="8"/>
  <c r="AC23" i="8"/>
  <c r="AC29" i="8"/>
  <c r="AC30" i="8"/>
  <c r="AC49" i="8"/>
  <c r="AC50" i="8"/>
  <c r="AC52" i="8"/>
  <c r="AC53" i="8"/>
  <c r="AC54" i="8"/>
  <c r="AC55" i="8"/>
  <c r="AC57" i="8"/>
  <c r="AC58" i="8"/>
  <c r="AC59" i="8"/>
  <c r="X8" i="8"/>
  <c r="X9" i="8"/>
  <c r="X10" i="8"/>
  <c r="X11" i="8"/>
  <c r="X12" i="8"/>
  <c r="X13" i="8"/>
  <c r="X14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2" i="8"/>
  <c r="X33" i="8"/>
  <c r="X34" i="8"/>
  <c r="X49" i="8"/>
  <c r="X50" i="8"/>
  <c r="X51" i="8"/>
  <c r="X52" i="8"/>
  <c r="X54" i="8"/>
  <c r="X55" i="8"/>
  <c r="X59" i="8"/>
  <c r="X60" i="8"/>
  <c r="AD8" i="8"/>
  <c r="AD9" i="8"/>
  <c r="AD10" i="8"/>
  <c r="AD11" i="8"/>
  <c r="AD12" i="8"/>
  <c r="AD13" i="8"/>
  <c r="AD14" i="8"/>
  <c r="AD15" i="8"/>
  <c r="AD16" i="8"/>
  <c r="AD17" i="8"/>
  <c r="AD18" i="8"/>
  <c r="AD19" i="8"/>
  <c r="AD20" i="8"/>
  <c r="AD21" i="8"/>
  <c r="AD22" i="8"/>
  <c r="AD23" i="8"/>
  <c r="AD24" i="8"/>
  <c r="AD25" i="8"/>
  <c r="AD26" i="8"/>
  <c r="AD27" i="8"/>
  <c r="AD49" i="8"/>
  <c r="AD50" i="8"/>
  <c r="AD51" i="8"/>
  <c r="AD52" i="8"/>
  <c r="AD53" i="8"/>
  <c r="AD54" i="8"/>
  <c r="AD55" i="8"/>
  <c r="AD57" i="8"/>
  <c r="AD60" i="8"/>
  <c r="AD81" i="8"/>
  <c r="AC84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67" i="8"/>
  <c r="U83" i="8"/>
  <c r="AE9" i="8"/>
  <c r="AE12" i="8"/>
  <c r="AE19" i="8"/>
  <c r="AE28" i="8"/>
  <c r="AE29" i="8"/>
  <c r="AE30" i="8"/>
  <c r="AE32" i="8"/>
  <c r="AE33" i="8"/>
  <c r="AE34" i="8"/>
  <c r="AE49" i="8"/>
  <c r="AE51" i="8"/>
  <c r="AE52" i="8"/>
  <c r="AE53" i="8"/>
  <c r="AE54" i="8"/>
  <c r="AE55" i="8"/>
  <c r="AE57" i="8"/>
  <c r="AE60" i="8"/>
  <c r="AE82" i="8"/>
  <c r="AE83" i="8"/>
  <c r="U84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2" i="8"/>
  <c r="V33" i="8"/>
  <c r="V34" i="8"/>
  <c r="V60" i="8"/>
  <c r="V81" i="8"/>
  <c r="V82" i="8"/>
  <c r="V83" i="8"/>
  <c r="AB84" i="8"/>
  <c r="Y8" i="8"/>
  <c r="Y9" i="8"/>
  <c r="Y10" i="8"/>
  <c r="Y11" i="8"/>
  <c r="Y13" i="8"/>
  <c r="Y14" i="8"/>
  <c r="Y15" i="8"/>
  <c r="Y17" i="8"/>
  <c r="Y19" i="8"/>
  <c r="Y23" i="8"/>
  <c r="Y26" i="8"/>
  <c r="Y27" i="8"/>
  <c r="Y28" i="8"/>
  <c r="Y29" i="8"/>
  <c r="Y30" i="8"/>
  <c r="Y31" i="8"/>
  <c r="Y32" i="8"/>
  <c r="Y33" i="8"/>
  <c r="Y34" i="8"/>
  <c r="Y35" i="8"/>
  <c r="Y36" i="8"/>
  <c r="Y37" i="8"/>
  <c r="Y38" i="8"/>
  <c r="Y39" i="8"/>
  <c r="Y40" i="8"/>
  <c r="Y41" i="8"/>
  <c r="Y42" i="8"/>
  <c r="Y43" i="8"/>
  <c r="Y44" i="8"/>
  <c r="Y45" i="8"/>
  <c r="Y46" i="8"/>
  <c r="Y47" i="8"/>
  <c r="Y48" i="8"/>
  <c r="Y49" i="8"/>
  <c r="Y50" i="8"/>
  <c r="Y51" i="8"/>
  <c r="Y52" i="8"/>
  <c r="Y57" i="8"/>
  <c r="Y59" i="8"/>
  <c r="Y61" i="8"/>
  <c r="Y62" i="8"/>
  <c r="Y63" i="8"/>
  <c r="Y64" i="8"/>
  <c r="Y65" i="8"/>
  <c r="Y66" i="8"/>
  <c r="Y67" i="8"/>
  <c r="Y68" i="8"/>
  <c r="Y69" i="8"/>
  <c r="Y70" i="8"/>
  <c r="Y71" i="8"/>
  <c r="Y72" i="8"/>
  <c r="Y73" i="8"/>
  <c r="Y74" i="8"/>
  <c r="Y75" i="8"/>
  <c r="Y76" i="8"/>
  <c r="Y77" i="8"/>
  <c r="Y78" i="8"/>
  <c r="Y79" i="8"/>
  <c r="Y80" i="8"/>
  <c r="Y81" i="8"/>
  <c r="Y82" i="8"/>
  <c r="Y83" i="8"/>
  <c r="Y84" i="8"/>
  <c r="X84" i="8"/>
  <c r="AA84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61" i="8"/>
  <c r="T64" i="8"/>
  <c r="T65" i="8"/>
  <c r="T66" i="8"/>
  <c r="T68" i="8"/>
  <c r="T73" i="8"/>
  <c r="T82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60" i="8"/>
  <c r="S61" i="8"/>
  <c r="S62" i="8"/>
  <c r="S63" i="8"/>
  <c r="S65" i="8"/>
  <c r="S67" i="8"/>
  <c r="S73" i="8"/>
  <c r="S75" i="8"/>
  <c r="U6" i="5" a="1"/>
  <c r="U6" i="5" s="1"/>
  <c r="S6" i="8" s="1"/>
  <c r="S6" i="5" a="1"/>
  <c r="S6" i="5" s="1"/>
  <c r="Q6" i="8" s="1"/>
  <c r="V6" i="5" a="1"/>
  <c r="V6" i="5" s="1"/>
  <c r="T6" i="8" s="1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8" i="8"/>
  <c r="Q50" i="8"/>
  <c r="Q51" i="8"/>
  <c r="Q52" i="8"/>
  <c r="Q53" i="8"/>
  <c r="Q66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60" i="8"/>
  <c r="B61" i="8"/>
  <c r="B62" i="8"/>
  <c r="B63" i="8"/>
  <c r="B64" i="8"/>
  <c r="B65" i="8"/>
  <c r="B66" i="8"/>
  <c r="B6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8" i="8"/>
  <c r="J39" i="8"/>
  <c r="J40" i="8"/>
  <c r="J41" i="8"/>
  <c r="J42" i="8"/>
  <c r="J43" i="8"/>
  <c r="J46" i="8"/>
  <c r="J49" i="8"/>
  <c r="J50" i="8"/>
  <c r="J51" i="8"/>
  <c r="J52" i="8"/>
  <c r="J54" i="8"/>
  <c r="J55" i="8"/>
  <c r="J56" i="8"/>
  <c r="J57" i="8"/>
  <c r="J58" i="8"/>
  <c r="J60" i="8"/>
  <c r="J61" i="8"/>
  <c r="J62" i="8"/>
  <c r="J63" i="8"/>
  <c r="J64" i="8"/>
  <c r="J65" i="8"/>
  <c r="J66" i="8"/>
  <c r="J68" i="8"/>
  <c r="J69" i="8"/>
  <c r="J71" i="8"/>
  <c r="J73" i="8"/>
  <c r="J74" i="8"/>
  <c r="J76" i="8"/>
  <c r="J78" i="8"/>
  <c r="J79" i="8"/>
  <c r="J80" i="8"/>
  <c r="J81" i="8"/>
  <c r="J82" i="8"/>
  <c r="J83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6" i="8"/>
  <c r="H40" i="8"/>
  <c r="H41" i="8"/>
  <c r="H42" i="8"/>
  <c r="H43" i="8"/>
  <c r="H44" i="8"/>
  <c r="H45" i="8"/>
  <c r="H46" i="8"/>
  <c r="H47" i="8"/>
  <c r="H49" i="8"/>
  <c r="H50" i="8"/>
  <c r="H51" i="8"/>
  <c r="H53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4" i="8"/>
  <c r="H75" i="8"/>
  <c r="H76" i="8"/>
  <c r="H77" i="8"/>
  <c r="H79" i="8"/>
  <c r="H80" i="8"/>
  <c r="H84" i="8"/>
  <c r="F8" i="8"/>
  <c r="F9" i="8"/>
  <c r="F11" i="8"/>
  <c r="F13" i="8"/>
  <c r="F14" i="8"/>
  <c r="F15" i="8"/>
  <c r="F16" i="8"/>
  <c r="F17" i="8"/>
  <c r="F18" i="8"/>
  <c r="F19" i="8"/>
  <c r="F20" i="8"/>
  <c r="F21" i="8"/>
  <c r="F22" i="8"/>
  <c r="F23" i="8"/>
  <c r="F24" i="8"/>
  <c r="F26" i="8"/>
  <c r="F27" i="8"/>
  <c r="F28" i="8"/>
  <c r="F29" i="8"/>
  <c r="F30" i="8"/>
  <c r="F31" i="8"/>
  <c r="F32" i="8"/>
  <c r="F33" i="8"/>
  <c r="F34" i="8"/>
  <c r="F37" i="8"/>
  <c r="F38" i="8"/>
  <c r="F39" i="8"/>
  <c r="F40" i="8"/>
  <c r="F41" i="8"/>
  <c r="F42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E5" i="11" s="1"/>
  <c r="F59" i="8"/>
  <c r="F60" i="8"/>
  <c r="F61" i="8"/>
  <c r="F62" i="8"/>
  <c r="F63" i="8"/>
  <c r="F64" i="8"/>
  <c r="F65" i="8"/>
  <c r="F66" i="8"/>
  <c r="F67" i="8"/>
  <c r="F68" i="8"/>
  <c r="F76" i="8"/>
  <c r="F77" i="8"/>
  <c r="F78" i="8"/>
  <c r="F79" i="8"/>
  <c r="F80" i="8"/>
  <c r="F81" i="8"/>
  <c r="F82" i="8"/>
  <c r="F83" i="8"/>
  <c r="D8" i="8"/>
  <c r="D9" i="8"/>
  <c r="D10" i="8"/>
  <c r="D11" i="8"/>
  <c r="D12" i="8"/>
  <c r="D13" i="8"/>
  <c r="D14" i="8"/>
  <c r="D15" i="8"/>
  <c r="D16" i="8"/>
  <c r="D18" i="8"/>
  <c r="D19" i="8"/>
  <c r="D20" i="8"/>
  <c r="D21" i="8"/>
  <c r="D22" i="8"/>
  <c r="D23" i="8"/>
  <c r="D24" i="8"/>
  <c r="D25" i="8"/>
  <c r="D27" i="8"/>
  <c r="D28" i="8"/>
  <c r="D29" i="8"/>
  <c r="D30" i="8"/>
  <c r="D31" i="8"/>
  <c r="D32" i="8"/>
  <c r="D33" i="8"/>
  <c r="D34" i="8"/>
  <c r="D35" i="8"/>
  <c r="D36" i="8"/>
  <c r="D38" i="8"/>
  <c r="D39" i="8"/>
  <c r="D40" i="8"/>
  <c r="D41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2" i="8"/>
  <c r="D73" i="8"/>
  <c r="D74" i="8"/>
  <c r="D75" i="8"/>
  <c r="D76" i="8"/>
  <c r="D77" i="8"/>
  <c r="D78" i="8"/>
  <c r="D79" i="8"/>
  <c r="D80" i="8"/>
  <c r="D81" i="8"/>
  <c r="D82" i="8"/>
  <c r="D83" i="8"/>
  <c r="O8" i="8"/>
  <c r="O9" i="8"/>
  <c r="O11" i="8"/>
  <c r="O12" i="8"/>
  <c r="O17" i="8"/>
  <c r="O18" i="8"/>
  <c r="O19" i="8"/>
  <c r="O20" i="8"/>
  <c r="O25" i="8"/>
  <c r="O28" i="8"/>
  <c r="O29" i="8"/>
  <c r="O31" i="8"/>
  <c r="O32" i="8"/>
  <c r="O33" i="8"/>
  <c r="O34" i="8"/>
  <c r="O35" i="8"/>
  <c r="O36" i="8"/>
  <c r="O42" i="8"/>
  <c r="O43" i="8"/>
  <c r="O44" i="8"/>
  <c r="O45" i="8"/>
  <c r="O46" i="8"/>
  <c r="O47" i="8"/>
  <c r="O48" i="8"/>
  <c r="O49" i="8"/>
  <c r="O50" i="8"/>
  <c r="O51" i="8"/>
  <c r="O53" i="8"/>
  <c r="O54" i="8"/>
  <c r="O55" i="8"/>
  <c r="O57" i="8"/>
  <c r="O58" i="8"/>
  <c r="O59" i="8"/>
  <c r="O63" i="8"/>
  <c r="O67" i="8"/>
  <c r="O68" i="8"/>
  <c r="O69" i="8"/>
  <c r="O70" i="8"/>
  <c r="O71" i="8"/>
  <c r="O72" i="8"/>
  <c r="O74" i="8"/>
  <c r="O75" i="8"/>
  <c r="O76" i="8"/>
  <c r="O77" i="8"/>
  <c r="O78" i="8"/>
  <c r="O81" i="8"/>
  <c r="O82" i="8"/>
  <c r="O83" i="8"/>
  <c r="L9" i="8"/>
  <c r="L10" i="8"/>
  <c r="L11" i="8"/>
  <c r="L12" i="8"/>
  <c r="L13" i="8"/>
  <c r="L14" i="8"/>
  <c r="L15" i="8"/>
  <c r="L16" i="8"/>
  <c r="L17" i="8"/>
  <c r="L18" i="8"/>
  <c r="L19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41" i="8"/>
  <c r="L43" i="8"/>
  <c r="L44" i="8"/>
  <c r="L45" i="8"/>
  <c r="L46" i="8"/>
  <c r="L47" i="8"/>
  <c r="L52" i="8"/>
  <c r="L55" i="8"/>
  <c r="L56" i="8"/>
  <c r="L57" i="8"/>
  <c r="L58" i="8"/>
  <c r="L59" i="8"/>
  <c r="L61" i="8"/>
  <c r="L62" i="8"/>
  <c r="L63" i="8"/>
  <c r="L66" i="8"/>
  <c r="L67" i="8"/>
  <c r="L68" i="8"/>
  <c r="L69" i="8"/>
  <c r="L71" i="8"/>
  <c r="L75" i="8"/>
  <c r="L77" i="8"/>
  <c r="L78" i="8"/>
  <c r="L79" i="8"/>
  <c r="L80" i="8"/>
  <c r="L81" i="8"/>
  <c r="L82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7" i="8"/>
  <c r="C38" i="8"/>
  <c r="C39" i="8"/>
  <c r="C40" i="8"/>
  <c r="C41" i="8"/>
  <c r="C42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8" i="8"/>
  <c r="B5" i="11" s="1"/>
  <c r="C60" i="8"/>
  <c r="C61" i="8"/>
  <c r="C62" i="8"/>
  <c r="C63" i="8"/>
  <c r="C64" i="8"/>
  <c r="C65" i="8"/>
  <c r="C66" i="8"/>
  <c r="C67" i="8"/>
  <c r="C68" i="8"/>
  <c r="C69" i="8"/>
  <c r="C74" i="8"/>
  <c r="C84" i="8"/>
  <c r="O84" i="8"/>
  <c r="M8" i="8"/>
  <c r="M9" i="8"/>
  <c r="M10" i="8"/>
  <c r="M11" i="8"/>
  <c r="M13" i="8"/>
  <c r="M14" i="8"/>
  <c r="M15" i="8"/>
  <c r="M16" i="8"/>
  <c r="M18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6" i="8"/>
  <c r="M57" i="8"/>
  <c r="M58" i="8"/>
  <c r="M59" i="8"/>
  <c r="M60" i="8"/>
  <c r="M61" i="8"/>
  <c r="M62" i="8"/>
  <c r="M64" i="8"/>
  <c r="M65" i="8"/>
  <c r="M66" i="8"/>
  <c r="M67" i="8"/>
  <c r="M68" i="8"/>
  <c r="M69" i="8"/>
  <c r="M73" i="8"/>
  <c r="M74" i="8"/>
  <c r="M75" i="8"/>
  <c r="M77" i="8"/>
  <c r="M78" i="8"/>
  <c r="M79" i="8"/>
  <c r="M80" i="8"/>
  <c r="M81" i="8"/>
  <c r="M82" i="8"/>
  <c r="M83" i="8"/>
  <c r="J84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7" i="8"/>
  <c r="P38" i="8"/>
  <c r="P39" i="8"/>
  <c r="P41" i="8"/>
  <c r="P42" i="8"/>
  <c r="P43" i="8"/>
  <c r="P46" i="8"/>
  <c r="P47" i="8"/>
  <c r="P48" i="8"/>
  <c r="P49" i="8"/>
  <c r="P50" i="8"/>
  <c r="P52" i="8"/>
  <c r="P53" i="8"/>
  <c r="P54" i="8"/>
  <c r="P56" i="8"/>
  <c r="P58" i="8"/>
  <c r="O5" i="11" s="1"/>
  <c r="P59" i="8"/>
  <c r="P60" i="8"/>
  <c r="P61" i="8"/>
  <c r="P64" i="8"/>
  <c r="P65" i="8"/>
  <c r="P68" i="8"/>
  <c r="P69" i="8"/>
  <c r="P71" i="8"/>
  <c r="P72" i="8"/>
  <c r="P76" i="8"/>
  <c r="P78" i="8"/>
  <c r="P79" i="8"/>
  <c r="P80" i="8"/>
  <c r="P83" i="8"/>
  <c r="G8" i="8"/>
  <c r="G9" i="8"/>
  <c r="G10" i="8"/>
  <c r="G12" i="8"/>
  <c r="G13" i="8"/>
  <c r="G14" i="8"/>
  <c r="G15" i="8"/>
  <c r="G17" i="8"/>
  <c r="G19" i="8"/>
  <c r="G21" i="8"/>
  <c r="G22" i="8"/>
  <c r="G23" i="8"/>
  <c r="G26" i="8"/>
  <c r="G27" i="8"/>
  <c r="G28" i="8"/>
  <c r="G29" i="8"/>
  <c r="G30" i="8"/>
  <c r="G31" i="8"/>
  <c r="G32" i="8"/>
  <c r="G33" i="8"/>
  <c r="G37" i="8"/>
  <c r="G39" i="8"/>
  <c r="G40" i="8"/>
  <c r="G42" i="8"/>
  <c r="G44" i="8"/>
  <c r="G46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70" i="8"/>
  <c r="G77" i="8"/>
  <c r="G81" i="8"/>
  <c r="G82" i="8"/>
  <c r="G83" i="8"/>
  <c r="P84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2" i="8"/>
  <c r="E63" i="8"/>
  <c r="E64" i="8"/>
  <c r="E65" i="8"/>
  <c r="E66" i="8"/>
  <c r="E67" i="8"/>
  <c r="E71" i="8"/>
  <c r="E72" i="8"/>
  <c r="E73" i="8"/>
  <c r="E76" i="8"/>
  <c r="E78" i="8"/>
  <c r="E79" i="8"/>
  <c r="E80" i="8"/>
  <c r="E82" i="8"/>
  <c r="E83" i="8"/>
  <c r="N8" i="8"/>
  <c r="N9" i="8"/>
  <c r="N10" i="8"/>
  <c r="N11" i="8"/>
  <c r="N12" i="8"/>
  <c r="N14" i="8"/>
  <c r="N15" i="8"/>
  <c r="N16" i="8"/>
  <c r="N17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9" i="8"/>
  <c r="N40" i="8"/>
  <c r="N41" i="8"/>
  <c r="N42" i="8"/>
  <c r="N45" i="8"/>
  <c r="N46" i="8"/>
  <c r="N47" i="8"/>
  <c r="N48" i="8"/>
  <c r="N49" i="8"/>
  <c r="N50" i="8"/>
  <c r="N51" i="8"/>
  <c r="N52" i="8"/>
  <c r="N53" i="8"/>
  <c r="N54" i="8"/>
  <c r="N55" i="8"/>
  <c r="N56" i="8"/>
  <c r="N60" i="8"/>
  <c r="N61" i="8"/>
  <c r="N62" i="8"/>
  <c r="N63" i="8"/>
  <c r="N64" i="8"/>
  <c r="N65" i="8"/>
  <c r="N66" i="8"/>
  <c r="N67" i="8"/>
  <c r="N68" i="8"/>
  <c r="N69" i="8"/>
  <c r="N70" i="8"/>
  <c r="N72" i="8"/>
  <c r="N73" i="8"/>
  <c r="N74" i="8"/>
  <c r="N75" i="8"/>
  <c r="N76" i="8"/>
  <c r="N77" i="8"/>
  <c r="N78" i="8"/>
  <c r="N79" i="8"/>
  <c r="N80" i="8"/>
  <c r="N81" i="8"/>
  <c r="N82" i="8"/>
  <c r="N83" i="8"/>
  <c r="L84" i="8"/>
  <c r="D84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7" i="8"/>
  <c r="K38" i="8"/>
  <c r="K39" i="8"/>
  <c r="K40" i="8"/>
  <c r="K41" i="8"/>
  <c r="K42" i="8"/>
  <c r="K43" i="8"/>
  <c r="K45" i="8"/>
  <c r="K47" i="8"/>
  <c r="K48" i="8"/>
  <c r="K49" i="8"/>
  <c r="K51" i="8"/>
  <c r="K52" i="8"/>
  <c r="K53" i="8"/>
  <c r="K54" i="8"/>
  <c r="K55" i="8"/>
  <c r="K57" i="8"/>
  <c r="J5" i="11" s="1"/>
  <c r="K59" i="8"/>
  <c r="K61" i="8"/>
  <c r="K63" i="8"/>
  <c r="K64" i="8"/>
  <c r="K66" i="8"/>
  <c r="K67" i="8"/>
  <c r="K68" i="8"/>
  <c r="K69" i="8"/>
  <c r="K70" i="8"/>
  <c r="K71" i="8"/>
  <c r="K73" i="8"/>
  <c r="K74" i="8"/>
  <c r="K75" i="8"/>
  <c r="K76" i="8"/>
  <c r="K77" i="8"/>
  <c r="K78" i="8"/>
  <c r="K79" i="8"/>
  <c r="K80" i="8"/>
  <c r="K81" i="8"/>
  <c r="K83" i="8"/>
  <c r="I8" i="8"/>
  <c r="I9" i="8"/>
  <c r="I10" i="8"/>
  <c r="I11" i="8"/>
  <c r="I12" i="8"/>
  <c r="I13" i="8"/>
  <c r="I14" i="8"/>
  <c r="I15" i="8"/>
  <c r="I16" i="8"/>
  <c r="I17" i="8"/>
  <c r="I18" i="8"/>
  <c r="I20" i="8"/>
  <c r="I21" i="8"/>
  <c r="I22" i="8"/>
  <c r="I23" i="8"/>
  <c r="I24" i="8"/>
  <c r="I26" i="8"/>
  <c r="I27" i="8"/>
  <c r="I28" i="8"/>
  <c r="I30" i="8"/>
  <c r="I31" i="8"/>
  <c r="I32" i="8"/>
  <c r="I33" i="8"/>
  <c r="I34" i="8"/>
  <c r="I36" i="8"/>
  <c r="I37" i="8"/>
  <c r="I40" i="8"/>
  <c r="I41" i="8"/>
  <c r="I44" i="8"/>
  <c r="I45" i="8"/>
  <c r="I46" i="8"/>
  <c r="I47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3" i="8"/>
  <c r="I75" i="8"/>
  <c r="I77" i="8"/>
  <c r="I78" i="8"/>
  <c r="I79" i="8"/>
  <c r="I80" i="8"/>
  <c r="I81" i="8"/>
  <c r="I82" i="8"/>
  <c r="I83" i="8"/>
  <c r="F84" i="8"/>
  <c r="N84" i="8"/>
  <c r="E6" i="5" a="1"/>
  <c r="E6" i="5" s="1"/>
  <c r="C6" i="8" s="1"/>
  <c r="D6" i="5" a="1"/>
  <c r="D6" i="5" s="1"/>
  <c r="B6" i="8" s="1"/>
  <c r="H6" i="5" a="1"/>
  <c r="H6" i="5" s="1"/>
  <c r="F6" i="8" s="1"/>
  <c r="Q6" i="5" a="1"/>
  <c r="Q6" i="5" s="1"/>
  <c r="O6" i="8" s="1"/>
  <c r="I6" i="5" a="1"/>
  <c r="I6" i="5" s="1"/>
  <c r="G6" i="8" s="1"/>
  <c r="K6" i="5" a="1"/>
  <c r="K6" i="5" s="1"/>
  <c r="I6" i="8" s="1"/>
  <c r="O6" i="5" a="1"/>
  <c r="O6" i="5" s="1"/>
  <c r="M6" i="8" s="1"/>
  <c r="F6" i="5" a="1"/>
  <c r="F6" i="5" s="1"/>
  <c r="D6" i="8" s="1"/>
  <c r="R6" i="5" a="1"/>
  <c r="R6" i="5" s="1"/>
  <c r="P6" i="8" s="1"/>
  <c r="P6" i="5" a="1"/>
  <c r="P6" i="5" s="1"/>
  <c r="N6" i="8" s="1"/>
  <c r="L6" i="5" a="1"/>
  <c r="L6" i="5" s="1"/>
  <c r="J6" i="8" s="1"/>
  <c r="N6" i="5" a="1"/>
  <c r="N6" i="5" s="1"/>
  <c r="L6" i="8" s="1"/>
  <c r="J6" i="5" a="1"/>
  <c r="J6" i="5" s="1"/>
  <c r="H6" i="8" s="1"/>
  <c r="M6" i="5" a="1"/>
  <c r="M6" i="5" s="1"/>
  <c r="K6" i="8" s="1"/>
  <c r="G6" i="5" a="1"/>
  <c r="G6" i="5" s="1"/>
  <c r="E6" i="8" s="1"/>
  <c r="I5" i="11" l="1"/>
  <c r="C5" i="11"/>
  <c r="G5" i="11"/>
  <c r="H5" i="11"/>
  <c r="F5" i="11"/>
  <c r="D5" i="11"/>
  <c r="L5" i="11"/>
  <c r="K5" i="11"/>
  <c r="N5" i="11"/>
  <c r="BW130" i="11" l="1"/>
  <c r="BQ130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<sst xmlns="http://schemas.openxmlformats.org/spreadsheetml/2006/main" count="1815" uniqueCount="1046">
  <si>
    <t>Location</t>
  </si>
  <si>
    <t>Indicator</t>
  </si>
  <si>
    <t>Scenario</t>
  </si>
  <si>
    <t>Units</t>
  </si>
  <si>
    <t>Scale</t>
  </si>
  <si>
    <t>Measurement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</si>
  <si>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</si>
  <si>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</si>
  <si>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</si>
  <si>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</si>
  <si>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</si>
  <si>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</si>
  <si>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</si>
  <si>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</si>
  <si>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</si>
  <si>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</si>
  <si>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</si>
  <si>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</si>
  <si>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</si>
  <si>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</si>
  <si>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</si>
  <si>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</si>
  <si>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</si>
  <si>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</si>
  <si>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</si>
  <si>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</si>
  <si>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</si>
  <si>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</si>
  <si>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</si>
  <si>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</si>
  <si>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</si>
  <si>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</si>
  <si>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</si>
  <si>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</si>
  <si>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</si>
  <si>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</si>
  <si>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</si>
  <si>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</si>
  <si>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</si>
  <si>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</si>
  <si>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</si>
  <si>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</si>
  <si>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</si>
  <si>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</si>
  <si>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</si>
  <si>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</si>
  <si>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</si>
  <si>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</si>
  <si>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</si>
  <si>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</si>
  <si>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</si>
  <si>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</si>
  <si>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</si>
  <si>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</si>
  <si>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</si>
  <si>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</si>
  <si>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</si>
  <si>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</si>
  <si>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</si>
  <si>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</si>
  <si>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</si>
  <si>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</si>
  <si>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</si>
  <si>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</si>
  <si>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</si>
  <si>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</si>
  <si>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</si>
  <si>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</si>
  <si>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</si>
  <si>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</si>
  <si>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</si>
  <si>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</si>
  <si>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</si>
  <si>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</si>
  <si>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</si>
  <si>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</si>
  <si>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</si>
  <si>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</si>
  <si>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</si>
  <si>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</si>
  <si>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</si>
  <si>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</si>
  <si>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</si>
  <si>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</si>
  <si>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</si>
  <si>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</si>
  <si>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</si>
  <si>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</si>
  <si>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</si>
  <si>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</si>
  <si>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</si>
  <si>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</si>
  <si>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</si>
  <si>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</si>
  <si>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</si>
  <si>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</si>
  <si>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</si>
  <si>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</si>
  <si>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</si>
  <si>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</si>
  <si>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</si>
  <si>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</si>
  <si>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</si>
  <si>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</si>
  <si>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</si>
  <si>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</si>
  <si>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</si>
  <si>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</si>
  <si>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</si>
  <si>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</si>
  <si>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</si>
  <si>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</si>
  <si>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</si>
  <si>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</si>
  <si>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</si>
  <si>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</si>
  <si>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</si>
  <si>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</si>
  <si>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</si>
  <si>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</si>
  <si>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</si>
  <si>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</si>
  <si>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</si>
  <si>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</si>
  <si>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</si>
  <si>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</si>
  <si>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</si>
  <si>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</si>
  <si>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</si>
  <si>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</si>
  <si>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</si>
  <si>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</si>
  <si>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</si>
  <si>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</si>
  <si>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</si>
  <si>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</si>
  <si>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</si>
  <si>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</si>
  <si>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</si>
  <si>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</si>
  <si>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</si>
  <si>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</si>
  <si>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</si>
  <si>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</si>
  <si>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</si>
  <si>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</si>
  <si>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</si>
  <si>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</si>
  <si>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</si>
  <si>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</si>
  <si>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</si>
  <si>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</si>
  <si>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</si>
  <si>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</si>
  <si>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</si>
  <si>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</si>
  <si>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</si>
  <si>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</si>
  <si>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</si>
  <si>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</si>
  <si>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</si>
  <si>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</si>
  <si>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</si>
  <si>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</si>
  <si>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</si>
  <si>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</si>
  <si>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</si>
  <si>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</si>
  <si>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</si>
  <si>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</si>
  <si>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</si>
  <si>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</si>
  <si>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</si>
  <si>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</si>
  <si>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</si>
  <si>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</si>
  <si>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</si>
  <si>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</si>
  <si>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</si>
  <si>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</si>
  <si>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</si>
  <si>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</si>
  <si>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</si>
  <si>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</si>
  <si>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</si>
  <si>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</si>
  <si>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</si>
  <si>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</si>
  <si>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</si>
  <si>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</si>
  <si>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</si>
  <si>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</si>
  <si>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</si>
  <si>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</si>
  <si>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</si>
  <si>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</si>
  <si>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</si>
  <si>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</si>
  <si>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</si>
  <si>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</si>
  <si>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</si>
  <si>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</si>
  <si>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</si>
  <si>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</si>
  <si>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</si>
  <si>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</si>
  <si>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</si>
  <si>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</si>
  <si>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</si>
  <si>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</si>
  <si>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</si>
  <si>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</si>
  <si>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</si>
  <si>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</si>
  <si>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</si>
  <si>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</si>
  <si>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</si>
  <si>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</si>
  <si>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</si>
  <si>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</si>
  <si>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</si>
  <si>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</si>
  <si>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</si>
  <si>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</si>
  <si>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</si>
  <si>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</si>
  <si>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</si>
  <si>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</si>
  <si>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</si>
  <si>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</si>
  <si>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</si>
  <si>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</si>
  <si>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</si>
  <si>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</si>
  <si>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</si>
  <si>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</si>
  <si>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</si>
  <si>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</si>
  <si>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</si>
  <si>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</si>
  <si>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</si>
  <si>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</si>
  <si>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</si>
  <si>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</si>
  <si>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</si>
  <si>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</si>
  <si>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</si>
  <si>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</si>
  <si>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</si>
  <si>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</si>
  <si>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</si>
  <si>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</si>
  <si>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</si>
  <si>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</si>
  <si>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</si>
  <si>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</si>
  <si>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</si>
  <si>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</si>
  <si>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</si>
  <si>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</si>
  <si>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</si>
  <si>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</si>
  <si>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</si>
  <si>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</si>
  <si>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</si>
  <si>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</si>
  <si>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</si>
  <si>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</si>
  <si>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</si>
  <si>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</si>
  <si>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</si>
  <si>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</si>
  <si>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</si>
  <si>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</si>
  <si>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</si>
  <si>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</si>
  <si>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</si>
  <si>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</si>
  <si>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</si>
  <si>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</si>
  <si>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</si>
  <si>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</si>
  <si>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</si>
  <si>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</si>
  <si>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</si>
  <si>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</si>
  <si>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</si>
  <si>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</si>
  <si>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</si>
  <si>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</si>
  <si>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</si>
  <si>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</si>
  <si>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</si>
  <si>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</si>
  <si>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</si>
  <si>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</si>
  <si>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</si>
  <si>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</si>
  <si>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</si>
  <si>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</si>
  <si>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</si>
  <si>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</si>
  <si>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</si>
  <si>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</si>
  <si>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</si>
  <si>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</si>
  <si>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</si>
  <si>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</si>
  <si>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</si>
  <si>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</si>
  <si>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</si>
  <si>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</si>
  <si>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</si>
  <si>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</si>
  <si>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</si>
  <si>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</si>
  <si>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</si>
  <si>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</si>
  <si>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Source</t>
  </si>
  <si>
    <t>Seasonally adjusted</t>
  </si>
  <si>
    <t>Base year price</t>
  </si>
  <si>
    <t>Base year index</t>
  </si>
  <si>
    <t>Historical end year</t>
  </si>
  <si>
    <t>Historical end quarter</t>
  </si>
  <si>
    <t>Date of last update</t>
  </si>
  <si>
    <t>Source details</t>
  </si>
  <si>
    <t>Additional source details</t>
  </si>
  <si>
    <t>Location code</t>
  </si>
  <si>
    <t>Indicator code</t>
  </si>
  <si>
    <t>Databank code</t>
  </si>
  <si>
    <t>United Kingdom</t>
  </si>
  <si>
    <t>GDP, real, LCU</t>
  </si>
  <si>
    <t>Pound</t>
  </si>
  <si>
    <t>Millions</t>
  </si>
  <si>
    <t>Level</t>
  </si>
  <si>
    <t>Office for National Statistics\Haver Analytics</t>
  </si>
  <si>
    <t>chained 2019</t>
  </si>
  <si>
    <t>NA</t>
  </si>
  <si>
    <t>ABMIQ@UK</t>
  </si>
  <si>
    <t>U.K.: Real Gross Domestic Product (SA, Mil.Chn.2019.GBP)</t>
  </si>
  <si>
    <t>GBR</t>
  </si>
  <si>
    <t>GDP</t>
  </si>
  <si>
    <t>Consumer price index</t>
  </si>
  <si>
    <t>Index</t>
  </si>
  <si>
    <t>D7BT@UK</t>
  </si>
  <si>
    <t xml:space="preserve">UK: Consumer Price Index: All Items (NSA, 2015=100) </t>
  </si>
  <si>
    <t>CPI</t>
  </si>
  <si>
    <t>UK</t>
  </si>
  <si>
    <t>L</t>
  </si>
  <si>
    <t>JAN011B</t>
  </si>
  <si>
    <t>JAN011B.db</t>
  </si>
  <si>
    <t>JAN024B</t>
  </si>
  <si>
    <t>JAN024B.db</t>
  </si>
  <si>
    <t>FEB006C</t>
  </si>
  <si>
    <t>FEB006C.db</t>
  </si>
  <si>
    <t>FEB019C</t>
  </si>
  <si>
    <t>FEB019C.db</t>
  </si>
  <si>
    <t>MAR011D</t>
  </si>
  <si>
    <t>MAR011D.db</t>
  </si>
  <si>
    <t>MAR020B</t>
  </si>
  <si>
    <t>MAR020B.db</t>
  </si>
  <si>
    <t>APR009C</t>
  </si>
  <si>
    <t>APR009C.db</t>
  </si>
  <si>
    <t>APR023B</t>
  </si>
  <si>
    <t>APR023B.db</t>
  </si>
  <si>
    <t>MAY007C</t>
  </si>
  <si>
    <t>MAY007C.db</t>
  </si>
  <si>
    <t>MAY017C</t>
  </si>
  <si>
    <t>MAY017C.db</t>
  </si>
  <si>
    <t>JUN011A</t>
  </si>
  <si>
    <t>JUN011A.db</t>
  </si>
  <si>
    <t>JUN018H</t>
  </si>
  <si>
    <t>JUN018H.db</t>
  </si>
  <si>
    <t>JUL010A</t>
  </si>
  <si>
    <t>JUL010A.db</t>
  </si>
  <si>
    <t>JUL024D</t>
  </si>
  <si>
    <t>JUL024D.db</t>
  </si>
  <si>
    <t>AUG008C</t>
  </si>
  <si>
    <t>AUG008C.db</t>
  </si>
  <si>
    <t>GDP forecasts vs consensus</t>
  </si>
  <si>
    <t>OE</t>
  </si>
  <si>
    <t>Consensus</t>
  </si>
  <si>
    <t>GDP - OE vs consensus</t>
  </si>
  <si>
    <t>Q1 2023</t>
  </si>
  <si>
    <t>Q2 2023</t>
  </si>
  <si>
    <t>Q1 2024</t>
  </si>
  <si>
    <t>Q3 2023</t>
  </si>
  <si>
    <t>Q4 2023</t>
  </si>
  <si>
    <t>Q2 2024</t>
  </si>
  <si>
    <t>Q3 2024</t>
  </si>
  <si>
    <t>Q4 2024</t>
  </si>
  <si>
    <t>Q1 2025</t>
  </si>
  <si>
    <t>Q2 2025</t>
  </si>
  <si>
    <t>Q3 2025</t>
  </si>
  <si>
    <t>Q4 2025</t>
  </si>
  <si>
    <t>HMT survey - https://assets.publishing.service.gov.uk/media/66c4ce002e8f04b086cdf4f7/Forecasts_for_the_UK_economy_August_2024.pdf</t>
  </si>
  <si>
    <t>AUG019C</t>
  </si>
  <si>
    <t>AUG019C.db</t>
  </si>
  <si>
    <t>Average Weekly Earnings (total pay)</t>
  </si>
  <si>
    <t>Pound per Employee</t>
  </si>
  <si>
    <t>KAB9@UK</t>
  </si>
  <si>
    <t>GB: AWE, Total Pay: Whole Economy (SA, GBP)</t>
  </si>
  <si>
    <t>WAGEWKLY</t>
  </si>
  <si>
    <t>Real wages</t>
  </si>
  <si>
    <t>Average weekly earnings</t>
  </si>
  <si>
    <t>CPI inflation</t>
  </si>
  <si>
    <t>ZERO LINE</t>
  </si>
  <si>
    <t>Food component of CPI</t>
  </si>
  <si>
    <t>Office for National Statistics / Haver Analytics</t>
  </si>
  <si>
    <t>DK9O@UK</t>
  </si>
  <si>
    <t>UK: CPI: Food, Alcoholic Beverages &amp; Tobacco (NSA, 2015=100)</t>
  </si>
  <si>
    <t>CPIFD</t>
  </si>
  <si>
    <t>Fuel component of CPI</t>
  </si>
  <si>
    <t>D7EC@UK</t>
  </si>
  <si>
    <t xml:space="preserve">UK: Consumer Price Index: Transport Equipment: Fuels &amp; Lubricants(NSA, 2015=100)  </t>
  </si>
  <si>
    <t>CPIFU</t>
  </si>
  <si>
    <t>Energy Component of CPI</t>
  </si>
  <si>
    <t>D7CH@UK</t>
  </si>
  <si>
    <t>UK: Consumer Price Index: Housing: Electricity, Gas &amp; Other Fuels(NSA, 2015=100)</t>
  </si>
  <si>
    <t>CPIEN</t>
  </si>
  <si>
    <t>CPI ex Energy, Food, Alcoholic Beverages &amp; Tobacco (core CPI)</t>
  </si>
  <si>
    <t>DKC6@UK</t>
  </si>
  <si>
    <t>UK: CPI: All Items ex Energy, Food, Alcoholic Beverages &amp; Tobacco(NSA, 2015=100)</t>
  </si>
  <si>
    <t>CPICORE</t>
  </si>
  <si>
    <t>CONTRIBUTIONS TO CPI INFLATION &gt;&gt;</t>
  </si>
  <si>
    <t>Unchained indices</t>
  </si>
  <si>
    <t>Rescaled indices</t>
  </si>
  <si>
    <t>Price-updated item weights</t>
  </si>
  <si>
    <t>Food</t>
  </si>
  <si>
    <t>Petrol</t>
  </si>
  <si>
    <t>Energy</t>
  </si>
  <si>
    <t>Other</t>
  </si>
  <si>
    <t>A9EW@UK</t>
  </si>
  <si>
    <t>CJXR@UK</t>
  </si>
  <si>
    <t>CJVF@UK</t>
  </si>
  <si>
    <t>20001 !Q</t>
  </si>
  <si>
    <t>20001</t>
  </si>
  <si>
    <t>.DTLM</t>
  </si>
  <si>
    <t>.LSOURCE</t>
  </si>
  <si>
    <t>.TN</t>
  </si>
  <si>
    <t>.T1</t>
  </si>
  <si>
    <t>.DESC</t>
  </si>
  <si>
    <t>Mar-14-2024 15:16</t>
  </si>
  <si>
    <t>Office for National Statistics</t>
  </si>
  <si>
    <t>Q4-2024 &lt;- Dec-2024</t>
  </si>
  <si>
    <t>Q1-1996 &lt;- Jan-1996</t>
  </si>
  <si>
    <t>UK: CPI Weight: Food, Alcoholic Beverages &amp; Tobacco (Parts per 1000)</t>
  </si>
  <si>
    <t>Mar-11-2024 10:27</t>
  </si>
  <si>
    <t>Q1-1988 &lt;- Jan-1988</t>
  </si>
  <si>
    <t>UK: CPI Weight: Transport Equipment: Fuels &amp; Lubricants (Parts per 1000)</t>
  </si>
  <si>
    <t>UK: CPI Weight: Housing: Electricity, Gas &amp; Other Fuels (Parts per 1000)</t>
  </si>
  <si>
    <t>20002</t>
  </si>
  <si>
    <t>20003</t>
  </si>
  <si>
    <t>20004</t>
  </si>
  <si>
    <t>20011</t>
  </si>
  <si>
    <t>20012</t>
  </si>
  <si>
    <t>20013</t>
  </si>
  <si>
    <t>20014</t>
  </si>
  <si>
    <t>20021</t>
  </si>
  <si>
    <t>20022</t>
  </si>
  <si>
    <t>20023</t>
  </si>
  <si>
    <t>20024</t>
  </si>
  <si>
    <t>20031</t>
  </si>
  <si>
    <t>20032</t>
  </si>
  <si>
    <t>20033</t>
  </si>
  <si>
    <t>20034</t>
  </si>
  <si>
    <t>20041</t>
  </si>
  <si>
    <t>20042</t>
  </si>
  <si>
    <t>20043</t>
  </si>
  <si>
    <t>20044</t>
  </si>
  <si>
    <t>20051</t>
  </si>
  <si>
    <t>20052</t>
  </si>
  <si>
    <t>20053</t>
  </si>
  <si>
    <t>20054</t>
  </si>
  <si>
    <t>20061</t>
  </si>
  <si>
    <t>20062</t>
  </si>
  <si>
    <t>20063</t>
  </si>
  <si>
    <t>20064</t>
  </si>
  <si>
    <t>20071</t>
  </si>
  <si>
    <t>20072</t>
  </si>
  <si>
    <t>20073</t>
  </si>
  <si>
    <t>20074</t>
  </si>
  <si>
    <t>20081</t>
  </si>
  <si>
    <t>20082</t>
  </si>
  <si>
    <t>20083</t>
  </si>
  <si>
    <t>20084</t>
  </si>
  <si>
    <t>20091</t>
  </si>
  <si>
    <t>20092</t>
  </si>
  <si>
    <t>20093</t>
  </si>
  <si>
    <t>20094</t>
  </si>
  <si>
    <t>20101</t>
  </si>
  <si>
    <t>20102</t>
  </si>
  <si>
    <t>20103</t>
  </si>
  <si>
    <t>20104</t>
  </si>
  <si>
    <t>20111</t>
  </si>
  <si>
    <t>20112</t>
  </si>
  <si>
    <t>20113</t>
  </si>
  <si>
    <t>20114</t>
  </si>
  <si>
    <t>20121</t>
  </si>
  <si>
    <t>20122</t>
  </si>
  <si>
    <t>20123</t>
  </si>
  <si>
    <t>20124</t>
  </si>
  <si>
    <t>20131</t>
  </si>
  <si>
    <t>20132</t>
  </si>
  <si>
    <t>20133</t>
  </si>
  <si>
    <t>20134</t>
  </si>
  <si>
    <t>20141</t>
  </si>
  <si>
    <t>20142</t>
  </si>
  <si>
    <t>20143</t>
  </si>
  <si>
    <t>20144</t>
  </si>
  <si>
    <t>20151</t>
  </si>
  <si>
    <t>20152</t>
  </si>
  <si>
    <t>20153</t>
  </si>
  <si>
    <t>20154</t>
  </si>
  <si>
    <t>20161</t>
  </si>
  <si>
    <t>20162</t>
  </si>
  <si>
    <t>20163</t>
  </si>
  <si>
    <t>20164</t>
  </si>
  <si>
    <t>20171</t>
  </si>
  <si>
    <t>20172</t>
  </si>
  <si>
    <t>20173</t>
  </si>
  <si>
    <t>20174</t>
  </si>
  <si>
    <t>20181</t>
  </si>
  <si>
    <t>20182</t>
  </si>
  <si>
    <t>20183</t>
  </si>
  <si>
    <t>20184</t>
  </si>
  <si>
    <t>20191</t>
  </si>
  <si>
    <t>20192</t>
  </si>
  <si>
    <t>20193</t>
  </si>
  <si>
    <t>20194</t>
  </si>
  <si>
    <t>20201</t>
  </si>
  <si>
    <t>20202</t>
  </si>
  <si>
    <t>20203</t>
  </si>
  <si>
    <t>20204</t>
  </si>
  <si>
    <t>20211</t>
  </si>
  <si>
    <t>20212</t>
  </si>
  <si>
    <t>20213</t>
  </si>
  <si>
    <t>20214</t>
  </si>
  <si>
    <t>20221</t>
  </si>
  <si>
    <t>20222</t>
  </si>
  <si>
    <t>20223</t>
  </si>
  <si>
    <t>20224</t>
  </si>
  <si>
    <t>20231</t>
  </si>
  <si>
    <t>20232</t>
  </si>
  <si>
    <t>20233</t>
  </si>
  <si>
    <t>20234</t>
  </si>
  <si>
    <t>20241</t>
  </si>
  <si>
    <t>20242</t>
  </si>
  <si>
    <t>20243</t>
  </si>
  <si>
    <t>20244</t>
  </si>
  <si>
    <t>Contributions to CPI inflation</t>
  </si>
  <si>
    <t>CPI check</t>
  </si>
  <si>
    <t>2% TARGET</t>
  </si>
  <si>
    <t>C cont to GDP</t>
  </si>
  <si>
    <t>C</t>
  </si>
  <si>
    <t>Consumption, private, real, LCU</t>
  </si>
  <si>
    <t>ABJRQ@UK</t>
  </si>
  <si>
    <t>U.K.: Household Final Consumption Expenditure (SA, Mil.Chn.2019.GBP)</t>
  </si>
  <si>
    <t>Cont</t>
  </si>
  <si>
    <t>Growth</t>
  </si>
  <si>
    <t>Investment, total fixed investment, real, LCU</t>
  </si>
  <si>
    <t>NPQTQ@UK</t>
  </si>
  <si>
    <t>U.K.: Gross Fixed Capital Formation (SA, Mil.Chn.2019.GBP)</t>
  </si>
  <si>
    <t>IF</t>
  </si>
  <si>
    <t>Consumption, government, real, LCU</t>
  </si>
  <si>
    <t>NMRYQ@UK</t>
  </si>
  <si>
    <t>U.K.: General Govt Final Consumption Expenditure (SA, Mil.Chn.2019.GBP)</t>
  </si>
  <si>
    <t>GC</t>
  </si>
  <si>
    <t>Exports, goods &amp; services, real, LCU</t>
  </si>
  <si>
    <t>IKBKQ@UK</t>
  </si>
  <si>
    <t>U.K.: Exports of Goods &amp; Services (SA, Mil.Chn.2019.Pounds)</t>
  </si>
  <si>
    <t>X</t>
  </si>
  <si>
    <t>Imports, goods &amp; services, real, LCU</t>
  </si>
  <si>
    <t>IKBLQ@UK</t>
  </si>
  <si>
    <t>U.K.: Imports of Goods &amp; Services (SA, Mil.Chn.2019.Pounds)</t>
  </si>
  <si>
    <t>M</t>
  </si>
  <si>
    <t>NX</t>
  </si>
  <si>
    <t>Oth</t>
  </si>
  <si>
    <t>H1 2024</t>
  </si>
  <si>
    <t>H2 2024 &amp; 2025</t>
  </si>
  <si>
    <t>Quoted mortgage rates</t>
  </si>
  <si>
    <t>Margins</t>
  </si>
  <si>
    <t>Diff vs expiring deal</t>
  </si>
  <si>
    <t>2 year fix, 75% LTV</t>
  </si>
  <si>
    <t>5 year fix, 75% LTV</t>
  </si>
  <si>
    <t>2yr</t>
  </si>
  <si>
    <t>5yr</t>
  </si>
  <si>
    <t>2 year swap</t>
  </si>
  <si>
    <t>5 year swap</t>
  </si>
  <si>
    <t>UNBV34@UK</t>
  </si>
  <si>
    <t>UNBV42@UK</t>
  </si>
  <si>
    <t>M112IHH@INTDAILY</t>
  </si>
  <si>
    <t>M112I5Y@INTDAILY</t>
  </si>
  <si>
    <t>199001 !M</t>
  </si>
  <si>
    <t>199001</t>
  </si>
  <si>
    <t>Aug-07-2024 09:35</t>
  </si>
  <si>
    <t>Bank of England</t>
  </si>
  <si>
    <t>Jul-2024</t>
  </si>
  <si>
    <t>Jan-1995</t>
  </si>
  <si>
    <t>UK: Mortgages: Fixed Rates: MFIS ex Central Bank: 2-Year 75% LTV (AVG, %)</t>
  </si>
  <si>
    <t>UK: Mortgages: Fixed Rates: MFIS ex Central Bank: 5-Year 75% LTV (AVG, %)</t>
  </si>
  <si>
    <t>Tullett Prebon Information/Haver Analytics</t>
  </si>
  <si>
    <t>Aug-2014 &lt;- 26-Aug-2014</t>
  </si>
  <si>
    <t>UK: 24 Month Overnight Index Swap[Ann,Act/365]v SONIA:Mid Rate[2PM ET](%p.a)</t>
  </si>
  <si>
    <t>UK: 5 Year Overnight Index Swap[Ann,Act/365]v SONIA:Mid Rate[2PM ET](%p.a)</t>
  </si>
  <si>
    <t>199002</t>
  </si>
  <si>
    <t>199003</t>
  </si>
  <si>
    <t>199004</t>
  </si>
  <si>
    <t>199005</t>
  </si>
  <si>
    <t>199006</t>
  </si>
  <si>
    <t>199007</t>
  </si>
  <si>
    <t>199008</t>
  </si>
  <si>
    <t>199009</t>
  </si>
  <si>
    <t>199010</t>
  </si>
  <si>
    <t>199011</t>
  </si>
  <si>
    <t>199012</t>
  </si>
  <si>
    <t>199101</t>
  </si>
  <si>
    <t>199102</t>
  </si>
  <si>
    <t>199103</t>
  </si>
  <si>
    <t>199104</t>
  </si>
  <si>
    <t>199105</t>
  </si>
  <si>
    <t>199106</t>
  </si>
  <si>
    <t>199107</t>
  </si>
  <si>
    <t>199108</t>
  </si>
  <si>
    <t>199109</t>
  </si>
  <si>
    <t>199110</t>
  </si>
  <si>
    <t>199111</t>
  </si>
  <si>
    <t>199112</t>
  </si>
  <si>
    <t>199201</t>
  </si>
  <si>
    <t>199202</t>
  </si>
  <si>
    <t>199203</t>
  </si>
  <si>
    <t>199204</t>
  </si>
  <si>
    <t>199205</t>
  </si>
  <si>
    <t>199206</t>
  </si>
  <si>
    <t>199207</t>
  </si>
  <si>
    <t>199208</t>
  </si>
  <si>
    <t>199209</t>
  </si>
  <si>
    <t>199210</t>
  </si>
  <si>
    <t>199211</t>
  </si>
  <si>
    <t>199212</t>
  </si>
  <si>
    <t>199301</t>
  </si>
  <si>
    <t>199302</t>
  </si>
  <si>
    <t>199303</t>
  </si>
  <si>
    <t>199304</t>
  </si>
  <si>
    <t>199305</t>
  </si>
  <si>
    <t>199306</t>
  </si>
  <si>
    <t>199307</t>
  </si>
  <si>
    <t>199308</t>
  </si>
  <si>
    <t>199309</t>
  </si>
  <si>
    <t>199310</t>
  </si>
  <si>
    <t>199311</t>
  </si>
  <si>
    <t>199312</t>
  </si>
  <si>
    <t>199401</t>
  </si>
  <si>
    <t>199402</t>
  </si>
  <si>
    <t>199403</t>
  </si>
  <si>
    <t>199404</t>
  </si>
  <si>
    <t>199405</t>
  </si>
  <si>
    <t>199406</t>
  </si>
  <si>
    <t>199407</t>
  </si>
  <si>
    <t>199408</t>
  </si>
  <si>
    <t>199409</t>
  </si>
  <si>
    <t>199410</t>
  </si>
  <si>
    <t>199411</t>
  </si>
  <si>
    <t>199412</t>
  </si>
  <si>
    <t>199501</t>
  </si>
  <si>
    <t>199502</t>
  </si>
  <si>
    <t>199503</t>
  </si>
  <si>
    <t>199504</t>
  </si>
  <si>
    <t>199505</t>
  </si>
  <si>
    <t>199506</t>
  </si>
  <si>
    <t>199507</t>
  </si>
  <si>
    <t>199508</t>
  </si>
  <si>
    <t>199509</t>
  </si>
  <si>
    <t>199510</t>
  </si>
  <si>
    <t>199511</t>
  </si>
  <si>
    <t>199512</t>
  </si>
  <si>
    <t>199601</t>
  </si>
  <si>
    <t>199602</t>
  </si>
  <si>
    <t>199603</t>
  </si>
  <si>
    <t>199604</t>
  </si>
  <si>
    <t>199605</t>
  </si>
  <si>
    <t>199606</t>
  </si>
  <si>
    <t>199607</t>
  </si>
  <si>
    <t>199608</t>
  </si>
  <si>
    <t>199609</t>
  </si>
  <si>
    <t>199610</t>
  </si>
  <si>
    <t>199611</t>
  </si>
  <si>
    <t>199612</t>
  </si>
  <si>
    <t>199701</t>
  </si>
  <si>
    <t>199702</t>
  </si>
  <si>
    <t>199703</t>
  </si>
  <si>
    <t>199704</t>
  </si>
  <si>
    <t>199705</t>
  </si>
  <si>
    <t>199706</t>
  </si>
  <si>
    <t>199707</t>
  </si>
  <si>
    <t>199708</t>
  </si>
  <si>
    <t>199709</t>
  </si>
  <si>
    <t>199710</t>
  </si>
  <si>
    <t>199711</t>
  </si>
  <si>
    <t>199712</t>
  </si>
  <si>
    <t>199801</t>
  </si>
  <si>
    <t>199802</t>
  </si>
  <si>
    <t>199803</t>
  </si>
  <si>
    <t>199804</t>
  </si>
  <si>
    <t>199805</t>
  </si>
  <si>
    <t>199806</t>
  </si>
  <si>
    <t>199807</t>
  </si>
  <si>
    <t>199808</t>
  </si>
  <si>
    <t>199809</t>
  </si>
  <si>
    <t>199810</t>
  </si>
  <si>
    <t>199811</t>
  </si>
  <si>
    <t>199812</t>
  </si>
  <si>
    <t>199901</t>
  </si>
  <si>
    <t>199902</t>
  </si>
  <si>
    <t>199903</t>
  </si>
  <si>
    <t>199904</t>
  </si>
  <si>
    <t>199905</t>
  </si>
  <si>
    <t>199906</t>
  </si>
  <si>
    <t>199907</t>
  </si>
  <si>
    <t>199908</t>
  </si>
  <si>
    <t>199909</t>
  </si>
  <si>
    <t>199910</t>
  </si>
  <si>
    <t>199911</t>
  </si>
  <si>
    <t>199912</t>
  </si>
  <si>
    <t>200001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</si>
  <si>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</si>
  <si>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</si>
  <si>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</si>
  <si>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</si>
  <si>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</si>
  <si>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</si>
  <si>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</si>
  <si>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</si>
  <si>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</si>
  <si>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</si>
  <si>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</si>
  <si>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200101</t>
  </si>
  <si>
    <t>200102</t>
  </si>
  <si>
    <t>200103</t>
  </si>
  <si>
    <t>200104</t>
  </si>
  <si>
    <t>200105</t>
  </si>
  <si>
    <t>200106</t>
  </si>
  <si>
    <t>200107</t>
  </si>
  <si>
    <t>200108</t>
  </si>
  <si>
    <t>200109</t>
  </si>
  <si>
    <t>200110</t>
  </si>
  <si>
    <t>200111</t>
  </si>
  <si>
    <t>200112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</si>
  <si>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</si>
  <si>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</si>
  <si>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</si>
  <si>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</si>
  <si>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</si>
  <si>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</si>
  <si>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</si>
  <si>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</si>
  <si>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</si>
  <si>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</si>
  <si>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200211</t>
  </si>
  <si>
    <t>200212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</si>
  <si>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</si>
  <si>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</si>
  <si>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</si>
  <si>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</si>
  <si>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</si>
  <si>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</si>
  <si>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</si>
  <si>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</si>
  <si>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200309</t>
  </si>
  <si>
    <t>200310</t>
  </si>
  <si>
    <t>200311</t>
  </si>
  <si>
    <t>200312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</si>
  <si>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</si>
  <si>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</si>
  <si>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</si>
  <si>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</si>
  <si>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</si>
  <si>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</si>
  <si>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</si>
  <si>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</si>
  <si>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</si>
  <si>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</si>
  <si>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200411</t>
  </si>
  <si>
    <t>200412</t>
  </si>
  <si>
    <t>200501</t>
  </si>
  <si>
    <t>200502</t>
  </si>
  <si>
    <t>200503</t>
  </si>
  <si>
    <t>200504</t>
  </si>
  <si>
    <t>200505</t>
  </si>
  <si>
    <t>200506</t>
  </si>
  <si>
    <t>200507</t>
  </si>
  <si>
    <t>200508</t>
  </si>
  <si>
    <t>200509</t>
  </si>
  <si>
    <t>200510</t>
  </si>
  <si>
    <t>200511</t>
  </si>
  <si>
    <t>200512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</si>
  <si>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</si>
  <si>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</si>
  <si>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</si>
  <si>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</si>
  <si>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</si>
  <si>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</si>
  <si>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</si>
  <si>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</si>
  <si>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</si>
  <si>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</si>
  <si>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</si>
  <si>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</si>
  <si>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200701</t>
  </si>
  <si>
    <t>200702</t>
  </si>
  <si>
    <t>200703</t>
  </si>
  <si>
    <t>200704</t>
  </si>
  <si>
    <t>200705</t>
  </si>
  <si>
    <t>200706</t>
  </si>
  <si>
    <t>200707</t>
  </si>
  <si>
    <t>200708</t>
  </si>
  <si>
    <t>200709</t>
  </si>
  <si>
    <t>200710</t>
  </si>
  <si>
    <t>200711</t>
  </si>
  <si>
    <t>200712</t>
  </si>
  <si>
    <t>200801</t>
  </si>
  <si>
    <t>200802</t>
  </si>
  <si>
    <t>200803</t>
  </si>
  <si>
    <t>200804</t>
  </si>
  <si>
    <t>200805</t>
  </si>
  <si>
    <t>200806</t>
  </si>
  <si>
    <t>200807</t>
  </si>
  <si>
    <t>200808</t>
  </si>
  <si>
    <t>200809</t>
  </si>
  <si>
    <t>200810</t>
  </si>
  <si>
    <t>200811</t>
  </si>
  <si>
    <t>200812</t>
  </si>
  <si>
    <t>200901</t>
  </si>
  <si>
    <t>200902</t>
  </si>
  <si>
    <t>200903</t>
  </si>
  <si>
    <t>200904</t>
  </si>
  <si>
    <t>200905</t>
  </si>
  <si>
    <t>200906</t>
  </si>
  <si>
    <t>200907</t>
  </si>
  <si>
    <t>200908</t>
  </si>
  <si>
    <t>200909</t>
  </si>
  <si>
    <t>200910</t>
  </si>
  <si>
    <t>200911</t>
  </si>
  <si>
    <t>200912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</si>
  <si>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</si>
  <si>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</si>
  <si>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</si>
  <si>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</si>
  <si>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</si>
  <si>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</si>
  <si>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</si>
  <si>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</si>
  <si>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</si>
  <si>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</si>
  <si>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</si>
  <si>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</si>
  <si>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</si>
  <si>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</si>
  <si>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</si>
  <si>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</si>
  <si>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</si>
  <si>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</si>
  <si>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</si>
  <si>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</si>
  <si>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</si>
  <si>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</si>
  <si>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</si>
  <si>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</si>
  <si>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</si>
  <si>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</si>
  <si>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</si>
  <si>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</si>
  <si>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</si>
  <si>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</si>
  <si>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</si>
  <si>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</si>
  <si>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</si>
  <si>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</si>
  <si>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</si>
  <si>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</si>
  <si>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</si>
  <si>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</si>
  <si>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</si>
  <si>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</si>
  <si>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</si>
  <si>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</si>
  <si>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</si>
  <si>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</si>
  <si>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</si>
  <si>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</si>
  <si>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</si>
  <si>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</si>
  <si>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</si>
  <si>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</si>
  <si>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</si>
  <si>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</si>
  <si>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</si>
  <si>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</si>
  <si>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</si>
  <si>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</si>
  <si>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</si>
  <si>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</si>
  <si>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</si>
  <si>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</si>
  <si>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</si>
  <si>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</si>
  <si>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</si>
  <si>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</si>
  <si>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</si>
  <si>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</si>
  <si>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</si>
  <si>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</si>
  <si>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</si>
  <si>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</si>
  <si>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</si>
  <si>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</si>
  <si>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</si>
  <si>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</si>
  <si>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</si>
  <si>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</si>
  <si>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</si>
  <si>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</si>
  <si>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</si>
  <si>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</si>
  <si>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</si>
  <si>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</si>
  <si>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</si>
  <si>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</si>
  <si>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</si>
  <si>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</si>
  <si>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</si>
  <si>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</si>
  <si>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</si>
  <si>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</si>
  <si>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</si>
  <si>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</si>
  <si>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</si>
  <si>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</si>
  <si>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</si>
  <si>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</si>
  <si>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</si>
  <si>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</si>
  <si>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</si>
  <si>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</si>
  <si>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</si>
  <si>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</si>
  <si>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</si>
  <si>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</si>
  <si>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</si>
  <si>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</si>
  <si>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</si>
  <si>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</si>
  <si>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</si>
  <si>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</si>
  <si>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</si>
  <si>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</si>
  <si>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</si>
  <si>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</si>
  <si>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</si>
  <si>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</si>
  <si>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</si>
  <si>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</si>
  <si>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</si>
  <si>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</si>
  <si>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</si>
  <si>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</si>
  <si>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</si>
  <si>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</si>
  <si>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</si>
  <si>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</si>
  <si>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</si>
  <si>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</si>
  <si>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</si>
  <si>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</si>
  <si>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</si>
  <si>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</si>
  <si>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</si>
  <si>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</si>
  <si>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</si>
  <si>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</si>
  <si>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</si>
  <si>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</si>
  <si>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</si>
  <si>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</si>
  <si>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</si>
  <si>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</si>
  <si>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</si>
  <si>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</si>
  <si>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</si>
  <si>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</si>
  <si>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</si>
  <si>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</si>
  <si>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</si>
  <si>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</si>
  <si>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</si>
  <si>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</si>
  <si>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</si>
  <si>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</si>
  <si>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</si>
  <si>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</si>
  <si>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</si>
  <si>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</si>
  <si>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</si>
  <si>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</si>
  <si>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</si>
  <si>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</si>
  <si>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</si>
  <si>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</si>
  <si>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</si>
  <si>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</si>
  <si>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</si>
  <si>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</si>
  <si>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</si>
  <si>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</si>
  <si>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</si>
  <si>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</si>
  <si>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</si>
  <si>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</si>
  <si>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</si>
  <si>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Interest Rate Swap, risk-free reference rate, 2yr</t>
  </si>
  <si>
    <t>%</t>
  </si>
  <si>
    <t>Tullett Prebon Information/Datastream/Haver Analytics</t>
  </si>
  <si>
    <t>M112IHH@INTDAILY, spliced with OIGBP2Y</t>
  </si>
  <si>
    <t>RSWAP2YR_RFR</t>
  </si>
  <si>
    <t>Interest Rate Swap, risk-free reference rate, 5yr</t>
  </si>
  <si>
    <t>RSWAP5YR_RFR</t>
  </si>
  <si>
    <t>UNHSDC@UK</t>
  </si>
  <si>
    <t>UNHSDE@UK</t>
  </si>
  <si>
    <t>R112RD@INTDAILY</t>
  </si>
  <si>
    <t>Jan-1953 &lt;- 01-Jan-1953</t>
  </si>
  <si>
    <t>United Kingdom: Official Bank Rate (%)</t>
  </si>
  <si>
    <t>Jan-1999</t>
  </si>
  <si>
    <t>UK: Banks Weighted Average Interest Rate, Other Loans to Nonfin Corps (%)</t>
  </si>
  <si>
    <t>UK: Banks Weighted Avg Interest Rate, HH Loans Secured on Dwellings (%)</t>
  </si>
  <si>
    <t>Non-financial corporations</t>
  </si>
  <si>
    <t>Secured household</t>
  </si>
  <si>
    <t>Change in interest rates</t>
  </si>
  <si>
    <t>Aug-30-2024 19:23</t>
  </si>
  <si>
    <t>Aug-2024 &lt;- 30-Aug-2024</t>
  </si>
  <si>
    <t>Aug-30-2024 11:27</t>
  </si>
  <si>
    <t>Aug-30-2024 09:50</t>
  </si>
  <si>
    <t>202408</t>
  </si>
  <si>
    <t>SEP002A</t>
  </si>
  <si>
    <t>SEP002A.db</t>
  </si>
  <si>
    <t>OE (Sep24)</t>
  </si>
  <si>
    <t>Consensus (Aug24)*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</si>
</sst>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;\-###0.0;0.0;@"/>
    <numFmt numFmtId="165" formatCode="0.0"/>
    <numFmt numFmtId="166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16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4A80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</borders>
  <cellStyleXfs count="7">
    <xf numFmtId="0" fontId="0" fillId="0" borderId="0"/>
    <xf numFmtId="0" fontId="4" fillId="0" borderId="0"/>
    <xf numFmtId="0" fontId="1" fillId="0" borderId="0"/>
    <xf numFmtId="0" fontId="6" fillId="0" borderId="0"/>
    <xf numFmtId="0" fontId="8" fillId="0" borderId="0"/>
    <xf numFmtId="0" fontId="9" fillId="0" borderId="0"/>
    <xf numFmtId="0" fontId="10" fillId="0" borderId="0"/>
  </cellStyleXfs>
  <cellXfs count="26">
    <xf numFmtId="0" fontId="0" fillId="0" borderId="0" xfId="0"/>
    <xf numFmtId="0" fontId="0" fillId="0" borderId="0" xfId="0" quotePrefix="1"/>
    <xf numFmtId="164" fontId="0" fillId="0" borderId="0" xfId="0" applyNumberFormat="1"/>
    <xf numFmtId="164" fontId="5" fillId="0" borderId="0" xfId="0" applyNumberFormat="1" applyFont="1"/>
    <xf numFmtId="0" fontId="1" fillId="0" borderId="0" xfId="2"/>
    <xf numFmtId="0" fontId="0" fillId="0" borderId="0" xfId="2" applyFont="1"/>
    <xf numFmtId="0" fontId="1" fillId="0" borderId="0" xfId="2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/>
    <xf numFmtId="165" fontId="0" fillId="0" borderId="0" xfId="0" applyNumberFormat="1"/>
    <xf numFmtId="14" fontId="0" fillId="0" borderId="0" xfId="0" applyNumberFormat="1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65" fontId="0" fillId="0" borderId="0" xfId="5" applyNumberFormat="1" applyFont="1"/>
    <xf numFmtId="2" fontId="0" fillId="0" borderId="0" xfId="5" applyNumberFormat="1" applyFont="1"/>
    <xf numFmtId="2" fontId="0" fillId="0" borderId="0" xfId="0" applyNumberFormat="1"/>
    <xf numFmtId="2" fontId="2" fillId="0" borderId="0" xfId="5" applyNumberFormat="1" applyFont="1"/>
    <xf numFmtId="166" fontId="0" fillId="0" borderId="0" xfId="0" applyNumberFormat="1"/>
    <xf numFmtId="166" fontId="2" fillId="0" borderId="0" xfId="0" applyNumberFormat="1" applyFont="1"/>
    <xf numFmtId="2" fontId="0" fillId="0" borderId="0" xfId="0" applyNumberFormat="1" applyAlignment="1">
      <alignment wrapText="1"/>
    </xf>
    <xf numFmtId="1" fontId="0" fillId="0" borderId="0" xfId="0" applyNumberFormat="1" applyAlignment="1">
      <alignment horizontal="right"/>
    </xf>
    <xf numFmtId="2" fontId="0" fillId="3" borderId="0" xfId="0" applyNumberFormat="1" applyFill="1"/>
    <xf numFmtId="2" fontId="0" fillId="4" borderId="0" xfId="0" applyNumberFormat="1" applyFill="1"/>
    <xf numFmtId="17" fontId="0" fillId="0" borderId="0" xfId="0" applyNumberFormat="1"/>
    <xf numFmtId="0" fontId="11" fillId="2" borderId="1" xfId="6" applyFont="1" applyFill="1" applyBorder="1" applyAlignment="1">
      <alignment horizontal="left" wrapText="1"/>
    </xf>
  </cellXfs>
  <cellStyles count="7">
    <cellStyle name="%" xfId="5" xr:uid="{A6F3884C-016D-4CC1-8333-0ECCEF26937A}"/>
    <cellStyle name="Normal" xfId="0" builtinId="0"/>
    <cellStyle name="Normal 2" xfId="1" xr:uid="{C8FDB236-3F20-4C7C-B6A5-48CFC2F62D47}"/>
    <cellStyle name="Normal 2 5" xfId="2" xr:uid="{415871F2-36DD-432A-B1FD-4792861E6323}"/>
    <cellStyle name="Normal 3" xfId="3" xr:uid="{83ECD2FD-A2D0-40A2-947D-665995B4168B}"/>
    <cellStyle name="Normal 4" xfId="4" xr:uid="{A555B501-F637-4927-B4C5-8851EE9B9CCA}"/>
    <cellStyle name="Normal 5" xfId="6" xr:uid="{BDD115A5-9D8D-4935-B7B2-EF7282EC7767}"/>
  </cellStyles>
  <dxfs count="0"/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worksheet" Target="worksheets/sheet8.xml"/><Relationship Id="rId18" Type="http://schemas.openxmlformats.org/officeDocument/2006/relationships/theme" Target="theme/theme1.xml"/><Relationship Id="rId3" Type="http://schemas.openxmlformats.org/officeDocument/2006/relationships/chartsheet" Target="chartsheets/sheet2.xml"/><Relationship Id="rId21" Type="http://schemas.openxmlformats.org/officeDocument/2006/relationships/sheetMetadata" Target="metadata.xml"/><Relationship Id="rId7" Type="http://schemas.openxmlformats.org/officeDocument/2006/relationships/worksheet" Target="worksheets/sheet2.xml"/><Relationship Id="rId12" Type="http://schemas.openxmlformats.org/officeDocument/2006/relationships/worksheet" Target="worksheets/sheet7.xml"/><Relationship Id="rId17" Type="http://schemas.openxmlformats.org/officeDocument/2006/relationships/externalLink" Target="externalLinks/externalLink2.xml"/><Relationship Id="rId2" Type="http://schemas.openxmlformats.org/officeDocument/2006/relationships/chartsheet" Target="chartsheets/sheet1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worksheet" Target="worksheets/sheet6.xml"/><Relationship Id="rId5" Type="http://schemas.openxmlformats.org/officeDocument/2006/relationships/chartsheet" Target="chartsheets/sheet4.xml"/><Relationship Id="rId15" Type="http://schemas.openxmlformats.org/officeDocument/2006/relationships/chartsheet" Target="chartsheets/sheet6.xml"/><Relationship Id="rId10" Type="http://schemas.openxmlformats.org/officeDocument/2006/relationships/worksheet" Target="worksheets/sheet5.xml"/><Relationship Id="rId19" Type="http://schemas.openxmlformats.org/officeDocument/2006/relationships/styles" Target="styles.xml"/><Relationship Id="rId4" Type="http://schemas.openxmlformats.org/officeDocument/2006/relationships/chartsheet" Target="chartsheets/sheet3.xml"/><Relationship Id="rId9" Type="http://schemas.openxmlformats.org/officeDocument/2006/relationships/worksheet" Target="worksheets/sheet4.xml"/><Relationship Id="rId14" Type="http://schemas.openxmlformats.org/officeDocument/2006/relationships/worksheet" Target="worksheets/sheet9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0.xml"/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1.xml"/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3.xml"/><Relationship Id="rId1" Type="http://schemas.openxmlformats.org/officeDocument/2006/relationships/themeOverride" Target="../theme/themeOverrid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6.0263653483992466E-3"/>
          <c:y val="0.12464589235127478"/>
          <c:w val="0.97694156027106782"/>
          <c:h val="0.808309726156751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Data'!$T$3</c:f>
              <c:strCache>
                <c:ptCount val="1"/>
                <c:pt idx="0">
                  <c:v>OE (Sep24)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/>
              </a:solidFill>
            </a:ln>
          </c:spPr>
          <c:invertIfNegative val="0"/>
          <c:cat>
            <c:strRef>
              <c:f>'Chart Data'!$S$4:$S$15</c:f>
              <c:strCache>
                <c:ptCount val="12"/>
                <c:pt idx="0">
                  <c:v>Q1 2023</c:v>
                </c:pt>
                <c:pt idx="1">
                  <c:v>Q2 2023</c:v>
                </c:pt>
                <c:pt idx="2">
                  <c:v>Q3 2023</c:v>
                </c:pt>
                <c:pt idx="3">
                  <c:v>Q4 2023</c:v>
                </c:pt>
                <c:pt idx="4">
                  <c:v>Q1 2024</c:v>
                </c:pt>
                <c:pt idx="5">
                  <c:v>Q2 2024</c:v>
                </c:pt>
                <c:pt idx="6">
                  <c:v>Q3 2024</c:v>
                </c:pt>
                <c:pt idx="7">
                  <c:v>Q4 2024</c:v>
                </c:pt>
                <c:pt idx="8">
                  <c:v>Q1 2025</c:v>
                </c:pt>
                <c:pt idx="9">
                  <c:v>Q2 2025</c:v>
                </c:pt>
                <c:pt idx="10">
                  <c:v>Q3 2025</c:v>
                </c:pt>
                <c:pt idx="11">
                  <c:v>Q4 2025</c:v>
                </c:pt>
              </c:strCache>
            </c:strRef>
          </c:cat>
          <c:val>
            <c:numRef>
              <c:f>'Chart Data'!$T$4:$T$15</c:f>
              <c:numCache>
                <c:formatCode>0.0</c:formatCode>
                <c:ptCount val="12"/>
                <c:pt idx="0">
                  <c:v>0.1748134794748113</c:v>
                </c:pt>
                <c:pt idx="1">
                  <c:v>8.6111906816288553E-3</c:v>
                </c:pt>
                <c:pt idx="2">
                  <c:v>-0.11931622489790294</c:v>
                </c:pt>
                <c:pt idx="3">
                  <c:v>-0.31157799918014595</c:v>
                </c:pt>
                <c:pt idx="4">
                  <c:v>0.71793387525458385</c:v>
                </c:pt>
                <c:pt idx="5">
                  <c:v>0.57158477222469806</c:v>
                </c:pt>
                <c:pt idx="6">
                  <c:v>0.36912237174975271</c:v>
                </c:pt>
                <c:pt idx="7">
                  <c:v>0.3936990105100957</c:v>
                </c:pt>
                <c:pt idx="8">
                  <c:v>0.4119184718538893</c:v>
                </c:pt>
                <c:pt idx="9">
                  <c:v>0.44008789704039764</c:v>
                </c:pt>
                <c:pt idx="10">
                  <c:v>0.4300331607120178</c:v>
                </c:pt>
                <c:pt idx="11">
                  <c:v>0.44490429914256779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6-4E4B-91F4-0D9ED376BC7E}"/>
            </c:ext>
          </c:extLst>
        </c:ser>
        <c:ser>
          <c:idx val="1"/>
          <c:order val="1"/>
          <c:tx>
            <c:strRef>
              <c:f>'Chart Data'!$U$3</c:f>
              <c:strCache>
                <c:ptCount val="1"/>
                <c:pt idx="0">
                  <c:v>Consensus (Aug24)*</c:v>
                </c:pt>
              </c:strCache>
            </c:strRef>
          </c:tx>
          <c:spPr>
            <a:solidFill>
              <a:srgbClr val="003469"/>
            </a:solidFill>
            <a:ln w="6350">
              <a:solidFill>
                <a:srgbClr val="495057"/>
              </a:solidFill>
            </a:ln>
          </c:spPr>
          <c:invertIfNegative val="0"/>
          <c:cat>
            <c:strRef>
              <c:f>'Chart Data'!$S$4:$S$15</c:f>
              <c:strCache>
                <c:ptCount val="12"/>
                <c:pt idx="0">
                  <c:v>Q1 2023</c:v>
                </c:pt>
                <c:pt idx="1">
                  <c:v>Q2 2023</c:v>
                </c:pt>
                <c:pt idx="2">
                  <c:v>Q3 2023</c:v>
                </c:pt>
                <c:pt idx="3">
                  <c:v>Q4 2023</c:v>
                </c:pt>
                <c:pt idx="4">
                  <c:v>Q1 2024</c:v>
                </c:pt>
                <c:pt idx="5">
                  <c:v>Q2 2024</c:v>
                </c:pt>
                <c:pt idx="6">
                  <c:v>Q3 2024</c:v>
                </c:pt>
                <c:pt idx="7">
                  <c:v>Q4 2024</c:v>
                </c:pt>
                <c:pt idx="8">
                  <c:v>Q1 2025</c:v>
                </c:pt>
                <c:pt idx="9">
                  <c:v>Q2 2025</c:v>
                </c:pt>
                <c:pt idx="10">
                  <c:v>Q3 2025</c:v>
                </c:pt>
                <c:pt idx="11">
                  <c:v>Q4 2025</c:v>
                </c:pt>
              </c:strCache>
            </c:strRef>
          </c:cat>
          <c:val>
            <c:numRef>
              <c:f>'Chart Data'!$U$4:$U$15</c:f>
              <c:numCache>
                <c:formatCode>0.0</c:formatCode>
                <c:ptCount val="12"/>
                <c:pt idx="0">
                  <c:v>0.1748134794748113</c:v>
                </c:pt>
                <c:pt idx="1">
                  <c:v>8.6111906816288553E-3</c:v>
                </c:pt>
                <c:pt idx="2">
                  <c:v>-0.11931622489790294</c:v>
                </c:pt>
                <c:pt idx="3">
                  <c:v>-0.31157799918014595</c:v>
                </c:pt>
                <c:pt idx="4">
                  <c:v>0.71793387525458385</c:v>
                </c:pt>
                <c:pt idx="5">
                  <c:v>0.57158477222469806</c:v>
                </c:pt>
                <c:pt idx="6">
                  <c:v>0.36912237174975271</c:v>
                </c:pt>
                <c:pt idx="7">
                  <c:v>0.3936990105100957</c:v>
                </c:pt>
                <c:pt idx="8" formatCode="General">
                  <c:v>0.3</c:v>
                </c:pt>
                <c:pt idx="9" formatCode="General">
                  <c:v>0.3</c:v>
                </c:pt>
                <c:pt idx="10" formatCode="General">
                  <c:v>0.3</c:v>
                </c:pt>
                <c:pt idx="11" formatCode="General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D6-4E4B-91F4-0D9ED376B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74926592"/>
        <c:axId val="274950400"/>
      </c:bar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noMultiLvlLbl val="0"/>
      </c:catAx>
      <c:valAx>
        <c:axId val="274950400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26592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3160045672257068"/>
          <c:y val="7.2669324532906476E-2"/>
          <c:w val="0.57165117072230376"/>
          <c:h val="5.6101061021763217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2.0945259054788393E-3"/>
          <c:y val="0.12455026610694829"/>
          <c:w val="0.99790547409452113"/>
          <c:h val="0.8076896044511192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Data'!$BC$3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cat>
            <c:numRef>
              <c:f>'Chart Data'!$AM$20:$AM$67</c:f>
              <c:numCache>
                <c:formatCode>m/d/yyyy</c:formatCode>
                <c:ptCount val="48"/>
                <c:pt idx="0">
                  <c:v>41640</c:v>
                </c:pt>
                <c:pt idx="1">
                  <c:v>41730</c:v>
                </c:pt>
                <c:pt idx="2">
                  <c:v>41821</c:v>
                </c:pt>
                <c:pt idx="3">
                  <c:v>41913</c:v>
                </c:pt>
                <c:pt idx="4">
                  <c:v>42005</c:v>
                </c:pt>
                <c:pt idx="5">
                  <c:v>42095</c:v>
                </c:pt>
                <c:pt idx="6">
                  <c:v>42186</c:v>
                </c:pt>
                <c:pt idx="7">
                  <c:v>42278</c:v>
                </c:pt>
                <c:pt idx="8">
                  <c:v>42370</c:v>
                </c:pt>
                <c:pt idx="9">
                  <c:v>42461</c:v>
                </c:pt>
                <c:pt idx="10">
                  <c:v>42552</c:v>
                </c:pt>
                <c:pt idx="11">
                  <c:v>42644</c:v>
                </c:pt>
                <c:pt idx="12">
                  <c:v>42736</c:v>
                </c:pt>
                <c:pt idx="13">
                  <c:v>42826</c:v>
                </c:pt>
                <c:pt idx="14">
                  <c:v>42917</c:v>
                </c:pt>
                <c:pt idx="15">
                  <c:v>43009</c:v>
                </c:pt>
                <c:pt idx="16">
                  <c:v>43101</c:v>
                </c:pt>
                <c:pt idx="17">
                  <c:v>43191</c:v>
                </c:pt>
                <c:pt idx="18">
                  <c:v>43282</c:v>
                </c:pt>
                <c:pt idx="19">
                  <c:v>43374</c:v>
                </c:pt>
                <c:pt idx="20">
                  <c:v>43466</c:v>
                </c:pt>
                <c:pt idx="21">
                  <c:v>43556</c:v>
                </c:pt>
                <c:pt idx="22">
                  <c:v>43647</c:v>
                </c:pt>
                <c:pt idx="23">
                  <c:v>43739</c:v>
                </c:pt>
                <c:pt idx="24">
                  <c:v>43831</c:v>
                </c:pt>
                <c:pt idx="25">
                  <c:v>43922</c:v>
                </c:pt>
                <c:pt idx="26">
                  <c:v>44013</c:v>
                </c:pt>
                <c:pt idx="27">
                  <c:v>44105</c:v>
                </c:pt>
                <c:pt idx="28">
                  <c:v>44197</c:v>
                </c:pt>
                <c:pt idx="29">
                  <c:v>44287</c:v>
                </c:pt>
                <c:pt idx="30">
                  <c:v>44378</c:v>
                </c:pt>
                <c:pt idx="31">
                  <c:v>44470</c:v>
                </c:pt>
                <c:pt idx="32">
                  <c:v>44562</c:v>
                </c:pt>
                <c:pt idx="33">
                  <c:v>44652</c:v>
                </c:pt>
                <c:pt idx="34">
                  <c:v>44743</c:v>
                </c:pt>
                <c:pt idx="35">
                  <c:v>44835</c:v>
                </c:pt>
                <c:pt idx="36">
                  <c:v>44927</c:v>
                </c:pt>
                <c:pt idx="37">
                  <c:v>45017</c:v>
                </c:pt>
                <c:pt idx="38">
                  <c:v>45108</c:v>
                </c:pt>
                <c:pt idx="39">
                  <c:v>45200</c:v>
                </c:pt>
                <c:pt idx="40">
                  <c:v>45292</c:v>
                </c:pt>
                <c:pt idx="41">
                  <c:v>45383</c:v>
                </c:pt>
                <c:pt idx="42">
                  <c:v>45474</c:v>
                </c:pt>
                <c:pt idx="43">
                  <c:v>45566</c:v>
                </c:pt>
                <c:pt idx="44">
                  <c:v>45658</c:v>
                </c:pt>
                <c:pt idx="45">
                  <c:v>45748</c:v>
                </c:pt>
                <c:pt idx="46">
                  <c:v>45839</c:v>
                </c:pt>
                <c:pt idx="47">
                  <c:v>45931</c:v>
                </c:pt>
              </c:numCache>
            </c:numRef>
          </c:cat>
          <c:val>
            <c:numRef>
              <c:f>'Chart Data'!$BC$20:$BC$67</c:f>
              <c:numCache>
                <c:formatCode>0.00</c:formatCode>
                <c:ptCount val="48"/>
                <c:pt idx="0">
                  <c:v>0.41370616546810157</c:v>
                </c:pt>
                <c:pt idx="1">
                  <c:v>0.18785805949673781</c:v>
                </c:pt>
                <c:pt idx="2">
                  <c:v>8.2944409999573865E-2</c:v>
                </c:pt>
                <c:pt idx="3">
                  <c:v>3.1130194603373924E-2</c:v>
                </c:pt>
                <c:pt idx="4">
                  <c:v>-0.17166501059194475</c:v>
                </c:pt>
                <c:pt idx="5">
                  <c:v>-0.14117472648507701</c:v>
                </c:pt>
                <c:pt idx="6">
                  <c:v>-0.19201283468671759</c:v>
                </c:pt>
                <c:pt idx="7">
                  <c:v>-0.26745218751576982</c:v>
                </c:pt>
                <c:pt idx="8">
                  <c:v>-0.21721909526486968</c:v>
                </c:pt>
                <c:pt idx="9">
                  <c:v>-0.24575603480150515</c:v>
                </c:pt>
                <c:pt idx="10">
                  <c:v>-0.1742630032767592</c:v>
                </c:pt>
                <c:pt idx="11">
                  <c:v>-0.10221550855991822</c:v>
                </c:pt>
                <c:pt idx="12">
                  <c:v>0.17520868394859754</c:v>
                </c:pt>
                <c:pt idx="13">
                  <c:v>0.41415520095040564</c:v>
                </c:pt>
                <c:pt idx="14">
                  <c:v>0.46691647861380386</c:v>
                </c:pt>
                <c:pt idx="15">
                  <c:v>0.61697586206896471</c:v>
                </c:pt>
                <c:pt idx="16">
                  <c:v>0.53477104606135817</c:v>
                </c:pt>
                <c:pt idx="17">
                  <c:v>0.4003022641644069</c:v>
                </c:pt>
                <c:pt idx="18">
                  <c:v>0.37433309436277068</c:v>
                </c:pt>
                <c:pt idx="19">
                  <c:v>0.25973763874874134</c:v>
                </c:pt>
                <c:pt idx="20">
                  <c:v>0.29151862951018115</c:v>
                </c:pt>
                <c:pt idx="21">
                  <c:v>0.25716436652024832</c:v>
                </c:pt>
                <c:pt idx="22">
                  <c:v>0.30072579782817999</c:v>
                </c:pt>
                <c:pt idx="23">
                  <c:v>0.26314567159785385</c:v>
                </c:pt>
                <c:pt idx="24">
                  <c:v>0.18488225365182553</c:v>
                </c:pt>
                <c:pt idx="25">
                  <c:v>0.24110549100151812</c:v>
                </c:pt>
                <c:pt idx="26">
                  <c:v>0.1175450718981819</c:v>
                </c:pt>
                <c:pt idx="27">
                  <c:v>5.6499718574110007E-2</c:v>
                </c:pt>
                <c:pt idx="28">
                  <c:v>2.0281692167079229E-2</c:v>
                </c:pt>
                <c:pt idx="29">
                  <c:v>7.6973084145499637E-3</c:v>
                </c:pt>
                <c:pt idx="30">
                  <c:v>0.12518112031727618</c:v>
                </c:pt>
                <c:pt idx="31">
                  <c:v>0.45556410948742154</c:v>
                </c:pt>
                <c:pt idx="32">
                  <c:v>0.79575236181567433</c:v>
                </c:pt>
                <c:pt idx="33">
                  <c:v>1.2197571447640865</c:v>
                </c:pt>
                <c:pt idx="34">
                  <c:v>1.8362021391367076</c:v>
                </c:pt>
                <c:pt idx="35">
                  <c:v>2.1409627611262514</c:v>
                </c:pt>
                <c:pt idx="36">
                  <c:v>2.3144361283775492</c:v>
                </c:pt>
                <c:pt idx="37">
                  <c:v>2.514067679921097</c:v>
                </c:pt>
                <c:pt idx="38">
                  <c:v>2.0424348240276249</c:v>
                </c:pt>
                <c:pt idx="39">
                  <c:v>1.5586172968624303</c:v>
                </c:pt>
                <c:pt idx="40">
                  <c:v>1.0604765431975476</c:v>
                </c:pt>
                <c:pt idx="41">
                  <c:v>0.52867826278672825</c:v>
                </c:pt>
                <c:pt idx="42">
                  <c:v>0.38355093878251489</c:v>
                </c:pt>
                <c:pt idx="43">
                  <c:v>0.31842448455366146</c:v>
                </c:pt>
                <c:pt idx="44">
                  <c:v>0.29960646418432846</c:v>
                </c:pt>
                <c:pt idx="45">
                  <c:v>0.27287551079751782</c:v>
                </c:pt>
                <c:pt idx="46">
                  <c:v>0.25347177276248756</c:v>
                </c:pt>
                <c:pt idx="47">
                  <c:v>0.30998825639190791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E-4599-A5E6-C1D44CA8266C}"/>
            </c:ext>
          </c:extLst>
        </c:ser>
        <c:ser>
          <c:idx val="1"/>
          <c:order val="1"/>
          <c:tx>
            <c:strRef>
              <c:f>'Chart Data'!$BD$3</c:f>
              <c:strCache>
                <c:ptCount val="1"/>
                <c:pt idx="0">
                  <c:v>Petrol</c:v>
                </c:pt>
              </c:strCache>
            </c:strRef>
          </c:tx>
          <c:spPr>
            <a:solidFill>
              <a:srgbClr val="002060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cat>
            <c:numRef>
              <c:f>'Chart Data'!$AM$20:$AM$67</c:f>
              <c:numCache>
                <c:formatCode>m/d/yyyy</c:formatCode>
                <c:ptCount val="48"/>
                <c:pt idx="0">
                  <c:v>41640</c:v>
                </c:pt>
                <c:pt idx="1">
                  <c:v>41730</c:v>
                </c:pt>
                <c:pt idx="2">
                  <c:v>41821</c:v>
                </c:pt>
                <c:pt idx="3">
                  <c:v>41913</c:v>
                </c:pt>
                <c:pt idx="4">
                  <c:v>42005</c:v>
                </c:pt>
                <c:pt idx="5">
                  <c:v>42095</c:v>
                </c:pt>
                <c:pt idx="6">
                  <c:v>42186</c:v>
                </c:pt>
                <c:pt idx="7">
                  <c:v>42278</c:v>
                </c:pt>
                <c:pt idx="8">
                  <c:v>42370</c:v>
                </c:pt>
                <c:pt idx="9">
                  <c:v>42461</c:v>
                </c:pt>
                <c:pt idx="10">
                  <c:v>42552</c:v>
                </c:pt>
                <c:pt idx="11">
                  <c:v>42644</c:v>
                </c:pt>
                <c:pt idx="12">
                  <c:v>42736</c:v>
                </c:pt>
                <c:pt idx="13">
                  <c:v>42826</c:v>
                </c:pt>
                <c:pt idx="14">
                  <c:v>42917</c:v>
                </c:pt>
                <c:pt idx="15">
                  <c:v>43009</c:v>
                </c:pt>
                <c:pt idx="16">
                  <c:v>43101</c:v>
                </c:pt>
                <c:pt idx="17">
                  <c:v>43191</c:v>
                </c:pt>
                <c:pt idx="18">
                  <c:v>43282</c:v>
                </c:pt>
                <c:pt idx="19">
                  <c:v>43374</c:v>
                </c:pt>
                <c:pt idx="20">
                  <c:v>43466</c:v>
                </c:pt>
                <c:pt idx="21">
                  <c:v>43556</c:v>
                </c:pt>
                <c:pt idx="22">
                  <c:v>43647</c:v>
                </c:pt>
                <c:pt idx="23">
                  <c:v>43739</c:v>
                </c:pt>
                <c:pt idx="24">
                  <c:v>43831</c:v>
                </c:pt>
                <c:pt idx="25">
                  <c:v>43922</c:v>
                </c:pt>
                <c:pt idx="26">
                  <c:v>44013</c:v>
                </c:pt>
                <c:pt idx="27">
                  <c:v>44105</c:v>
                </c:pt>
                <c:pt idx="28">
                  <c:v>44197</c:v>
                </c:pt>
                <c:pt idx="29">
                  <c:v>44287</c:v>
                </c:pt>
                <c:pt idx="30">
                  <c:v>44378</c:v>
                </c:pt>
                <c:pt idx="31">
                  <c:v>44470</c:v>
                </c:pt>
                <c:pt idx="32">
                  <c:v>44562</c:v>
                </c:pt>
                <c:pt idx="33">
                  <c:v>44652</c:v>
                </c:pt>
                <c:pt idx="34">
                  <c:v>44743</c:v>
                </c:pt>
                <c:pt idx="35">
                  <c:v>44835</c:v>
                </c:pt>
                <c:pt idx="36">
                  <c:v>44927</c:v>
                </c:pt>
                <c:pt idx="37">
                  <c:v>45017</c:v>
                </c:pt>
                <c:pt idx="38">
                  <c:v>45108</c:v>
                </c:pt>
                <c:pt idx="39">
                  <c:v>45200</c:v>
                </c:pt>
                <c:pt idx="40">
                  <c:v>45292</c:v>
                </c:pt>
                <c:pt idx="41">
                  <c:v>45383</c:v>
                </c:pt>
                <c:pt idx="42">
                  <c:v>45474</c:v>
                </c:pt>
                <c:pt idx="43">
                  <c:v>45566</c:v>
                </c:pt>
                <c:pt idx="44">
                  <c:v>45658</c:v>
                </c:pt>
                <c:pt idx="45">
                  <c:v>45748</c:v>
                </c:pt>
                <c:pt idx="46">
                  <c:v>45839</c:v>
                </c:pt>
                <c:pt idx="47">
                  <c:v>45931</c:v>
                </c:pt>
              </c:numCache>
            </c:numRef>
          </c:cat>
          <c:val>
            <c:numRef>
              <c:f>'Chart Data'!$BD$20:$BD$67</c:f>
              <c:numCache>
                <c:formatCode>0.00</c:formatCode>
                <c:ptCount val="48"/>
                <c:pt idx="0">
                  <c:v>-0.16020795309303279</c:v>
                </c:pt>
                <c:pt idx="1">
                  <c:v>-0.12283365179919722</c:v>
                </c:pt>
                <c:pt idx="2">
                  <c:v>-0.17070848435480884</c:v>
                </c:pt>
                <c:pt idx="3">
                  <c:v>-0.24753550295857948</c:v>
                </c:pt>
                <c:pt idx="4">
                  <c:v>-0.53152500359964494</c:v>
                </c:pt>
                <c:pt idx="5">
                  <c:v>-0.38306890193566556</c:v>
                </c:pt>
                <c:pt idx="6">
                  <c:v>-0.44273941458591937</c:v>
                </c:pt>
                <c:pt idx="7">
                  <c:v>-0.43505054428457995</c:v>
                </c:pt>
                <c:pt idx="8">
                  <c:v>-0.25617589666311896</c:v>
                </c:pt>
                <c:pt idx="9">
                  <c:v>-0.21025730834096595</c:v>
                </c:pt>
                <c:pt idx="10">
                  <c:v>-5.8809153963131952E-2</c:v>
                </c:pt>
                <c:pt idx="11">
                  <c:v>0.23588193894708184</c:v>
                </c:pt>
                <c:pt idx="12">
                  <c:v>0.58002009623759521</c:v>
                </c:pt>
                <c:pt idx="13">
                  <c:v>0.24896024767578706</c:v>
                </c:pt>
                <c:pt idx="14">
                  <c:v>0.14370531138774859</c:v>
                </c:pt>
                <c:pt idx="15">
                  <c:v>0.12717079895427461</c:v>
                </c:pt>
                <c:pt idx="16">
                  <c:v>3.3490289962402005E-2</c:v>
                </c:pt>
                <c:pt idx="17">
                  <c:v>0.23489010671477278</c:v>
                </c:pt>
                <c:pt idx="18">
                  <c:v>0.36072755032344883</c:v>
                </c:pt>
                <c:pt idx="19">
                  <c:v>0.2484262862488302</c:v>
                </c:pt>
                <c:pt idx="20">
                  <c:v>3.8925694668625666E-2</c:v>
                </c:pt>
                <c:pt idx="21">
                  <c:v>8.2120411018601028E-2</c:v>
                </c:pt>
                <c:pt idx="22">
                  <c:v>-2.1471790171840428E-2</c:v>
                </c:pt>
                <c:pt idx="23">
                  <c:v>-5.3696000665126892E-2</c:v>
                </c:pt>
                <c:pt idx="24">
                  <c:v>5.189761534533259E-2</c:v>
                </c:pt>
                <c:pt idx="25">
                  <c:v>-0.47179210844689101</c:v>
                </c:pt>
                <c:pt idx="26">
                  <c:v>-0.35131478356476886</c:v>
                </c:pt>
                <c:pt idx="27">
                  <c:v>-0.29523809523809552</c:v>
                </c:pt>
                <c:pt idx="28">
                  <c:v>-7.5308069648798104E-2</c:v>
                </c:pt>
                <c:pt idx="29">
                  <c:v>0.46456077338744967</c:v>
                </c:pt>
                <c:pt idx="30">
                  <c:v>0.48071120705682385</c:v>
                </c:pt>
                <c:pt idx="31">
                  <c:v>0.69122894736842155</c:v>
                </c:pt>
                <c:pt idx="32">
                  <c:v>0.79452630630494014</c:v>
                </c:pt>
                <c:pt idx="33">
                  <c:v>1.0996517372851538</c:v>
                </c:pt>
                <c:pt idx="34">
                  <c:v>1.0527723710846451</c:v>
                </c:pt>
                <c:pt idx="35">
                  <c:v>0.52201228090732454</c:v>
                </c:pt>
                <c:pt idx="36">
                  <c:v>3.2340671312841462E-2</c:v>
                </c:pt>
                <c:pt idx="37">
                  <c:v>-0.48570010331221952</c:v>
                </c:pt>
                <c:pt idx="38">
                  <c:v>-0.53918786424051213</c:v>
                </c:pt>
                <c:pt idx="39">
                  <c:v>-0.29991206554968636</c:v>
                </c:pt>
                <c:pt idx="40">
                  <c:v>-0.2047942543740445</c:v>
                </c:pt>
                <c:pt idx="41">
                  <c:v>4.5164804327587314E-2</c:v>
                </c:pt>
                <c:pt idx="42">
                  <c:v>-9.8980511788514913E-2</c:v>
                </c:pt>
                <c:pt idx="43">
                  <c:v>-0.17595369905882358</c:v>
                </c:pt>
                <c:pt idx="44">
                  <c:v>-4.3783369306350975E-2</c:v>
                </c:pt>
                <c:pt idx="45">
                  <c:v>-0.15225507146755818</c:v>
                </c:pt>
                <c:pt idx="46">
                  <c:v>-5.7031451893239771E-2</c:v>
                </c:pt>
                <c:pt idx="47">
                  <c:v>-4.3981484486113734E-2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6E-4599-A5E6-C1D44CA8266C}"/>
            </c:ext>
          </c:extLst>
        </c:ser>
        <c:ser>
          <c:idx val="2"/>
          <c:order val="2"/>
          <c:tx>
            <c:strRef>
              <c:f>'Chart Data'!$BE$3</c:f>
              <c:strCache>
                <c:ptCount val="1"/>
                <c:pt idx="0">
                  <c:v>Energy</c:v>
                </c:pt>
              </c:strCache>
            </c:strRef>
          </c:tx>
          <c:spPr>
            <a:solidFill>
              <a:srgbClr val="D1A21E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cat>
            <c:numRef>
              <c:f>'Chart Data'!$AM$20:$AM$67</c:f>
              <c:numCache>
                <c:formatCode>m/d/yyyy</c:formatCode>
                <c:ptCount val="48"/>
                <c:pt idx="0">
                  <c:v>41640</c:v>
                </c:pt>
                <c:pt idx="1">
                  <c:v>41730</c:v>
                </c:pt>
                <c:pt idx="2">
                  <c:v>41821</c:v>
                </c:pt>
                <c:pt idx="3">
                  <c:v>41913</c:v>
                </c:pt>
                <c:pt idx="4">
                  <c:v>42005</c:v>
                </c:pt>
                <c:pt idx="5">
                  <c:v>42095</c:v>
                </c:pt>
                <c:pt idx="6">
                  <c:v>42186</c:v>
                </c:pt>
                <c:pt idx="7">
                  <c:v>42278</c:v>
                </c:pt>
                <c:pt idx="8">
                  <c:v>42370</c:v>
                </c:pt>
                <c:pt idx="9">
                  <c:v>42461</c:v>
                </c:pt>
                <c:pt idx="10">
                  <c:v>42552</c:v>
                </c:pt>
                <c:pt idx="11">
                  <c:v>42644</c:v>
                </c:pt>
                <c:pt idx="12">
                  <c:v>42736</c:v>
                </c:pt>
                <c:pt idx="13">
                  <c:v>42826</c:v>
                </c:pt>
                <c:pt idx="14">
                  <c:v>42917</c:v>
                </c:pt>
                <c:pt idx="15">
                  <c:v>43009</c:v>
                </c:pt>
                <c:pt idx="16">
                  <c:v>43101</c:v>
                </c:pt>
                <c:pt idx="17">
                  <c:v>43191</c:v>
                </c:pt>
                <c:pt idx="18">
                  <c:v>43282</c:v>
                </c:pt>
                <c:pt idx="19">
                  <c:v>43374</c:v>
                </c:pt>
                <c:pt idx="20">
                  <c:v>43466</c:v>
                </c:pt>
                <c:pt idx="21">
                  <c:v>43556</c:v>
                </c:pt>
                <c:pt idx="22">
                  <c:v>43647</c:v>
                </c:pt>
                <c:pt idx="23">
                  <c:v>43739</c:v>
                </c:pt>
                <c:pt idx="24">
                  <c:v>43831</c:v>
                </c:pt>
                <c:pt idx="25">
                  <c:v>43922</c:v>
                </c:pt>
                <c:pt idx="26">
                  <c:v>44013</c:v>
                </c:pt>
                <c:pt idx="27">
                  <c:v>44105</c:v>
                </c:pt>
                <c:pt idx="28">
                  <c:v>44197</c:v>
                </c:pt>
                <c:pt idx="29">
                  <c:v>44287</c:v>
                </c:pt>
                <c:pt idx="30">
                  <c:v>44378</c:v>
                </c:pt>
                <c:pt idx="31">
                  <c:v>44470</c:v>
                </c:pt>
                <c:pt idx="32">
                  <c:v>44562</c:v>
                </c:pt>
                <c:pt idx="33">
                  <c:v>44652</c:v>
                </c:pt>
                <c:pt idx="34">
                  <c:v>44743</c:v>
                </c:pt>
                <c:pt idx="35">
                  <c:v>44835</c:v>
                </c:pt>
                <c:pt idx="36">
                  <c:v>44927</c:v>
                </c:pt>
                <c:pt idx="37">
                  <c:v>45017</c:v>
                </c:pt>
                <c:pt idx="38">
                  <c:v>45108</c:v>
                </c:pt>
                <c:pt idx="39">
                  <c:v>45200</c:v>
                </c:pt>
                <c:pt idx="40">
                  <c:v>45292</c:v>
                </c:pt>
                <c:pt idx="41">
                  <c:v>45383</c:v>
                </c:pt>
                <c:pt idx="42">
                  <c:v>45474</c:v>
                </c:pt>
                <c:pt idx="43">
                  <c:v>45566</c:v>
                </c:pt>
                <c:pt idx="44">
                  <c:v>45658</c:v>
                </c:pt>
                <c:pt idx="45">
                  <c:v>45748</c:v>
                </c:pt>
                <c:pt idx="46">
                  <c:v>45839</c:v>
                </c:pt>
                <c:pt idx="47">
                  <c:v>45931</c:v>
                </c:pt>
              </c:numCache>
            </c:numRef>
          </c:cat>
          <c:val>
            <c:numRef>
              <c:f>'Chart Data'!$BE$20:$BE$67</c:f>
              <c:numCache>
                <c:formatCode>0.00</c:formatCode>
                <c:ptCount val="48"/>
                <c:pt idx="0">
                  <c:v>0.26128119127084259</c:v>
                </c:pt>
                <c:pt idx="1">
                  <c:v>0.2226160192273916</c:v>
                </c:pt>
                <c:pt idx="2">
                  <c:v>0.20652916445782388</c:v>
                </c:pt>
                <c:pt idx="3">
                  <c:v>9.8279317762845431E-2</c:v>
                </c:pt>
                <c:pt idx="4">
                  <c:v>-0.10830101125352212</c:v>
                </c:pt>
                <c:pt idx="5">
                  <c:v>-0.12609087490538123</c:v>
                </c:pt>
                <c:pt idx="6">
                  <c:v>-0.1532945890998848</c:v>
                </c:pt>
                <c:pt idx="7">
                  <c:v>-0.17273185645461675</c:v>
                </c:pt>
                <c:pt idx="8">
                  <c:v>-0.13287643263363952</c:v>
                </c:pt>
                <c:pt idx="9">
                  <c:v>-0.13277868282139166</c:v>
                </c:pt>
                <c:pt idx="10">
                  <c:v>-9.8431944607002803E-2</c:v>
                </c:pt>
                <c:pt idx="11">
                  <c:v>-4.8463120567375596E-2</c:v>
                </c:pt>
                <c:pt idx="12">
                  <c:v>-3.2298365869791283E-3</c:v>
                </c:pt>
                <c:pt idx="13">
                  <c:v>0.12979550730351372</c:v>
                </c:pt>
                <c:pt idx="14">
                  <c:v>0.17626552540988499</c:v>
                </c:pt>
                <c:pt idx="15">
                  <c:v>0.21075434172915475</c:v>
                </c:pt>
                <c:pt idx="16">
                  <c:v>0.21357861778873594</c:v>
                </c:pt>
                <c:pt idx="17">
                  <c:v>0.17627779328225229</c:v>
                </c:pt>
                <c:pt idx="18">
                  <c:v>0.2401497792876586</c:v>
                </c:pt>
                <c:pt idx="19">
                  <c:v>0.29055024490479114</c:v>
                </c:pt>
                <c:pt idx="20">
                  <c:v>4.536588283881085E-2</c:v>
                </c:pt>
                <c:pt idx="21">
                  <c:v>0.2966461487603485</c:v>
                </c:pt>
                <c:pt idx="22">
                  <c:v>0.18440802247115529</c:v>
                </c:pt>
                <c:pt idx="23">
                  <c:v>-5.2495543672014533E-2</c:v>
                </c:pt>
                <c:pt idx="24">
                  <c:v>0.14348645715800987</c:v>
                </c:pt>
                <c:pt idx="25">
                  <c:v>-0.22619917318721802</c:v>
                </c:pt>
                <c:pt idx="26">
                  <c:v>-0.22068321543604233</c:v>
                </c:pt>
                <c:pt idx="27">
                  <c:v>-0.28821296464188523</c:v>
                </c:pt>
                <c:pt idx="28">
                  <c:v>-0.25870220973236835</c:v>
                </c:pt>
                <c:pt idx="29">
                  <c:v>8.6843887920922597E-2</c:v>
                </c:pt>
                <c:pt idx="30">
                  <c:v>9.4291225926149108E-2</c:v>
                </c:pt>
                <c:pt idx="31">
                  <c:v>0.75834302703873258</c:v>
                </c:pt>
                <c:pt idx="32">
                  <c:v>0.84039883001100102</c:v>
                </c:pt>
                <c:pt idx="33">
                  <c:v>2.5427608565722561</c:v>
                </c:pt>
                <c:pt idx="34">
                  <c:v>2.5160612436154435</c:v>
                </c:pt>
                <c:pt idx="35">
                  <c:v>3.209370920840064</c:v>
                </c:pt>
                <c:pt idx="36">
                  <c:v>3.17</c:v>
                </c:pt>
                <c:pt idx="37">
                  <c:v>1.1223910495562401</c:v>
                </c:pt>
                <c:pt idx="38">
                  <c:v>0.18377307689511024</c:v>
                </c:pt>
                <c:pt idx="39">
                  <c:v>-1.0574247320391839</c:v>
                </c:pt>
                <c:pt idx="40">
                  <c:v>-0.7230984354609904</c:v>
                </c:pt>
                <c:pt idx="41">
                  <c:v>-1.1008682088754913</c:v>
                </c:pt>
                <c:pt idx="42">
                  <c:v>-0.82973204226975705</c:v>
                </c:pt>
                <c:pt idx="43">
                  <c:v>-0.28044838621317542</c:v>
                </c:pt>
                <c:pt idx="44">
                  <c:v>-0.28949584720515215</c:v>
                </c:pt>
                <c:pt idx="45">
                  <c:v>0.21472915227717335</c:v>
                </c:pt>
                <c:pt idx="46">
                  <c:v>0.51141475267827463</c:v>
                </c:pt>
                <c:pt idx="47">
                  <c:v>0.12508470117751574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6E-4599-A5E6-C1D44CA8266C}"/>
            </c:ext>
          </c:extLst>
        </c:ser>
        <c:ser>
          <c:idx val="3"/>
          <c:order val="3"/>
          <c:tx>
            <c:strRef>
              <c:f>'Chart Data'!$BF$3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00ADDC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cat>
            <c:numRef>
              <c:f>'Chart Data'!$AM$20:$AM$67</c:f>
              <c:numCache>
                <c:formatCode>m/d/yyyy</c:formatCode>
                <c:ptCount val="48"/>
                <c:pt idx="0">
                  <c:v>41640</c:v>
                </c:pt>
                <c:pt idx="1">
                  <c:v>41730</c:v>
                </c:pt>
                <c:pt idx="2">
                  <c:v>41821</c:v>
                </c:pt>
                <c:pt idx="3">
                  <c:v>41913</c:v>
                </c:pt>
                <c:pt idx="4">
                  <c:v>42005</c:v>
                </c:pt>
                <c:pt idx="5">
                  <c:v>42095</c:v>
                </c:pt>
                <c:pt idx="6">
                  <c:v>42186</c:v>
                </c:pt>
                <c:pt idx="7">
                  <c:v>42278</c:v>
                </c:pt>
                <c:pt idx="8">
                  <c:v>42370</c:v>
                </c:pt>
                <c:pt idx="9">
                  <c:v>42461</c:v>
                </c:pt>
                <c:pt idx="10">
                  <c:v>42552</c:v>
                </c:pt>
                <c:pt idx="11">
                  <c:v>42644</c:v>
                </c:pt>
                <c:pt idx="12">
                  <c:v>42736</c:v>
                </c:pt>
                <c:pt idx="13">
                  <c:v>42826</c:v>
                </c:pt>
                <c:pt idx="14">
                  <c:v>42917</c:v>
                </c:pt>
                <c:pt idx="15">
                  <c:v>43009</c:v>
                </c:pt>
                <c:pt idx="16">
                  <c:v>43101</c:v>
                </c:pt>
                <c:pt idx="17">
                  <c:v>43191</c:v>
                </c:pt>
                <c:pt idx="18">
                  <c:v>43282</c:v>
                </c:pt>
                <c:pt idx="19">
                  <c:v>43374</c:v>
                </c:pt>
                <c:pt idx="20">
                  <c:v>43466</c:v>
                </c:pt>
                <c:pt idx="21">
                  <c:v>43556</c:v>
                </c:pt>
                <c:pt idx="22">
                  <c:v>43647</c:v>
                </c:pt>
                <c:pt idx="23">
                  <c:v>43739</c:v>
                </c:pt>
                <c:pt idx="24">
                  <c:v>43831</c:v>
                </c:pt>
                <c:pt idx="25">
                  <c:v>43922</c:v>
                </c:pt>
                <c:pt idx="26">
                  <c:v>44013</c:v>
                </c:pt>
                <c:pt idx="27">
                  <c:v>44105</c:v>
                </c:pt>
                <c:pt idx="28">
                  <c:v>44197</c:v>
                </c:pt>
                <c:pt idx="29">
                  <c:v>44287</c:v>
                </c:pt>
                <c:pt idx="30">
                  <c:v>44378</c:v>
                </c:pt>
                <c:pt idx="31">
                  <c:v>44470</c:v>
                </c:pt>
                <c:pt idx="32">
                  <c:v>44562</c:v>
                </c:pt>
                <c:pt idx="33">
                  <c:v>44652</c:v>
                </c:pt>
                <c:pt idx="34">
                  <c:v>44743</c:v>
                </c:pt>
                <c:pt idx="35">
                  <c:v>44835</c:v>
                </c:pt>
                <c:pt idx="36">
                  <c:v>44927</c:v>
                </c:pt>
                <c:pt idx="37">
                  <c:v>45017</c:v>
                </c:pt>
                <c:pt idx="38">
                  <c:v>45108</c:v>
                </c:pt>
                <c:pt idx="39">
                  <c:v>45200</c:v>
                </c:pt>
                <c:pt idx="40">
                  <c:v>45292</c:v>
                </c:pt>
                <c:pt idx="41">
                  <c:v>45383</c:v>
                </c:pt>
                <c:pt idx="42">
                  <c:v>45474</c:v>
                </c:pt>
                <c:pt idx="43">
                  <c:v>45566</c:v>
                </c:pt>
                <c:pt idx="44">
                  <c:v>45658</c:v>
                </c:pt>
                <c:pt idx="45">
                  <c:v>45748</c:v>
                </c:pt>
                <c:pt idx="46">
                  <c:v>45839</c:v>
                </c:pt>
                <c:pt idx="47">
                  <c:v>45931</c:v>
                </c:pt>
              </c:numCache>
            </c:numRef>
          </c:cat>
          <c:val>
            <c:numRef>
              <c:f>'Chart Data'!$BF$20:$BF$67</c:f>
              <c:numCache>
                <c:formatCode>0.00</c:formatCode>
                <c:ptCount val="48"/>
                <c:pt idx="0">
                  <c:v>1.2599715707398371</c:v>
                </c:pt>
                <c:pt idx="1">
                  <c:v>1.4744706621258505</c:v>
                </c:pt>
                <c:pt idx="2">
                  <c:v>1.3334132280331725</c:v>
                </c:pt>
                <c:pt idx="3">
                  <c:v>1.0244704014684904</c:v>
                </c:pt>
                <c:pt idx="4">
                  <c:v>0.91209464717548472</c:v>
                </c:pt>
                <c:pt idx="5">
                  <c:v>0.61706777005939895</c:v>
                </c:pt>
                <c:pt idx="6">
                  <c:v>0.82140237544160621</c:v>
                </c:pt>
                <c:pt idx="7">
                  <c:v>0.97503498745655048</c:v>
                </c:pt>
                <c:pt idx="8">
                  <c:v>0.94128649993852254</c:v>
                </c:pt>
                <c:pt idx="9">
                  <c:v>0.92186986304652496</c:v>
                </c:pt>
                <c:pt idx="10">
                  <c:v>1.030339143831897</c:v>
                </c:pt>
                <c:pt idx="11">
                  <c:v>1.1112074578771298</c:v>
                </c:pt>
                <c:pt idx="12">
                  <c:v>1.4182780400216983</c:v>
                </c:pt>
                <c:pt idx="13">
                  <c:v>1.962766334906938</c:v>
                </c:pt>
                <c:pt idx="14">
                  <c:v>2.0220674734336703</c:v>
                </c:pt>
                <c:pt idx="15">
                  <c:v>2.0664783075924329</c:v>
                </c:pt>
                <c:pt idx="16">
                  <c:v>1.9306110265796483</c:v>
                </c:pt>
                <c:pt idx="17">
                  <c:v>1.6117923808264403</c:v>
                </c:pt>
                <c:pt idx="18">
                  <c:v>1.5320219771833063</c:v>
                </c:pt>
                <c:pt idx="19">
                  <c:v>1.4645302472973807</c:v>
                </c:pt>
                <c:pt idx="20">
                  <c:v>1.469528054090175</c:v>
                </c:pt>
                <c:pt idx="21">
                  <c:v>1.382964335878945</c:v>
                </c:pt>
                <c:pt idx="22">
                  <c:v>1.386479079938344</c:v>
                </c:pt>
                <c:pt idx="23">
                  <c:v>1.2457894521481219</c:v>
                </c:pt>
                <c:pt idx="24">
                  <c:v>1.2754974976499007</c:v>
                </c:pt>
                <c:pt idx="25">
                  <c:v>1.1371269780166231</c:v>
                </c:pt>
                <c:pt idx="26">
                  <c:v>1.0701547079826232</c:v>
                </c:pt>
                <c:pt idx="27">
                  <c:v>1.1110892399034458</c:v>
                </c:pt>
                <c:pt idx="28">
                  <c:v>0.95908794635381256</c:v>
                </c:pt>
                <c:pt idx="29">
                  <c:v>1.467925679855594</c:v>
                </c:pt>
                <c:pt idx="30">
                  <c:v>2.0537952575867751</c:v>
                </c:pt>
                <c:pt idx="31">
                  <c:v>2.9848074093989965</c:v>
                </c:pt>
                <c:pt idx="32">
                  <c:v>3.7677328229644704</c:v>
                </c:pt>
                <c:pt idx="33">
                  <c:v>4.2890070076689106</c:v>
                </c:pt>
                <c:pt idx="34">
                  <c:v>4.600923152047331</c:v>
                </c:pt>
                <c:pt idx="35">
                  <c:v>4.8794022888746138</c:v>
                </c:pt>
                <c:pt idx="36">
                  <c:v>4.6614894965333864</c:v>
                </c:pt>
                <c:pt idx="37">
                  <c:v>5.2882903426575698</c:v>
                </c:pt>
                <c:pt idx="38">
                  <c:v>5.0265984564467638</c:v>
                </c:pt>
                <c:pt idx="39">
                  <c:v>3.9555466514762454</c:v>
                </c:pt>
                <c:pt idx="40">
                  <c:v>3.4165298076796571</c:v>
                </c:pt>
                <c:pt idx="41">
                  <c:v>2.6378587860049074</c:v>
                </c:pt>
                <c:pt idx="42">
                  <c:v>2.6379317827034336</c:v>
                </c:pt>
                <c:pt idx="43">
                  <c:v>2.6962745044069232</c:v>
                </c:pt>
                <c:pt idx="44">
                  <c:v>2.7529513008961146</c:v>
                </c:pt>
                <c:pt idx="45">
                  <c:v>2.1514007164252922</c:v>
                </c:pt>
                <c:pt idx="46">
                  <c:v>2.0509990143049479</c:v>
                </c:pt>
                <c:pt idx="47">
                  <c:v>2.1018375929623092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5934208"/>
        <c:axId val="275936000"/>
      </c:barChart>
      <c:lineChart>
        <c:grouping val="standard"/>
        <c:varyColors val="0"/>
        <c:ser>
          <c:idx val="4"/>
          <c:order val="4"/>
          <c:tx>
            <c:strRef>
              <c:f>'Chart Data'!$BG$3</c:f>
              <c:strCache>
                <c:ptCount val="1"/>
                <c:pt idx="0">
                  <c:v>CPI</c:v>
                </c:pt>
              </c:strCache>
            </c:strRef>
          </c:tx>
          <c:spPr>
            <a:ln w="381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Data'!$AM$20:$AM$67</c:f>
              <c:numCache>
                <c:formatCode>m/d/yyyy</c:formatCode>
                <c:ptCount val="48"/>
                <c:pt idx="0">
                  <c:v>41640</c:v>
                </c:pt>
                <c:pt idx="1">
                  <c:v>41730</c:v>
                </c:pt>
                <c:pt idx="2">
                  <c:v>41821</c:v>
                </c:pt>
                <c:pt idx="3">
                  <c:v>41913</c:v>
                </c:pt>
                <c:pt idx="4">
                  <c:v>42005</c:v>
                </c:pt>
                <c:pt idx="5">
                  <c:v>42095</c:v>
                </c:pt>
                <c:pt idx="6">
                  <c:v>42186</c:v>
                </c:pt>
                <c:pt idx="7">
                  <c:v>42278</c:v>
                </c:pt>
                <c:pt idx="8">
                  <c:v>42370</c:v>
                </c:pt>
                <c:pt idx="9">
                  <c:v>42461</c:v>
                </c:pt>
                <c:pt idx="10">
                  <c:v>42552</c:v>
                </c:pt>
                <c:pt idx="11">
                  <c:v>42644</c:v>
                </c:pt>
                <c:pt idx="12">
                  <c:v>42736</c:v>
                </c:pt>
                <c:pt idx="13">
                  <c:v>42826</c:v>
                </c:pt>
                <c:pt idx="14">
                  <c:v>42917</c:v>
                </c:pt>
                <c:pt idx="15">
                  <c:v>43009</c:v>
                </c:pt>
                <c:pt idx="16">
                  <c:v>43101</c:v>
                </c:pt>
                <c:pt idx="17">
                  <c:v>43191</c:v>
                </c:pt>
                <c:pt idx="18">
                  <c:v>43282</c:v>
                </c:pt>
                <c:pt idx="19">
                  <c:v>43374</c:v>
                </c:pt>
                <c:pt idx="20">
                  <c:v>43466</c:v>
                </c:pt>
                <c:pt idx="21">
                  <c:v>43556</c:v>
                </c:pt>
                <c:pt idx="22">
                  <c:v>43647</c:v>
                </c:pt>
                <c:pt idx="23">
                  <c:v>43739</c:v>
                </c:pt>
                <c:pt idx="24">
                  <c:v>43831</c:v>
                </c:pt>
                <c:pt idx="25">
                  <c:v>43922</c:v>
                </c:pt>
                <c:pt idx="26">
                  <c:v>44013</c:v>
                </c:pt>
                <c:pt idx="27">
                  <c:v>44105</c:v>
                </c:pt>
                <c:pt idx="28">
                  <c:v>44197</c:v>
                </c:pt>
                <c:pt idx="29">
                  <c:v>44287</c:v>
                </c:pt>
                <c:pt idx="30">
                  <c:v>44378</c:v>
                </c:pt>
                <c:pt idx="31">
                  <c:v>44470</c:v>
                </c:pt>
                <c:pt idx="32">
                  <c:v>44562</c:v>
                </c:pt>
                <c:pt idx="33">
                  <c:v>44652</c:v>
                </c:pt>
                <c:pt idx="34">
                  <c:v>44743</c:v>
                </c:pt>
                <c:pt idx="35">
                  <c:v>44835</c:v>
                </c:pt>
                <c:pt idx="36">
                  <c:v>44927</c:v>
                </c:pt>
                <c:pt idx="37">
                  <c:v>45017</c:v>
                </c:pt>
                <c:pt idx="38">
                  <c:v>45108</c:v>
                </c:pt>
                <c:pt idx="39">
                  <c:v>45200</c:v>
                </c:pt>
                <c:pt idx="40">
                  <c:v>45292</c:v>
                </c:pt>
                <c:pt idx="41">
                  <c:v>45383</c:v>
                </c:pt>
                <c:pt idx="42">
                  <c:v>45474</c:v>
                </c:pt>
                <c:pt idx="43">
                  <c:v>45566</c:v>
                </c:pt>
                <c:pt idx="44">
                  <c:v>45658</c:v>
                </c:pt>
                <c:pt idx="45">
                  <c:v>45748</c:v>
                </c:pt>
                <c:pt idx="46">
                  <c:v>45839</c:v>
                </c:pt>
                <c:pt idx="47">
                  <c:v>45931</c:v>
                </c:pt>
              </c:numCache>
            </c:numRef>
          </c:cat>
          <c:val>
            <c:numRef>
              <c:f>'Chart Data'!$BG$20:$BG$67</c:f>
              <c:numCache>
                <c:formatCode>0.00</c:formatCode>
                <c:ptCount val="48"/>
                <c:pt idx="0">
                  <c:v>1.7747509743857486</c:v>
                </c:pt>
                <c:pt idx="1">
                  <c:v>1.7621110890507827</c:v>
                </c:pt>
                <c:pt idx="2">
                  <c:v>1.4521783181357615</c:v>
                </c:pt>
                <c:pt idx="3">
                  <c:v>0.90634441087613027</c:v>
                </c:pt>
                <c:pt idx="4">
                  <c:v>0.10060362173037296</c:v>
                </c:pt>
                <c:pt idx="5">
                  <c:v>-3.3266733266724913E-2</c:v>
                </c:pt>
                <c:pt idx="6">
                  <c:v>3.3355537069084409E-2</c:v>
                </c:pt>
                <c:pt idx="7">
                  <c:v>9.98003992015839E-2</c:v>
                </c:pt>
                <c:pt idx="8">
                  <c:v>0.33501507537689429</c:v>
                </c:pt>
                <c:pt idx="9">
                  <c:v>0.3330778370826622</c:v>
                </c:pt>
                <c:pt idx="10">
                  <c:v>0.69883504198500312</c:v>
                </c:pt>
                <c:pt idx="11">
                  <c:v>1.196410767696918</c:v>
                </c:pt>
                <c:pt idx="12">
                  <c:v>2.1702769836209121</c:v>
                </c:pt>
                <c:pt idx="13">
                  <c:v>2.755677290836644</c:v>
                </c:pt>
                <c:pt idx="14">
                  <c:v>2.8089547888451079</c:v>
                </c:pt>
                <c:pt idx="15">
                  <c:v>3.0213793103448272</c:v>
                </c:pt>
                <c:pt idx="16">
                  <c:v>2.7124509803921444</c:v>
                </c:pt>
                <c:pt idx="17">
                  <c:v>2.423262544987872</c:v>
                </c:pt>
                <c:pt idx="18">
                  <c:v>2.5072324011571845</c:v>
                </c:pt>
                <c:pt idx="19">
                  <c:v>2.2632444171997435</c:v>
                </c:pt>
                <c:pt idx="20">
                  <c:v>1.8453382611077926</c:v>
                </c:pt>
                <c:pt idx="21">
                  <c:v>2.0188952621781429</c:v>
                </c:pt>
                <c:pt idx="22">
                  <c:v>1.8501411100658387</c:v>
                </c:pt>
                <c:pt idx="23">
                  <c:v>1.4027435794088345</c:v>
                </c:pt>
                <c:pt idx="24">
                  <c:v>1.6557638238050687</c:v>
                </c:pt>
                <c:pt idx="25">
                  <c:v>0.68024118738403239</c:v>
                </c:pt>
                <c:pt idx="26">
                  <c:v>0.61570178087999405</c:v>
                </c:pt>
                <c:pt idx="27">
                  <c:v>0.58413789859757514</c:v>
                </c:pt>
                <c:pt idx="28">
                  <c:v>0.64535935913972531</c:v>
                </c:pt>
                <c:pt idx="29">
                  <c:v>2.0270276495785162</c:v>
                </c:pt>
                <c:pt idx="30">
                  <c:v>2.7539788108870242</c:v>
                </c:pt>
                <c:pt idx="31">
                  <c:v>4.8899434932935719</c:v>
                </c:pt>
                <c:pt idx="32">
                  <c:v>6.1984103210960857</c:v>
                </c:pt>
                <c:pt idx="33">
                  <c:v>9.1511767462904068</c:v>
                </c:pt>
                <c:pt idx="34">
                  <c:v>10.005958905884127</c:v>
                </c:pt>
                <c:pt idx="35">
                  <c:v>10.751748251748253</c:v>
                </c:pt>
                <c:pt idx="36">
                  <c:v>10.178266296223777</c:v>
                </c:pt>
                <c:pt idx="37">
                  <c:v>8.4390489688226875</c:v>
                </c:pt>
                <c:pt idx="38">
                  <c:v>6.7136184931289868</c:v>
                </c:pt>
                <c:pt idx="39">
                  <c:v>4.1568271507498054</c:v>
                </c:pt>
                <c:pt idx="40">
                  <c:v>3.5491136610421701</c:v>
                </c:pt>
                <c:pt idx="41">
                  <c:v>2.1108336442437317</c:v>
                </c:pt>
                <c:pt idx="42">
                  <c:v>2.0927701674276769</c:v>
                </c:pt>
                <c:pt idx="43">
                  <c:v>2.5582969036885856</c:v>
                </c:pt>
                <c:pt idx="44">
                  <c:v>2.7192785485689397</c:v>
                </c:pt>
                <c:pt idx="45">
                  <c:v>2.4867503080324251</c:v>
                </c:pt>
                <c:pt idx="46">
                  <c:v>2.7588540878524705</c:v>
                </c:pt>
                <c:pt idx="47">
                  <c:v>2.4929290660456189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6E-4599-A5E6-C1D44CA8266C}"/>
            </c:ext>
          </c:extLst>
        </c:ser>
        <c:ser>
          <c:idx val="5"/>
          <c:order val="5"/>
          <c:tx>
            <c:strRef>
              <c:f>'Chart Data'!$BI$3</c:f>
              <c:strCache>
                <c:ptCount val="1"/>
                <c:pt idx="0">
                  <c:v>2% TARGET</c:v>
                </c:pt>
              </c:strCache>
            </c:strRef>
          </c:tx>
          <c:spPr>
            <a:ln w="12700">
              <a:solidFill>
                <a:srgbClr val="495057"/>
              </a:solidFill>
              <a:prstDash val="dash"/>
            </a:ln>
          </c:spPr>
          <c:marker>
            <c:symbol val="none"/>
          </c:marker>
          <c:cat>
            <c:numRef>
              <c:f>'Chart Data'!$AM$20:$AM$67</c:f>
              <c:numCache>
                <c:formatCode>m/d/yyyy</c:formatCode>
                <c:ptCount val="48"/>
                <c:pt idx="0">
                  <c:v>41640</c:v>
                </c:pt>
                <c:pt idx="1">
                  <c:v>41730</c:v>
                </c:pt>
                <c:pt idx="2">
                  <c:v>41821</c:v>
                </c:pt>
                <c:pt idx="3">
                  <c:v>41913</c:v>
                </c:pt>
                <c:pt idx="4">
                  <c:v>42005</c:v>
                </c:pt>
                <c:pt idx="5">
                  <c:v>42095</c:v>
                </c:pt>
                <c:pt idx="6">
                  <c:v>42186</c:v>
                </c:pt>
                <c:pt idx="7">
                  <c:v>42278</c:v>
                </c:pt>
                <c:pt idx="8">
                  <c:v>42370</c:v>
                </c:pt>
                <c:pt idx="9">
                  <c:v>42461</c:v>
                </c:pt>
                <c:pt idx="10">
                  <c:v>42552</c:v>
                </c:pt>
                <c:pt idx="11">
                  <c:v>42644</c:v>
                </c:pt>
                <c:pt idx="12">
                  <c:v>42736</c:v>
                </c:pt>
                <c:pt idx="13">
                  <c:v>42826</c:v>
                </c:pt>
                <c:pt idx="14">
                  <c:v>42917</c:v>
                </c:pt>
                <c:pt idx="15">
                  <c:v>43009</c:v>
                </c:pt>
                <c:pt idx="16">
                  <c:v>43101</c:v>
                </c:pt>
                <c:pt idx="17">
                  <c:v>43191</c:v>
                </c:pt>
                <c:pt idx="18">
                  <c:v>43282</c:v>
                </c:pt>
                <c:pt idx="19">
                  <c:v>43374</c:v>
                </c:pt>
                <c:pt idx="20">
                  <c:v>43466</c:v>
                </c:pt>
                <c:pt idx="21">
                  <c:v>43556</c:v>
                </c:pt>
                <c:pt idx="22">
                  <c:v>43647</c:v>
                </c:pt>
                <c:pt idx="23">
                  <c:v>43739</c:v>
                </c:pt>
                <c:pt idx="24">
                  <c:v>43831</c:v>
                </c:pt>
                <c:pt idx="25">
                  <c:v>43922</c:v>
                </c:pt>
                <c:pt idx="26">
                  <c:v>44013</c:v>
                </c:pt>
                <c:pt idx="27">
                  <c:v>44105</c:v>
                </c:pt>
                <c:pt idx="28">
                  <c:v>44197</c:v>
                </c:pt>
                <c:pt idx="29">
                  <c:v>44287</c:v>
                </c:pt>
                <c:pt idx="30">
                  <c:v>44378</c:v>
                </c:pt>
                <c:pt idx="31">
                  <c:v>44470</c:v>
                </c:pt>
                <c:pt idx="32">
                  <c:v>44562</c:v>
                </c:pt>
                <c:pt idx="33">
                  <c:v>44652</c:v>
                </c:pt>
                <c:pt idx="34">
                  <c:v>44743</c:v>
                </c:pt>
                <c:pt idx="35">
                  <c:v>44835</c:v>
                </c:pt>
                <c:pt idx="36">
                  <c:v>44927</c:v>
                </c:pt>
                <c:pt idx="37">
                  <c:v>45017</c:v>
                </c:pt>
                <c:pt idx="38">
                  <c:v>45108</c:v>
                </c:pt>
                <c:pt idx="39">
                  <c:v>45200</c:v>
                </c:pt>
                <c:pt idx="40">
                  <c:v>45292</c:v>
                </c:pt>
                <c:pt idx="41">
                  <c:v>45383</c:v>
                </c:pt>
                <c:pt idx="42">
                  <c:v>45474</c:v>
                </c:pt>
                <c:pt idx="43">
                  <c:v>45566</c:v>
                </c:pt>
                <c:pt idx="44">
                  <c:v>45658</c:v>
                </c:pt>
                <c:pt idx="45">
                  <c:v>45748</c:v>
                </c:pt>
                <c:pt idx="46">
                  <c:v>45839</c:v>
                </c:pt>
                <c:pt idx="47">
                  <c:v>45931</c:v>
                </c:pt>
              </c:numCache>
            </c:numRef>
          </c:cat>
          <c:val>
            <c:numRef>
              <c:f>'Chart Data'!$BI$20:$BI$67</c:f>
              <c:numCache>
                <c:formatCode>General</c:formatCode>
                <c:ptCount val="4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4D9-4307-8657-D7393DE94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934208"/>
        <c:axId val="275936000"/>
      </c:lineChart>
      <c:catAx>
        <c:axId val="275934208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6000"/>
        <c:crosses val="autoZero"/>
        <c:auto val="0"/>
        <c:lblAlgn val="ctr"/>
        <c:lblOffset val="100"/>
        <c:tickLblSkip val="4"/>
        <c:tickMarkSkip val="4"/>
        <c:noMultiLvlLbl val="0"/>
      </c:catAx>
      <c:valAx>
        <c:axId val="27593600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4208"/>
        <c:crossesAt val="1"/>
        <c:crossBetween val="between"/>
      </c:valAx>
      <c:spPr>
        <a:noFill/>
      </c:spPr>
    </c:plotArea>
    <c:legend>
      <c:legendPos val="r"/>
      <c:legendEntry>
        <c:idx val="5"/>
        <c:delete val="1"/>
      </c:legendEntry>
      <c:layout>
        <c:manualLayout>
          <c:xMode val="edge"/>
          <c:yMode val="edge"/>
          <c:x val="0.31110963491406352"/>
          <c:y val="0.15981959677037086"/>
          <c:w val="0.12696146058099161"/>
          <c:h val="0.28029010612924904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6.0263653483992466E-3"/>
          <c:y val="0.12464589235127478"/>
          <c:w val="0.99158764476474337"/>
          <c:h val="0.80830972615675167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'Chart Data'!$AJ$3</c:f>
              <c:strCache>
                <c:ptCount val="1"/>
                <c:pt idx="0">
                  <c:v>Real wages</c:v>
                </c:pt>
              </c:strCache>
            </c:strRef>
          </c:tx>
          <c:spPr>
            <a:solidFill>
              <a:srgbClr val="7B7C77"/>
            </a:solidFill>
            <a:ln w="6350">
              <a:noFill/>
            </a:ln>
          </c:spPr>
          <c:invertIfNegative val="0"/>
          <c:cat>
            <c:numRef>
              <c:f>'Chart Data'!$AG$4:$AG$67</c:f>
              <c:numCache>
                <c:formatCode>m/d/yyyy</c:formatCode>
                <c:ptCount val="64"/>
                <c:pt idx="0">
                  <c:v>40179</c:v>
                </c:pt>
                <c:pt idx="1">
                  <c:v>40269</c:v>
                </c:pt>
                <c:pt idx="2">
                  <c:v>40360</c:v>
                </c:pt>
                <c:pt idx="3">
                  <c:v>40452</c:v>
                </c:pt>
                <c:pt idx="4">
                  <c:v>40544</c:v>
                </c:pt>
                <c:pt idx="5">
                  <c:v>40634</c:v>
                </c:pt>
                <c:pt idx="6">
                  <c:v>40725</c:v>
                </c:pt>
                <c:pt idx="7">
                  <c:v>40817</c:v>
                </c:pt>
                <c:pt idx="8">
                  <c:v>40909</c:v>
                </c:pt>
                <c:pt idx="9">
                  <c:v>41000</c:v>
                </c:pt>
                <c:pt idx="10">
                  <c:v>41091</c:v>
                </c:pt>
                <c:pt idx="11">
                  <c:v>41183</c:v>
                </c:pt>
                <c:pt idx="12">
                  <c:v>41275</c:v>
                </c:pt>
                <c:pt idx="13">
                  <c:v>41365</c:v>
                </c:pt>
                <c:pt idx="14">
                  <c:v>41456</c:v>
                </c:pt>
                <c:pt idx="15">
                  <c:v>41548</c:v>
                </c:pt>
                <c:pt idx="16">
                  <c:v>41640</c:v>
                </c:pt>
                <c:pt idx="17">
                  <c:v>41730</c:v>
                </c:pt>
                <c:pt idx="18">
                  <c:v>41821</c:v>
                </c:pt>
                <c:pt idx="19">
                  <c:v>41913</c:v>
                </c:pt>
                <c:pt idx="20">
                  <c:v>42005</c:v>
                </c:pt>
                <c:pt idx="21">
                  <c:v>42095</c:v>
                </c:pt>
                <c:pt idx="22">
                  <c:v>42186</c:v>
                </c:pt>
                <c:pt idx="23">
                  <c:v>42278</c:v>
                </c:pt>
                <c:pt idx="24">
                  <c:v>42370</c:v>
                </c:pt>
                <c:pt idx="25">
                  <c:v>42461</c:v>
                </c:pt>
                <c:pt idx="26">
                  <c:v>42552</c:v>
                </c:pt>
                <c:pt idx="27">
                  <c:v>42644</c:v>
                </c:pt>
                <c:pt idx="28">
                  <c:v>42736</c:v>
                </c:pt>
                <c:pt idx="29">
                  <c:v>42826</c:v>
                </c:pt>
                <c:pt idx="30">
                  <c:v>42917</c:v>
                </c:pt>
                <c:pt idx="31">
                  <c:v>43009</c:v>
                </c:pt>
                <c:pt idx="32">
                  <c:v>43101</c:v>
                </c:pt>
                <c:pt idx="33">
                  <c:v>43191</c:v>
                </c:pt>
                <c:pt idx="34">
                  <c:v>43282</c:v>
                </c:pt>
                <c:pt idx="35">
                  <c:v>43374</c:v>
                </c:pt>
                <c:pt idx="36">
                  <c:v>43466</c:v>
                </c:pt>
                <c:pt idx="37">
                  <c:v>43556</c:v>
                </c:pt>
                <c:pt idx="38">
                  <c:v>43647</c:v>
                </c:pt>
                <c:pt idx="39">
                  <c:v>43739</c:v>
                </c:pt>
                <c:pt idx="40">
                  <c:v>43831</c:v>
                </c:pt>
                <c:pt idx="41">
                  <c:v>43922</c:v>
                </c:pt>
                <c:pt idx="42">
                  <c:v>44013</c:v>
                </c:pt>
                <c:pt idx="43">
                  <c:v>44105</c:v>
                </c:pt>
                <c:pt idx="44">
                  <c:v>44197</c:v>
                </c:pt>
                <c:pt idx="45">
                  <c:v>44287</c:v>
                </c:pt>
                <c:pt idx="46">
                  <c:v>44378</c:v>
                </c:pt>
                <c:pt idx="47">
                  <c:v>44470</c:v>
                </c:pt>
                <c:pt idx="48">
                  <c:v>44562</c:v>
                </c:pt>
                <c:pt idx="49">
                  <c:v>44652</c:v>
                </c:pt>
                <c:pt idx="50">
                  <c:v>44743</c:v>
                </c:pt>
                <c:pt idx="51">
                  <c:v>44835</c:v>
                </c:pt>
                <c:pt idx="52">
                  <c:v>44927</c:v>
                </c:pt>
                <c:pt idx="53">
                  <c:v>45017</c:v>
                </c:pt>
                <c:pt idx="54">
                  <c:v>45108</c:v>
                </c:pt>
                <c:pt idx="55">
                  <c:v>45200</c:v>
                </c:pt>
                <c:pt idx="56">
                  <c:v>45292</c:v>
                </c:pt>
                <c:pt idx="57">
                  <c:v>45383</c:v>
                </c:pt>
                <c:pt idx="58">
                  <c:v>45474</c:v>
                </c:pt>
                <c:pt idx="59">
                  <c:v>45566</c:v>
                </c:pt>
                <c:pt idx="60">
                  <c:v>45658</c:v>
                </c:pt>
                <c:pt idx="61">
                  <c:v>45748</c:v>
                </c:pt>
                <c:pt idx="62">
                  <c:v>45839</c:v>
                </c:pt>
                <c:pt idx="63">
                  <c:v>45931</c:v>
                </c:pt>
              </c:numCache>
            </c:numRef>
          </c:cat>
          <c:val>
            <c:numRef>
              <c:f>'Chart Data'!$AJ$4:$AJ$67</c:f>
              <c:numCache>
                <c:formatCode>0.0</c:formatCode>
                <c:ptCount val="64"/>
                <c:pt idx="0">
                  <c:v>1.710714101572508</c:v>
                </c:pt>
                <c:pt idx="1">
                  <c:v>-2.4834708787357052</c:v>
                </c:pt>
                <c:pt idx="2">
                  <c:v>-1.5837507143766416</c:v>
                </c:pt>
                <c:pt idx="3">
                  <c:v>-1.4544572086947927</c:v>
                </c:pt>
                <c:pt idx="4">
                  <c:v>-1.2143329256381286</c:v>
                </c:pt>
                <c:pt idx="5">
                  <c:v>-1.8372438658000645</c:v>
                </c:pt>
                <c:pt idx="6">
                  <c:v>-2.4368927240927984</c:v>
                </c:pt>
                <c:pt idx="7">
                  <c:v>-2.7431814571823088</c:v>
                </c:pt>
                <c:pt idx="8">
                  <c:v>-2.9713732485310729</c:v>
                </c:pt>
                <c:pt idx="9">
                  <c:v>-1.0618665193494747</c:v>
                </c:pt>
                <c:pt idx="10">
                  <c:v>-0.54726574140717688</c:v>
                </c:pt>
                <c:pt idx="11">
                  <c:v>-1.5063044217532129</c:v>
                </c:pt>
                <c:pt idx="12">
                  <c:v>-2.2603852206125152</c:v>
                </c:pt>
                <c:pt idx="13">
                  <c:v>-0.58080276159184763</c:v>
                </c:pt>
                <c:pt idx="14">
                  <c:v>-2.0932002487209944</c:v>
                </c:pt>
                <c:pt idx="15">
                  <c:v>-1.0803612029085752</c:v>
                </c:pt>
                <c:pt idx="16">
                  <c:v>-3.3096276152466686E-2</c:v>
                </c:pt>
                <c:pt idx="17">
                  <c:v>-1.974726270667726</c:v>
                </c:pt>
                <c:pt idx="18">
                  <c:v>-0.59380921942333575</c:v>
                </c:pt>
                <c:pt idx="19">
                  <c:v>1.0936483034100997</c:v>
                </c:pt>
                <c:pt idx="20">
                  <c:v>2.1818573113980833</c:v>
                </c:pt>
                <c:pt idx="21">
                  <c:v>2.5900850966771305</c:v>
                </c:pt>
                <c:pt idx="22">
                  <c:v>2.8744529735692081</c:v>
                </c:pt>
                <c:pt idx="23">
                  <c:v>1.7909559033194133</c:v>
                </c:pt>
                <c:pt idx="24">
                  <c:v>1.8267631673009266</c:v>
                </c:pt>
                <c:pt idx="25">
                  <c:v>2.2292630605863506</c:v>
                </c:pt>
                <c:pt idx="26">
                  <c:v>1.644369482949215</c:v>
                </c:pt>
                <c:pt idx="27">
                  <c:v>1.2778160364267821</c:v>
                </c:pt>
                <c:pt idx="28">
                  <c:v>1.4030332714076721E-2</c:v>
                </c:pt>
                <c:pt idx="29">
                  <c:v>-0.59498871289529465</c:v>
                </c:pt>
                <c:pt idx="30">
                  <c:v>-0.4520456979359988</c:v>
                </c:pt>
                <c:pt idx="31">
                  <c:v>-0.33862277110940919</c:v>
                </c:pt>
                <c:pt idx="32">
                  <c:v>-0.10724055955049216</c:v>
                </c:pt>
                <c:pt idx="33">
                  <c:v>2.2223406465271545E-2</c:v>
                </c:pt>
                <c:pt idx="34">
                  <c:v>0.58485950067888037</c:v>
                </c:pt>
                <c:pt idx="35">
                  <c:v>1.1985520205400668</c:v>
                </c:pt>
                <c:pt idx="36">
                  <c:v>1.4098765826422222</c:v>
                </c:pt>
                <c:pt idx="37">
                  <c:v>1.9165819032749498</c:v>
                </c:pt>
                <c:pt idx="38">
                  <c:v>1.9788316933146755</c:v>
                </c:pt>
                <c:pt idx="39">
                  <c:v>1.3118965721063081</c:v>
                </c:pt>
                <c:pt idx="40">
                  <c:v>0.55103301057093379</c:v>
                </c:pt>
                <c:pt idx="41">
                  <c:v>-1.7975596231382229</c:v>
                </c:pt>
                <c:pt idx="42">
                  <c:v>0.85940586971051669</c:v>
                </c:pt>
                <c:pt idx="43">
                  <c:v>3.9641168370050606</c:v>
                </c:pt>
                <c:pt idx="44">
                  <c:v>3.549588462880493</c:v>
                </c:pt>
                <c:pt idx="45">
                  <c:v>6.8241964558828814</c:v>
                </c:pt>
                <c:pt idx="46">
                  <c:v>3.3029688606421859</c:v>
                </c:pt>
                <c:pt idx="47">
                  <c:v>-0.36318864320539213</c:v>
                </c:pt>
                <c:pt idx="48">
                  <c:v>0.78796623307797464</c:v>
                </c:pt>
                <c:pt idx="49">
                  <c:v>-4.0185296874668763</c:v>
                </c:pt>
                <c:pt idx="50">
                  <c:v>-4.1236120116720851</c:v>
                </c:pt>
                <c:pt idx="51">
                  <c:v>-4.3963042897372295</c:v>
                </c:pt>
                <c:pt idx="52">
                  <c:v>-3.8694668325381496</c:v>
                </c:pt>
                <c:pt idx="53">
                  <c:v>-0.15600499093151399</c:v>
                </c:pt>
                <c:pt idx="54">
                  <c:v>1.2691161347027302</c:v>
                </c:pt>
                <c:pt idx="55">
                  <c:v>1.6073296850067642</c:v>
                </c:pt>
                <c:pt idx="56">
                  <c:v>2.3852958097756005</c:v>
                </c:pt>
                <c:pt idx="57">
                  <c:v>2.4484368724735806</c:v>
                </c:pt>
                <c:pt idx="58">
                  <c:v>2.039078190806487</c:v>
                </c:pt>
                <c:pt idx="59">
                  <c:v>2.7617528303089278</c:v>
                </c:pt>
                <c:pt idx="60">
                  <c:v>1.6276848100042152</c:v>
                </c:pt>
                <c:pt idx="61">
                  <c:v>1.104034575688484</c:v>
                </c:pt>
                <c:pt idx="62">
                  <c:v>0.51000294543186442</c:v>
                </c:pt>
                <c:pt idx="63">
                  <c:v>0.42296857567134527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63607040"/>
        <c:axId val="263608576"/>
      </c:barChart>
      <c:lineChart>
        <c:grouping val="standard"/>
        <c:varyColors val="0"/>
        <c:ser>
          <c:idx val="0"/>
          <c:order val="0"/>
          <c:tx>
            <c:strRef>
              <c:f>'Chart Data'!$AH$3</c:f>
              <c:strCache>
                <c:ptCount val="1"/>
                <c:pt idx="0">
                  <c:v>Average weekly earnings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Data'!$AG$4:$AG$67</c:f>
              <c:numCache>
                <c:formatCode>m/d/yyyy</c:formatCode>
                <c:ptCount val="64"/>
                <c:pt idx="0">
                  <c:v>40179</c:v>
                </c:pt>
                <c:pt idx="1">
                  <c:v>40269</c:v>
                </c:pt>
                <c:pt idx="2">
                  <c:v>40360</c:v>
                </c:pt>
                <c:pt idx="3">
                  <c:v>40452</c:v>
                </c:pt>
                <c:pt idx="4">
                  <c:v>40544</c:v>
                </c:pt>
                <c:pt idx="5">
                  <c:v>40634</c:v>
                </c:pt>
                <c:pt idx="6">
                  <c:v>40725</c:v>
                </c:pt>
                <c:pt idx="7">
                  <c:v>40817</c:v>
                </c:pt>
                <c:pt idx="8">
                  <c:v>40909</c:v>
                </c:pt>
                <c:pt idx="9">
                  <c:v>41000</c:v>
                </c:pt>
                <c:pt idx="10">
                  <c:v>41091</c:v>
                </c:pt>
                <c:pt idx="11">
                  <c:v>41183</c:v>
                </c:pt>
                <c:pt idx="12">
                  <c:v>41275</c:v>
                </c:pt>
                <c:pt idx="13">
                  <c:v>41365</c:v>
                </c:pt>
                <c:pt idx="14">
                  <c:v>41456</c:v>
                </c:pt>
                <c:pt idx="15">
                  <c:v>41548</c:v>
                </c:pt>
                <c:pt idx="16">
                  <c:v>41640</c:v>
                </c:pt>
                <c:pt idx="17">
                  <c:v>41730</c:v>
                </c:pt>
                <c:pt idx="18">
                  <c:v>41821</c:v>
                </c:pt>
                <c:pt idx="19">
                  <c:v>41913</c:v>
                </c:pt>
                <c:pt idx="20">
                  <c:v>42005</c:v>
                </c:pt>
                <c:pt idx="21">
                  <c:v>42095</c:v>
                </c:pt>
                <c:pt idx="22">
                  <c:v>42186</c:v>
                </c:pt>
                <c:pt idx="23">
                  <c:v>42278</c:v>
                </c:pt>
                <c:pt idx="24">
                  <c:v>42370</c:v>
                </c:pt>
                <c:pt idx="25">
                  <c:v>42461</c:v>
                </c:pt>
                <c:pt idx="26">
                  <c:v>42552</c:v>
                </c:pt>
                <c:pt idx="27">
                  <c:v>42644</c:v>
                </c:pt>
                <c:pt idx="28">
                  <c:v>42736</c:v>
                </c:pt>
                <c:pt idx="29">
                  <c:v>42826</c:v>
                </c:pt>
                <c:pt idx="30">
                  <c:v>42917</c:v>
                </c:pt>
                <c:pt idx="31">
                  <c:v>43009</c:v>
                </c:pt>
                <c:pt idx="32">
                  <c:v>43101</c:v>
                </c:pt>
                <c:pt idx="33">
                  <c:v>43191</c:v>
                </c:pt>
                <c:pt idx="34">
                  <c:v>43282</c:v>
                </c:pt>
                <c:pt idx="35">
                  <c:v>43374</c:v>
                </c:pt>
                <c:pt idx="36">
                  <c:v>43466</c:v>
                </c:pt>
                <c:pt idx="37">
                  <c:v>43556</c:v>
                </c:pt>
                <c:pt idx="38">
                  <c:v>43647</c:v>
                </c:pt>
                <c:pt idx="39">
                  <c:v>43739</c:v>
                </c:pt>
                <c:pt idx="40">
                  <c:v>43831</c:v>
                </c:pt>
                <c:pt idx="41">
                  <c:v>43922</c:v>
                </c:pt>
                <c:pt idx="42">
                  <c:v>44013</c:v>
                </c:pt>
                <c:pt idx="43">
                  <c:v>44105</c:v>
                </c:pt>
                <c:pt idx="44">
                  <c:v>44197</c:v>
                </c:pt>
                <c:pt idx="45">
                  <c:v>44287</c:v>
                </c:pt>
                <c:pt idx="46">
                  <c:v>44378</c:v>
                </c:pt>
                <c:pt idx="47">
                  <c:v>44470</c:v>
                </c:pt>
                <c:pt idx="48">
                  <c:v>44562</c:v>
                </c:pt>
                <c:pt idx="49">
                  <c:v>44652</c:v>
                </c:pt>
                <c:pt idx="50">
                  <c:v>44743</c:v>
                </c:pt>
                <c:pt idx="51">
                  <c:v>44835</c:v>
                </c:pt>
                <c:pt idx="52">
                  <c:v>44927</c:v>
                </c:pt>
                <c:pt idx="53">
                  <c:v>45017</c:v>
                </c:pt>
                <c:pt idx="54">
                  <c:v>45108</c:v>
                </c:pt>
                <c:pt idx="55">
                  <c:v>45200</c:v>
                </c:pt>
                <c:pt idx="56">
                  <c:v>45292</c:v>
                </c:pt>
                <c:pt idx="57">
                  <c:v>45383</c:v>
                </c:pt>
                <c:pt idx="58">
                  <c:v>45474</c:v>
                </c:pt>
                <c:pt idx="59">
                  <c:v>45566</c:v>
                </c:pt>
                <c:pt idx="60">
                  <c:v>45658</c:v>
                </c:pt>
                <c:pt idx="61">
                  <c:v>45748</c:v>
                </c:pt>
                <c:pt idx="62">
                  <c:v>45839</c:v>
                </c:pt>
                <c:pt idx="63">
                  <c:v>45931</c:v>
                </c:pt>
              </c:numCache>
            </c:numRef>
          </c:cat>
          <c:val>
            <c:numRef>
              <c:f>'Chart Data'!$AH$4:$AH$67</c:f>
              <c:numCache>
                <c:formatCode>0.0</c:formatCode>
                <c:ptCount val="64"/>
                <c:pt idx="0">
                  <c:v>4.9881235154394243</c:v>
                </c:pt>
                <c:pt idx="1">
                  <c:v>0.99009131834795205</c:v>
                </c:pt>
                <c:pt idx="2">
                  <c:v>1.5220776255707724</c:v>
                </c:pt>
                <c:pt idx="3">
                  <c:v>1.8953675591078412</c:v>
                </c:pt>
                <c:pt idx="4">
                  <c:v>2.8657692307692217</c:v>
                </c:pt>
                <c:pt idx="5">
                  <c:v>2.5640950226244463</c:v>
                </c:pt>
                <c:pt idx="6">
                  <c:v>2.2488753936375172</c:v>
                </c:pt>
                <c:pt idx="7">
                  <c:v>1.9345312500000045</c:v>
                </c:pt>
                <c:pt idx="8">
                  <c:v>0.51318911193627414</c:v>
                </c:pt>
                <c:pt idx="9">
                  <c:v>1.6176618836515999</c:v>
                </c:pt>
                <c:pt idx="10">
                  <c:v>1.8328371090295503</c:v>
                </c:pt>
                <c:pt idx="11">
                  <c:v>1.1678758271623568</c:v>
                </c:pt>
                <c:pt idx="12">
                  <c:v>0.5105689277899339</c:v>
                </c:pt>
                <c:pt idx="13">
                  <c:v>2.0983934805793414</c:v>
                </c:pt>
                <c:pt idx="14">
                  <c:v>0.64794816414686096</c:v>
                </c:pt>
                <c:pt idx="15">
                  <c:v>1.0101082251082305</c:v>
                </c:pt>
                <c:pt idx="16">
                  <c:v>1.7416546982332859</c:v>
                </c:pt>
                <c:pt idx="17">
                  <c:v>-0.21261518161694859</c:v>
                </c:pt>
                <c:pt idx="18">
                  <c:v>0.85836909871244149</c:v>
                </c:pt>
                <c:pt idx="19">
                  <c:v>1.9999927142862362</c:v>
                </c:pt>
                <c:pt idx="20">
                  <c:v>2.2824609331284496</c:v>
                </c:pt>
                <c:pt idx="21">
                  <c:v>2.5568183634103958</c:v>
                </c:pt>
                <c:pt idx="22">
                  <c:v>2.9078085106382989</c:v>
                </c:pt>
                <c:pt idx="23">
                  <c:v>1.8907563025210017</c:v>
                </c:pt>
                <c:pt idx="24">
                  <c:v>2.1617782426778254</c:v>
                </c:pt>
                <c:pt idx="25">
                  <c:v>2.5623408976690243</c:v>
                </c:pt>
                <c:pt idx="26">
                  <c:v>2.343204524934217</c:v>
                </c:pt>
                <c:pt idx="27">
                  <c:v>2.4742268041237025</c:v>
                </c:pt>
                <c:pt idx="28">
                  <c:v>2.1843073163349658</c:v>
                </c:pt>
                <c:pt idx="29">
                  <c:v>2.1606885779413609</c:v>
                </c:pt>
                <c:pt idx="30">
                  <c:v>2.3569090909090873</c:v>
                </c:pt>
                <c:pt idx="31">
                  <c:v>2.6827565392354202</c:v>
                </c:pt>
                <c:pt idx="32">
                  <c:v>2.6052104208416749</c:v>
                </c:pt>
                <c:pt idx="33">
                  <c:v>2.4454859514531302</c:v>
                </c:pt>
                <c:pt idx="34">
                  <c:v>3.0920919018360582</c:v>
                </c:pt>
                <c:pt idx="35">
                  <c:v>3.4617964377398058</c:v>
                </c:pt>
                <c:pt idx="36">
                  <c:v>3.2552148437499984</c:v>
                </c:pt>
                <c:pt idx="37">
                  <c:v>3.9354771654530829</c:v>
                </c:pt>
                <c:pt idx="38">
                  <c:v>3.8289728033805259</c:v>
                </c:pt>
                <c:pt idx="39">
                  <c:v>2.7146401515151464</c:v>
                </c:pt>
                <c:pt idx="40">
                  <c:v>2.2067968343759903</c:v>
                </c:pt>
                <c:pt idx="41">
                  <c:v>-1.1173184357541888</c:v>
                </c:pt>
                <c:pt idx="42">
                  <c:v>1.4751076505905125</c:v>
                </c:pt>
                <c:pt idx="43">
                  <c:v>4.5482547356026304</c:v>
                </c:pt>
                <c:pt idx="44">
                  <c:v>4.1949478220202119</c:v>
                </c:pt>
                <c:pt idx="45">
                  <c:v>8.851224105461398</c:v>
                </c:pt>
                <c:pt idx="46">
                  <c:v>6.0569476715292225</c:v>
                </c:pt>
                <c:pt idx="47">
                  <c:v>4.5267548500881771</c:v>
                </c:pt>
                <c:pt idx="48">
                  <c:v>6.9863765541740674</c:v>
                </c:pt>
                <c:pt idx="49">
                  <c:v>5.1326470588235251</c:v>
                </c:pt>
                <c:pt idx="50">
                  <c:v>5.8823468942120538</c:v>
                </c:pt>
                <c:pt idx="51">
                  <c:v>6.3554439620110204</c:v>
                </c:pt>
                <c:pt idx="52">
                  <c:v>6.3087994636856326</c:v>
                </c:pt>
                <c:pt idx="53">
                  <c:v>8.2830439778911682</c:v>
                </c:pt>
                <c:pt idx="54">
                  <c:v>7.9827346278317224</c:v>
                </c:pt>
                <c:pt idx="55">
                  <c:v>5.7641568357565731</c:v>
                </c:pt>
                <c:pt idx="56">
                  <c:v>5.9344094708177808</c:v>
                </c:pt>
                <c:pt idx="57">
                  <c:v>4.5592705167173175</c:v>
                </c:pt>
                <c:pt idx="58">
                  <c:v>4.1318483582341914</c:v>
                </c:pt>
                <c:pt idx="59">
                  <c:v>5.3200497339975117</c:v>
                </c:pt>
                <c:pt idx="60">
                  <c:v>4.3469633585731415</c:v>
                </c:pt>
                <c:pt idx="61">
                  <c:v>3.5907848837209322</c:v>
                </c:pt>
                <c:pt idx="62">
                  <c:v>3.2688570332843225</c:v>
                </c:pt>
                <c:pt idx="63">
                  <c:v>2.915897641716958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Data'!$AI$3</c:f>
              <c:strCache>
                <c:ptCount val="1"/>
                <c:pt idx="0">
                  <c:v>CPI inflation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Data'!$AG$4:$AG$67</c:f>
              <c:numCache>
                <c:formatCode>m/d/yyyy</c:formatCode>
                <c:ptCount val="64"/>
                <c:pt idx="0">
                  <c:v>40179</c:v>
                </c:pt>
                <c:pt idx="1">
                  <c:v>40269</c:v>
                </c:pt>
                <c:pt idx="2">
                  <c:v>40360</c:v>
                </c:pt>
                <c:pt idx="3">
                  <c:v>40452</c:v>
                </c:pt>
                <c:pt idx="4">
                  <c:v>40544</c:v>
                </c:pt>
                <c:pt idx="5">
                  <c:v>40634</c:v>
                </c:pt>
                <c:pt idx="6">
                  <c:v>40725</c:v>
                </c:pt>
                <c:pt idx="7">
                  <c:v>40817</c:v>
                </c:pt>
                <c:pt idx="8">
                  <c:v>40909</c:v>
                </c:pt>
                <c:pt idx="9">
                  <c:v>41000</c:v>
                </c:pt>
                <c:pt idx="10">
                  <c:v>41091</c:v>
                </c:pt>
                <c:pt idx="11">
                  <c:v>41183</c:v>
                </c:pt>
                <c:pt idx="12">
                  <c:v>41275</c:v>
                </c:pt>
                <c:pt idx="13">
                  <c:v>41365</c:v>
                </c:pt>
                <c:pt idx="14">
                  <c:v>41456</c:v>
                </c:pt>
                <c:pt idx="15">
                  <c:v>41548</c:v>
                </c:pt>
                <c:pt idx="16">
                  <c:v>41640</c:v>
                </c:pt>
                <c:pt idx="17">
                  <c:v>41730</c:v>
                </c:pt>
                <c:pt idx="18">
                  <c:v>41821</c:v>
                </c:pt>
                <c:pt idx="19">
                  <c:v>41913</c:v>
                </c:pt>
                <c:pt idx="20">
                  <c:v>42005</c:v>
                </c:pt>
                <c:pt idx="21">
                  <c:v>42095</c:v>
                </c:pt>
                <c:pt idx="22">
                  <c:v>42186</c:v>
                </c:pt>
                <c:pt idx="23">
                  <c:v>42278</c:v>
                </c:pt>
                <c:pt idx="24">
                  <c:v>42370</c:v>
                </c:pt>
                <c:pt idx="25">
                  <c:v>42461</c:v>
                </c:pt>
                <c:pt idx="26">
                  <c:v>42552</c:v>
                </c:pt>
                <c:pt idx="27">
                  <c:v>42644</c:v>
                </c:pt>
                <c:pt idx="28">
                  <c:v>42736</c:v>
                </c:pt>
                <c:pt idx="29">
                  <c:v>42826</c:v>
                </c:pt>
                <c:pt idx="30">
                  <c:v>42917</c:v>
                </c:pt>
                <c:pt idx="31">
                  <c:v>43009</c:v>
                </c:pt>
                <c:pt idx="32">
                  <c:v>43101</c:v>
                </c:pt>
                <c:pt idx="33">
                  <c:v>43191</c:v>
                </c:pt>
                <c:pt idx="34">
                  <c:v>43282</c:v>
                </c:pt>
                <c:pt idx="35">
                  <c:v>43374</c:v>
                </c:pt>
                <c:pt idx="36">
                  <c:v>43466</c:v>
                </c:pt>
                <c:pt idx="37">
                  <c:v>43556</c:v>
                </c:pt>
                <c:pt idx="38">
                  <c:v>43647</c:v>
                </c:pt>
                <c:pt idx="39">
                  <c:v>43739</c:v>
                </c:pt>
                <c:pt idx="40">
                  <c:v>43831</c:v>
                </c:pt>
                <c:pt idx="41">
                  <c:v>43922</c:v>
                </c:pt>
                <c:pt idx="42">
                  <c:v>44013</c:v>
                </c:pt>
                <c:pt idx="43">
                  <c:v>44105</c:v>
                </c:pt>
                <c:pt idx="44">
                  <c:v>44197</c:v>
                </c:pt>
                <c:pt idx="45">
                  <c:v>44287</c:v>
                </c:pt>
                <c:pt idx="46">
                  <c:v>44378</c:v>
                </c:pt>
                <c:pt idx="47">
                  <c:v>44470</c:v>
                </c:pt>
                <c:pt idx="48">
                  <c:v>44562</c:v>
                </c:pt>
                <c:pt idx="49">
                  <c:v>44652</c:v>
                </c:pt>
                <c:pt idx="50">
                  <c:v>44743</c:v>
                </c:pt>
                <c:pt idx="51">
                  <c:v>44835</c:v>
                </c:pt>
                <c:pt idx="52">
                  <c:v>44927</c:v>
                </c:pt>
                <c:pt idx="53">
                  <c:v>45017</c:v>
                </c:pt>
                <c:pt idx="54">
                  <c:v>45108</c:v>
                </c:pt>
                <c:pt idx="55">
                  <c:v>45200</c:v>
                </c:pt>
                <c:pt idx="56">
                  <c:v>45292</c:v>
                </c:pt>
                <c:pt idx="57">
                  <c:v>45383</c:v>
                </c:pt>
                <c:pt idx="58">
                  <c:v>45474</c:v>
                </c:pt>
                <c:pt idx="59">
                  <c:v>45566</c:v>
                </c:pt>
                <c:pt idx="60">
                  <c:v>45658</c:v>
                </c:pt>
                <c:pt idx="61">
                  <c:v>45748</c:v>
                </c:pt>
                <c:pt idx="62">
                  <c:v>45839</c:v>
                </c:pt>
                <c:pt idx="63">
                  <c:v>45931</c:v>
                </c:pt>
              </c:numCache>
            </c:numRef>
          </c:cat>
          <c:val>
            <c:numRef>
              <c:f>'Chart Data'!$AI$4:$AI$67</c:f>
              <c:numCache>
                <c:formatCode>0.0</c:formatCode>
                <c:ptCount val="64"/>
                <c:pt idx="0">
                  <c:v>3.2774094138669163</c:v>
                </c:pt>
                <c:pt idx="1">
                  <c:v>3.4735621970836572</c:v>
                </c:pt>
                <c:pt idx="2">
                  <c:v>3.105828339947414</c:v>
                </c:pt>
                <c:pt idx="3">
                  <c:v>3.3498247678026338</c:v>
                </c:pt>
                <c:pt idx="4">
                  <c:v>4.0801021564073503</c:v>
                </c:pt>
                <c:pt idx="5">
                  <c:v>4.4013388884245108</c:v>
                </c:pt>
                <c:pt idx="6">
                  <c:v>4.6857681177303157</c:v>
                </c:pt>
                <c:pt idx="7">
                  <c:v>4.6777127071823132</c:v>
                </c:pt>
                <c:pt idx="8">
                  <c:v>3.484562360467347</c:v>
                </c:pt>
                <c:pt idx="9">
                  <c:v>2.6795284030010746</c:v>
                </c:pt>
                <c:pt idx="10">
                  <c:v>2.3801028504367272</c:v>
                </c:pt>
                <c:pt idx="11">
                  <c:v>2.6741802489155697</c:v>
                </c:pt>
                <c:pt idx="12">
                  <c:v>2.7709541484024491</c:v>
                </c:pt>
                <c:pt idx="13">
                  <c:v>2.679196242171189</c:v>
                </c:pt>
                <c:pt idx="14">
                  <c:v>2.7411484128678554</c:v>
                </c:pt>
                <c:pt idx="15">
                  <c:v>2.0904694280168057</c:v>
                </c:pt>
                <c:pt idx="16">
                  <c:v>1.7747509743857526</c:v>
                </c:pt>
                <c:pt idx="17">
                  <c:v>1.7621110890507774</c:v>
                </c:pt>
                <c:pt idx="18">
                  <c:v>1.4521783181357772</c:v>
                </c:pt>
                <c:pt idx="19">
                  <c:v>0.90634441087613649</c:v>
                </c:pt>
                <c:pt idx="20">
                  <c:v>0.1006036217303663</c:v>
                </c:pt>
                <c:pt idx="21">
                  <c:v>-3.3266733266734683E-2</c:v>
                </c:pt>
                <c:pt idx="22">
                  <c:v>3.3355537069090779E-2</c:v>
                </c:pt>
                <c:pt idx="23">
                  <c:v>9.9800399201588341E-2</c:v>
                </c:pt>
                <c:pt idx="24">
                  <c:v>0.33501507537689879</c:v>
                </c:pt>
                <c:pt idx="25">
                  <c:v>0.33307783708267369</c:v>
                </c:pt>
                <c:pt idx="26">
                  <c:v>0.69883504198500201</c:v>
                </c:pt>
                <c:pt idx="27">
                  <c:v>1.1964107676969205</c:v>
                </c:pt>
                <c:pt idx="28">
                  <c:v>2.1702769836208891</c:v>
                </c:pt>
                <c:pt idx="29">
                  <c:v>2.7556772908366556</c:v>
                </c:pt>
                <c:pt idx="30">
                  <c:v>2.8089547888450861</c:v>
                </c:pt>
                <c:pt idx="31">
                  <c:v>3.0213793103448294</c:v>
                </c:pt>
                <c:pt idx="32">
                  <c:v>2.712450980392167</c:v>
                </c:pt>
                <c:pt idx="33">
                  <c:v>2.4232625449878586</c:v>
                </c:pt>
                <c:pt idx="34">
                  <c:v>2.5072324011571778</c:v>
                </c:pt>
                <c:pt idx="35">
                  <c:v>2.263244417199739</c:v>
                </c:pt>
                <c:pt idx="36">
                  <c:v>1.8453382611077762</c:v>
                </c:pt>
                <c:pt idx="37">
                  <c:v>2.0188952621781331</c:v>
                </c:pt>
                <c:pt idx="38">
                  <c:v>1.8501411100658505</c:v>
                </c:pt>
                <c:pt idx="39">
                  <c:v>1.4027435794088383</c:v>
                </c:pt>
                <c:pt idx="40">
                  <c:v>1.6557638238050565</c:v>
                </c:pt>
                <c:pt idx="41">
                  <c:v>0.68024118738403416</c:v>
                </c:pt>
                <c:pt idx="42">
                  <c:v>0.61570178087999583</c:v>
                </c:pt>
                <c:pt idx="43">
                  <c:v>0.58413789859756982</c:v>
                </c:pt>
                <c:pt idx="44">
                  <c:v>0.64535935913971887</c:v>
                </c:pt>
                <c:pt idx="45">
                  <c:v>2.0270276495785167</c:v>
                </c:pt>
                <c:pt idx="46">
                  <c:v>2.7539788108870367</c:v>
                </c:pt>
                <c:pt idx="47">
                  <c:v>4.8899434932935693</c:v>
                </c:pt>
                <c:pt idx="48">
                  <c:v>6.1984103210960928</c:v>
                </c:pt>
                <c:pt idx="49">
                  <c:v>9.1511767462904015</c:v>
                </c:pt>
                <c:pt idx="50">
                  <c:v>10.005958905884139</c:v>
                </c:pt>
                <c:pt idx="51">
                  <c:v>10.75174825174825</c:v>
                </c:pt>
                <c:pt idx="52">
                  <c:v>10.178266296223782</c:v>
                </c:pt>
                <c:pt idx="53">
                  <c:v>8.4390489688226822</c:v>
                </c:pt>
                <c:pt idx="54">
                  <c:v>6.7136184931289922</c:v>
                </c:pt>
                <c:pt idx="55">
                  <c:v>4.1568271507498089</c:v>
                </c:pt>
                <c:pt idx="56">
                  <c:v>3.5491136610421803</c:v>
                </c:pt>
                <c:pt idx="57">
                  <c:v>2.110833644243737</c:v>
                </c:pt>
                <c:pt idx="58">
                  <c:v>2.0927701674277044</c:v>
                </c:pt>
                <c:pt idx="59">
                  <c:v>2.5582969036885839</c:v>
                </c:pt>
                <c:pt idx="60">
                  <c:v>2.7192785485689264</c:v>
                </c:pt>
                <c:pt idx="61">
                  <c:v>2.4867503080324482</c:v>
                </c:pt>
                <c:pt idx="62">
                  <c:v>2.7588540878524581</c:v>
                </c:pt>
                <c:pt idx="63">
                  <c:v>2.4929290660456127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3"/>
          <c:order val="3"/>
          <c:tx>
            <c:strRef>
              <c:f>'Chart Data'!$AK$3</c:f>
              <c:strCache>
                <c:ptCount val="1"/>
                <c:pt idx="0">
                  <c:v>ZERO LINE</c:v>
                </c:pt>
              </c:strCache>
            </c:strRef>
          </c:tx>
          <c:spPr>
            <a:ln w="127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Data'!$AG$4:$AG$67</c:f>
              <c:numCache>
                <c:formatCode>m/d/yyyy</c:formatCode>
                <c:ptCount val="64"/>
                <c:pt idx="0">
                  <c:v>40179</c:v>
                </c:pt>
                <c:pt idx="1">
                  <c:v>40269</c:v>
                </c:pt>
                <c:pt idx="2">
                  <c:v>40360</c:v>
                </c:pt>
                <c:pt idx="3">
                  <c:v>40452</c:v>
                </c:pt>
                <c:pt idx="4">
                  <c:v>40544</c:v>
                </c:pt>
                <c:pt idx="5">
                  <c:v>40634</c:v>
                </c:pt>
                <c:pt idx="6">
                  <c:v>40725</c:v>
                </c:pt>
                <c:pt idx="7">
                  <c:v>40817</c:v>
                </c:pt>
                <c:pt idx="8">
                  <c:v>40909</c:v>
                </c:pt>
                <c:pt idx="9">
                  <c:v>41000</c:v>
                </c:pt>
                <c:pt idx="10">
                  <c:v>41091</c:v>
                </c:pt>
                <c:pt idx="11">
                  <c:v>41183</c:v>
                </c:pt>
                <c:pt idx="12">
                  <c:v>41275</c:v>
                </c:pt>
                <c:pt idx="13">
                  <c:v>41365</c:v>
                </c:pt>
                <c:pt idx="14">
                  <c:v>41456</c:v>
                </c:pt>
                <c:pt idx="15">
                  <c:v>41548</c:v>
                </c:pt>
                <c:pt idx="16">
                  <c:v>41640</c:v>
                </c:pt>
                <c:pt idx="17">
                  <c:v>41730</c:v>
                </c:pt>
                <c:pt idx="18">
                  <c:v>41821</c:v>
                </c:pt>
                <c:pt idx="19">
                  <c:v>41913</c:v>
                </c:pt>
                <c:pt idx="20">
                  <c:v>42005</c:v>
                </c:pt>
                <c:pt idx="21">
                  <c:v>42095</c:v>
                </c:pt>
                <c:pt idx="22">
                  <c:v>42186</c:v>
                </c:pt>
                <c:pt idx="23">
                  <c:v>42278</c:v>
                </c:pt>
                <c:pt idx="24">
                  <c:v>42370</c:v>
                </c:pt>
                <c:pt idx="25">
                  <c:v>42461</c:v>
                </c:pt>
                <c:pt idx="26">
                  <c:v>42552</c:v>
                </c:pt>
                <c:pt idx="27">
                  <c:v>42644</c:v>
                </c:pt>
                <c:pt idx="28">
                  <c:v>42736</c:v>
                </c:pt>
                <c:pt idx="29">
                  <c:v>42826</c:v>
                </c:pt>
                <c:pt idx="30">
                  <c:v>42917</c:v>
                </c:pt>
                <c:pt idx="31">
                  <c:v>43009</c:v>
                </c:pt>
                <c:pt idx="32">
                  <c:v>43101</c:v>
                </c:pt>
                <c:pt idx="33">
                  <c:v>43191</c:v>
                </c:pt>
                <c:pt idx="34">
                  <c:v>43282</c:v>
                </c:pt>
                <c:pt idx="35">
                  <c:v>43374</c:v>
                </c:pt>
                <c:pt idx="36">
                  <c:v>43466</c:v>
                </c:pt>
                <c:pt idx="37">
                  <c:v>43556</c:v>
                </c:pt>
                <c:pt idx="38">
                  <c:v>43647</c:v>
                </c:pt>
                <c:pt idx="39">
                  <c:v>43739</c:v>
                </c:pt>
                <c:pt idx="40">
                  <c:v>43831</c:v>
                </c:pt>
                <c:pt idx="41">
                  <c:v>43922</c:v>
                </c:pt>
                <c:pt idx="42">
                  <c:v>44013</c:v>
                </c:pt>
                <c:pt idx="43">
                  <c:v>44105</c:v>
                </c:pt>
                <c:pt idx="44">
                  <c:v>44197</c:v>
                </c:pt>
                <c:pt idx="45">
                  <c:v>44287</c:v>
                </c:pt>
                <c:pt idx="46">
                  <c:v>44378</c:v>
                </c:pt>
                <c:pt idx="47">
                  <c:v>44470</c:v>
                </c:pt>
                <c:pt idx="48">
                  <c:v>44562</c:v>
                </c:pt>
                <c:pt idx="49">
                  <c:v>44652</c:v>
                </c:pt>
                <c:pt idx="50">
                  <c:v>44743</c:v>
                </c:pt>
                <c:pt idx="51">
                  <c:v>44835</c:v>
                </c:pt>
                <c:pt idx="52">
                  <c:v>44927</c:v>
                </c:pt>
                <c:pt idx="53">
                  <c:v>45017</c:v>
                </c:pt>
                <c:pt idx="54">
                  <c:v>45108</c:v>
                </c:pt>
                <c:pt idx="55">
                  <c:v>45200</c:v>
                </c:pt>
                <c:pt idx="56">
                  <c:v>45292</c:v>
                </c:pt>
                <c:pt idx="57">
                  <c:v>45383</c:v>
                </c:pt>
                <c:pt idx="58">
                  <c:v>45474</c:v>
                </c:pt>
                <c:pt idx="59">
                  <c:v>45566</c:v>
                </c:pt>
                <c:pt idx="60">
                  <c:v>45658</c:v>
                </c:pt>
                <c:pt idx="61">
                  <c:v>45748</c:v>
                </c:pt>
                <c:pt idx="62">
                  <c:v>45839</c:v>
                </c:pt>
                <c:pt idx="63">
                  <c:v>45931</c:v>
                </c:pt>
              </c:numCache>
            </c:numRef>
          </c:cat>
          <c:val>
            <c:numRef>
              <c:f>'Chart Data'!$AK$4:$AK$67</c:f>
              <c:numCache>
                <c:formatCode>General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0"/>
        <c:auto val="0"/>
        <c:lblAlgn val="ctr"/>
        <c:lblOffset val="100"/>
        <c:tickLblSkip val="8"/>
        <c:tickMarkSkip val="4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egendEntry>
        <c:idx val="3"/>
        <c:delete val="1"/>
      </c:legendEntry>
      <c:layout>
        <c:manualLayout>
          <c:xMode val="edge"/>
          <c:yMode val="edge"/>
          <c:x val="0.11177021516378248"/>
          <c:y val="9.5332247774977133E-2"/>
          <c:w val="0.8187852959058084"/>
          <c:h val="5.6101061021763217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0.12455026610694829"/>
          <c:w val="1"/>
          <c:h val="0.80768960445111926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Data'!$CB$3</c:f>
              <c:strCache>
                <c:ptCount val="1"/>
                <c:pt idx="0">
                  <c:v>Non-financial corporations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Data'!$CA$4:$CA$35</c:f>
              <c:numCache>
                <c:formatCode>mmm\-yy</c:formatCode>
                <c:ptCount val="32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  <c:pt idx="16">
                  <c:v>45017</c:v>
                </c:pt>
                <c:pt idx="17">
                  <c:v>45047</c:v>
                </c:pt>
                <c:pt idx="18">
                  <c:v>45078</c:v>
                </c:pt>
                <c:pt idx="19">
                  <c:v>45108</c:v>
                </c:pt>
                <c:pt idx="20">
                  <c:v>45139</c:v>
                </c:pt>
                <c:pt idx="21">
                  <c:v>45170</c:v>
                </c:pt>
                <c:pt idx="22">
                  <c:v>45200</c:v>
                </c:pt>
                <c:pt idx="23">
                  <c:v>45231</c:v>
                </c:pt>
                <c:pt idx="24">
                  <c:v>45261</c:v>
                </c:pt>
                <c:pt idx="25">
                  <c:v>45292</c:v>
                </c:pt>
                <c:pt idx="26">
                  <c:v>45323</c:v>
                </c:pt>
                <c:pt idx="27">
                  <c:v>45352</c:v>
                </c:pt>
                <c:pt idx="28">
                  <c:v>45383</c:v>
                </c:pt>
                <c:pt idx="29">
                  <c:v>45413</c:v>
                </c:pt>
                <c:pt idx="30">
                  <c:v>45444</c:v>
                </c:pt>
                <c:pt idx="31">
                  <c:v>45474</c:v>
                </c:pt>
              </c:numCache>
            </c:numRef>
          </c:cat>
          <c:val>
            <c:numRef>
              <c:f>'Chart Data'!$CB$4:$CB$35</c:f>
              <c:numCache>
                <c:formatCode>0.00</c:formatCode>
                <c:ptCount val="32"/>
                <c:pt idx="0">
                  <c:v>4.9999999999999822E-2</c:v>
                </c:pt>
                <c:pt idx="1">
                  <c:v>0.10999999999999988</c:v>
                </c:pt>
                <c:pt idx="2">
                  <c:v>0.25</c:v>
                </c:pt>
                <c:pt idx="3">
                  <c:v>0.34999999999999964</c:v>
                </c:pt>
                <c:pt idx="4">
                  <c:v>0.44999999999999973</c:v>
                </c:pt>
                <c:pt idx="5">
                  <c:v>0.64999999999999991</c:v>
                </c:pt>
                <c:pt idx="6">
                  <c:v>0.7799999999999998</c:v>
                </c:pt>
                <c:pt idx="7">
                  <c:v>0.85999999999999988</c:v>
                </c:pt>
                <c:pt idx="8">
                  <c:v>1.17</c:v>
                </c:pt>
                <c:pt idx="9">
                  <c:v>1.38</c:v>
                </c:pt>
                <c:pt idx="10">
                  <c:v>1.63</c:v>
                </c:pt>
                <c:pt idx="11">
                  <c:v>2.12</c:v>
                </c:pt>
                <c:pt idx="12">
                  <c:v>2.4399999999999995</c:v>
                </c:pt>
                <c:pt idx="13">
                  <c:v>2.5999999999999996</c:v>
                </c:pt>
                <c:pt idx="14">
                  <c:v>2.95</c:v>
                </c:pt>
                <c:pt idx="15">
                  <c:v>3.09</c:v>
                </c:pt>
                <c:pt idx="16">
                  <c:v>3.21</c:v>
                </c:pt>
                <c:pt idx="17">
                  <c:v>3.34</c:v>
                </c:pt>
                <c:pt idx="18">
                  <c:v>3.62</c:v>
                </c:pt>
                <c:pt idx="19">
                  <c:v>3.8099999999999996</c:v>
                </c:pt>
                <c:pt idx="20">
                  <c:v>4.01</c:v>
                </c:pt>
                <c:pt idx="21">
                  <c:v>4.1099999999999994</c:v>
                </c:pt>
                <c:pt idx="22">
                  <c:v>4.08</c:v>
                </c:pt>
                <c:pt idx="23">
                  <c:v>4.0999999999999996</c:v>
                </c:pt>
                <c:pt idx="24">
                  <c:v>4.12</c:v>
                </c:pt>
                <c:pt idx="25">
                  <c:v>4.1399999999999997</c:v>
                </c:pt>
                <c:pt idx="26">
                  <c:v>4.1499999999999995</c:v>
                </c:pt>
                <c:pt idx="27">
                  <c:v>4.18</c:v>
                </c:pt>
                <c:pt idx="28">
                  <c:v>4.17</c:v>
                </c:pt>
                <c:pt idx="29">
                  <c:v>4.18</c:v>
                </c:pt>
                <c:pt idx="30">
                  <c:v>4.22</c:v>
                </c:pt>
                <c:pt idx="31">
                  <c:v>4.18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Data'!$CC$3</c:f>
              <c:strCache>
                <c:ptCount val="1"/>
                <c:pt idx="0">
                  <c:v>Secured household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Data'!$CA$4:$CA$35</c:f>
              <c:numCache>
                <c:formatCode>mmm\-yy</c:formatCode>
                <c:ptCount val="32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  <c:pt idx="16">
                  <c:v>45017</c:v>
                </c:pt>
                <c:pt idx="17">
                  <c:v>45047</c:v>
                </c:pt>
                <c:pt idx="18">
                  <c:v>45078</c:v>
                </c:pt>
                <c:pt idx="19">
                  <c:v>45108</c:v>
                </c:pt>
                <c:pt idx="20">
                  <c:v>45139</c:v>
                </c:pt>
                <c:pt idx="21">
                  <c:v>45170</c:v>
                </c:pt>
                <c:pt idx="22">
                  <c:v>45200</c:v>
                </c:pt>
                <c:pt idx="23">
                  <c:v>45231</c:v>
                </c:pt>
                <c:pt idx="24">
                  <c:v>45261</c:v>
                </c:pt>
                <c:pt idx="25">
                  <c:v>45292</c:v>
                </c:pt>
                <c:pt idx="26">
                  <c:v>45323</c:v>
                </c:pt>
                <c:pt idx="27">
                  <c:v>45352</c:v>
                </c:pt>
                <c:pt idx="28">
                  <c:v>45383</c:v>
                </c:pt>
                <c:pt idx="29">
                  <c:v>45413</c:v>
                </c:pt>
                <c:pt idx="30">
                  <c:v>45444</c:v>
                </c:pt>
                <c:pt idx="31">
                  <c:v>45474</c:v>
                </c:pt>
              </c:numCache>
            </c:numRef>
          </c:cat>
          <c:val>
            <c:numRef>
              <c:f>'Chart Data'!$CC$4:$CC$35</c:f>
              <c:numCache>
                <c:formatCode>0.00</c:formatCode>
                <c:ptCount val="32"/>
                <c:pt idx="0">
                  <c:v>-1.0000000000000231E-2</c:v>
                </c:pt>
                <c:pt idx="1">
                  <c:v>-1.0000000000000231E-2</c:v>
                </c:pt>
                <c:pt idx="2">
                  <c:v>0</c:v>
                </c:pt>
                <c:pt idx="3">
                  <c:v>2.9999999999999805E-2</c:v>
                </c:pt>
                <c:pt idx="4">
                  <c:v>2.9999999999999805E-2</c:v>
                </c:pt>
                <c:pt idx="5">
                  <c:v>6.0000000000000053E-2</c:v>
                </c:pt>
                <c:pt idx="6">
                  <c:v>0.10000000000000009</c:v>
                </c:pt>
                <c:pt idx="7">
                  <c:v>0.10999999999999988</c:v>
                </c:pt>
                <c:pt idx="8">
                  <c:v>0.16000000000000014</c:v>
                </c:pt>
                <c:pt idx="9">
                  <c:v>0.22999999999999998</c:v>
                </c:pt>
                <c:pt idx="10">
                  <c:v>0.27</c:v>
                </c:pt>
                <c:pt idx="11">
                  <c:v>0.37000000000000011</c:v>
                </c:pt>
                <c:pt idx="12">
                  <c:v>0.48999999999999977</c:v>
                </c:pt>
                <c:pt idx="13">
                  <c:v>0.5299999999999998</c:v>
                </c:pt>
                <c:pt idx="14">
                  <c:v>0.62999999999999989</c:v>
                </c:pt>
                <c:pt idx="15">
                  <c:v>0.73</c:v>
                </c:pt>
                <c:pt idx="16">
                  <c:v>0.73999999999999977</c:v>
                </c:pt>
                <c:pt idx="17">
                  <c:v>0.81</c:v>
                </c:pt>
                <c:pt idx="18">
                  <c:v>0.91000000000000014</c:v>
                </c:pt>
                <c:pt idx="19">
                  <c:v>0.96</c:v>
                </c:pt>
                <c:pt idx="20">
                  <c:v>1.0499999999999998</c:v>
                </c:pt>
                <c:pt idx="21">
                  <c:v>1.1400000000000001</c:v>
                </c:pt>
                <c:pt idx="22">
                  <c:v>1.2000000000000002</c:v>
                </c:pt>
                <c:pt idx="23">
                  <c:v>1.2599999999999998</c:v>
                </c:pt>
                <c:pt idx="24">
                  <c:v>1.35</c:v>
                </c:pt>
                <c:pt idx="25">
                  <c:v>1.4</c:v>
                </c:pt>
                <c:pt idx="26">
                  <c:v>1.4700000000000002</c:v>
                </c:pt>
                <c:pt idx="27">
                  <c:v>1.4899999999999998</c:v>
                </c:pt>
                <c:pt idx="28">
                  <c:v>1.56</c:v>
                </c:pt>
                <c:pt idx="29">
                  <c:v>1.6</c:v>
                </c:pt>
                <c:pt idx="30">
                  <c:v>1.6400000000000001</c:v>
                </c:pt>
                <c:pt idx="31">
                  <c:v>1.6800000000000002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Data'!$CD$3</c:f>
              <c:strCache>
                <c:ptCount val="1"/>
                <c:pt idx="0">
                  <c:v>ZERO LINE</c:v>
                </c:pt>
              </c:strCache>
            </c:strRef>
          </c:tx>
          <c:spPr>
            <a:ln w="127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Data'!$CA$4:$CA$35</c:f>
              <c:numCache>
                <c:formatCode>mmm\-yy</c:formatCode>
                <c:ptCount val="32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  <c:pt idx="16">
                  <c:v>45017</c:v>
                </c:pt>
                <c:pt idx="17">
                  <c:v>45047</c:v>
                </c:pt>
                <c:pt idx="18">
                  <c:v>45078</c:v>
                </c:pt>
                <c:pt idx="19">
                  <c:v>45108</c:v>
                </c:pt>
                <c:pt idx="20">
                  <c:v>45139</c:v>
                </c:pt>
                <c:pt idx="21">
                  <c:v>45170</c:v>
                </c:pt>
                <c:pt idx="22">
                  <c:v>45200</c:v>
                </c:pt>
                <c:pt idx="23">
                  <c:v>45231</c:v>
                </c:pt>
                <c:pt idx="24">
                  <c:v>45261</c:v>
                </c:pt>
                <c:pt idx="25">
                  <c:v>45292</c:v>
                </c:pt>
                <c:pt idx="26">
                  <c:v>45323</c:v>
                </c:pt>
                <c:pt idx="27">
                  <c:v>45352</c:v>
                </c:pt>
                <c:pt idx="28">
                  <c:v>45383</c:v>
                </c:pt>
                <c:pt idx="29">
                  <c:v>45413</c:v>
                </c:pt>
                <c:pt idx="30">
                  <c:v>45444</c:v>
                </c:pt>
                <c:pt idx="31">
                  <c:v>45474</c:v>
                </c:pt>
              </c:numCache>
            </c:numRef>
          </c:cat>
          <c:val>
            <c:numRef>
              <c:f>'Chart Data'!$CD$4:$CD$35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6"/>
        <c:tickMarkSkip val="3"/>
        <c:noMultiLvlLbl val="0"/>
      </c:catAx>
      <c:valAx>
        <c:axId val="263608576"/>
        <c:scaling>
          <c:orientation val="minMax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2"/>
        <c:delete val="1"/>
      </c:legendEntry>
      <c:layout>
        <c:manualLayout>
          <c:xMode val="edge"/>
          <c:yMode val="edge"/>
          <c:x val="0.11176692482980569"/>
          <c:y val="0.15381571523606971"/>
          <c:w val="0.41490319771959189"/>
          <c:h val="0.11833315427932398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1273359647242662E-2"/>
          <c:y val="0.14710460839166137"/>
          <c:w val="0.89550534407821925"/>
          <c:h val="0.71244951617079477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Data'!$BL$3</c:f>
              <c:strCache>
                <c:ptCount val="1"/>
                <c:pt idx="0">
                  <c:v>2 year fix, 75% LTV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Data'!$BK$4:$BK$147</c:f>
              <c:numCache>
                <c:formatCode>m/d/yyyy</c:formatCode>
                <c:ptCount val="144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  <c:pt idx="137">
                  <c:v>45809</c:v>
                </c:pt>
                <c:pt idx="138">
                  <c:v>45839</c:v>
                </c:pt>
                <c:pt idx="139">
                  <c:v>45870</c:v>
                </c:pt>
                <c:pt idx="140">
                  <c:v>45901</c:v>
                </c:pt>
                <c:pt idx="141">
                  <c:v>45931</c:v>
                </c:pt>
                <c:pt idx="142">
                  <c:v>45962</c:v>
                </c:pt>
                <c:pt idx="143">
                  <c:v>45992</c:v>
                </c:pt>
              </c:numCache>
            </c:numRef>
          </c:cat>
          <c:val>
            <c:numRef>
              <c:f>'Chart Data'!$BL$4:$BL$147</c:f>
              <c:numCache>
                <c:formatCode>0.00</c:formatCode>
                <c:ptCount val="144"/>
                <c:pt idx="0">
                  <c:v>2.37</c:v>
                </c:pt>
                <c:pt idx="1">
                  <c:v>2.38</c:v>
                </c:pt>
                <c:pt idx="2">
                  <c:v>2.37</c:v>
                </c:pt>
                <c:pt idx="3">
                  <c:v>2.54</c:v>
                </c:pt>
                <c:pt idx="4">
                  <c:v>2.56</c:v>
                </c:pt>
                <c:pt idx="5">
                  <c:v>2.6</c:v>
                </c:pt>
                <c:pt idx="6">
                  <c:v>2.54</c:v>
                </c:pt>
                <c:pt idx="7">
                  <c:v>2.54</c:v>
                </c:pt>
                <c:pt idx="8">
                  <c:v>2.46</c:v>
                </c:pt>
                <c:pt idx="9">
                  <c:v>2.21</c:v>
                </c:pt>
                <c:pt idx="10">
                  <c:v>2.17</c:v>
                </c:pt>
                <c:pt idx="11">
                  <c:v>2.08</c:v>
                </c:pt>
                <c:pt idx="12">
                  <c:v>2.0099999999999998</c:v>
                </c:pt>
                <c:pt idx="13">
                  <c:v>1.96</c:v>
                </c:pt>
                <c:pt idx="14">
                  <c:v>1.99</c:v>
                </c:pt>
                <c:pt idx="15">
                  <c:v>1.95</c:v>
                </c:pt>
                <c:pt idx="16">
                  <c:v>1.9</c:v>
                </c:pt>
                <c:pt idx="17">
                  <c:v>1.83</c:v>
                </c:pt>
                <c:pt idx="18">
                  <c:v>1.87</c:v>
                </c:pt>
                <c:pt idx="19">
                  <c:v>1.95</c:v>
                </c:pt>
                <c:pt idx="20">
                  <c:v>1.91</c:v>
                </c:pt>
                <c:pt idx="21">
                  <c:v>1.87</c:v>
                </c:pt>
                <c:pt idx="22">
                  <c:v>1.92</c:v>
                </c:pt>
                <c:pt idx="23">
                  <c:v>1.9</c:v>
                </c:pt>
                <c:pt idx="24">
                  <c:v>1.93</c:v>
                </c:pt>
                <c:pt idx="25">
                  <c:v>1.95</c:v>
                </c:pt>
                <c:pt idx="26">
                  <c:v>1.9</c:v>
                </c:pt>
                <c:pt idx="27">
                  <c:v>1.84</c:v>
                </c:pt>
                <c:pt idx="28">
                  <c:v>1.91</c:v>
                </c:pt>
                <c:pt idx="29">
                  <c:v>1.75</c:v>
                </c:pt>
                <c:pt idx="30">
                  <c:v>1.72</c:v>
                </c:pt>
                <c:pt idx="31">
                  <c:v>1.69</c:v>
                </c:pt>
                <c:pt idx="32">
                  <c:v>1.59</c:v>
                </c:pt>
                <c:pt idx="33">
                  <c:v>1.52</c:v>
                </c:pt>
                <c:pt idx="34">
                  <c:v>1.43</c:v>
                </c:pt>
                <c:pt idx="35">
                  <c:v>1.45</c:v>
                </c:pt>
                <c:pt idx="36">
                  <c:v>1.45</c:v>
                </c:pt>
                <c:pt idx="37">
                  <c:v>1.42</c:v>
                </c:pt>
                <c:pt idx="38">
                  <c:v>1.37</c:v>
                </c:pt>
                <c:pt idx="39">
                  <c:v>1.35</c:v>
                </c:pt>
                <c:pt idx="40">
                  <c:v>1.49</c:v>
                </c:pt>
                <c:pt idx="41">
                  <c:v>1.48</c:v>
                </c:pt>
                <c:pt idx="42">
                  <c:v>1.41</c:v>
                </c:pt>
                <c:pt idx="43">
                  <c:v>1.43</c:v>
                </c:pt>
                <c:pt idx="44">
                  <c:v>1.4</c:v>
                </c:pt>
                <c:pt idx="45">
                  <c:v>1.55</c:v>
                </c:pt>
                <c:pt idx="46">
                  <c:v>1.61</c:v>
                </c:pt>
                <c:pt idx="47">
                  <c:v>1.57</c:v>
                </c:pt>
                <c:pt idx="48">
                  <c:v>1.54</c:v>
                </c:pt>
                <c:pt idx="49">
                  <c:v>1.49</c:v>
                </c:pt>
                <c:pt idx="50">
                  <c:v>1.53</c:v>
                </c:pt>
                <c:pt idx="51">
                  <c:v>1.72</c:v>
                </c:pt>
                <c:pt idx="52">
                  <c:v>1.74</c:v>
                </c:pt>
                <c:pt idx="53">
                  <c:v>1.74</c:v>
                </c:pt>
                <c:pt idx="54">
                  <c:v>1.75</c:v>
                </c:pt>
                <c:pt idx="55">
                  <c:v>1.75</c:v>
                </c:pt>
                <c:pt idx="56">
                  <c:v>1.71</c:v>
                </c:pt>
                <c:pt idx="57">
                  <c:v>1.8</c:v>
                </c:pt>
                <c:pt idx="58">
                  <c:v>1.75</c:v>
                </c:pt>
                <c:pt idx="59">
                  <c:v>1.73</c:v>
                </c:pt>
                <c:pt idx="60">
                  <c:v>1.72</c:v>
                </c:pt>
                <c:pt idx="61">
                  <c:v>1.7</c:v>
                </c:pt>
                <c:pt idx="62">
                  <c:v>1.7</c:v>
                </c:pt>
                <c:pt idx="63">
                  <c:v>1.66</c:v>
                </c:pt>
                <c:pt idx="64">
                  <c:v>1.65</c:v>
                </c:pt>
                <c:pt idx="65">
                  <c:v>1.64</c:v>
                </c:pt>
                <c:pt idx="66">
                  <c:v>1.61</c:v>
                </c:pt>
                <c:pt idx="67">
                  <c:v>1.59</c:v>
                </c:pt>
                <c:pt idx="68">
                  <c:v>1.55</c:v>
                </c:pt>
                <c:pt idx="69">
                  <c:v>1.47</c:v>
                </c:pt>
                <c:pt idx="70">
                  <c:v>1.41</c:v>
                </c:pt>
                <c:pt idx="71">
                  <c:v>1.42</c:v>
                </c:pt>
                <c:pt idx="72">
                  <c:v>1.41</c:v>
                </c:pt>
                <c:pt idx="73">
                  <c:v>1.4</c:v>
                </c:pt>
                <c:pt idx="74">
                  <c:v>1.4</c:v>
                </c:pt>
                <c:pt idx="75">
                  <c:v>1.38</c:v>
                </c:pt>
                <c:pt idx="76">
                  <c:v>1.42</c:v>
                </c:pt>
                <c:pt idx="77">
                  <c:v>1.41</c:v>
                </c:pt>
                <c:pt idx="78">
                  <c:v>1.45</c:v>
                </c:pt>
                <c:pt idx="79">
                  <c:v>1.6</c:v>
                </c:pt>
                <c:pt idx="80">
                  <c:v>1.75</c:v>
                </c:pt>
                <c:pt idx="81">
                  <c:v>1.94</c:v>
                </c:pt>
                <c:pt idx="82">
                  <c:v>1.92</c:v>
                </c:pt>
                <c:pt idx="83">
                  <c:v>1.86</c:v>
                </c:pt>
                <c:pt idx="84">
                  <c:v>1.75</c:v>
                </c:pt>
                <c:pt idx="85">
                  <c:v>1.61</c:v>
                </c:pt>
                <c:pt idx="86">
                  <c:v>1.56</c:v>
                </c:pt>
                <c:pt idx="87">
                  <c:v>1.49</c:v>
                </c:pt>
                <c:pt idx="88">
                  <c:v>1.47</c:v>
                </c:pt>
                <c:pt idx="89">
                  <c:v>1.39</c:v>
                </c:pt>
                <c:pt idx="90">
                  <c:v>1.29</c:v>
                </c:pt>
                <c:pt idx="91">
                  <c:v>1.23</c:v>
                </c:pt>
                <c:pt idx="92">
                  <c:v>1.2</c:v>
                </c:pt>
                <c:pt idx="93">
                  <c:v>1.29</c:v>
                </c:pt>
                <c:pt idx="94">
                  <c:v>1.53</c:v>
                </c:pt>
                <c:pt idx="95">
                  <c:v>1.57</c:v>
                </c:pt>
                <c:pt idx="96">
                  <c:v>1.64</c:v>
                </c:pt>
                <c:pt idx="97">
                  <c:v>1.78</c:v>
                </c:pt>
                <c:pt idx="98">
                  <c:v>2.14</c:v>
                </c:pt>
                <c:pt idx="99">
                  <c:v>2.35</c:v>
                </c:pt>
                <c:pt idx="100">
                  <c:v>2.63</c:v>
                </c:pt>
                <c:pt idx="101">
                  <c:v>2.87</c:v>
                </c:pt>
                <c:pt idx="102">
                  <c:v>3.48</c:v>
                </c:pt>
                <c:pt idx="103">
                  <c:v>3.6</c:v>
                </c:pt>
                <c:pt idx="104">
                  <c:v>4.17</c:v>
                </c:pt>
                <c:pt idx="105">
                  <c:v>5.99</c:v>
                </c:pt>
                <c:pt idx="106">
                  <c:v>5.98</c:v>
                </c:pt>
                <c:pt idx="107">
                  <c:v>5.43</c:v>
                </c:pt>
                <c:pt idx="108">
                  <c:v>5.14</c:v>
                </c:pt>
                <c:pt idx="109">
                  <c:v>4.79</c:v>
                </c:pt>
                <c:pt idx="110">
                  <c:v>4.74</c:v>
                </c:pt>
                <c:pt idx="111">
                  <c:v>4.5999999999999996</c:v>
                </c:pt>
                <c:pt idx="112">
                  <c:v>4.72</c:v>
                </c:pt>
                <c:pt idx="113">
                  <c:v>5.49</c:v>
                </c:pt>
                <c:pt idx="114">
                  <c:v>6.22</c:v>
                </c:pt>
                <c:pt idx="115">
                  <c:v>6.18</c:v>
                </c:pt>
                <c:pt idx="116">
                  <c:v>5.91</c:v>
                </c:pt>
                <c:pt idx="117">
                  <c:v>5.6</c:v>
                </c:pt>
                <c:pt idx="118">
                  <c:v>5.28</c:v>
                </c:pt>
                <c:pt idx="119">
                  <c:v>5.03</c:v>
                </c:pt>
                <c:pt idx="120">
                  <c:v>4.71</c:v>
                </c:pt>
                <c:pt idx="121">
                  <c:v>4.76</c:v>
                </c:pt>
                <c:pt idx="122">
                  <c:v>4.96</c:v>
                </c:pt>
                <c:pt idx="123">
                  <c:v>4.99</c:v>
                </c:pt>
                <c:pt idx="124">
                  <c:v>5.19</c:v>
                </c:pt>
                <c:pt idx="125">
                  <c:v>5.16</c:v>
                </c:pt>
                <c:pt idx="126">
                  <c:v>4.99</c:v>
                </c:pt>
                <c:pt idx="127">
                  <c:v>4.8079609999999997</c:v>
                </c:pt>
                <c:pt idx="128">
                  <c:v>4.7792823333333327</c:v>
                </c:pt>
                <c:pt idx="129">
                  <c:v>4.7506036666666658</c:v>
                </c:pt>
                <c:pt idx="130">
                  <c:v>4.7219249999999997</c:v>
                </c:pt>
                <c:pt idx="131">
                  <c:v>4.7175673333333332</c:v>
                </c:pt>
                <c:pt idx="132">
                  <c:v>4.7132096666666667</c:v>
                </c:pt>
                <c:pt idx="133">
                  <c:v>4.7088520000000003</c:v>
                </c:pt>
                <c:pt idx="134">
                  <c:v>4.7000680000000008</c:v>
                </c:pt>
                <c:pt idx="135">
                  <c:v>4.6912840000000005</c:v>
                </c:pt>
                <c:pt idx="136">
                  <c:v>4.6825000000000001</c:v>
                </c:pt>
                <c:pt idx="137">
                  <c:v>4.6795123333333333</c:v>
                </c:pt>
                <c:pt idx="138">
                  <c:v>4.6765246666666664</c:v>
                </c:pt>
                <c:pt idx="139">
                  <c:v>4.6735369999999996</c:v>
                </c:pt>
                <c:pt idx="140">
                  <c:v>4.6654633333333333</c:v>
                </c:pt>
                <c:pt idx="141">
                  <c:v>4.657389666666667</c:v>
                </c:pt>
                <c:pt idx="142">
                  <c:v>4.6493159999999998</c:v>
                </c:pt>
                <c:pt idx="143">
                  <c:v>4.6074003333333335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7E-4DC7-AA0A-2388FBD0F073}"/>
            </c:ext>
          </c:extLst>
        </c:ser>
        <c:ser>
          <c:idx val="1"/>
          <c:order val="1"/>
          <c:tx>
            <c:strRef>
              <c:f>'Chart Data'!$BM$3</c:f>
              <c:strCache>
                <c:ptCount val="1"/>
                <c:pt idx="0">
                  <c:v>5 year fix, 75% LTV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Data'!$BK$4:$BK$147</c:f>
              <c:numCache>
                <c:formatCode>m/d/yyyy</c:formatCode>
                <c:ptCount val="144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  <c:pt idx="137">
                  <c:v>45809</c:v>
                </c:pt>
                <c:pt idx="138">
                  <c:v>45839</c:v>
                </c:pt>
                <c:pt idx="139">
                  <c:v>45870</c:v>
                </c:pt>
                <c:pt idx="140">
                  <c:v>45901</c:v>
                </c:pt>
                <c:pt idx="141">
                  <c:v>45931</c:v>
                </c:pt>
                <c:pt idx="142">
                  <c:v>45962</c:v>
                </c:pt>
                <c:pt idx="143">
                  <c:v>45992</c:v>
                </c:pt>
              </c:numCache>
            </c:numRef>
          </c:cat>
          <c:val>
            <c:numRef>
              <c:f>'Chart Data'!$BM$4:$BM$147</c:f>
              <c:numCache>
                <c:formatCode>0.00</c:formatCode>
                <c:ptCount val="144"/>
                <c:pt idx="0">
                  <c:v>3.34</c:v>
                </c:pt>
                <c:pt idx="1">
                  <c:v>3.45</c:v>
                </c:pt>
                <c:pt idx="2">
                  <c:v>3.48</c:v>
                </c:pt>
                <c:pt idx="3">
                  <c:v>3.69</c:v>
                </c:pt>
                <c:pt idx="4">
                  <c:v>3.72</c:v>
                </c:pt>
                <c:pt idx="5">
                  <c:v>3.69</c:v>
                </c:pt>
                <c:pt idx="6">
                  <c:v>3.78</c:v>
                </c:pt>
                <c:pt idx="7">
                  <c:v>3.76</c:v>
                </c:pt>
                <c:pt idx="8">
                  <c:v>3.61</c:v>
                </c:pt>
                <c:pt idx="9">
                  <c:v>3.27</c:v>
                </c:pt>
                <c:pt idx="10">
                  <c:v>3.21</c:v>
                </c:pt>
                <c:pt idx="11">
                  <c:v>3.21</c:v>
                </c:pt>
                <c:pt idx="12">
                  <c:v>3.09</c:v>
                </c:pt>
                <c:pt idx="13">
                  <c:v>3.05</c:v>
                </c:pt>
                <c:pt idx="14">
                  <c:v>2.98</c:v>
                </c:pt>
                <c:pt idx="15">
                  <c:v>2.92</c:v>
                </c:pt>
                <c:pt idx="16">
                  <c:v>2.86</c:v>
                </c:pt>
                <c:pt idx="17">
                  <c:v>2.82</c:v>
                </c:pt>
                <c:pt idx="18">
                  <c:v>2.83</c:v>
                </c:pt>
                <c:pt idx="19">
                  <c:v>2.92</c:v>
                </c:pt>
                <c:pt idx="20">
                  <c:v>2.84</c:v>
                </c:pt>
                <c:pt idx="21">
                  <c:v>2.78</c:v>
                </c:pt>
                <c:pt idx="22">
                  <c:v>2.77</c:v>
                </c:pt>
                <c:pt idx="23">
                  <c:v>2.75</c:v>
                </c:pt>
                <c:pt idx="24">
                  <c:v>2.68</c:v>
                </c:pt>
                <c:pt idx="25">
                  <c:v>2.73</c:v>
                </c:pt>
                <c:pt idx="26">
                  <c:v>2.7</c:v>
                </c:pt>
                <c:pt idx="27">
                  <c:v>2.71</c:v>
                </c:pt>
                <c:pt idx="28">
                  <c:v>2.64</c:v>
                </c:pt>
                <c:pt idx="29">
                  <c:v>2.54</c:v>
                </c:pt>
                <c:pt idx="30">
                  <c:v>2.5099999999999998</c:v>
                </c:pt>
                <c:pt idx="31">
                  <c:v>2.39</c:v>
                </c:pt>
                <c:pt idx="32">
                  <c:v>2.34</c:v>
                </c:pt>
                <c:pt idx="33">
                  <c:v>2.27</c:v>
                </c:pt>
                <c:pt idx="34">
                  <c:v>2.25</c:v>
                </c:pt>
                <c:pt idx="35">
                  <c:v>2.2599999999999998</c:v>
                </c:pt>
                <c:pt idx="36">
                  <c:v>2.2200000000000002</c:v>
                </c:pt>
                <c:pt idx="37">
                  <c:v>2.2000000000000002</c:v>
                </c:pt>
                <c:pt idx="38">
                  <c:v>2.15</c:v>
                </c:pt>
                <c:pt idx="39">
                  <c:v>2.09</c:v>
                </c:pt>
                <c:pt idx="40">
                  <c:v>2.0299999999999998</c:v>
                </c:pt>
                <c:pt idx="41">
                  <c:v>1.99</c:v>
                </c:pt>
                <c:pt idx="42">
                  <c:v>1.97</c:v>
                </c:pt>
                <c:pt idx="43">
                  <c:v>1.96</c:v>
                </c:pt>
                <c:pt idx="44">
                  <c:v>1.9</c:v>
                </c:pt>
                <c:pt idx="45">
                  <c:v>2.04</c:v>
                </c:pt>
                <c:pt idx="46">
                  <c:v>2.04</c:v>
                </c:pt>
                <c:pt idx="47">
                  <c:v>2.0699999999999998</c:v>
                </c:pt>
                <c:pt idx="48">
                  <c:v>1.98</c:v>
                </c:pt>
                <c:pt idx="49">
                  <c:v>1.99</c:v>
                </c:pt>
                <c:pt idx="50">
                  <c:v>2.02</c:v>
                </c:pt>
                <c:pt idx="51">
                  <c:v>2.0099999999999998</c:v>
                </c:pt>
                <c:pt idx="52">
                  <c:v>2.06</c:v>
                </c:pt>
                <c:pt idx="53">
                  <c:v>2.0299999999999998</c:v>
                </c:pt>
                <c:pt idx="54">
                  <c:v>2.04</c:v>
                </c:pt>
                <c:pt idx="55">
                  <c:v>2.0299999999999998</c:v>
                </c:pt>
                <c:pt idx="56">
                  <c:v>2.0099999999999998</c:v>
                </c:pt>
                <c:pt idx="57">
                  <c:v>2.06</c:v>
                </c:pt>
                <c:pt idx="58">
                  <c:v>2.02</c:v>
                </c:pt>
                <c:pt idx="59">
                  <c:v>2.0099999999999998</c:v>
                </c:pt>
                <c:pt idx="60">
                  <c:v>2.0499999999999998</c:v>
                </c:pt>
                <c:pt idx="61">
                  <c:v>2.0499999999999998</c:v>
                </c:pt>
                <c:pt idx="62">
                  <c:v>2.0299999999999998</c:v>
                </c:pt>
                <c:pt idx="63">
                  <c:v>2</c:v>
                </c:pt>
                <c:pt idx="64">
                  <c:v>1.99</c:v>
                </c:pt>
                <c:pt idx="65">
                  <c:v>1.97</c:v>
                </c:pt>
                <c:pt idx="66">
                  <c:v>1.93</c:v>
                </c:pt>
                <c:pt idx="67">
                  <c:v>1.89</c:v>
                </c:pt>
                <c:pt idx="68">
                  <c:v>1.79</c:v>
                </c:pt>
                <c:pt idx="69">
                  <c:v>1.71</c:v>
                </c:pt>
                <c:pt idx="70">
                  <c:v>1.67</c:v>
                </c:pt>
                <c:pt idx="71">
                  <c:v>1.67</c:v>
                </c:pt>
                <c:pt idx="72">
                  <c:v>1.68</c:v>
                </c:pt>
                <c:pt idx="73">
                  <c:v>1.67</c:v>
                </c:pt>
                <c:pt idx="74">
                  <c:v>1.66</c:v>
                </c:pt>
                <c:pt idx="75">
                  <c:v>1.67</c:v>
                </c:pt>
                <c:pt idx="76">
                  <c:v>1.7</c:v>
                </c:pt>
                <c:pt idx="77">
                  <c:v>1.69</c:v>
                </c:pt>
                <c:pt idx="78">
                  <c:v>1.7</c:v>
                </c:pt>
                <c:pt idx="79">
                  <c:v>1.79</c:v>
                </c:pt>
                <c:pt idx="80">
                  <c:v>1.92</c:v>
                </c:pt>
                <c:pt idx="81">
                  <c:v>2.0499999999999998</c:v>
                </c:pt>
                <c:pt idx="82">
                  <c:v>2.0499999999999998</c:v>
                </c:pt>
                <c:pt idx="83">
                  <c:v>2</c:v>
                </c:pt>
                <c:pt idx="84">
                  <c:v>1.92</c:v>
                </c:pt>
                <c:pt idx="85">
                  <c:v>1.8</c:v>
                </c:pt>
                <c:pt idx="86">
                  <c:v>1.74</c:v>
                </c:pt>
                <c:pt idx="87">
                  <c:v>1.71</c:v>
                </c:pt>
                <c:pt idx="88">
                  <c:v>1.68</c:v>
                </c:pt>
                <c:pt idx="89">
                  <c:v>1.6</c:v>
                </c:pt>
                <c:pt idx="90">
                  <c:v>1.45</c:v>
                </c:pt>
                <c:pt idx="91">
                  <c:v>1.39</c:v>
                </c:pt>
                <c:pt idx="92">
                  <c:v>1.28</c:v>
                </c:pt>
                <c:pt idx="93">
                  <c:v>1.3</c:v>
                </c:pt>
                <c:pt idx="94">
                  <c:v>1.52</c:v>
                </c:pt>
                <c:pt idx="95">
                  <c:v>1.59</c:v>
                </c:pt>
                <c:pt idx="96">
                  <c:v>1.63</c:v>
                </c:pt>
                <c:pt idx="97">
                  <c:v>1.79</c:v>
                </c:pt>
                <c:pt idx="98">
                  <c:v>2.11</c:v>
                </c:pt>
                <c:pt idx="99">
                  <c:v>2.35</c:v>
                </c:pt>
                <c:pt idx="100">
                  <c:v>2.62</c:v>
                </c:pt>
                <c:pt idx="101">
                  <c:v>2.9</c:v>
                </c:pt>
                <c:pt idx="102">
                  <c:v>3.43</c:v>
                </c:pt>
                <c:pt idx="103">
                  <c:v>3.61</c:v>
                </c:pt>
                <c:pt idx="104">
                  <c:v>3.97</c:v>
                </c:pt>
                <c:pt idx="105">
                  <c:v>5.61</c:v>
                </c:pt>
                <c:pt idx="106">
                  <c:v>5.5</c:v>
                </c:pt>
                <c:pt idx="107">
                  <c:v>5.05</c:v>
                </c:pt>
                <c:pt idx="108">
                  <c:v>4.66</c:v>
                </c:pt>
                <c:pt idx="109">
                  <c:v>4.3600000000000003</c:v>
                </c:pt>
                <c:pt idx="110">
                  <c:v>4.26</c:v>
                </c:pt>
                <c:pt idx="111">
                  <c:v>4.16</c:v>
                </c:pt>
                <c:pt idx="112">
                  <c:v>4.28</c:v>
                </c:pt>
                <c:pt idx="113">
                  <c:v>4.95</c:v>
                </c:pt>
                <c:pt idx="114">
                  <c:v>5.71</c:v>
                </c:pt>
                <c:pt idx="115">
                  <c:v>5.53</c:v>
                </c:pt>
                <c:pt idx="116">
                  <c:v>5.24</c:v>
                </c:pt>
                <c:pt idx="117">
                  <c:v>5.0199999999999996</c:v>
                </c:pt>
                <c:pt idx="118">
                  <c:v>4.8899999999999997</c:v>
                </c:pt>
                <c:pt idx="119">
                  <c:v>4.68</c:v>
                </c:pt>
                <c:pt idx="120">
                  <c:v>4.43</c:v>
                </c:pt>
                <c:pt idx="121">
                  <c:v>4.41</c:v>
                </c:pt>
                <c:pt idx="122">
                  <c:v>4.53</c:v>
                </c:pt>
                <c:pt idx="123">
                  <c:v>4.51</c:v>
                </c:pt>
                <c:pt idx="124">
                  <c:v>4.67</c:v>
                </c:pt>
                <c:pt idx="125">
                  <c:v>4.6500000000000004</c:v>
                </c:pt>
                <c:pt idx="126">
                  <c:v>4.51</c:v>
                </c:pt>
                <c:pt idx="127">
                  <c:v>4.431044</c:v>
                </c:pt>
                <c:pt idx="128">
                  <c:v>4.4107750000000001</c:v>
                </c:pt>
                <c:pt idx="129">
                  <c:v>4.3905060000000002</c:v>
                </c:pt>
                <c:pt idx="130">
                  <c:v>4.3702370000000004</c:v>
                </c:pt>
                <c:pt idx="131">
                  <c:v>4.3632656666666669</c:v>
                </c:pt>
                <c:pt idx="132">
                  <c:v>4.3562943333333335</c:v>
                </c:pt>
                <c:pt idx="133">
                  <c:v>4.3493230000000001</c:v>
                </c:pt>
                <c:pt idx="134">
                  <c:v>4.3325460000000007</c:v>
                </c:pt>
                <c:pt idx="135">
                  <c:v>4.3157690000000004</c:v>
                </c:pt>
                <c:pt idx="136">
                  <c:v>4.2989920000000001</c:v>
                </c:pt>
                <c:pt idx="137">
                  <c:v>4.2934809999999999</c:v>
                </c:pt>
                <c:pt idx="138">
                  <c:v>4.2879700000000005</c:v>
                </c:pt>
                <c:pt idx="139">
                  <c:v>4.2824590000000002</c:v>
                </c:pt>
                <c:pt idx="140">
                  <c:v>4.2848553333333337</c:v>
                </c:pt>
                <c:pt idx="141">
                  <c:v>4.2872516666666671</c:v>
                </c:pt>
                <c:pt idx="142">
                  <c:v>4.2896479999999997</c:v>
                </c:pt>
                <c:pt idx="143">
                  <c:v>4.2867440000000006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7E-4DC7-AA0A-2388FBD0F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12"/>
        <c:tickMarkSkip val="12"/>
        <c:noMultiLvlLbl val="0"/>
      </c:catAx>
      <c:valAx>
        <c:axId val="263608576"/>
        <c:scaling>
          <c:orientation val="minMax"/>
          <c:max val="7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5750641339324109"/>
          <c:y val="7.5295489053967268E-2"/>
          <c:w val="0.74305855835817147"/>
          <c:h val="5.6021710157517439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3820281841908447E-2"/>
          <c:y val="0.19859288422280549"/>
          <c:w val="0.86568680426509981"/>
          <c:h val="0.68160834062408859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Data'!$BW$3</c:f>
              <c:strCache>
                <c:ptCount val="1"/>
                <c:pt idx="0">
                  <c:v>2 year fix, 75% LTV</c:v>
                </c:pt>
              </c:strCache>
            </c:strRef>
          </c:tx>
          <c:spPr>
            <a:ln w="254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Data'!$BK$64:$BK$147</c:f>
              <c:numCache>
                <c:formatCode>m/d/yyyy</c:formatCode>
                <c:ptCount val="84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  <c:pt idx="74">
                  <c:v>45717</c:v>
                </c:pt>
                <c:pt idx="75">
                  <c:v>45748</c:v>
                </c:pt>
                <c:pt idx="76">
                  <c:v>45778</c:v>
                </c:pt>
                <c:pt idx="77">
                  <c:v>45809</c:v>
                </c:pt>
                <c:pt idx="78">
                  <c:v>45839</c:v>
                </c:pt>
                <c:pt idx="79">
                  <c:v>45870</c:v>
                </c:pt>
                <c:pt idx="80">
                  <c:v>45901</c:v>
                </c:pt>
                <c:pt idx="81">
                  <c:v>45931</c:v>
                </c:pt>
                <c:pt idx="82">
                  <c:v>45962</c:v>
                </c:pt>
                <c:pt idx="83">
                  <c:v>45992</c:v>
                </c:pt>
              </c:numCache>
            </c:numRef>
          </c:cat>
          <c:val>
            <c:numRef>
              <c:f>'Chart Data'!$BW$64:$BW$147</c:f>
              <c:numCache>
                <c:formatCode>0.00</c:formatCode>
                <c:ptCount val="84"/>
                <c:pt idx="0">
                  <c:v>0.27</c:v>
                </c:pt>
                <c:pt idx="1">
                  <c:v>0.28000000000000003</c:v>
                </c:pt>
                <c:pt idx="2">
                  <c:v>0.32999999999999985</c:v>
                </c:pt>
                <c:pt idx="3">
                  <c:v>0.30999999999999983</c:v>
                </c:pt>
                <c:pt idx="4">
                  <c:v>0.15999999999999992</c:v>
                </c:pt>
                <c:pt idx="5">
                  <c:v>0.15999999999999992</c:v>
                </c:pt>
                <c:pt idx="6">
                  <c:v>0.20000000000000018</c:v>
                </c:pt>
                <c:pt idx="7">
                  <c:v>0.16000000000000014</c:v>
                </c:pt>
                <c:pt idx="8">
                  <c:v>0.15000000000000013</c:v>
                </c:pt>
                <c:pt idx="9">
                  <c:v>-8.0000000000000071E-2</c:v>
                </c:pt>
                <c:pt idx="10">
                  <c:v>-0.20000000000000018</c:v>
                </c:pt>
                <c:pt idx="11">
                  <c:v>-0.15000000000000013</c:v>
                </c:pt>
                <c:pt idx="12">
                  <c:v>-0.13000000000000012</c:v>
                </c:pt>
                <c:pt idx="13">
                  <c:v>-9.000000000000008E-2</c:v>
                </c:pt>
                <c:pt idx="14">
                  <c:v>-0.13000000000000012</c:v>
                </c:pt>
                <c:pt idx="15">
                  <c:v>-0.34000000000000008</c:v>
                </c:pt>
                <c:pt idx="16">
                  <c:v>-0.32000000000000006</c:v>
                </c:pt>
                <c:pt idx="17">
                  <c:v>-0.33000000000000007</c:v>
                </c:pt>
                <c:pt idx="18">
                  <c:v>-0.30000000000000004</c:v>
                </c:pt>
                <c:pt idx="19">
                  <c:v>-0.14999999999999991</c:v>
                </c:pt>
                <c:pt idx="20">
                  <c:v>4.0000000000000036E-2</c:v>
                </c:pt>
                <c:pt idx="21">
                  <c:v>0.1399999999999999</c:v>
                </c:pt>
                <c:pt idx="22">
                  <c:v>0.16999999999999993</c:v>
                </c:pt>
                <c:pt idx="23">
                  <c:v>0.13000000000000012</c:v>
                </c:pt>
                <c:pt idx="24">
                  <c:v>3.0000000000000027E-2</c:v>
                </c:pt>
                <c:pt idx="25">
                  <c:v>-8.9999999999999858E-2</c:v>
                </c:pt>
                <c:pt idx="26">
                  <c:v>-0.1399999999999999</c:v>
                </c:pt>
                <c:pt idx="27">
                  <c:v>-0.16999999999999993</c:v>
                </c:pt>
                <c:pt idx="28">
                  <c:v>-0.17999999999999994</c:v>
                </c:pt>
                <c:pt idx="29">
                  <c:v>-0.25</c:v>
                </c:pt>
                <c:pt idx="30">
                  <c:v>-0.32000000000000006</c:v>
                </c:pt>
                <c:pt idx="31">
                  <c:v>-0.3600000000000001</c:v>
                </c:pt>
                <c:pt idx="32">
                  <c:v>-0.35000000000000009</c:v>
                </c:pt>
                <c:pt idx="33">
                  <c:v>-0.17999999999999994</c:v>
                </c:pt>
                <c:pt idx="34">
                  <c:v>0.12000000000000011</c:v>
                </c:pt>
                <c:pt idx="35">
                  <c:v>0.15000000000000013</c:v>
                </c:pt>
                <c:pt idx="36">
                  <c:v>0.22999999999999998</c:v>
                </c:pt>
                <c:pt idx="37">
                  <c:v>0.38000000000000012</c:v>
                </c:pt>
                <c:pt idx="38">
                  <c:v>0.74000000000000021</c:v>
                </c:pt>
                <c:pt idx="39">
                  <c:v>0.9700000000000002</c:v>
                </c:pt>
                <c:pt idx="40">
                  <c:v>1.21</c:v>
                </c:pt>
                <c:pt idx="41">
                  <c:v>1.4600000000000002</c:v>
                </c:pt>
                <c:pt idx="42">
                  <c:v>2.0300000000000002</c:v>
                </c:pt>
                <c:pt idx="43">
                  <c:v>2</c:v>
                </c:pt>
                <c:pt idx="44">
                  <c:v>2.42</c:v>
                </c:pt>
                <c:pt idx="45">
                  <c:v>4.0500000000000007</c:v>
                </c:pt>
                <c:pt idx="46">
                  <c:v>4.0600000000000005</c:v>
                </c:pt>
                <c:pt idx="47">
                  <c:v>3.5699999999999994</c:v>
                </c:pt>
                <c:pt idx="48">
                  <c:v>3.3899999999999997</c:v>
                </c:pt>
                <c:pt idx="49">
                  <c:v>3.1799999999999997</c:v>
                </c:pt>
                <c:pt idx="50">
                  <c:v>3.18</c:v>
                </c:pt>
                <c:pt idx="51">
                  <c:v>3.1099999999999994</c:v>
                </c:pt>
                <c:pt idx="52">
                  <c:v>3.25</c:v>
                </c:pt>
                <c:pt idx="53">
                  <c:v>4.1000000000000005</c:v>
                </c:pt>
                <c:pt idx="54">
                  <c:v>4.93</c:v>
                </c:pt>
                <c:pt idx="55">
                  <c:v>4.9499999999999993</c:v>
                </c:pt>
                <c:pt idx="56">
                  <c:v>4.71</c:v>
                </c:pt>
                <c:pt idx="57">
                  <c:v>4.3099999999999996</c:v>
                </c:pt>
                <c:pt idx="58">
                  <c:v>3.75</c:v>
                </c:pt>
                <c:pt idx="59">
                  <c:v>3.46</c:v>
                </c:pt>
                <c:pt idx="60">
                  <c:v>3.0700000000000003</c:v>
                </c:pt>
                <c:pt idx="61">
                  <c:v>2.9799999999999995</c:v>
                </c:pt>
                <c:pt idx="62">
                  <c:v>2.82</c:v>
                </c:pt>
                <c:pt idx="63">
                  <c:v>2.64</c:v>
                </c:pt>
                <c:pt idx="64">
                  <c:v>2.5600000000000005</c:v>
                </c:pt>
                <c:pt idx="65">
                  <c:v>2.29</c:v>
                </c:pt>
                <c:pt idx="66">
                  <c:v>1.5100000000000002</c:v>
                </c:pt>
                <c:pt idx="67">
                  <c:v>1.2079609999999996</c:v>
                </c:pt>
                <c:pt idx="68">
                  <c:v>0.60928233333333282</c:v>
                </c:pt>
                <c:pt idx="69">
                  <c:v>-1.2393963333333344</c:v>
                </c:pt>
                <c:pt idx="70">
                  <c:v>-1.2580750000000007</c:v>
                </c:pt>
                <c:pt idx="71">
                  <c:v>-0.71243266666666649</c:v>
                </c:pt>
                <c:pt idx="72">
                  <c:v>-0.42679033333333294</c:v>
                </c:pt>
                <c:pt idx="73">
                  <c:v>-8.1147999999999776E-2</c:v>
                </c:pt>
                <c:pt idx="74">
                  <c:v>-3.9931999999999412E-2</c:v>
                </c:pt>
                <c:pt idx="75">
                  <c:v>9.1284000000000809E-2</c:v>
                </c:pt>
                <c:pt idx="76">
                  <c:v>-3.7499999999999645E-2</c:v>
                </c:pt>
                <c:pt idx="77">
                  <c:v>-0.81048766666666694</c:v>
                </c:pt>
                <c:pt idx="78">
                  <c:v>-1.5434753333333333</c:v>
                </c:pt>
                <c:pt idx="79">
                  <c:v>-1.5064630000000001</c:v>
                </c:pt>
                <c:pt idx="80">
                  <c:v>-1.2445366666666668</c:v>
                </c:pt>
                <c:pt idx="81">
                  <c:v>-0.94261033333333266</c:v>
                </c:pt>
                <c:pt idx="82">
                  <c:v>-0.63068400000000047</c:v>
                </c:pt>
                <c:pt idx="83">
                  <c:v>-0.42259966666666671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54-4848-A835-E401831A92EF}"/>
            </c:ext>
          </c:extLst>
        </c:ser>
        <c:ser>
          <c:idx val="1"/>
          <c:order val="1"/>
          <c:tx>
            <c:strRef>
              <c:f>'Chart Data'!$BX$3</c:f>
              <c:strCache>
                <c:ptCount val="1"/>
                <c:pt idx="0">
                  <c:v>5 year fix, 75% LTV</c:v>
                </c:pt>
              </c:strCache>
            </c:strRef>
          </c:tx>
          <c:spPr>
            <a:ln w="254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Data'!$BK$64:$BK$147</c:f>
              <c:numCache>
                <c:formatCode>m/d/yyyy</c:formatCode>
                <c:ptCount val="84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  <c:pt idx="74">
                  <c:v>45717</c:v>
                </c:pt>
                <c:pt idx="75">
                  <c:v>45748</c:v>
                </c:pt>
                <c:pt idx="76">
                  <c:v>45778</c:v>
                </c:pt>
                <c:pt idx="77">
                  <c:v>45809</c:v>
                </c:pt>
                <c:pt idx="78">
                  <c:v>45839</c:v>
                </c:pt>
                <c:pt idx="79">
                  <c:v>45870</c:v>
                </c:pt>
                <c:pt idx="80">
                  <c:v>45901</c:v>
                </c:pt>
                <c:pt idx="81">
                  <c:v>45931</c:v>
                </c:pt>
                <c:pt idx="82">
                  <c:v>45962</c:v>
                </c:pt>
                <c:pt idx="83">
                  <c:v>45992</c:v>
                </c:pt>
              </c:numCache>
            </c:numRef>
          </c:cat>
          <c:val>
            <c:numRef>
              <c:f>'Chart Data'!$BX$64:$BX$147</c:f>
              <c:numCache>
                <c:formatCode>0.00</c:formatCode>
                <c:ptCount val="84"/>
                <c:pt idx="0">
                  <c:v>-1.29</c:v>
                </c:pt>
                <c:pt idx="1">
                  <c:v>-1.4000000000000004</c:v>
                </c:pt>
                <c:pt idx="2">
                  <c:v>-1.4500000000000002</c:v>
                </c:pt>
                <c:pt idx="3">
                  <c:v>-1.69</c:v>
                </c:pt>
                <c:pt idx="4">
                  <c:v>-1.7300000000000002</c:v>
                </c:pt>
                <c:pt idx="5">
                  <c:v>-1.72</c:v>
                </c:pt>
                <c:pt idx="6">
                  <c:v>-1.8499999999999999</c:v>
                </c:pt>
                <c:pt idx="7">
                  <c:v>-1.8699999999999999</c:v>
                </c:pt>
                <c:pt idx="8">
                  <c:v>-1.8199999999999998</c:v>
                </c:pt>
                <c:pt idx="9">
                  <c:v>-1.56</c:v>
                </c:pt>
                <c:pt idx="10">
                  <c:v>-1.54</c:v>
                </c:pt>
                <c:pt idx="11">
                  <c:v>-1.54</c:v>
                </c:pt>
                <c:pt idx="12">
                  <c:v>-1.41</c:v>
                </c:pt>
                <c:pt idx="13">
                  <c:v>-1.38</c:v>
                </c:pt>
                <c:pt idx="14">
                  <c:v>-1.32</c:v>
                </c:pt>
                <c:pt idx="15">
                  <c:v>-1.25</c:v>
                </c:pt>
                <c:pt idx="16">
                  <c:v>-1.1599999999999999</c:v>
                </c:pt>
                <c:pt idx="17">
                  <c:v>-1.1299999999999999</c:v>
                </c:pt>
                <c:pt idx="18">
                  <c:v>-1.1300000000000001</c:v>
                </c:pt>
                <c:pt idx="19">
                  <c:v>-1.1299999999999999</c:v>
                </c:pt>
                <c:pt idx="20">
                  <c:v>-0.91999999999999993</c:v>
                </c:pt>
                <c:pt idx="21">
                  <c:v>-0.73</c:v>
                </c:pt>
                <c:pt idx="22">
                  <c:v>-0.7200000000000002</c:v>
                </c:pt>
                <c:pt idx="23">
                  <c:v>-0.75</c:v>
                </c:pt>
                <c:pt idx="24">
                  <c:v>-0.76000000000000023</c:v>
                </c:pt>
                <c:pt idx="25">
                  <c:v>-0.92999999999999994</c:v>
                </c:pt>
                <c:pt idx="26">
                  <c:v>-0.96000000000000019</c:v>
                </c:pt>
                <c:pt idx="27">
                  <c:v>-1</c:v>
                </c:pt>
                <c:pt idx="28">
                  <c:v>-0.96000000000000019</c:v>
                </c:pt>
                <c:pt idx="29">
                  <c:v>-0.94</c:v>
                </c:pt>
                <c:pt idx="30">
                  <c:v>-1.0599999999999998</c:v>
                </c:pt>
                <c:pt idx="31">
                  <c:v>-1.0000000000000002</c:v>
                </c:pt>
                <c:pt idx="32">
                  <c:v>-1.0599999999999998</c:v>
                </c:pt>
                <c:pt idx="33">
                  <c:v>-0.97</c:v>
                </c:pt>
                <c:pt idx="34">
                  <c:v>-0.73</c:v>
                </c:pt>
                <c:pt idx="35">
                  <c:v>-0.66999999999999971</c:v>
                </c:pt>
                <c:pt idx="36">
                  <c:v>-0.5900000000000003</c:v>
                </c:pt>
                <c:pt idx="37">
                  <c:v>-0.41000000000000014</c:v>
                </c:pt>
                <c:pt idx="38">
                  <c:v>-4.0000000000000036E-2</c:v>
                </c:pt>
                <c:pt idx="39">
                  <c:v>0.26000000000000023</c:v>
                </c:pt>
                <c:pt idx="40">
                  <c:v>0.5900000000000003</c:v>
                </c:pt>
                <c:pt idx="41">
                  <c:v>0.90999999999999992</c:v>
                </c:pt>
                <c:pt idx="42">
                  <c:v>1.4600000000000002</c:v>
                </c:pt>
                <c:pt idx="43">
                  <c:v>1.65</c:v>
                </c:pt>
                <c:pt idx="44">
                  <c:v>2.0700000000000003</c:v>
                </c:pt>
                <c:pt idx="45">
                  <c:v>3.5700000000000003</c:v>
                </c:pt>
                <c:pt idx="46">
                  <c:v>3.46</c:v>
                </c:pt>
                <c:pt idx="47">
                  <c:v>2.98</c:v>
                </c:pt>
                <c:pt idx="48">
                  <c:v>2.68</c:v>
                </c:pt>
                <c:pt idx="49">
                  <c:v>2.37</c:v>
                </c:pt>
                <c:pt idx="50">
                  <c:v>2.2399999999999998</c:v>
                </c:pt>
                <c:pt idx="51">
                  <c:v>2.1500000000000004</c:v>
                </c:pt>
                <c:pt idx="52">
                  <c:v>2.2200000000000002</c:v>
                </c:pt>
                <c:pt idx="53">
                  <c:v>2.9200000000000004</c:v>
                </c:pt>
                <c:pt idx="54">
                  <c:v>3.67</c:v>
                </c:pt>
                <c:pt idx="55">
                  <c:v>3.5000000000000004</c:v>
                </c:pt>
                <c:pt idx="56">
                  <c:v>3.2300000000000004</c:v>
                </c:pt>
                <c:pt idx="57">
                  <c:v>2.9599999999999995</c:v>
                </c:pt>
                <c:pt idx="58">
                  <c:v>2.8699999999999997</c:v>
                </c:pt>
                <c:pt idx="59">
                  <c:v>2.67</c:v>
                </c:pt>
                <c:pt idx="60">
                  <c:v>2.38</c:v>
                </c:pt>
                <c:pt idx="61">
                  <c:v>2.3600000000000003</c:v>
                </c:pt>
                <c:pt idx="62">
                  <c:v>2.5000000000000004</c:v>
                </c:pt>
                <c:pt idx="63">
                  <c:v>2.5099999999999998</c:v>
                </c:pt>
                <c:pt idx="64">
                  <c:v>2.6799999999999997</c:v>
                </c:pt>
                <c:pt idx="65">
                  <c:v>2.6800000000000006</c:v>
                </c:pt>
                <c:pt idx="66">
                  <c:v>2.58</c:v>
                </c:pt>
                <c:pt idx="67">
                  <c:v>2.5410440000000003</c:v>
                </c:pt>
                <c:pt idx="68">
                  <c:v>2.6207750000000001</c:v>
                </c:pt>
                <c:pt idx="69">
                  <c:v>2.6805060000000003</c:v>
                </c:pt>
                <c:pt idx="70">
                  <c:v>2.7002370000000004</c:v>
                </c:pt>
                <c:pt idx="71">
                  <c:v>2.693265666666667</c:v>
                </c:pt>
                <c:pt idx="72">
                  <c:v>2.6762943333333338</c:v>
                </c:pt>
                <c:pt idx="73">
                  <c:v>2.6793230000000001</c:v>
                </c:pt>
                <c:pt idx="74">
                  <c:v>2.6725460000000005</c:v>
                </c:pt>
                <c:pt idx="75">
                  <c:v>2.6457690000000005</c:v>
                </c:pt>
                <c:pt idx="76">
                  <c:v>2.598992</c:v>
                </c:pt>
                <c:pt idx="77">
                  <c:v>2.6034809999999999</c:v>
                </c:pt>
                <c:pt idx="78">
                  <c:v>2.5879700000000003</c:v>
                </c:pt>
                <c:pt idx="79">
                  <c:v>2.4924590000000002</c:v>
                </c:pt>
                <c:pt idx="80">
                  <c:v>2.3648553333333338</c:v>
                </c:pt>
                <c:pt idx="81">
                  <c:v>2.2372516666666673</c:v>
                </c:pt>
                <c:pt idx="82">
                  <c:v>2.2396479999999999</c:v>
                </c:pt>
                <c:pt idx="83">
                  <c:v>2.2867440000000006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54-4848-A835-E401831A92EF}"/>
            </c:ext>
          </c:extLst>
        </c:ser>
        <c:ser>
          <c:idx val="2"/>
          <c:order val="2"/>
          <c:tx>
            <c:strRef>
              <c:f>'Chart Data'!$BY$3</c:f>
              <c:strCache>
                <c:ptCount val="1"/>
                <c:pt idx="0">
                  <c:v>ZERO LINE</c:v>
                </c:pt>
              </c:strCache>
            </c:strRef>
          </c:tx>
          <c:spPr>
            <a:ln w="127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Data'!$BK$64:$BK$147</c:f>
              <c:numCache>
                <c:formatCode>m/d/yyyy</c:formatCode>
                <c:ptCount val="84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  <c:pt idx="74">
                  <c:v>45717</c:v>
                </c:pt>
                <c:pt idx="75">
                  <c:v>45748</c:v>
                </c:pt>
                <c:pt idx="76">
                  <c:v>45778</c:v>
                </c:pt>
                <c:pt idx="77">
                  <c:v>45809</c:v>
                </c:pt>
                <c:pt idx="78">
                  <c:v>45839</c:v>
                </c:pt>
                <c:pt idx="79">
                  <c:v>45870</c:v>
                </c:pt>
                <c:pt idx="80">
                  <c:v>45901</c:v>
                </c:pt>
                <c:pt idx="81">
                  <c:v>45931</c:v>
                </c:pt>
                <c:pt idx="82">
                  <c:v>45962</c:v>
                </c:pt>
                <c:pt idx="83">
                  <c:v>45992</c:v>
                </c:pt>
              </c:numCache>
            </c:numRef>
          </c:cat>
          <c:val>
            <c:numRef>
              <c:f>'Chart Data'!$BY$64:$BY$147</c:f>
              <c:numCache>
                <c:formatCode>0.00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54-4848-A835-E401831A9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495057"/>
                </a:solidFill>
                <a:latin typeface="Segoe UI" panose="020B0502040204020203" pitchFamily="34" charset="0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12"/>
        <c:tickMarkSkip val="12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495057"/>
                </a:solidFill>
                <a:latin typeface="Segoe UI" panose="020B0502040204020203" pitchFamily="34" charset="0"/>
                <a:ea typeface="Segoe UI"/>
                <a:cs typeface="Segoe UI" panose="020B0502040204020203" pitchFamily="34" charset="0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8730785770422765E-2"/>
          <c:y val="0.14725688325786473"/>
          <c:w val="0.88782668268161391"/>
          <c:h val="0.7131870060151829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Data'!$A$5</c:f>
              <c:strCache>
                <c:ptCount val="1"/>
                <c:pt idx="0">
                  <c:v>OE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Data'!$B$4:$Q$4</c:f>
              <c:numCache>
                <c:formatCode>m/d/yyyy</c:formatCode>
                <c:ptCount val="16"/>
                <c:pt idx="0">
                  <c:v>45302</c:v>
                </c:pt>
                <c:pt idx="1">
                  <c:v>45315</c:v>
                </c:pt>
                <c:pt idx="2">
                  <c:v>45328</c:v>
                </c:pt>
                <c:pt idx="3">
                  <c:v>45341</c:v>
                </c:pt>
                <c:pt idx="4">
                  <c:v>45362</c:v>
                </c:pt>
                <c:pt idx="5">
                  <c:v>45371</c:v>
                </c:pt>
                <c:pt idx="6">
                  <c:v>45391</c:v>
                </c:pt>
                <c:pt idx="7">
                  <c:v>45405</c:v>
                </c:pt>
                <c:pt idx="8">
                  <c:v>45419</c:v>
                </c:pt>
                <c:pt idx="9">
                  <c:v>45399</c:v>
                </c:pt>
                <c:pt idx="10">
                  <c:v>45393</c:v>
                </c:pt>
                <c:pt idx="11">
                  <c:v>45400</c:v>
                </c:pt>
                <c:pt idx="12">
                  <c:v>45483</c:v>
                </c:pt>
                <c:pt idx="13">
                  <c:v>45497</c:v>
                </c:pt>
                <c:pt idx="14">
                  <c:v>45512</c:v>
                </c:pt>
                <c:pt idx="15">
                  <c:v>45519</c:v>
                </c:pt>
              </c:numCache>
            </c:numRef>
          </c:cat>
          <c:val>
            <c:numRef>
              <c:f>'Chart Data'!$B$5:$Q$5</c:f>
              <c:numCache>
                <c:formatCode>0.0</c:formatCode>
                <c:ptCount val="16"/>
                <c:pt idx="0">
                  <c:v>0.55733861152833519</c:v>
                </c:pt>
                <c:pt idx="1">
                  <c:v>0.60762200473585271</c:v>
                </c:pt>
                <c:pt idx="2">
                  <c:v>0.60762200473585271</c:v>
                </c:pt>
                <c:pt idx="3">
                  <c:v>0.38200567269848218</c:v>
                </c:pt>
                <c:pt idx="4">
                  <c:v>0.52154526065830709</c:v>
                </c:pt>
                <c:pt idx="5">
                  <c:v>0.52442558430993991</c:v>
                </c:pt>
                <c:pt idx="6">
                  <c:v>0.5401636336920923</c:v>
                </c:pt>
                <c:pt idx="7">
                  <c:v>0.61547842046592027</c:v>
                </c:pt>
                <c:pt idx="8">
                  <c:v>0.61547842046592027</c:v>
                </c:pt>
                <c:pt idx="9">
                  <c:v>0.90163941638079503</c:v>
                </c:pt>
                <c:pt idx="10">
                  <c:v>0.85976316315066192</c:v>
                </c:pt>
                <c:pt idx="11">
                  <c:v>0.93217006008468051</c:v>
                </c:pt>
                <c:pt idx="12">
                  <c:v>1.0580231804132367</c:v>
                </c:pt>
                <c:pt idx="13">
                  <c:v>1.1108139188060973</c:v>
                </c:pt>
                <c:pt idx="14">
                  <c:v>1.0829668043038643</c:v>
                </c:pt>
                <c:pt idx="15">
                  <c:v>1.1412125856639754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Data'!$A$6</c:f>
              <c:strCache>
                <c:ptCount val="1"/>
                <c:pt idx="0">
                  <c:v>Consensus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Data'!$B$4:$Q$4</c:f>
              <c:numCache>
                <c:formatCode>m/d/yyyy</c:formatCode>
                <c:ptCount val="16"/>
                <c:pt idx="0">
                  <c:v>45302</c:v>
                </c:pt>
                <c:pt idx="1">
                  <c:v>45315</c:v>
                </c:pt>
                <c:pt idx="2">
                  <c:v>45328</c:v>
                </c:pt>
                <c:pt idx="3">
                  <c:v>45341</c:v>
                </c:pt>
                <c:pt idx="4">
                  <c:v>45362</c:v>
                </c:pt>
                <c:pt idx="5">
                  <c:v>45371</c:v>
                </c:pt>
                <c:pt idx="6">
                  <c:v>45391</c:v>
                </c:pt>
                <c:pt idx="7">
                  <c:v>45405</c:v>
                </c:pt>
                <c:pt idx="8">
                  <c:v>45419</c:v>
                </c:pt>
                <c:pt idx="9">
                  <c:v>45399</c:v>
                </c:pt>
                <c:pt idx="10">
                  <c:v>45393</c:v>
                </c:pt>
                <c:pt idx="11">
                  <c:v>45400</c:v>
                </c:pt>
                <c:pt idx="12">
                  <c:v>45483</c:v>
                </c:pt>
                <c:pt idx="13">
                  <c:v>45497</c:v>
                </c:pt>
                <c:pt idx="14">
                  <c:v>45512</c:v>
                </c:pt>
                <c:pt idx="15">
                  <c:v>45519</c:v>
                </c:pt>
              </c:numCache>
            </c:numRef>
          </c:cat>
          <c:val>
            <c:numRef>
              <c:f>'Chart Data'!$B$6:$Q$6</c:f>
              <c:numCache>
                <c:formatCode>General</c:formatCode>
                <c:ptCount val="16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0.6</c:v>
                </c:pt>
                <c:pt idx="9">
                  <c:v>0.6</c:v>
                </c:pt>
                <c:pt idx="10">
                  <c:v>0.8</c:v>
                </c:pt>
                <c:pt idx="11">
                  <c:v>0.8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mmm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2"/>
        <c:tickMarkSkip val="2"/>
        <c:noMultiLvlLbl val="0"/>
      </c:catAx>
      <c:valAx>
        <c:axId val="263608576"/>
        <c:scaling>
          <c:orientation val="minMax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8294224238919286"/>
          <c:y val="9.3443673648442666E-2"/>
          <c:w val="0.41477408544270955"/>
          <c:h val="5.6101061021763217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EAC085D-A306-48D0-BCC1-E420DC938C00}">
  <sheetPr/>
  <sheetViews>
    <sheetView tabSelected="1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453D466-1880-46D9-B50F-9E37A194EA51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5812104-DA7F-418D-8C42-5BF4D62ABF05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C44FBF8-9DDB-455C-B395-80E6B8074AC5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90E702D-9631-46EE-BE67-4B00159B4C4D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F73270B-C277-42AD-8FDC-FEA43F4FCAB4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3F3417-C571-FA0C-649F-423AE172779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3" name="Text 2">
          <a:extLst xmlns:a="http://schemas.openxmlformats.org/drawingml/2006/main">
            <a:ext uri="{FF2B5EF4-FFF2-40B4-BE49-F238E27FC236}">
              <a16:creationId xmlns:a16="http://schemas.microsoft.com/office/drawing/2014/main" id="{790798E4-20B9-4B63-8286-6D9D8E8881D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0B11B8D-B4C3-B982-BD09-BE80564CD399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GDP growth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36759D50-AD50-97E7-0B3B-D3B98E16838D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Analytics, HM Treasury</a:t>
          </a:r>
        </a:p>
      </cdr:txBody>
    </cdr:sp>
  </cdr:relSizeAnchor>
  <cdr:relSizeAnchor xmlns:cdr="http://schemas.openxmlformats.org/drawingml/2006/chartDrawing">
    <cdr:from>
      <cdr:x>0.53178</cdr:x>
      <cdr:y>0.14242</cdr:y>
    </cdr:from>
    <cdr:to>
      <cdr:x>0.53178</cdr:x>
      <cdr:y>0.77413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C806A5E2-CAE6-9B54-4C82-845410AB12A3}"/>
            </a:ext>
          </a:extLst>
        </cdr:cNvPr>
        <cdr:cNvCxnSpPr/>
      </cdr:nvCxnSpPr>
      <cdr:spPr>
        <a:xfrm xmlns:a="http://schemas.openxmlformats.org/drawingml/2006/main">
          <a:off x="4482729" y="957720"/>
          <a:ext cx="0" cy="42480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0.69977</cdr:x>
      <cdr:y>0.17729</cdr:y>
    </cdr:from>
    <cdr:to>
      <cdr:x>0.85042</cdr:x>
      <cdr:y>0.25654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73B13730-D654-B341-9FBA-3AE06DE4AF18}"/>
            </a:ext>
          </a:extLst>
        </cdr:cNvPr>
        <cdr:cNvSpPr txBox="1"/>
      </cdr:nvSpPr>
      <cdr:spPr>
        <a:xfrm xmlns:a="http://schemas.openxmlformats.org/drawingml/2006/main">
          <a:off x="5898775" y="1192183"/>
          <a:ext cx="1269933" cy="5329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0.00339</cdr:x>
      <cdr:y>0.07124</cdr:y>
    </cdr:from>
    <cdr:to>
      <cdr:x>0.21692</cdr:x>
      <cdr:y>0.12219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91C68B07-8FC5-4AA3-84CF-49B6FC60379E}"/>
            </a:ext>
          </a:extLst>
        </cdr:cNvPr>
        <cdr:cNvSpPr txBox="1"/>
      </cdr:nvSpPr>
      <cdr:spPr>
        <a:xfrm xmlns:a="http://schemas.openxmlformats.org/drawingml/2006/main">
          <a:off x="28575" y="479035"/>
          <a:ext cx="1800000" cy="3426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quarter</a:t>
          </a:r>
        </a:p>
      </cdr:txBody>
    </cdr:sp>
  </cdr:relSizeAnchor>
  <cdr:relSizeAnchor xmlns:cdr="http://schemas.openxmlformats.org/drawingml/2006/chartDrawing">
    <cdr:from>
      <cdr:x>0</cdr:x>
      <cdr:y>0.78329</cdr:y>
    </cdr:from>
    <cdr:to>
      <cdr:x>0.69605</cdr:x>
      <cdr:y>0.85269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C6F1E5C5-12B6-F31D-DA00-97BBDCD7C8ED}"/>
            </a:ext>
          </a:extLst>
        </cdr:cNvPr>
        <cdr:cNvSpPr txBox="1"/>
      </cdr:nvSpPr>
      <cdr:spPr>
        <a:xfrm xmlns:a="http://schemas.openxmlformats.org/drawingml/2006/main">
          <a:off x="0" y="5267325"/>
          <a:ext cx="5867400" cy="4667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* quarterly profile</a:t>
          </a:r>
          <a:r>
            <a:rPr lang="en-GB" sz="1800" baseline="0">
              <a:solidFill>
                <a:srgbClr val="495057"/>
              </a:solidFill>
              <a:latin typeface="Segoe UI" panose="020B0502040204020203" pitchFamily="34" charset="0"/>
            </a:rPr>
            <a:t> implied by August HMT survey </a:t>
          </a:r>
          <a:endParaRPr lang="en-GB" sz="1800">
            <a:solidFill>
              <a:srgbClr val="495057"/>
            </a:solidFill>
            <a:latin typeface="Segoe UI" panose="020B0502040204020203" pitchFamily="34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92A400-4F56-173D-F75E-B8778AED873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BAF9F7E-C10F-4842-B234-2FD474CB2A9A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Contributions to CPI inflation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A3E57D66-1F97-819B-455D-36360C8FBA65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0.85721</cdr:x>
      <cdr:y>0.14814</cdr:y>
    </cdr:from>
    <cdr:to>
      <cdr:x>0.85721</cdr:x>
      <cdr:y>0.8596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FAAC2963-C7FE-0AC5-9788-6E4CEAB73DEF}"/>
            </a:ext>
          </a:extLst>
        </cdr:cNvPr>
        <cdr:cNvCxnSpPr/>
      </cdr:nvCxnSpPr>
      <cdr:spPr>
        <a:xfrm xmlns:a="http://schemas.openxmlformats.org/drawingml/2006/main">
          <a:off x="7226300" y="996950"/>
          <a:ext cx="0" cy="47880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0.83988</cdr:x>
      <cdr:y>0.31185</cdr:y>
    </cdr:from>
    <cdr:to>
      <cdr:x>0.99053</cdr:x>
      <cdr:y>0.39111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653D660F-FEC1-DD02-316A-8018640AA53B}"/>
            </a:ext>
          </a:extLst>
        </cdr:cNvPr>
        <cdr:cNvSpPr txBox="1"/>
      </cdr:nvSpPr>
      <cdr:spPr>
        <a:xfrm xmlns:a="http://schemas.openxmlformats.org/drawingml/2006/main">
          <a:off x="7080250" y="2098675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algn="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0.07549</cdr:y>
    </cdr:from>
    <cdr:to>
      <cdr:x>1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A0AEB629-95EF-97C2-4675-EB2DF2EF0B60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%pts</a:t>
          </a:r>
        </a:p>
      </cdr:txBody>
    </cdr:sp>
  </cdr:relSizeAnchor>
  <cdr:relSizeAnchor xmlns:cdr="http://schemas.openxmlformats.org/drawingml/2006/chartDrawing">
    <cdr:from>
      <cdr:x>0.09642</cdr:x>
      <cdr:y>0.5935</cdr:y>
    </cdr:from>
    <cdr:to>
      <cdr:x>0.24707</cdr:x>
      <cdr:y>0.67276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A0A9C78A-7365-8497-3D0D-300CD5448439}"/>
            </a:ext>
          </a:extLst>
        </cdr:cNvPr>
        <cdr:cNvSpPr txBox="1"/>
      </cdr:nvSpPr>
      <cdr:spPr>
        <a:xfrm xmlns:a="http://schemas.openxmlformats.org/drawingml/2006/main">
          <a:off x="812800" y="3994150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2% target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453B5B-45AD-5327-EA03-2942602C205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A04CDE9-6BD3-F1B7-ABFB-708CC1259ED8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Earnings &amp; inflation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143DCC91-51DD-E84B-B51B-A041D966122D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0.88094</cdr:x>
      <cdr:y>0.15658</cdr:y>
    </cdr:from>
    <cdr:to>
      <cdr:x>0.88094</cdr:x>
      <cdr:y>0.86859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345E9E7D-2396-F381-A745-5202BE4F9655}"/>
            </a:ext>
          </a:extLst>
        </cdr:cNvPr>
        <cdr:cNvCxnSpPr/>
      </cdr:nvCxnSpPr>
      <cdr:spPr>
        <a:xfrm xmlns:a="http://schemas.openxmlformats.org/drawingml/2006/main">
          <a:off x="7425954" y="1052970"/>
          <a:ext cx="0" cy="47880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0.7348</cdr:x>
      <cdr:y>0.81326</cdr:y>
    </cdr:from>
    <cdr:to>
      <cdr:x>0.88545</cdr:x>
      <cdr:y>0.89252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90C3FEBC-4061-031D-2031-ADCF2CB774C3}"/>
            </a:ext>
          </a:extLst>
        </cdr:cNvPr>
        <cdr:cNvSpPr txBox="1"/>
      </cdr:nvSpPr>
      <cdr:spPr>
        <a:xfrm xmlns:a="http://schemas.openxmlformats.org/drawingml/2006/main">
          <a:off x="6194050" y="5468908"/>
          <a:ext cx="1269933" cy="5329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0.07548</cdr:y>
    </cdr:from>
    <cdr:to>
      <cdr:x>0.21353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002AEAF9-2B00-E666-DF33-0466F4DEDBAD}"/>
            </a:ext>
          </a:extLst>
        </cdr:cNvPr>
        <cdr:cNvSpPr txBox="1"/>
      </cdr:nvSpPr>
      <cdr:spPr>
        <a:xfrm xmlns:a="http://schemas.openxmlformats.org/drawingml/2006/main">
          <a:off x="0" y="507610"/>
          <a:ext cx="1800000" cy="3426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0.85311</cdr:x>
      <cdr:y>0.84561</cdr:y>
    </cdr:from>
    <cdr:to>
      <cdr:x>0.90436</cdr:x>
      <cdr:y>0.84561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3A37766E-F9B8-23D3-0977-3F7416F3D868}"/>
            </a:ext>
          </a:extLst>
        </cdr:cNvPr>
        <cdr:cNvCxnSpPr/>
      </cdr:nvCxnSpPr>
      <cdr:spPr>
        <a:xfrm xmlns:a="http://schemas.openxmlformats.org/drawingml/2006/main">
          <a:off x="7191375" y="5686425"/>
          <a:ext cx="432000" cy="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9B93B3-9683-D812-A9C3-28C07A48766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6E8A418-4E60-982E-472C-8E41816B567C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Change in average interest rate on outstanding loans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0E1FE2E-6D01-879A-B11C-7A9106499E2C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0.00226</cdr:x>
      <cdr:y>0.07549</cdr:y>
    </cdr:from>
    <cdr:to>
      <cdr:x>0.72823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3F4D2303-5A64-C784-F84B-6A77B0CC3A16}"/>
            </a:ext>
          </a:extLst>
        </cdr:cNvPr>
        <cdr:cNvSpPr txBox="1"/>
      </cdr:nvSpPr>
      <cdr:spPr>
        <a:xfrm xmlns:a="http://schemas.openxmlformats.org/drawingml/2006/main">
          <a:off x="19050" y="508000"/>
          <a:ext cx="612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%pts change since BoE started to increase Bank Rate 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66A37B-47D3-0D95-9C3C-7A342EF08C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0.00837</cdr:y>
    </cdr:from>
    <cdr:to>
      <cdr:x>0.96123</cdr:x>
      <cdr:y>0.09204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C927A2A-0D9B-4F6E-3057-5EBE6FB12EB3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Quoted mortgage rates</a:t>
          </a:r>
        </a:p>
      </cdr:txBody>
    </cdr:sp>
  </cdr:relSizeAnchor>
  <cdr:relSizeAnchor xmlns:cdr="http://schemas.openxmlformats.org/drawingml/2006/chartDrawing">
    <cdr:from>
      <cdr:x>0.00546</cdr:x>
      <cdr:y>0.93704</cdr:y>
    </cdr:from>
    <cdr:to>
      <cdr:x>0.96123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30F56FC3-E2C6-CB80-DD64-BF534C6EF5A6}"/>
            </a:ext>
          </a:extLst>
        </cdr:cNvPr>
        <cdr:cNvSpPr/>
      </cdr:nvSpPr>
      <cdr:spPr>
        <a:xfrm xmlns:a="http://schemas.openxmlformats.org/drawingml/2006/main">
          <a:off x="50800" y="568888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Haver Analytics, Oxford Economics</a:t>
          </a:r>
        </a:p>
      </cdr:txBody>
    </cdr:sp>
  </cdr:relSizeAnchor>
  <cdr:relSizeAnchor xmlns:cdr="http://schemas.openxmlformats.org/drawingml/2006/chartDrawing">
    <cdr:from>
      <cdr:x>0.00678</cdr:x>
      <cdr:y>0.06839</cdr:y>
    </cdr:from>
    <cdr:to>
      <cdr:x>0.07461</cdr:x>
      <cdr:y>0.11933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8A5111FD-731F-BDD9-BC7A-12D84FC5796C}"/>
            </a:ext>
          </a:extLst>
        </cdr:cNvPr>
        <cdr:cNvSpPr txBox="1"/>
      </cdr:nvSpPr>
      <cdr:spPr>
        <a:xfrm xmlns:a="http://schemas.openxmlformats.org/drawingml/2006/main">
          <a:off x="57150" y="460375"/>
          <a:ext cx="5715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  <cdr:relSizeAnchor xmlns:cdr="http://schemas.openxmlformats.org/drawingml/2006/chartDrawing">
    <cdr:from>
      <cdr:x>0.8452</cdr:x>
      <cdr:y>0.16973</cdr:y>
    </cdr:from>
    <cdr:to>
      <cdr:x>0.8452</cdr:x>
      <cdr:y>0.85856</cdr:y>
    </cdr:to>
    <cdr:cxnSp macro="">
      <cdr:nvCxnSpPr>
        <cdr:cNvPr id="7" name="Straight Connector 6">
          <a:extLst xmlns:a="http://schemas.openxmlformats.org/drawingml/2006/main">
            <a:ext uri="{FF2B5EF4-FFF2-40B4-BE49-F238E27FC236}">
              <a16:creationId xmlns:a16="http://schemas.microsoft.com/office/drawing/2014/main" id="{255BAE8E-75CC-09C3-82F9-1F0F31A357ED}"/>
            </a:ext>
          </a:extLst>
        </cdr:cNvPr>
        <cdr:cNvCxnSpPr/>
      </cdr:nvCxnSpPr>
      <cdr:spPr>
        <a:xfrm xmlns:a="http://schemas.openxmlformats.org/drawingml/2006/main">
          <a:off x="7124709" y="1142962"/>
          <a:ext cx="0" cy="4638701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495057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0.85876</cdr:x>
      <cdr:y>0.67751</cdr:y>
    </cdr:from>
    <cdr:to>
      <cdr:x>0.99209</cdr:x>
      <cdr:y>0.7454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D4E7DA9B-6EB3-F6F4-5DE8-9E5ECCD448E1}"/>
            </a:ext>
          </a:extLst>
        </cdr:cNvPr>
        <cdr:cNvSpPr txBox="1"/>
      </cdr:nvSpPr>
      <cdr:spPr>
        <a:xfrm xmlns:a="http://schemas.openxmlformats.org/drawingml/2006/main">
          <a:off x="7239017" y="4562501"/>
          <a:ext cx="1123922" cy="4571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0.13848</cdr:x>
      <cdr:y>0.12308</cdr:y>
    </cdr:from>
    <cdr:to>
      <cdr:x>0.66583</cdr:x>
      <cdr:y>0.53059</cdr:y>
    </cdr:to>
    <cdr:graphicFrame macro="">
      <cdr:nvGraphicFramePr>
        <cdr:cNvPr id="5" name="Chart 1">
          <a:extLst xmlns:a="http://schemas.openxmlformats.org/drawingml/2006/main">
            <a:ext uri="{FF2B5EF4-FFF2-40B4-BE49-F238E27FC236}">
              <a16:creationId xmlns:a16="http://schemas.microsoft.com/office/drawing/2014/main" id="{344849C5-85B5-E700-7DDF-09A8546662AA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0.00837</cdr:y>
    </cdr:from>
    <cdr:to>
      <cdr:x>0.96123</cdr:x>
      <cdr:y>0.14583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1271505-0FD0-3A76-89AB-32EF12676922}"/>
            </a:ext>
          </a:extLst>
        </cdr:cNvPr>
        <cdr:cNvSpPr txBox="1"/>
      </cdr:nvSpPr>
      <cdr:spPr>
        <a:xfrm xmlns:a="http://schemas.openxmlformats.org/drawingml/2006/main">
          <a:off x="24963" y="22961"/>
          <a:ext cx="4369781" cy="3770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New fix less equivalent expiring fix</a:t>
          </a:r>
          <a:endParaRPr lang="en-GB" sz="1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0.01042</cdr:x>
      <cdr:y>0.09282</cdr:y>
    </cdr:from>
    <cdr:to>
      <cdr:x>0.11146</cdr:x>
      <cdr:y>0.17708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42AC22F1-F33C-F925-CCFF-019609EAA752}"/>
            </a:ext>
          </a:extLst>
        </cdr:cNvPr>
        <cdr:cNvSpPr txBox="1"/>
      </cdr:nvSpPr>
      <cdr:spPr>
        <a:xfrm xmlns:a="http://schemas.openxmlformats.org/drawingml/2006/main">
          <a:off x="47625" y="254627"/>
          <a:ext cx="461963" cy="2311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05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  <a:endParaRPr lang="en-GB" sz="11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0.76161</cdr:x>
      <cdr:y>0.1943</cdr:y>
    </cdr:from>
    <cdr:to>
      <cdr:x>0.76161</cdr:x>
      <cdr:y>0.8746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CA6A6650-45D4-38C5-385A-D243AED77FA8}"/>
            </a:ext>
          </a:extLst>
        </cdr:cNvPr>
        <cdr:cNvCxnSpPr/>
      </cdr:nvCxnSpPr>
      <cdr:spPr>
        <a:xfrm xmlns:a="http://schemas.openxmlformats.org/drawingml/2006/main" flipH="1">
          <a:off x="3385632" y="533204"/>
          <a:ext cx="0" cy="1866909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495057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5F6EF2-A196-A91E-A30B-642DDDDBB34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DE651D5-E80C-8BA0-A017-9E4285A9FE9F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Forecast for GDP growth in 2024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601D1CE-4436-4AE3-3740-FD9951579B99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HMT Forecasts for the UK economy</a:t>
          </a:r>
        </a:p>
      </cdr:txBody>
    </cdr:sp>
  </cdr:relSizeAnchor>
  <cdr:relSizeAnchor xmlns:cdr="http://schemas.openxmlformats.org/drawingml/2006/chartDrawing">
    <cdr:from>
      <cdr:x>0.00339</cdr:x>
      <cdr:y>0.07548</cdr:y>
    </cdr:from>
    <cdr:to>
      <cdr:x>0.16497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7D8B752C-DC92-B190-E173-E93013EE29C5}"/>
            </a:ext>
          </a:extLst>
        </cdr:cNvPr>
        <cdr:cNvSpPr txBox="1"/>
      </cdr:nvSpPr>
      <cdr:spPr>
        <a:xfrm xmlns:a="http://schemas.openxmlformats.org/drawingml/2006/main">
          <a:off x="28575" y="507610"/>
          <a:ext cx="1362075" cy="3426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ChartsTables\Fixed%20Income\UK\Fixed%20Income%20UK%20Forecasts.xlsx" TargetMode="External"/><Relationship Id="rId1" Type="http://schemas.openxmlformats.org/officeDocument/2006/relationships/externalLinkPath" Target="/ChartsTables/Fixed%20Income/UK/Fixed%20Income%20UK%20Foreca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Extra Data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Melbourne Metro Employ Table"/>
      <sheetName val="Melb Metro WtCo Employ Table"/>
      <sheetName val="Melb Metro OWF Employ Table"/>
      <sheetName val="Melb Metro SAOWF Table"/>
      <sheetName val="data&amp;trend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  <sheetName val="CF_CPRICEGRFHM"/>
      <sheetName val="SR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>
        <row r="2">
          <cell r="C2" t="str">
            <v>Rank based on largest spend on FDNABev as a % of total OpEx spend</v>
          </cell>
        </row>
      </sheetData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SEL"/>
      <sheetName val="Dstream"/>
      <sheetName val="Bloomberg"/>
      <sheetName val="HAVER D"/>
      <sheetName val="HAVER M"/>
      <sheetName val="HAVER Q"/>
      <sheetName val="Constraints"/>
      <sheetName val="Daily fcst"/>
      <sheetName val="RCB_RSH_RLG"/>
      <sheetName val="Chart - Swaps"/>
      <sheetName val="RRFRxxx-RSWAPxxxxRFR"/>
      <sheetName val="Chart - Gilts"/>
      <sheetName val="RLGxxx"/>
      <sheetName val="RSHxxx"/>
      <sheetName val="RSWAPxxx"/>
      <sheetName val="Other rates"/>
      <sheetName val="Mortgage &amp; deposit rates"/>
      <sheetName val="Terminal rates estimate"/>
      <sheetName val="LIBOR credit adj spreads"/>
      <sheetName val="Spreads"/>
      <sheetName val="MODEL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09">
          <cell r="Z109">
            <v>0.59</v>
          </cell>
          <cell r="AA109">
            <v>0.64</v>
          </cell>
        </row>
        <row r="110">
          <cell r="Z110">
            <v>0.625</v>
          </cell>
          <cell r="AA110">
            <v>0.65</v>
          </cell>
        </row>
        <row r="111">
          <cell r="Z111">
            <v>0.67500000000000004</v>
          </cell>
          <cell r="AA111">
            <v>0.65</v>
          </cell>
        </row>
        <row r="112">
          <cell r="Z112">
            <v>0.75</v>
          </cell>
          <cell r="AA112">
            <v>0.67</v>
          </cell>
        </row>
        <row r="113">
          <cell r="Z113">
            <v>0.85</v>
          </cell>
          <cell r="AA113">
            <v>0.7</v>
          </cell>
        </row>
        <row r="114">
          <cell r="Z114">
            <v>0.92500000000000004</v>
          </cell>
          <cell r="AA114">
            <v>0.75</v>
          </cell>
        </row>
        <row r="115">
          <cell r="Z115">
            <v>1</v>
          </cell>
          <cell r="AA115">
            <v>0.82499999999999996</v>
          </cell>
        </row>
      </sheetData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3221-2EDB-4A63-8C5F-9645F447EAB0}">
  <sheetPr>
    <tabColor rgb="FFC00000"/>
  </sheetPr>
  <dimension ref="A1"/>
  <sheetViews>
    <sheetView workbookViewId="0">
      <selection activeCell="F35" sqref="F35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78FBA-932B-47DE-9C49-B5C3D5744ECE}">
  <sheetPr>
    <tabColor rgb="FFC0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54494-3B17-4E8F-BFDF-483D35A81728}">
  <dimension ref="A1:CD209"/>
  <sheetViews>
    <sheetView topLeftCell="M1" workbookViewId="0">
      <pane ySplit="3" topLeftCell="A4" activePane="bottomLeft" state="frozen"/>
      <selection activeCell="AB1" sqref="AB1"/>
      <selection pane="bottomLeft" activeCell="U3" sqref="U3"/>
    </sheetView>
  </sheetViews>
  <sheetFormatPr defaultRowHeight="15" x14ac:dyDescent="0.25"/>
  <cols>
    <col min="1" max="1" width="13.140625" customWidth="1"/>
    <col min="2" max="17" width="10.7109375" bestFit="1" customWidth="1"/>
    <col min="18" max="18" width="2.7109375" customWidth="1"/>
    <col min="19" max="19" width="10.7109375" bestFit="1" customWidth="1"/>
    <col min="22" max="22" width="2.7109375" customWidth="1"/>
    <col min="24" max="24" width="2.7109375" customWidth="1"/>
    <col min="25" max="30" width="10.85546875" customWidth="1"/>
    <col min="31" max="31" width="9.28515625" customWidth="1"/>
    <col min="32" max="32" width="2.7109375" customWidth="1"/>
    <col min="33" max="33" width="10.7109375" bestFit="1" customWidth="1"/>
    <col min="39" max="39" width="10.7109375" bestFit="1" customWidth="1"/>
    <col min="40" max="43" width="11.42578125" bestFit="1" customWidth="1"/>
    <col min="44" max="44" width="2.7109375" customWidth="1"/>
    <col min="45" max="48" width="11.42578125" bestFit="1" customWidth="1"/>
    <col min="49" max="49" width="2.7109375" customWidth="1"/>
    <col min="50" max="53" width="11.42578125" bestFit="1" customWidth="1"/>
    <col min="54" max="54" width="2.7109375" customWidth="1"/>
    <col min="55" max="60" width="10.7109375" customWidth="1"/>
    <col min="62" max="62" width="2.7109375" customWidth="1"/>
    <col min="63" max="63" width="10.7109375" bestFit="1" customWidth="1"/>
    <col min="68" max="68" width="3.7109375" customWidth="1"/>
    <col min="71" max="71" width="2.7109375" customWidth="1"/>
    <col min="74" max="74" width="2.7109375" customWidth="1"/>
    <col min="78" max="78" width="2.7109375" customWidth="1"/>
    <col min="79" max="79" width="12.28515625" customWidth="1"/>
  </cols>
  <sheetData>
    <row r="1" spans="1:82" x14ac:dyDescent="0.25">
      <c r="A1" s="8" t="s">
        <v>379</v>
      </c>
      <c r="S1" s="8" t="s">
        <v>382</v>
      </c>
      <c r="Y1" s="8" t="s">
        <v>553</v>
      </c>
      <c r="Z1" s="8"/>
      <c r="AA1" s="8"/>
      <c r="AB1" s="8"/>
      <c r="AC1" s="8"/>
      <c r="AD1" s="8"/>
      <c r="AG1" s="8" t="s">
        <v>403</v>
      </c>
      <c r="AN1" s="8" t="s">
        <v>424</v>
      </c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D1" s="8"/>
      <c r="BE1" s="8"/>
      <c r="BF1" s="8"/>
      <c r="BK1" s="8" t="s">
        <v>580</v>
      </c>
      <c r="CA1" s="8" t="s">
        <v>1036</v>
      </c>
    </row>
    <row r="2" spans="1:82" x14ac:dyDescent="0.25">
      <c r="A2" s="8"/>
      <c r="S2" s="8"/>
      <c r="AG2" s="8"/>
      <c r="AN2" t="s">
        <v>425</v>
      </c>
      <c r="AS2" t="s">
        <v>426</v>
      </c>
      <c r="AX2" t="s">
        <v>427</v>
      </c>
      <c r="BB2" s="12"/>
      <c r="BC2" t="s">
        <v>550</v>
      </c>
      <c r="BJ2" s="12"/>
      <c r="BK2" s="8"/>
      <c r="BQ2" t="s">
        <v>581</v>
      </c>
      <c r="BW2" t="s">
        <v>582</v>
      </c>
    </row>
    <row r="3" spans="1:82" ht="30" x14ac:dyDescent="0.25">
      <c r="B3" t="str">
        <f>DataA!C1</f>
        <v>JAN011B.db</v>
      </c>
      <c r="C3" t="str">
        <f>DataA!D1</f>
        <v>JAN024B.db</v>
      </c>
      <c r="D3" t="str">
        <f>DataA!E1</f>
        <v>FEB006C.db</v>
      </c>
      <c r="E3" t="str">
        <f>DataA!F1</f>
        <v>FEB019C.db</v>
      </c>
      <c r="F3" t="str">
        <f>DataA!G1</f>
        <v>MAR011D.db</v>
      </c>
      <c r="G3" t="str">
        <f>DataA!H1</f>
        <v>MAR020B.db</v>
      </c>
      <c r="H3" t="str">
        <f>DataA!I1</f>
        <v>APR009C.db</v>
      </c>
      <c r="I3" t="str">
        <f>DataA!J1</f>
        <v>APR023B.db</v>
      </c>
      <c r="J3" t="str">
        <f>DataA!K1</f>
        <v>MAY007C.db</v>
      </c>
      <c r="K3" t="str">
        <f>DataA!L1</f>
        <v>MAY017C.db</v>
      </c>
      <c r="L3" t="str">
        <f>DataA!M1</f>
        <v>JUN011A.db</v>
      </c>
      <c r="M3" t="str">
        <f>DataA!N1</f>
        <v>JUN018H.db</v>
      </c>
      <c r="N3" t="str">
        <f>DataA!O1</f>
        <v>JUL010A.db</v>
      </c>
      <c r="O3" t="str">
        <f>DataA!P1</f>
        <v>JUL024D.db</v>
      </c>
      <c r="P3" t="str">
        <f>DataA!Q1</f>
        <v>AUG008C.db</v>
      </c>
      <c r="Q3" t="str">
        <f>DataA!B1</f>
        <v>SEP002A.db</v>
      </c>
      <c r="T3" t="s">
        <v>1044</v>
      </c>
      <c r="U3" t="s">
        <v>1045</v>
      </c>
      <c r="W3" t="s">
        <v>381</v>
      </c>
      <c r="Z3" s="7" t="s">
        <v>554</v>
      </c>
      <c r="AA3" s="7" t="s">
        <v>563</v>
      </c>
      <c r="AB3" s="7" t="s">
        <v>567</v>
      </c>
      <c r="AC3" s="7" t="s">
        <v>576</v>
      </c>
      <c r="AD3" s="7" t="s">
        <v>577</v>
      </c>
      <c r="AE3" s="7" t="s">
        <v>341</v>
      </c>
      <c r="AH3" t="s">
        <v>404</v>
      </c>
      <c r="AI3" t="s">
        <v>405</v>
      </c>
      <c r="AJ3" t="s">
        <v>403</v>
      </c>
      <c r="AK3" t="s">
        <v>406</v>
      </c>
      <c r="AN3" t="s">
        <v>428</v>
      </c>
      <c r="AO3" t="s">
        <v>429</v>
      </c>
      <c r="AP3" t="s">
        <v>430</v>
      </c>
      <c r="AQ3" t="s">
        <v>346</v>
      </c>
      <c r="AS3" t="s">
        <v>428</v>
      </c>
      <c r="AT3" t="s">
        <v>429</v>
      </c>
      <c r="AU3" t="s">
        <v>430</v>
      </c>
      <c r="AV3" t="s">
        <v>346</v>
      </c>
      <c r="AX3" t="s">
        <v>428</v>
      </c>
      <c r="AY3" t="s">
        <v>429</v>
      </c>
      <c r="AZ3" t="s">
        <v>430</v>
      </c>
      <c r="BA3" t="s">
        <v>346</v>
      </c>
      <c r="BC3" s="13" t="s">
        <v>428</v>
      </c>
      <c r="BD3" s="13" t="s">
        <v>429</v>
      </c>
      <c r="BE3" s="13" t="s">
        <v>430</v>
      </c>
      <c r="BF3" s="13" t="s">
        <v>431</v>
      </c>
      <c r="BG3" s="13" t="s">
        <v>346</v>
      </c>
      <c r="BH3" s="13" t="s">
        <v>551</v>
      </c>
      <c r="BI3" s="13" t="s">
        <v>552</v>
      </c>
      <c r="BL3" t="s">
        <v>583</v>
      </c>
      <c r="BM3" t="s">
        <v>584</v>
      </c>
      <c r="BN3" t="s">
        <v>585</v>
      </c>
      <c r="BO3" t="s">
        <v>586</v>
      </c>
      <c r="BQ3" t="s">
        <v>583</v>
      </c>
      <c r="BR3" t="s">
        <v>584</v>
      </c>
      <c r="BT3" t="s">
        <v>587</v>
      </c>
      <c r="BU3" t="s">
        <v>588</v>
      </c>
      <c r="BW3" t="s">
        <v>583</v>
      </c>
      <c r="BX3" t="s">
        <v>584</v>
      </c>
      <c r="BY3" t="s">
        <v>406</v>
      </c>
      <c r="CB3" t="s">
        <v>1034</v>
      </c>
      <c r="CC3" t="s">
        <v>1035</v>
      </c>
      <c r="CD3" t="s">
        <v>406</v>
      </c>
    </row>
    <row r="4" spans="1:82" x14ac:dyDescent="0.25">
      <c r="B4" s="10">
        <v>45302</v>
      </c>
      <c r="C4" s="10">
        <v>45315</v>
      </c>
      <c r="D4" s="10">
        <v>45328</v>
      </c>
      <c r="E4" s="10">
        <v>45341</v>
      </c>
      <c r="F4" s="10">
        <v>45362</v>
      </c>
      <c r="G4" s="10">
        <v>45371</v>
      </c>
      <c r="H4" s="10">
        <v>45391</v>
      </c>
      <c r="I4" s="10">
        <v>45405</v>
      </c>
      <c r="J4" s="10">
        <v>45419</v>
      </c>
      <c r="K4" s="10">
        <v>45399</v>
      </c>
      <c r="L4" s="10">
        <v>45393</v>
      </c>
      <c r="M4" s="10">
        <v>45400</v>
      </c>
      <c r="N4" s="10">
        <v>45483</v>
      </c>
      <c r="O4" s="10">
        <v>45497</v>
      </c>
      <c r="P4" s="10">
        <v>45512</v>
      </c>
      <c r="Q4" s="10">
        <v>45519</v>
      </c>
      <c r="S4" s="10" t="s">
        <v>383</v>
      </c>
      <c r="T4" s="9">
        <f>100*((DataQ!D207/DataQ!D206)-1)</f>
        <v>0.1748134794748113</v>
      </c>
      <c r="U4" s="9">
        <f>T4</f>
        <v>0.1748134794748113</v>
      </c>
      <c r="W4">
        <f>DataQ!D207</f>
        <v>569027</v>
      </c>
      <c r="Y4" s="10">
        <v>45200</v>
      </c>
      <c r="Z4" s="21">
        <f>DataQ!AA210</f>
        <v>336957</v>
      </c>
      <c r="AA4" s="21">
        <f>DataQ!AB210</f>
        <v>107170</v>
      </c>
      <c r="AB4" s="21">
        <f>DataQ!AC210</f>
        <v>117343</v>
      </c>
      <c r="AC4" s="21">
        <f>DataQ!AD210-DataQ!AE210</f>
        <v>-7718</v>
      </c>
      <c r="AD4" s="21">
        <f>AE4-Z4-AA4-AB4-AC4</f>
        <v>12874</v>
      </c>
      <c r="AE4" s="7">
        <f>DataQ!D210</f>
        <v>566626</v>
      </c>
      <c r="AG4" s="10">
        <v>40179</v>
      </c>
      <c r="AH4" s="9">
        <f>100*((DataQ!U155/DataQ!U151)-1)</f>
        <v>4.9881235154394243</v>
      </c>
      <c r="AI4" s="9">
        <f>100*((DataQ!V155/DataQ!V151)-1)</f>
        <v>3.2774094138669163</v>
      </c>
      <c r="AJ4" s="9">
        <f>AH4-AI4</f>
        <v>1.710714101572508</v>
      </c>
      <c r="AK4">
        <v>0</v>
      </c>
      <c r="AM4" s="10">
        <v>40179</v>
      </c>
      <c r="AN4" s="9">
        <f>DataQ!W155/DataQ!W154*100</f>
        <v>101.95374401913875</v>
      </c>
      <c r="AO4" s="9">
        <f>DataQ!X155/DataQ!X154*100</f>
        <v>104.81632016632017</v>
      </c>
      <c r="AP4" s="9">
        <f>DataQ!Y155/DataQ!Y154*100</f>
        <v>99.747155499367906</v>
      </c>
      <c r="AQ4" s="9">
        <f>DataQ!V155/DataQ!V154*100</f>
        <v>100.76131706275915</v>
      </c>
      <c r="AS4" s="9">
        <f>DataQ!W154/DataQ!W151*100</f>
        <v>100.72289156626506</v>
      </c>
      <c r="AT4" s="9">
        <f>DataQ!X154/DataQ!X151*100</f>
        <v>118.2786788296165</v>
      </c>
      <c r="AU4" s="9">
        <f>DataQ!Y154/DataQ!Y151*100</f>
        <v>94.882043387363311</v>
      </c>
      <c r="AV4" s="9">
        <f>DataQ!V154/DataQ!V151*100</f>
        <v>102.49708164249247</v>
      </c>
      <c r="AX4" s="9">
        <f>HAVERQ!C47*AN4/$AQ4</f>
        <v>149.75145774875355</v>
      </c>
      <c r="AY4" s="9">
        <f>HAVERQ!D47*AO4/$AQ4</f>
        <v>42.649989619949594</v>
      </c>
      <c r="AZ4" s="9">
        <f>HAVERQ!E47*AP4/$AQ4</f>
        <v>46.526945509756487</v>
      </c>
      <c r="BA4" s="9">
        <f>1000*AQ4/$AQ4</f>
        <v>1000</v>
      </c>
      <c r="BC4" s="15">
        <f>$AV4/100*(AN4-100)*HAVERQ!C47/1000+(AS4-100)*AX4/$BA4</f>
        <v>0.40462859499500303</v>
      </c>
      <c r="BD4" s="15">
        <f>$AV4/100*(AO4-100)*HAVERQ!D47/1000+(AT4-100)*AY4/$BA4</f>
        <v>0.98198555448405334</v>
      </c>
      <c r="BE4" s="15">
        <f>$AV4/100*(AP4-100)*HAVERQ!E47/1000+(AU4-100)*AZ4/$BA4</f>
        <v>-0.25030332544679235</v>
      </c>
      <c r="BF4" s="16">
        <f t="shared" ref="BF4" si="0">BG4-BE4-BD4-BC4</f>
        <v>2.1410985898346802</v>
      </c>
      <c r="BG4" s="15">
        <f>$AV4/100*(AQ4-100)*1000/1000+(AV4-100)*BA4/$BA4</f>
        <v>3.2774094138669438</v>
      </c>
      <c r="BH4" s="20">
        <f>100*((DataQ!V155/DataQ!V151)-1)</f>
        <v>3.2774094138669163</v>
      </c>
      <c r="BI4">
        <v>2</v>
      </c>
      <c r="BK4" s="10">
        <v>41640</v>
      </c>
      <c r="BL4" s="16">
        <f>HAVERM!B295</f>
        <v>2.37</v>
      </c>
      <c r="BM4" s="16">
        <f>HAVERM!C295</f>
        <v>3.34</v>
      </c>
      <c r="BQ4" s="16" t="e">
        <f>BL4-BT4</f>
        <v>#N/A</v>
      </c>
      <c r="BR4" s="16" t="e">
        <f>BM4-BU4</f>
        <v>#N/A</v>
      </c>
      <c r="BT4" s="16" t="e">
        <f>HAVERM!D295</f>
        <v>#N/A</v>
      </c>
      <c r="BU4" s="16" t="e">
        <f>HAVERM!E295</f>
        <v>#N/A</v>
      </c>
      <c r="BW4" s="16"/>
      <c r="BX4" s="16"/>
      <c r="BY4" s="16">
        <v>0</v>
      </c>
      <c r="CA4" s="24">
        <v>44531</v>
      </c>
      <c r="CB4" s="16">
        <f>HAVERM!G390-HAVERM!G$389</f>
        <v>4.9999999999999822E-2</v>
      </c>
      <c r="CC4" s="16">
        <f>HAVERM!H390-HAVERM!H$389</f>
        <v>-1.0000000000000231E-2</v>
      </c>
      <c r="CD4">
        <v>0</v>
      </c>
    </row>
    <row r="5" spans="1:82" x14ac:dyDescent="0.25">
      <c r="A5" t="s">
        <v>380</v>
      </c>
      <c r="B5" s="9">
        <f>100*((DataA!C58/DataA!C57)-1)</f>
        <v>0.55733861152833519</v>
      </c>
      <c r="C5" s="9">
        <f>100*((DataA!D58/DataA!D57)-1)</f>
        <v>0.60762200473585271</v>
      </c>
      <c r="D5" s="9">
        <f>100*((DataA!E58/DataA!E57)-1)</f>
        <v>0.60762200473585271</v>
      </c>
      <c r="E5" s="9">
        <f>100*((DataA!F58/DataA!F57)-1)</f>
        <v>0.38200567269848218</v>
      </c>
      <c r="F5" s="9">
        <f>100*((DataA!G58/DataA!G57)-1)</f>
        <v>0.52154526065830709</v>
      </c>
      <c r="G5" s="9">
        <f>100*((DataA!H58/DataA!H57)-1)</f>
        <v>0.52442558430993991</v>
      </c>
      <c r="H5" s="9">
        <f>100*((DataA!I58/DataA!I57)-1)</f>
        <v>0.5401636336920923</v>
      </c>
      <c r="I5" s="9">
        <f>100*((DataA!J58/DataA!J57)-1)</f>
        <v>0.61547842046592027</v>
      </c>
      <c r="J5" s="9">
        <f>100*((DataA!K58/DataA!K57)-1)</f>
        <v>0.61547842046592027</v>
      </c>
      <c r="K5" s="9">
        <f>100*((DataA!L58/DataA!L57)-1)</f>
        <v>0.90163941638079503</v>
      </c>
      <c r="L5" s="9">
        <f>100*((DataA!M58/DataA!M57)-1)</f>
        <v>0.85976316315066192</v>
      </c>
      <c r="M5" s="9">
        <f>100*((DataA!N58/DataA!N57)-1)</f>
        <v>0.93217006008468051</v>
      </c>
      <c r="N5" s="9">
        <f>100*((DataA!O58/DataA!O57)-1)</f>
        <v>1.0580231804132367</v>
      </c>
      <c r="O5" s="9">
        <f>100*((DataA!P58/DataA!P57)-1)</f>
        <v>1.1108139188060973</v>
      </c>
      <c r="P5" s="9">
        <f>100*((DataA!Q58/DataA!Q57)-1)</f>
        <v>1.0829668043038643</v>
      </c>
      <c r="Q5" s="9">
        <f>100*((DataA!B58/DataA!B57)-1)</f>
        <v>1.1412125856639754</v>
      </c>
      <c r="S5" t="s">
        <v>384</v>
      </c>
      <c r="T5" s="9">
        <f>100*((DataQ!D208/DataQ!D207)-1)</f>
        <v>8.6111906816288553E-3</v>
      </c>
      <c r="U5" s="9">
        <f t="shared" ref="U5:U9" si="1">T5</f>
        <v>8.6111906816288553E-3</v>
      </c>
      <c r="W5">
        <f>DataQ!D208</f>
        <v>569076</v>
      </c>
      <c r="Y5" s="10">
        <v>45292</v>
      </c>
      <c r="Z5" s="21">
        <f>DataQ!AA211</f>
        <v>338388</v>
      </c>
      <c r="AA5" s="21">
        <f>DataQ!AB211</f>
        <v>108142</v>
      </c>
      <c r="AB5" s="21">
        <f>DataQ!AC211</f>
        <v>117324</v>
      </c>
      <c r="AC5" s="21">
        <f>DataQ!AD211-DataQ!AE211</f>
        <v>-4531</v>
      </c>
      <c r="AD5" s="21">
        <f t="shared" ref="AD5:AD6" si="2">AE5-Z5-AA5-AB5-AC5</f>
        <v>11371</v>
      </c>
      <c r="AE5" s="7">
        <f>DataQ!D211</f>
        <v>570694</v>
      </c>
      <c r="AG5" s="10">
        <v>40269</v>
      </c>
      <c r="AH5" s="9">
        <f>100*((DataQ!U156/DataQ!U152)-1)</f>
        <v>0.99009131834795205</v>
      </c>
      <c r="AI5" s="9">
        <f>100*((DataQ!V156/DataQ!V152)-1)</f>
        <v>3.4735621970836572</v>
      </c>
      <c r="AJ5" s="9">
        <f t="shared" ref="AJ5:AJ67" si="3">AH5-AI5</f>
        <v>-2.4834708787357052</v>
      </c>
      <c r="AK5">
        <v>0</v>
      </c>
      <c r="AM5" s="10">
        <v>40269</v>
      </c>
      <c r="AN5" s="9">
        <f>DataQ!W156/DataQ!W154*100</f>
        <v>103.11004784688996</v>
      </c>
      <c r="AO5" s="9">
        <f>DataQ!X156/DataQ!X154*100</f>
        <v>111.29594594594595</v>
      </c>
      <c r="AP5" s="9">
        <f>DataQ!Y156/DataQ!Y154*100</f>
        <v>97.724399494311001</v>
      </c>
      <c r="AQ5" s="9">
        <f>DataQ!V156/DataQ!V154*100</f>
        <v>102.05557662521596</v>
      </c>
      <c r="AR5" s="7"/>
      <c r="AS5" s="9">
        <f>DataQ!W154/DataQ!W152*100</f>
        <v>100.03988432230217</v>
      </c>
      <c r="AT5" s="9">
        <f>DataQ!X154/DataQ!X152*100</f>
        <v>108.86457529745095</v>
      </c>
      <c r="AU5" s="9">
        <f>DataQ!Y154/DataQ!Y152*100</f>
        <v>99.789735080330715</v>
      </c>
      <c r="AV5" s="9">
        <f>DataQ!V154/DataQ!V152*100</f>
        <v>101.38942487883347</v>
      </c>
      <c r="AW5" s="7"/>
      <c r="AX5" s="9">
        <f>HAVERQ!C48*AN5/$AQ5</f>
        <v>149.52918386205258</v>
      </c>
      <c r="AY5" s="9">
        <f>HAVERQ!D48*AO5/$AQ5</f>
        <v>44.712243413617841</v>
      </c>
      <c r="AZ5" s="9">
        <f>HAVERQ!E48*AP5/$AQ5</f>
        <v>45.005348341716818</v>
      </c>
      <c r="BA5" s="9">
        <f t="shared" ref="BA5:BA67" si="4">1000*AQ5/$AQ5</f>
        <v>1000</v>
      </c>
      <c r="BB5" s="7"/>
      <c r="BC5" s="15">
        <f>$AV5/100*(AN5-100)*HAVERQ!C48/1000+(AS5-100)*AX5/$BA5</f>
        <v>0.47264629472463859</v>
      </c>
      <c r="BD5" s="15">
        <f>$AV5/100*(AO5-100)*HAVERQ!D48/1000+(AT5-100)*AY5/$BA5</f>
        <v>0.86592372825592934</v>
      </c>
      <c r="BE5" s="15">
        <f>$AV5/100*(AP5-100)*HAVERQ!E48/1000+(AU5-100)*AZ5/$BA5</f>
        <v>-0.11790230442088068</v>
      </c>
      <c r="BF5" s="16">
        <f t="shared" ref="BF5:BF67" si="5">BG5-BE5-BD5-BC5</f>
        <v>2.2528944785239777</v>
      </c>
      <c r="BG5" s="15">
        <f t="shared" ref="BG5:BG67" si="6">$AV5/100*(AQ5-100)*1000/1000+(AV5-100)*BA5/$BA5</f>
        <v>3.4735621970836652</v>
      </c>
      <c r="BH5" s="20">
        <f>100*((DataQ!V156/DataQ!V152)-1)</f>
        <v>3.4735621970836572</v>
      </c>
      <c r="BI5">
        <v>2</v>
      </c>
      <c r="BJ5" s="7"/>
      <c r="BK5" s="10">
        <v>41671</v>
      </c>
      <c r="BL5" s="16">
        <f>HAVERM!B296</f>
        <v>2.38</v>
      </c>
      <c r="BM5" s="16">
        <f>HAVERM!C296</f>
        <v>3.45</v>
      </c>
      <c r="BQ5" s="16" t="e">
        <f t="shared" ref="BQ5:BR68" si="7">BL5-BT5</f>
        <v>#N/A</v>
      </c>
      <c r="BR5" s="16" t="e">
        <f t="shared" si="7"/>
        <v>#N/A</v>
      </c>
      <c r="BT5" s="16" t="e">
        <f>HAVERM!D296</f>
        <v>#N/A</v>
      </c>
      <c r="BU5" s="16" t="e">
        <f>HAVERM!E296</f>
        <v>#N/A</v>
      </c>
      <c r="BW5" s="16"/>
      <c r="BX5" s="16"/>
      <c r="BY5" s="16">
        <v>0</v>
      </c>
      <c r="CA5" s="24">
        <v>44562</v>
      </c>
      <c r="CB5" s="16">
        <f>HAVERM!G391-HAVERM!G$389</f>
        <v>0.10999999999999988</v>
      </c>
      <c r="CC5" s="16">
        <f>HAVERM!H391-HAVERM!H$389</f>
        <v>-1.0000000000000231E-2</v>
      </c>
      <c r="CD5">
        <v>0</v>
      </c>
    </row>
    <row r="6" spans="1:82" x14ac:dyDescent="0.25">
      <c r="A6" t="s">
        <v>381</v>
      </c>
      <c r="B6">
        <v>0.4</v>
      </c>
      <c r="C6" s="11">
        <f>B6</f>
        <v>0.4</v>
      </c>
      <c r="D6">
        <v>0.4</v>
      </c>
      <c r="E6" s="11">
        <f>D6</f>
        <v>0.4</v>
      </c>
      <c r="F6">
        <v>0.4</v>
      </c>
      <c r="G6" s="11">
        <f>F6</f>
        <v>0.4</v>
      </c>
      <c r="H6">
        <v>0.4</v>
      </c>
      <c r="I6" s="11">
        <f>H6</f>
        <v>0.4</v>
      </c>
      <c r="J6">
        <v>0.6</v>
      </c>
      <c r="K6" s="11">
        <f>J6</f>
        <v>0.6</v>
      </c>
      <c r="L6">
        <v>0.8</v>
      </c>
      <c r="M6" s="11">
        <f>L6</f>
        <v>0.8</v>
      </c>
      <c r="N6">
        <v>0.9</v>
      </c>
      <c r="O6" s="11">
        <f>N6</f>
        <v>0.9</v>
      </c>
      <c r="P6" s="11">
        <f>O6</f>
        <v>0.9</v>
      </c>
      <c r="Q6" s="11">
        <f>P6</f>
        <v>0.9</v>
      </c>
      <c r="S6" s="10" t="s">
        <v>386</v>
      </c>
      <c r="T6" s="9">
        <f>100*((DataQ!D209/DataQ!D208)-1)</f>
        <v>-0.11931622489790294</v>
      </c>
      <c r="U6" s="9">
        <f t="shared" si="1"/>
        <v>-0.11931622489790294</v>
      </c>
      <c r="W6">
        <f>DataQ!D209</f>
        <v>568397</v>
      </c>
      <c r="Y6" s="10">
        <v>45383</v>
      </c>
      <c r="Z6" s="21">
        <f>DataQ!AA212</f>
        <v>339057</v>
      </c>
      <c r="AA6" s="21">
        <f>DataQ!AB212</f>
        <v>108571</v>
      </c>
      <c r="AB6" s="21">
        <f>DataQ!AC212</f>
        <v>119020</v>
      </c>
      <c r="AC6" s="21">
        <f>DataQ!AD212-DataQ!AE212</f>
        <v>-17105</v>
      </c>
      <c r="AD6" s="21">
        <f t="shared" si="2"/>
        <v>24413</v>
      </c>
      <c r="AE6" s="7">
        <f>DataQ!D212</f>
        <v>573956</v>
      </c>
      <c r="AG6" s="10">
        <v>40360</v>
      </c>
      <c r="AH6" s="9">
        <f>100*((DataQ!U157/DataQ!U153)-1)</f>
        <v>1.5220776255707724</v>
      </c>
      <c r="AI6" s="9">
        <f>100*((DataQ!V157/DataQ!V153)-1)</f>
        <v>3.105828339947414</v>
      </c>
      <c r="AJ6" s="9">
        <f t="shared" si="3"/>
        <v>-1.5837507143766416</v>
      </c>
      <c r="AK6">
        <v>0</v>
      </c>
      <c r="AM6" s="10">
        <v>40360</v>
      </c>
      <c r="AN6" s="9">
        <f>DataQ!W157/DataQ!W154*100</f>
        <v>103.82775119617224</v>
      </c>
      <c r="AO6" s="9">
        <f>DataQ!X157/DataQ!X154*100</f>
        <v>108.24667359667359</v>
      </c>
      <c r="AP6" s="9">
        <f>DataQ!Y157/DataQ!Y154*100</f>
        <v>97.471554993678893</v>
      </c>
      <c r="AQ6" s="9">
        <f>DataQ!V157/DataQ!V154*100</f>
        <v>102.36009888237156</v>
      </c>
      <c r="AR6" s="9"/>
      <c r="AS6" s="9">
        <f>DataQ!W154/DataQ!W153*100</f>
        <v>100.56135126549121</v>
      </c>
      <c r="AT6" s="9">
        <f>DataQ!X154/DataQ!X153*100</f>
        <v>103.14509995907434</v>
      </c>
      <c r="AU6" s="9">
        <f>DataQ!Y154/DataQ!Y153*100</f>
        <v>100.33825789951305</v>
      </c>
      <c r="AV6" s="9">
        <f>DataQ!V154/DataQ!V153*100</f>
        <v>100.72853530400828</v>
      </c>
      <c r="AW6" s="9"/>
      <c r="AX6" s="9">
        <f>HAVERQ!C49*AN6/$AQ6</f>
        <v>150.12204310873238</v>
      </c>
      <c r="AY6" s="9">
        <f>HAVERQ!D49*AO6/$AQ6</f>
        <v>43.357848086525713</v>
      </c>
      <c r="AZ6" s="9">
        <f>HAVERQ!E49*AP6/$AQ6</f>
        <v>44.755360093657309</v>
      </c>
      <c r="BA6" s="9">
        <f t="shared" si="4"/>
        <v>1000</v>
      </c>
      <c r="BB6" s="8"/>
      <c r="BC6" s="15">
        <f>$AV6/100*(AN6-100)*HAVERQ!C49/1000+(AS6-100)*AX6/$BA6</f>
        <v>0.65490558069513483</v>
      </c>
      <c r="BD6" s="15">
        <f>$AV6/100*(AO6-100)*HAVERQ!D49/1000+(AT6-100)*AY6/$BA6</f>
        <v>0.47694166077698263</v>
      </c>
      <c r="BE6" s="15">
        <f>$AV6/100*(AP6-100)*HAVERQ!E49/1000+(AU6-100)*AZ6/$BA6</f>
        <v>-0.10456383008199491</v>
      </c>
      <c r="BF6" s="16">
        <f t="shared" si="5"/>
        <v>2.0785449285572937</v>
      </c>
      <c r="BG6" s="15">
        <f t="shared" si="6"/>
        <v>3.1058283399474163</v>
      </c>
      <c r="BH6" s="20">
        <f>100*((DataQ!V157/DataQ!V153)-1)</f>
        <v>3.105828339947414</v>
      </c>
      <c r="BI6">
        <v>2</v>
      </c>
      <c r="BJ6" s="8"/>
      <c r="BK6" s="10">
        <v>41699</v>
      </c>
      <c r="BL6" s="16">
        <f>HAVERM!B297</f>
        <v>2.37</v>
      </c>
      <c r="BM6" s="16">
        <f>HAVERM!C297</f>
        <v>3.48</v>
      </c>
      <c r="BQ6" s="16" t="e">
        <f t="shared" si="7"/>
        <v>#N/A</v>
      </c>
      <c r="BR6" s="16" t="e">
        <f t="shared" si="7"/>
        <v>#N/A</v>
      </c>
      <c r="BT6" s="16" t="e">
        <f>HAVERM!D297</f>
        <v>#N/A</v>
      </c>
      <c r="BU6" s="16" t="e">
        <f>HAVERM!E297</f>
        <v>#N/A</v>
      </c>
      <c r="BW6" s="16"/>
      <c r="BX6" s="16"/>
      <c r="BY6" s="16">
        <v>0</v>
      </c>
      <c r="CA6" s="24">
        <v>44593</v>
      </c>
      <c r="CB6" s="16">
        <f>HAVERM!G392-HAVERM!G$389</f>
        <v>0.25</v>
      </c>
      <c r="CC6" s="16">
        <f>HAVERM!H392-HAVERM!H$389</f>
        <v>0</v>
      </c>
      <c r="CD6">
        <v>0</v>
      </c>
    </row>
    <row r="7" spans="1:82" x14ac:dyDescent="0.25">
      <c r="S7" t="s">
        <v>387</v>
      </c>
      <c r="T7" s="9">
        <f>100*((DataQ!D210/DataQ!D209)-1)</f>
        <v>-0.31157799918014595</v>
      </c>
      <c r="U7" s="9">
        <f t="shared" si="1"/>
        <v>-0.31157799918014595</v>
      </c>
      <c r="W7">
        <f>DataQ!D210</f>
        <v>566626</v>
      </c>
      <c r="AG7" s="10">
        <v>40452</v>
      </c>
      <c r="AH7" s="9">
        <f>100*((DataQ!U158/DataQ!U154)-1)</f>
        <v>1.8953675591078412</v>
      </c>
      <c r="AI7" s="9">
        <f>100*((DataQ!V158/DataQ!V154)-1)</f>
        <v>3.3498247678026338</v>
      </c>
      <c r="AJ7" s="9">
        <f t="shared" si="3"/>
        <v>-1.4544572086947927</v>
      </c>
      <c r="AK7">
        <v>0</v>
      </c>
      <c r="AM7" s="10">
        <v>40452</v>
      </c>
      <c r="AN7" s="9">
        <f>DataQ!W158/DataQ!W154*100</f>
        <v>105.58214114832538</v>
      </c>
      <c r="AO7" s="9">
        <f>DataQ!X158/DataQ!X154*100</f>
        <v>111.46912681912681</v>
      </c>
      <c r="AP7" s="9">
        <f>DataQ!Y158/DataQ!Y154*100</f>
        <v>99.03077117572694</v>
      </c>
      <c r="AQ7" s="9">
        <f>DataQ!V158/DataQ!V154*100</f>
        <v>103.34982476780263</v>
      </c>
      <c r="AR7" s="9"/>
      <c r="AS7" s="9">
        <f>DataQ!W154/DataQ!W154*100</f>
        <v>100</v>
      </c>
      <c r="AT7" s="9">
        <f>DataQ!X154/DataQ!X154*100</f>
        <v>100</v>
      </c>
      <c r="AU7" s="9">
        <f>DataQ!Y154/DataQ!Y154*100</f>
        <v>100</v>
      </c>
      <c r="AV7" s="9">
        <f>DataQ!V154/DataQ!V154*100</f>
        <v>100</v>
      </c>
      <c r="AW7" s="9"/>
      <c r="AX7" s="9">
        <f>HAVERQ!C50*AN7/$AQ7</f>
        <v>151.19674295587478</v>
      </c>
      <c r="AY7" s="9">
        <f>HAVERQ!D50*AO7/$AQ7</f>
        <v>44.221015467149591</v>
      </c>
      <c r="AZ7" s="9">
        <f>HAVERQ!E50*AP7/$AQ7</f>
        <v>45.035840706226352</v>
      </c>
      <c r="BA7" s="9">
        <f t="shared" si="4"/>
        <v>999.99999999999989</v>
      </c>
      <c r="BB7" s="8"/>
      <c r="BC7" s="15">
        <f>$AV7/100*(AN7-100)*HAVERQ!C50/1000+(AS7-100)*AX7/$BA7</f>
        <v>0.82615688995215575</v>
      </c>
      <c r="BD7" s="15">
        <f>$AV7/100*(AO7-100)*HAVERQ!D50/1000+(AT7-100)*AY7/$BA7</f>
        <v>0.47023419958419937</v>
      </c>
      <c r="BE7" s="15">
        <f>$AV7/100*(AP7-100)*HAVERQ!E50/1000+(AU7-100)*AZ7/$BA7</f>
        <v>-4.5553754740833813E-2</v>
      </c>
      <c r="BF7" s="16">
        <f t="shared" si="5"/>
        <v>2.0989874330071085</v>
      </c>
      <c r="BG7" s="15">
        <f t="shared" si="6"/>
        <v>3.3498247678026298</v>
      </c>
      <c r="BH7" s="20">
        <f>100*((DataQ!V158/DataQ!V154)-1)</f>
        <v>3.3498247678026338</v>
      </c>
      <c r="BI7">
        <v>2</v>
      </c>
      <c r="BJ7" s="8"/>
      <c r="BK7" s="10">
        <v>41730</v>
      </c>
      <c r="BL7" s="16">
        <f>HAVERM!B298</f>
        <v>2.54</v>
      </c>
      <c r="BM7" s="16">
        <f>HAVERM!C298</f>
        <v>3.69</v>
      </c>
      <c r="BQ7" s="16" t="e">
        <f t="shared" si="7"/>
        <v>#N/A</v>
      </c>
      <c r="BR7" s="16" t="e">
        <f t="shared" si="7"/>
        <v>#N/A</v>
      </c>
      <c r="BT7" s="16" t="e">
        <f>HAVERM!D298</f>
        <v>#N/A</v>
      </c>
      <c r="BU7" s="16" t="e">
        <f>HAVERM!E298</f>
        <v>#N/A</v>
      </c>
      <c r="BW7" s="16"/>
      <c r="BX7" s="16"/>
      <c r="BY7" s="16">
        <v>0</v>
      </c>
      <c r="CA7" s="24">
        <v>44621</v>
      </c>
      <c r="CB7" s="16">
        <f>HAVERM!G393-HAVERM!G$389</f>
        <v>0.34999999999999964</v>
      </c>
      <c r="CC7" s="16">
        <f>HAVERM!H393-HAVERM!H$389</f>
        <v>2.9999999999999805E-2</v>
      </c>
      <c r="CD7">
        <v>0</v>
      </c>
    </row>
    <row r="8" spans="1:82" x14ac:dyDescent="0.25">
      <c r="S8" s="10" t="s">
        <v>385</v>
      </c>
      <c r="T8" s="9">
        <f>100*((DataQ!D211/DataQ!D210)-1)</f>
        <v>0.71793387525458385</v>
      </c>
      <c r="U8" s="9">
        <f t="shared" si="1"/>
        <v>0.71793387525458385</v>
      </c>
      <c r="W8">
        <f>DataQ!D211</f>
        <v>570694</v>
      </c>
      <c r="Y8" t="s">
        <v>558</v>
      </c>
      <c r="Z8" s="16">
        <f>100*((Z6-Z4)/$AE4)</f>
        <v>0.37061483235855747</v>
      </c>
      <c r="AA8" s="16">
        <f t="shared" ref="AA8:AD8" si="8">100*((AA6-AA4)/$AE4)</f>
        <v>0.24725303815920904</v>
      </c>
      <c r="AB8" s="16">
        <f t="shared" si="8"/>
        <v>0.29596241612633378</v>
      </c>
      <c r="AC8" s="16">
        <f t="shared" si="8"/>
        <v>-1.6566483006427521</v>
      </c>
      <c r="AD8" s="16">
        <f t="shared" si="8"/>
        <v>2.0364402621835214</v>
      </c>
      <c r="AE8" s="16">
        <f>SUM(Z8:AD8)</f>
        <v>1.2936222481848696</v>
      </c>
      <c r="AG8" s="10">
        <v>40544</v>
      </c>
      <c r="AH8" s="9">
        <f>100*((DataQ!U159/DataQ!U155)-1)</f>
        <v>2.8657692307692217</v>
      </c>
      <c r="AI8" s="9">
        <f>100*((DataQ!V159/DataQ!V155)-1)</f>
        <v>4.0801021564073503</v>
      </c>
      <c r="AJ8" s="9">
        <f t="shared" si="3"/>
        <v>-1.2143329256381286</v>
      </c>
      <c r="AK8">
        <v>0</v>
      </c>
      <c r="AM8" s="10">
        <v>40544</v>
      </c>
      <c r="AN8" s="9">
        <f>DataQ!W159/DataQ!W158*100</f>
        <v>102.15255656523577</v>
      </c>
      <c r="AO8" s="9">
        <f>DataQ!X159/DataQ!X158*100</f>
        <v>108.82813454402691</v>
      </c>
      <c r="AP8" s="9">
        <f>DataQ!Y159/DataQ!Y158*100</f>
        <v>104.25530176550622</v>
      </c>
      <c r="AQ8" s="9">
        <f>DataQ!V159/DataQ!V158*100</f>
        <v>101.47330386740332</v>
      </c>
      <c r="AR8" s="9"/>
      <c r="AS8" s="9">
        <f>DataQ!W158/DataQ!W155*100</f>
        <v>103.55886599760917</v>
      </c>
      <c r="AT8" s="9">
        <f>DataQ!X158/DataQ!X155*100</f>
        <v>106.34710953623457</v>
      </c>
      <c r="AU8" s="9">
        <f>DataQ!Y158/DataQ!Y155*100</f>
        <v>99.281799746514579</v>
      </c>
      <c r="AV8" s="9">
        <f>DataQ!V158/DataQ!V155*100</f>
        <v>102.56894985149036</v>
      </c>
      <c r="AW8" s="9"/>
      <c r="AX8" s="9">
        <f>HAVERQ!C51*AN8/$AQ8</f>
        <v>161.07102486576377</v>
      </c>
      <c r="AY8" s="9">
        <f>HAVERQ!D51*AO8/$AQ8</f>
        <v>46.116659328527163</v>
      </c>
      <c r="AZ8" s="9">
        <f>HAVERQ!E51*AP8/$AQ8</f>
        <v>45.206306514632452</v>
      </c>
      <c r="BA8" s="9">
        <f t="shared" si="4"/>
        <v>1000</v>
      </c>
      <c r="BB8" s="8"/>
      <c r="BC8" s="15">
        <f>$AV8/100*(AN8-100)*HAVERQ!C51/1000+(AS8-100)*AX8/$BA8</f>
        <v>0.92648693982229102</v>
      </c>
      <c r="BD8" s="15">
        <f>$AV8/100*(AO8-100)*HAVERQ!D51/1000+(AT8-100)*AY8/$BA8</f>
        <v>0.68206925861463319</v>
      </c>
      <c r="BE8" s="15">
        <f>$AV8/100*(AP8-100)*HAVERQ!E51/1000+(AU8-100)*AZ8/$BA8</f>
        <v>0.15957602589328423</v>
      </c>
      <c r="BF8" s="16">
        <f t="shared" si="5"/>
        <v>2.311969932077127</v>
      </c>
      <c r="BG8" s="15">
        <f t="shared" si="6"/>
        <v>4.0801021564073352</v>
      </c>
      <c r="BH8" s="20">
        <f>100*((DataQ!V159/DataQ!V155)-1)</f>
        <v>4.0801021564073503</v>
      </c>
      <c r="BI8">
        <v>2</v>
      </c>
      <c r="BJ8" s="8"/>
      <c r="BK8" s="10">
        <v>41760</v>
      </c>
      <c r="BL8" s="16">
        <f>HAVERM!B299</f>
        <v>2.56</v>
      </c>
      <c r="BM8" s="16">
        <f>HAVERM!C299</f>
        <v>3.72</v>
      </c>
      <c r="BQ8" s="16" t="e">
        <f t="shared" si="7"/>
        <v>#N/A</v>
      </c>
      <c r="BR8" s="16" t="e">
        <f t="shared" si="7"/>
        <v>#N/A</v>
      </c>
      <c r="BT8" s="16" t="e">
        <f>HAVERM!D299</f>
        <v>#N/A</v>
      </c>
      <c r="BU8" s="16" t="e">
        <f>HAVERM!E299</f>
        <v>#N/A</v>
      </c>
      <c r="BW8" s="16"/>
      <c r="BX8" s="16"/>
      <c r="BY8" s="16">
        <v>0</v>
      </c>
      <c r="CA8" s="24">
        <v>44652</v>
      </c>
      <c r="CB8" s="16">
        <f>HAVERM!G394-HAVERM!G$389</f>
        <v>0.44999999999999973</v>
      </c>
      <c r="CC8" s="16">
        <f>HAVERM!H394-HAVERM!H$389</f>
        <v>2.9999999999999805E-2</v>
      </c>
      <c r="CD8">
        <v>0</v>
      </c>
    </row>
    <row r="9" spans="1:82" x14ac:dyDescent="0.25">
      <c r="S9" t="s">
        <v>388</v>
      </c>
      <c r="T9" s="9">
        <f>100*((DataQ!D212/DataQ!D211)-1)</f>
        <v>0.57158477222469806</v>
      </c>
      <c r="U9" s="9">
        <f t="shared" si="1"/>
        <v>0.57158477222469806</v>
      </c>
      <c r="W9">
        <f>DataQ!D212</f>
        <v>573956</v>
      </c>
      <c r="Y9" t="s">
        <v>559</v>
      </c>
      <c r="AE9" s="16">
        <f>100*((AE6/AE4)-1)</f>
        <v>1.293622248184878</v>
      </c>
      <c r="AG9" s="10">
        <v>40634</v>
      </c>
      <c r="AH9" s="9">
        <f>100*((DataQ!U160/DataQ!U156)-1)</f>
        <v>2.5640950226244463</v>
      </c>
      <c r="AI9" s="9">
        <f>100*((DataQ!V160/DataQ!V156)-1)</f>
        <v>4.4013388884245108</v>
      </c>
      <c r="AJ9" s="9">
        <f t="shared" si="3"/>
        <v>-1.8372438658000645</v>
      </c>
      <c r="AK9">
        <v>0</v>
      </c>
      <c r="AM9" s="10">
        <v>40634</v>
      </c>
      <c r="AN9" s="9">
        <f>DataQ!W160/DataQ!W158*100</f>
        <v>104.19184274199989</v>
      </c>
      <c r="AO9" s="9">
        <f>DataQ!X160/DataQ!X158*100</f>
        <v>113.64632068583174</v>
      </c>
      <c r="AP9" s="9">
        <f>DataQ!Y160/DataQ!Y158*100</f>
        <v>105.06382084563226</v>
      </c>
      <c r="AQ9" s="9">
        <f>DataQ!V160/DataQ!V158*100</f>
        <v>103.0939226519337</v>
      </c>
      <c r="AR9" s="9"/>
      <c r="AS9" s="9">
        <f>DataQ!W158/DataQ!W156*100</f>
        <v>102.3975290023202</v>
      </c>
      <c r="AT9" s="9">
        <f>DataQ!X158/DataQ!X156*100</f>
        <v>100.15560393661147</v>
      </c>
      <c r="AU9" s="9">
        <f>DataQ!Y158/DataQ!Y156*100</f>
        <v>101.33679172056922</v>
      </c>
      <c r="AV9" s="9">
        <f>DataQ!V158/DataQ!V156*100</f>
        <v>101.26817973636034</v>
      </c>
      <c r="AW9" s="9"/>
      <c r="AX9" s="9">
        <f>HAVERQ!C52*AN9/$AQ9</f>
        <v>161.70395315157111</v>
      </c>
      <c r="AY9" s="9">
        <f>HAVERQ!D52*AO9/$AQ9</f>
        <v>47.401356586164447</v>
      </c>
      <c r="AZ9" s="9">
        <f>HAVERQ!E52*AP9/$AQ9</f>
        <v>44.840743259089791</v>
      </c>
      <c r="BA9" s="9">
        <f t="shared" si="4"/>
        <v>1000</v>
      </c>
      <c r="BB9" s="8"/>
      <c r="BC9" s="15">
        <f>$AV9/100*(AN9-100)*HAVERQ!C52/1000+(AS9-100)*AX9/$BA9</f>
        <v>1.0668903722281624</v>
      </c>
      <c r="BD9" s="15">
        <f>$AV9/100*(AO9-100)*HAVERQ!D52/1000+(AT9-100)*AY9/$BA9</f>
        <v>0.60160920174524402</v>
      </c>
      <c r="BE9" s="15">
        <f>$AV9/100*(AP9-100)*HAVERQ!E52/1000+(AU9-100)*AZ9/$BA9</f>
        <v>0.28557645893413663</v>
      </c>
      <c r="BF9" s="16">
        <f t="shared" si="5"/>
        <v>2.4472628555169758</v>
      </c>
      <c r="BG9" s="15">
        <f t="shared" si="6"/>
        <v>4.4013388884245188</v>
      </c>
      <c r="BH9" s="20">
        <f>100*((DataQ!V160/DataQ!V156)-1)</f>
        <v>4.4013388884245108</v>
      </c>
      <c r="BI9">
        <v>2</v>
      </c>
      <c r="BJ9" s="8"/>
      <c r="BK9" s="10">
        <v>41791</v>
      </c>
      <c r="BL9" s="16">
        <f>HAVERM!B300</f>
        <v>2.6</v>
      </c>
      <c r="BM9" s="16">
        <f>HAVERM!C300</f>
        <v>3.69</v>
      </c>
      <c r="BQ9" s="16" t="e">
        <f t="shared" si="7"/>
        <v>#N/A</v>
      </c>
      <c r="BR9" s="16" t="e">
        <f t="shared" si="7"/>
        <v>#N/A</v>
      </c>
      <c r="BT9" s="16" t="e">
        <f>HAVERM!D300</f>
        <v>#N/A</v>
      </c>
      <c r="BU9" s="16" t="e">
        <f>HAVERM!E300</f>
        <v>#N/A</v>
      </c>
      <c r="BW9" s="16"/>
      <c r="BX9" s="16"/>
      <c r="BY9" s="16">
        <v>0</v>
      </c>
      <c r="CA9" s="24">
        <v>44682</v>
      </c>
      <c r="CB9" s="16">
        <f>HAVERM!G395-HAVERM!G$389</f>
        <v>0.64999999999999991</v>
      </c>
      <c r="CC9" s="16">
        <f>HAVERM!H395-HAVERM!H$389</f>
        <v>6.0000000000000053E-2</v>
      </c>
      <c r="CD9">
        <v>0</v>
      </c>
    </row>
    <row r="10" spans="1:82" x14ac:dyDescent="0.25">
      <c r="S10" s="10" t="s">
        <v>389</v>
      </c>
      <c r="T10" s="9">
        <f>100*((DataQ!D213/DataQ!D212)-1)</f>
        <v>0.36912237174975271</v>
      </c>
      <c r="U10" s="9">
        <f>T10</f>
        <v>0.36912237174975271</v>
      </c>
      <c r="W10">
        <f>W9*(1+U10/100)</f>
        <v>576074.6</v>
      </c>
      <c r="AE10" s="16">
        <f>Z8/AE9</f>
        <v>0.28649386084583717</v>
      </c>
      <c r="AG10" s="10">
        <v>40725</v>
      </c>
      <c r="AH10" s="9">
        <f>100*((DataQ!U161/DataQ!U157)-1)</f>
        <v>2.2488753936375172</v>
      </c>
      <c r="AI10" s="9">
        <f>100*((DataQ!V161/DataQ!V157)-1)</f>
        <v>4.6857681177303157</v>
      </c>
      <c r="AJ10" s="9">
        <f t="shared" si="3"/>
        <v>-2.4368927240927984</v>
      </c>
      <c r="AK10">
        <v>0</v>
      </c>
      <c r="AM10" s="10">
        <v>40725</v>
      </c>
      <c r="AN10" s="9">
        <f>DataQ!W161/DataQ!W158*100</f>
        <v>105.43806625989176</v>
      </c>
      <c r="AO10" s="9">
        <f>DataQ!X161/DataQ!X158*100</f>
        <v>113.27330222981107</v>
      </c>
      <c r="AP10" s="9">
        <f>DataQ!Y161/DataQ!Y158*100</f>
        <v>109.14892688094238</v>
      </c>
      <c r="AQ10" s="9">
        <f>DataQ!V161/DataQ!V158*100</f>
        <v>103.68324861878453</v>
      </c>
      <c r="AR10" s="9"/>
      <c r="AS10" s="9">
        <f>DataQ!W158/DataQ!W157*100</f>
        <v>101.68971198156682</v>
      </c>
      <c r="AT10" s="9">
        <f>DataQ!X158/DataQ!X157*100</f>
        <v>102.97695357777003</v>
      </c>
      <c r="AU10" s="9">
        <f>DataQ!Y158/DataQ!Y157*100</f>
        <v>101.5996627756161</v>
      </c>
      <c r="AV10" s="9">
        <f>DataQ!V158/DataQ!V157*100</f>
        <v>100.96690594893663</v>
      </c>
      <c r="AW10" s="9"/>
      <c r="AX10" s="9">
        <f>HAVERQ!C53*AN10/$AQ10</f>
        <v>162.70796706620828</v>
      </c>
      <c r="AY10" s="9">
        <f>HAVERQ!D53*AO10/$AQ10</f>
        <v>46.977231720336263</v>
      </c>
      <c r="AZ10" s="9">
        <f>HAVERQ!E53*AP10/$AQ10</f>
        <v>46.319466709797666</v>
      </c>
      <c r="BA10" s="9">
        <f t="shared" si="4"/>
        <v>1000</v>
      </c>
      <c r="BB10" s="8"/>
      <c r="BC10" s="15">
        <f>$AV10/100*(AN10-100)*HAVERQ!C53/1000+(AS10-100)*AX10/$BA10</f>
        <v>1.1534331608186732</v>
      </c>
      <c r="BD10" s="15">
        <f>$AV10/100*(AO10-100)*HAVERQ!D53/1000+(AT10-100)*AY10/$BA10</f>
        <v>0.71611966892731904</v>
      </c>
      <c r="BE10" s="15">
        <f>$AV10/100*(AP10-100)*HAVERQ!E53/1000+(AU10-100)*AZ10/$BA10</f>
        <v>0.48054061624764766</v>
      </c>
      <c r="BF10" s="16">
        <f t="shared" si="5"/>
        <v>2.3356746717366739</v>
      </c>
      <c r="BG10" s="15">
        <f t="shared" si="6"/>
        <v>4.6857681177303139</v>
      </c>
      <c r="BH10" s="20">
        <f>100*((DataQ!V161/DataQ!V157)-1)</f>
        <v>4.6857681177303157</v>
      </c>
      <c r="BI10">
        <v>2</v>
      </c>
      <c r="BJ10" s="8"/>
      <c r="BK10" s="10">
        <v>41821</v>
      </c>
      <c r="BL10" s="16">
        <f>HAVERM!B301</f>
        <v>2.54</v>
      </c>
      <c r="BM10" s="16">
        <f>HAVERM!C301</f>
        <v>3.78</v>
      </c>
      <c r="BQ10" s="16" t="e">
        <f t="shared" si="7"/>
        <v>#N/A</v>
      </c>
      <c r="BR10" s="16" t="e">
        <f t="shared" si="7"/>
        <v>#N/A</v>
      </c>
      <c r="BT10" s="16" t="e">
        <f>HAVERM!D301</f>
        <v>#N/A</v>
      </c>
      <c r="BU10" s="16" t="e">
        <f>HAVERM!E301</f>
        <v>#N/A</v>
      </c>
      <c r="BW10" s="16"/>
      <c r="BX10" s="16"/>
      <c r="BY10" s="16">
        <v>0</v>
      </c>
      <c r="CA10" s="24">
        <v>44713</v>
      </c>
      <c r="CB10" s="16">
        <f>HAVERM!G396-HAVERM!G$389</f>
        <v>0.7799999999999998</v>
      </c>
      <c r="CC10" s="16">
        <f>HAVERM!H396-HAVERM!H$389</f>
        <v>0.10000000000000009</v>
      </c>
      <c r="CD10">
        <v>0</v>
      </c>
    </row>
    <row r="11" spans="1:82" x14ac:dyDescent="0.25">
      <c r="S11" t="s">
        <v>390</v>
      </c>
      <c r="T11" s="9">
        <f>100*((DataQ!D214/DataQ!D213)-1)</f>
        <v>0.3936990105100957</v>
      </c>
      <c r="U11" s="9">
        <f>T11</f>
        <v>0.3936990105100957</v>
      </c>
      <c r="W11">
        <f t="shared" ref="W11:W15" si="9">W10*(1+U11/100)</f>
        <v>578342.6</v>
      </c>
      <c r="AG11" s="10">
        <v>40817</v>
      </c>
      <c r="AH11" s="9">
        <f>100*((DataQ!U162/DataQ!U158)-1)</f>
        <v>1.9345312500000045</v>
      </c>
      <c r="AI11" s="9">
        <f>100*((DataQ!V162/DataQ!V158)-1)</f>
        <v>4.6777127071823132</v>
      </c>
      <c r="AJ11" s="9">
        <f t="shared" si="3"/>
        <v>-2.7431814571823088</v>
      </c>
      <c r="AK11">
        <v>0</v>
      </c>
      <c r="AM11" s="10">
        <v>40817</v>
      </c>
      <c r="AN11" s="9">
        <f>DataQ!W162/DataQ!W158*100</f>
        <v>105.58911987956496</v>
      </c>
      <c r="AO11" s="9">
        <f>DataQ!X162/DataQ!X158*100</f>
        <v>112.58937289069719</v>
      </c>
      <c r="AP11" s="9">
        <f>DataQ!Y162/DataQ!Y158*100</f>
        <v>118.97871327840737</v>
      </c>
      <c r="AQ11" s="9">
        <f>DataQ!V162/DataQ!V158*100</f>
        <v>104.67771270718231</v>
      </c>
      <c r="AR11" s="9"/>
      <c r="AS11" s="9">
        <f>DataQ!W158/DataQ!W158*100</f>
        <v>100</v>
      </c>
      <c r="AT11" s="9">
        <f>DataQ!X158/DataQ!X158*100</f>
        <v>100</v>
      </c>
      <c r="AU11" s="9">
        <f>DataQ!Y158/DataQ!Y158*100</f>
        <v>100</v>
      </c>
      <c r="AV11" s="9">
        <f>DataQ!V158/DataQ!V158*100</f>
        <v>100</v>
      </c>
      <c r="AW11" s="9"/>
      <c r="AX11" s="9">
        <f>HAVERQ!C54*AN11/$AQ11</f>
        <v>161.39308687408126</v>
      </c>
      <c r="AY11" s="9">
        <f>HAVERQ!D54*AO11/$AQ11</f>
        <v>46.249988742520522</v>
      </c>
      <c r="AZ11" s="9">
        <f>HAVERQ!E54*AP11/$AQ11</f>
        <v>50.011251190538559</v>
      </c>
      <c r="BA11" s="9">
        <f t="shared" si="4"/>
        <v>1000</v>
      </c>
      <c r="BB11" s="8"/>
      <c r="BC11" s="15">
        <f>$AV11/100*(AN11-100)*HAVERQ!C54/1000+(AS11-100)*AX11/$BA11</f>
        <v>0.89425918073039379</v>
      </c>
      <c r="BD11" s="15">
        <f>$AV11/100*(AO11-100)*HAVERQ!D54/1000+(AT11-100)*AY11/$BA11</f>
        <v>0.54134303429997921</v>
      </c>
      <c r="BE11" s="15">
        <f>$AV11/100*(AP11-100)*HAVERQ!E54/1000+(AU11-100)*AZ11/$BA11</f>
        <v>0.83506338424992421</v>
      </c>
      <c r="BF11" s="16">
        <f t="shared" si="5"/>
        <v>2.4070471079020117</v>
      </c>
      <c r="BG11" s="15">
        <f t="shared" si="6"/>
        <v>4.6777127071823088</v>
      </c>
      <c r="BH11" s="20">
        <f>100*((DataQ!V162/DataQ!V158)-1)</f>
        <v>4.6777127071823132</v>
      </c>
      <c r="BI11">
        <v>2</v>
      </c>
      <c r="BJ11" s="8"/>
      <c r="BK11" s="10">
        <v>41852</v>
      </c>
      <c r="BL11" s="16">
        <f>HAVERM!B302</f>
        <v>2.54</v>
      </c>
      <c r="BM11" s="16">
        <f>HAVERM!C302</f>
        <v>3.76</v>
      </c>
      <c r="BQ11" s="16">
        <f t="shared" si="7"/>
        <v>1.5588</v>
      </c>
      <c r="BR11" s="16">
        <f t="shared" si="7"/>
        <v>2.1499999999999995</v>
      </c>
      <c r="BT11" s="16">
        <f>HAVERM!D302</f>
        <v>0.98120000000000007</v>
      </c>
      <c r="BU11" s="16">
        <f>HAVERM!E302</f>
        <v>1.61</v>
      </c>
      <c r="BW11" s="16"/>
      <c r="BX11" s="16"/>
      <c r="BY11" s="16">
        <v>0</v>
      </c>
      <c r="CA11" s="24">
        <v>44743</v>
      </c>
      <c r="CB11" s="16">
        <f>HAVERM!G397-HAVERM!G$389</f>
        <v>0.85999999999999988</v>
      </c>
      <c r="CC11" s="16">
        <f>HAVERM!H397-HAVERM!H$389</f>
        <v>0.10999999999999988</v>
      </c>
      <c r="CD11">
        <v>0</v>
      </c>
    </row>
    <row r="12" spans="1:82" x14ac:dyDescent="0.25">
      <c r="S12" s="10" t="s">
        <v>391</v>
      </c>
      <c r="T12" s="9">
        <f>100*((DataQ!D215/DataQ!D214)-1)</f>
        <v>0.4119184718538893</v>
      </c>
      <c r="U12">
        <v>0.3</v>
      </c>
      <c r="W12">
        <f t="shared" si="9"/>
        <v>580077.6277999999</v>
      </c>
      <c r="AG12" s="10">
        <v>40909</v>
      </c>
      <c r="AH12" s="9">
        <f>100*((DataQ!U163/DataQ!U159)-1)</f>
        <v>0.51318911193627414</v>
      </c>
      <c r="AI12" s="9">
        <f>100*((DataQ!V163/DataQ!V159)-1)</f>
        <v>3.484562360467347</v>
      </c>
      <c r="AJ12" s="9">
        <f t="shared" si="3"/>
        <v>-2.9713732485310729</v>
      </c>
      <c r="AK12">
        <v>0</v>
      </c>
      <c r="AM12" s="10">
        <v>40909</v>
      </c>
      <c r="AN12" s="9">
        <f>DataQ!W163/DataQ!W162*100</f>
        <v>101.46638412017168</v>
      </c>
      <c r="AO12" s="9">
        <f>DataQ!X163/DataQ!X162*100</f>
        <v>101.60138089491466</v>
      </c>
      <c r="AP12" s="9">
        <f>DataQ!Y163/DataQ!Y162*100</f>
        <v>99.606587982832622</v>
      </c>
      <c r="AQ12" s="9">
        <f>DataQ!V163/DataQ!V162*100</f>
        <v>100.31667840663894</v>
      </c>
      <c r="AR12" s="9"/>
      <c r="AS12" s="9">
        <f>DataQ!W162/DataQ!W159*100</f>
        <v>103.36414812304238</v>
      </c>
      <c r="AT12" s="9">
        <f>DataQ!X162/DataQ!X159*100</f>
        <v>103.4561268209083</v>
      </c>
      <c r="AU12" s="9">
        <f>DataQ!Y162/DataQ!Y159*100</f>
        <v>114.1224582957109</v>
      </c>
      <c r="AV12" s="9">
        <f>DataQ!V162/DataQ!V159*100</f>
        <v>103.15788361830245</v>
      </c>
      <c r="AW12" s="9"/>
      <c r="AX12" s="9">
        <f>HAVERQ!C55*AN12/$AQ12</f>
        <v>155.76495755936358</v>
      </c>
      <c r="AY12" s="9">
        <f>HAVERQ!D55*AO12/$AQ12</f>
        <v>46.589097599714506</v>
      </c>
      <c r="AZ12" s="9">
        <f>HAVERQ!E55*AP12/$AQ12</f>
        <v>55.603604661111646</v>
      </c>
      <c r="BA12" s="9">
        <f t="shared" si="4"/>
        <v>1000</v>
      </c>
      <c r="BB12" s="8"/>
      <c r="BC12" s="15">
        <f>$AV12/100*(AN12-100)*HAVERQ!C55/1000+(AS12-100)*AX12/$BA12</f>
        <v>0.75697077651804123</v>
      </c>
      <c r="BD12" s="15">
        <f>$AV12/100*(AO12-100)*HAVERQ!D55/1000+(AT12-100)*AY12/$BA12</f>
        <v>0.23700755920992994</v>
      </c>
      <c r="BE12" s="15">
        <f>$AV12/100*(AP12-100)*HAVERQ!E55/1000+(AU12-100)*AZ12/$BA12</f>
        <v>0.76253279931238882</v>
      </c>
      <c r="BF12" s="16">
        <f t="shared" si="5"/>
        <v>1.728051225426984</v>
      </c>
      <c r="BG12" s="15">
        <f t="shared" si="6"/>
        <v>3.4845623604673444</v>
      </c>
      <c r="BH12" s="20">
        <f>100*((DataQ!V163/DataQ!V159)-1)</f>
        <v>3.484562360467347</v>
      </c>
      <c r="BI12">
        <v>2</v>
      </c>
      <c r="BJ12" s="8"/>
      <c r="BK12" s="10">
        <v>41883</v>
      </c>
      <c r="BL12" s="16">
        <f>HAVERM!B303</f>
        <v>2.46</v>
      </c>
      <c r="BM12" s="16">
        <f>HAVERM!C303</f>
        <v>3.61</v>
      </c>
      <c r="BQ12" s="16">
        <f t="shared" si="7"/>
        <v>1.4812727272727271</v>
      </c>
      <c r="BR12" s="16">
        <f t="shared" si="7"/>
        <v>1.9375954545454546</v>
      </c>
      <c r="BT12" s="16">
        <f>HAVERM!D303</f>
        <v>0.978727272727273</v>
      </c>
      <c r="BU12" s="16">
        <f>HAVERM!E303</f>
        <v>1.6724045454545453</v>
      </c>
      <c r="BW12" s="16"/>
      <c r="BX12" s="16"/>
      <c r="BY12" s="16">
        <v>0</v>
      </c>
      <c r="CA12" s="24">
        <v>44774</v>
      </c>
      <c r="CB12" s="16">
        <f>HAVERM!G398-HAVERM!G$389</f>
        <v>1.17</v>
      </c>
      <c r="CC12" s="16">
        <f>HAVERM!H398-HAVERM!H$389</f>
        <v>0.16000000000000014</v>
      </c>
      <c r="CD12">
        <v>0</v>
      </c>
    </row>
    <row r="13" spans="1:82" x14ac:dyDescent="0.25">
      <c r="S13" t="s">
        <v>392</v>
      </c>
      <c r="T13" s="9">
        <f>100*((DataQ!D216/DataQ!D215)-1)</f>
        <v>0.44008789704039764</v>
      </c>
      <c r="U13">
        <v>0.3</v>
      </c>
      <c r="W13">
        <f t="shared" si="9"/>
        <v>581817.86068339983</v>
      </c>
      <c r="AG13" s="10">
        <v>41000</v>
      </c>
      <c r="AH13" s="9">
        <f>100*((DataQ!U164/DataQ!U160)-1)</f>
        <v>1.6176618836515999</v>
      </c>
      <c r="AI13" s="9">
        <f>100*((DataQ!V164/DataQ!V160)-1)</f>
        <v>2.6795284030010746</v>
      </c>
      <c r="AJ13" s="9">
        <f t="shared" si="3"/>
        <v>-1.0618665193494747</v>
      </c>
      <c r="AK13">
        <v>0</v>
      </c>
      <c r="AM13" s="10">
        <v>41000</v>
      </c>
      <c r="AN13" s="9">
        <f>DataQ!W164/DataQ!W162*100</f>
        <v>102.43204935622316</v>
      </c>
      <c r="AO13" s="9">
        <f>DataQ!X164/DataQ!X162*100</f>
        <v>102.457234251031</v>
      </c>
      <c r="AP13" s="9">
        <f>DataQ!Y164/DataQ!Y162*100</f>
        <v>98.14020386266094</v>
      </c>
      <c r="AQ13" s="9">
        <f>DataQ!V164/DataQ!V162*100</f>
        <v>101.12597118669851</v>
      </c>
      <c r="AR13" s="9"/>
      <c r="AS13" s="9">
        <f>DataQ!W162/DataQ!W160*100</f>
        <v>101.3410619303711</v>
      </c>
      <c r="AT13" s="9">
        <f>DataQ!X162/DataQ!X160*100</f>
        <v>99.069967431628172</v>
      </c>
      <c r="AU13" s="9">
        <f>DataQ!Y162/DataQ!Y160*100</f>
        <v>113.24422843256382</v>
      </c>
      <c r="AV13" s="9">
        <f>DataQ!V162/DataQ!V160*100</f>
        <v>101.5362593783494</v>
      </c>
      <c r="AW13" s="9"/>
      <c r="AX13" s="9">
        <f>HAVERQ!C56*AN13/$AQ13</f>
        <v>155.98896520593567</v>
      </c>
      <c r="AY13" s="9">
        <f>HAVERQ!D56*AO13/$AQ13</f>
        <v>46.605562549765146</v>
      </c>
      <c r="AZ13" s="9">
        <f>HAVERQ!E56*AP13/$AQ13</f>
        <v>54.346587249704491</v>
      </c>
      <c r="BA13" s="9">
        <f t="shared" si="4"/>
        <v>1000</v>
      </c>
      <c r="BB13" s="8"/>
      <c r="BC13" s="15">
        <f>$AV13/100*(AN13-100)*HAVERQ!C56/1000+(AS13-100)*AX13/$BA13</f>
        <v>0.5894803019474727</v>
      </c>
      <c r="BD13" s="15">
        <f>$AV13/100*(AO13-100)*HAVERQ!D56/1000+(AT13-100)*AY13/$BA13</f>
        <v>7.1424561123809821E-2</v>
      </c>
      <c r="BE13" s="15">
        <f>$AV13/100*(AP13-100)*HAVERQ!E56/1000+(AU13-100)*AZ13/$BA13</f>
        <v>0.61403003998998806</v>
      </c>
      <c r="BF13" s="16">
        <f t="shared" si="5"/>
        <v>1.4045934999398035</v>
      </c>
      <c r="BG13" s="15">
        <f t="shared" si="6"/>
        <v>2.6795284030010742</v>
      </c>
      <c r="BH13" s="20">
        <f>100*((DataQ!V164/DataQ!V160)-1)</f>
        <v>2.6795284030010746</v>
      </c>
      <c r="BI13">
        <v>2</v>
      </c>
      <c r="BJ13" s="8"/>
      <c r="BK13" s="10">
        <v>41913</v>
      </c>
      <c r="BL13" s="16">
        <f>HAVERM!B304</f>
        <v>2.21</v>
      </c>
      <c r="BM13" s="16">
        <f>HAVERM!C304</f>
        <v>3.27</v>
      </c>
      <c r="BQ13" s="16">
        <f t="shared" si="7"/>
        <v>1.3656521739130432</v>
      </c>
      <c r="BR13" s="16">
        <f t="shared" si="7"/>
        <v>1.8341695652173915</v>
      </c>
      <c r="BT13" s="16">
        <f>HAVERM!D304</f>
        <v>0.8443478260869568</v>
      </c>
      <c r="BU13" s="16">
        <f>HAVERM!E304</f>
        <v>1.4358304347826085</v>
      </c>
      <c r="BW13" s="16"/>
      <c r="BX13" s="16"/>
      <c r="BY13" s="16">
        <v>0</v>
      </c>
      <c r="CA13" s="24">
        <v>44805</v>
      </c>
      <c r="CB13" s="16">
        <f>HAVERM!G399-HAVERM!G$389</f>
        <v>1.38</v>
      </c>
      <c r="CC13" s="16">
        <f>HAVERM!H399-HAVERM!H$389</f>
        <v>0.22999999999999998</v>
      </c>
      <c r="CD13">
        <v>0</v>
      </c>
    </row>
    <row r="14" spans="1:82" x14ac:dyDescent="0.25">
      <c r="S14" s="10" t="s">
        <v>393</v>
      </c>
      <c r="T14" s="9">
        <f>100*((DataQ!D217/DataQ!D216)-1)</f>
        <v>0.4300331607120178</v>
      </c>
      <c r="U14">
        <v>0.3</v>
      </c>
      <c r="W14">
        <f t="shared" si="9"/>
        <v>583563.31426545</v>
      </c>
      <c r="AG14" s="10">
        <v>41091</v>
      </c>
      <c r="AH14" s="9">
        <f>100*((DataQ!U165/DataQ!U161)-1)</f>
        <v>1.8328371090295503</v>
      </c>
      <c r="AI14" s="9">
        <f>100*((DataQ!V165/DataQ!V161)-1)</f>
        <v>2.3801028504367272</v>
      </c>
      <c r="AJ14" s="9">
        <f t="shared" si="3"/>
        <v>-0.54726574140717688</v>
      </c>
      <c r="AK14">
        <v>0</v>
      </c>
      <c r="AM14" s="10">
        <v>41091</v>
      </c>
      <c r="AN14" s="9">
        <f>DataQ!W165/DataQ!W162*100</f>
        <v>102.93275751072962</v>
      </c>
      <c r="AO14" s="9">
        <f>DataQ!X165/DataQ!X162*100</f>
        <v>100.85593618330651</v>
      </c>
      <c r="AP14" s="9">
        <f>DataQ!Y165/DataQ!Y162*100</f>
        <v>98.14020386266094</v>
      </c>
      <c r="AQ14" s="9">
        <f>DataQ!V165/DataQ!V162*100</f>
        <v>101.40746662235985</v>
      </c>
      <c r="AR14" s="9"/>
      <c r="AS14" s="9">
        <f>DataQ!W162/DataQ!W161*100</f>
        <v>100.14326288885162</v>
      </c>
      <c r="AT14" s="9">
        <f>DataQ!X162/DataQ!X161*100</f>
        <v>99.396213118492554</v>
      </c>
      <c r="AU14" s="9">
        <f>DataQ!Y162/DataQ!Y161*100</f>
        <v>109.00584795321637</v>
      </c>
      <c r="AV14" s="9">
        <f>DataQ!V162/DataQ!V161*100</f>
        <v>100.95913669917323</v>
      </c>
      <c r="AW14" s="9"/>
      <c r="AX14" s="9">
        <f>HAVERQ!C57*AN14/$AQ14</f>
        <v>156.31634616890381</v>
      </c>
      <c r="AY14" s="9">
        <f>HAVERQ!D57*AO14/$AQ14</f>
        <v>45.749817236920705</v>
      </c>
      <c r="AZ14" s="9">
        <f>HAVERQ!E57*AP14/$AQ14</f>
        <v>54.195727389340036</v>
      </c>
      <c r="BA14" s="9">
        <f t="shared" si="4"/>
        <v>1000</v>
      </c>
      <c r="BB14" s="8"/>
      <c r="BC14" s="15">
        <f>$AV14/100*(AN14-100)*HAVERQ!C57/1000+(AS14-100)*AX14/$BA14</f>
        <v>0.47837087763105607</v>
      </c>
      <c r="BD14" s="15">
        <f>$AV14/100*(AO14-100)*HAVERQ!D57/1000+(AT14-100)*AY14/$BA14</f>
        <v>1.2127566463640944E-2</v>
      </c>
      <c r="BE14" s="15">
        <f>$AV14/100*(AP14-100)*HAVERQ!E57/1000+(AU14-100)*AZ14/$BA14</f>
        <v>0.38293096960352374</v>
      </c>
      <c r="BF14" s="16">
        <f t="shared" si="5"/>
        <v>1.5066734367385235</v>
      </c>
      <c r="BG14" s="15">
        <f t="shared" si="6"/>
        <v>2.3801028504367441</v>
      </c>
      <c r="BH14" s="20">
        <f>100*((DataQ!V165/DataQ!V161)-1)</f>
        <v>2.3801028504367272</v>
      </c>
      <c r="BI14">
        <v>2</v>
      </c>
      <c r="BJ14" s="8"/>
      <c r="BK14" s="10">
        <v>41944</v>
      </c>
      <c r="BL14" s="16">
        <f>HAVERM!B305</f>
        <v>2.17</v>
      </c>
      <c r="BM14" s="16">
        <f>HAVERM!C305</f>
        <v>3.21</v>
      </c>
      <c r="BQ14" s="16">
        <f t="shared" si="7"/>
        <v>1.4026833333333333</v>
      </c>
      <c r="BR14" s="16">
        <f t="shared" si="7"/>
        <v>1.8787166666666666</v>
      </c>
      <c r="BT14" s="16">
        <f>HAVERM!D305</f>
        <v>0.76731666666666665</v>
      </c>
      <c r="BU14" s="16">
        <f>HAVERM!E305</f>
        <v>1.3312833333333334</v>
      </c>
      <c r="BW14" s="16"/>
      <c r="BX14" s="16"/>
      <c r="BY14" s="16">
        <v>0</v>
      </c>
      <c r="CA14" s="24">
        <v>44835</v>
      </c>
      <c r="CB14" s="16">
        <f>HAVERM!G400-HAVERM!G$389</f>
        <v>1.63</v>
      </c>
      <c r="CC14" s="16">
        <f>HAVERM!H400-HAVERM!H$389</f>
        <v>0.27</v>
      </c>
      <c r="CD14">
        <v>0</v>
      </c>
    </row>
    <row r="15" spans="1:82" x14ac:dyDescent="0.25">
      <c r="S15" t="s">
        <v>394</v>
      </c>
      <c r="T15" s="9">
        <f>100*((DataQ!D218/DataQ!D217)-1)</f>
        <v>0.44490429914256779</v>
      </c>
      <c r="U15">
        <v>0.3</v>
      </c>
      <c r="W15">
        <f t="shared" si="9"/>
        <v>585314.00420824625</v>
      </c>
      <c r="AG15" s="10">
        <v>41183</v>
      </c>
      <c r="AH15" s="9">
        <f>100*((DataQ!U166/DataQ!U162)-1)</f>
        <v>1.1678758271623568</v>
      </c>
      <c r="AI15" s="9">
        <f>100*((DataQ!V166/DataQ!V162)-1)</f>
        <v>2.6741802489155697</v>
      </c>
      <c r="AJ15" s="9">
        <f t="shared" si="3"/>
        <v>-1.5063044217532129</v>
      </c>
      <c r="AK15">
        <v>0</v>
      </c>
      <c r="AM15" s="10">
        <v>41183</v>
      </c>
      <c r="AN15" s="9">
        <f>DataQ!W166/DataQ!W162*100</f>
        <v>104.32760729613733</v>
      </c>
      <c r="AO15" s="9">
        <f>DataQ!X166/DataQ!X162*100</f>
        <v>101.04917201799337</v>
      </c>
      <c r="AP15" s="9">
        <f>DataQ!Y166/DataQ!Y162*100</f>
        <v>101.0371888412017</v>
      </c>
      <c r="AQ15" s="9">
        <f>DataQ!V166/DataQ!V162*100</f>
        <v>102.67418024891558</v>
      </c>
      <c r="AR15" s="9"/>
      <c r="AS15" s="9">
        <f>DataQ!W162/DataQ!W162*100</f>
        <v>100</v>
      </c>
      <c r="AT15" s="9">
        <f>DataQ!X162/DataQ!X162*100</f>
        <v>100</v>
      </c>
      <c r="AU15" s="9">
        <f>DataQ!Y162/DataQ!Y162*100</f>
        <v>100</v>
      </c>
      <c r="AV15" s="9">
        <f>DataQ!V162/DataQ!V162*100</f>
        <v>100</v>
      </c>
      <c r="AW15" s="9"/>
      <c r="AX15" s="9">
        <f>HAVERQ!C58*AN15/$AQ15</f>
        <v>156.47995907690569</v>
      </c>
      <c r="AY15" s="9">
        <f>HAVERQ!D58*AO15/$AQ15</f>
        <v>45.271965177212003</v>
      </c>
      <c r="AZ15" s="9">
        <f>HAVERQ!E58*AP15/$AQ15</f>
        <v>55.107160937543057</v>
      </c>
      <c r="BA15" s="9">
        <f t="shared" si="4"/>
        <v>1000</v>
      </c>
      <c r="BB15" s="8"/>
      <c r="BC15" s="15">
        <f>$AV15/100*(AN15-100)*HAVERQ!C58/1000+(AS15-100)*AX15/$BA15</f>
        <v>0.66645152360514881</v>
      </c>
      <c r="BD15" s="15">
        <f>$AV15/100*(AO15-100)*HAVERQ!D58/1000+(AT15-100)*AY15/$BA15</f>
        <v>4.8261912827695055E-2</v>
      </c>
      <c r="BE15" s="15">
        <f>$AV15/100*(AP15-100)*HAVERQ!E58/1000+(AU15-100)*AZ15/$BA15</f>
        <v>5.8082575107295045E-2</v>
      </c>
      <c r="BF15" s="16">
        <f t="shared" si="5"/>
        <v>1.9013842373754377</v>
      </c>
      <c r="BG15" s="15">
        <f t="shared" si="6"/>
        <v>2.6741802489155764</v>
      </c>
      <c r="BH15" s="20">
        <f>100*((DataQ!V166/DataQ!V162)-1)</f>
        <v>2.6741802489155697</v>
      </c>
      <c r="BI15">
        <v>2</v>
      </c>
      <c r="BJ15" s="8"/>
      <c r="BK15" s="10">
        <v>41974</v>
      </c>
      <c r="BL15" s="16">
        <f>HAVERM!B306</f>
        <v>2.08</v>
      </c>
      <c r="BM15" s="16">
        <f>HAVERM!C306</f>
        <v>3.21</v>
      </c>
      <c r="BQ15" s="16">
        <f t="shared" si="7"/>
        <v>1.3790636363636364</v>
      </c>
      <c r="BR15" s="16">
        <f t="shared" si="7"/>
        <v>2.0094227272727272</v>
      </c>
      <c r="BT15" s="16">
        <f>HAVERM!D306</f>
        <v>0.70093636363636358</v>
      </c>
      <c r="BU15" s="16">
        <f>HAVERM!E306</f>
        <v>1.2005772727272725</v>
      </c>
      <c r="BW15" s="16"/>
      <c r="BX15" s="16"/>
      <c r="BY15" s="16">
        <v>0</v>
      </c>
      <c r="CA15" s="24">
        <v>44866</v>
      </c>
      <c r="CB15" s="16">
        <f>HAVERM!G401-HAVERM!G$389</f>
        <v>2.12</v>
      </c>
      <c r="CC15" s="16">
        <f>HAVERM!H401-HAVERM!H$389</f>
        <v>0.37000000000000011</v>
      </c>
      <c r="CD15">
        <v>0</v>
      </c>
    </row>
    <row r="16" spans="1:82" x14ac:dyDescent="0.25">
      <c r="AG16" s="10">
        <v>41275</v>
      </c>
      <c r="AH16" s="9">
        <f>100*((DataQ!U167/DataQ!U163)-1)</f>
        <v>0.5105689277899339</v>
      </c>
      <c r="AI16" s="9">
        <f>100*((DataQ!V167/DataQ!V163)-1)</f>
        <v>2.7709541484024491</v>
      </c>
      <c r="AJ16" s="9">
        <f t="shared" si="3"/>
        <v>-2.2603852206125152</v>
      </c>
      <c r="AK16">
        <v>0</v>
      </c>
      <c r="AM16" s="10">
        <v>41275</v>
      </c>
      <c r="AN16" s="9">
        <f>DataQ!W167/DataQ!W166*100</f>
        <v>101.98834082921977</v>
      </c>
      <c r="AO16" s="9">
        <f>DataQ!X167/DataQ!X166*100</f>
        <v>100.57377049180327</v>
      </c>
      <c r="AP16" s="9">
        <f>DataQ!Y167/DataQ!Y166*100</f>
        <v>104.63717200971129</v>
      </c>
      <c r="AQ16" s="9">
        <f>DataQ!V167/DataQ!V166*100</f>
        <v>100.41123028062952</v>
      </c>
      <c r="AR16" s="9"/>
      <c r="AS16" s="9">
        <f>DataQ!W166/DataQ!W163*100</f>
        <v>102.81987300599671</v>
      </c>
      <c r="AT16" s="9">
        <f>DataQ!X166/DataQ!X163*100</f>
        <v>99.456494712909034</v>
      </c>
      <c r="AU16" s="9">
        <f>DataQ!Y166/DataQ!Y163*100</f>
        <v>101.43625124335716</v>
      </c>
      <c r="AV16" s="9">
        <f>DataQ!V166/DataQ!V163*100</f>
        <v>102.35005971062994</v>
      </c>
      <c r="AW16" s="9"/>
      <c r="AX16" s="9">
        <f>HAVERQ!C59*AN16/$AQ16</f>
        <v>152.35597733069676</v>
      </c>
      <c r="AY16" s="9">
        <f>HAVERQ!D59*AO16/$AQ16</f>
        <v>40.064749813629206</v>
      </c>
      <c r="AZ16" s="9">
        <f>HAVERQ!E59*AP16/$AQ16</f>
        <v>50.020144583718498</v>
      </c>
      <c r="BA16" s="9">
        <f t="shared" si="4"/>
        <v>1000</v>
      </c>
      <c r="BB16" s="8"/>
      <c r="BC16" s="15">
        <f>$AV16/100*(AN16-100)*HAVERQ!C59/1000+(AS16-100)*AX16/$BA16</f>
        <v>0.73488471167066838</v>
      </c>
      <c r="BD16" s="15">
        <f>$AV16/100*(AO16-100)*HAVERQ!D59/1000+(AT16-100)*AY16/$BA16</f>
        <v>1.7147742888207543E-3</v>
      </c>
      <c r="BE16" s="15">
        <f>$AV16/100*(AP16-100)*HAVERQ!E59/1000+(AU16-100)*AZ16/$BA16</f>
        <v>0.29965661425082879</v>
      </c>
      <c r="BF16" s="16">
        <f t="shared" si="5"/>
        <v>1.734698048192127</v>
      </c>
      <c r="BG16" s="15">
        <f t="shared" si="6"/>
        <v>2.7709541484024447</v>
      </c>
      <c r="BH16" s="20">
        <f>100*((DataQ!V167/DataQ!V163)-1)</f>
        <v>2.7709541484024491</v>
      </c>
      <c r="BI16">
        <v>2</v>
      </c>
      <c r="BJ16" s="8"/>
      <c r="BK16" s="10">
        <v>42005</v>
      </c>
      <c r="BL16" s="16">
        <f>HAVERM!B307</f>
        <v>2.0099999999999998</v>
      </c>
      <c r="BM16" s="16">
        <f>HAVERM!C307</f>
        <v>3.09</v>
      </c>
      <c r="BQ16" s="16">
        <f t="shared" si="7"/>
        <v>1.4174285714285713</v>
      </c>
      <c r="BR16" s="16">
        <f t="shared" si="7"/>
        <v>2.1329952380952379</v>
      </c>
      <c r="BT16" s="16">
        <f>HAVERM!D307</f>
        <v>0.59257142857142853</v>
      </c>
      <c r="BU16" s="16">
        <f>HAVERM!E307</f>
        <v>0.9570047619047618</v>
      </c>
      <c r="BW16" s="16"/>
      <c r="BX16" s="16"/>
      <c r="BY16" s="16">
        <v>0</v>
      </c>
      <c r="CA16" s="24">
        <v>44896</v>
      </c>
      <c r="CB16" s="16">
        <f>HAVERM!G402-HAVERM!G$389</f>
        <v>2.4399999999999995</v>
      </c>
      <c r="CC16" s="16">
        <f>HAVERM!H402-HAVERM!H$389</f>
        <v>0.48999999999999977</v>
      </c>
      <c r="CD16">
        <v>0</v>
      </c>
    </row>
    <row r="17" spans="19:82" x14ac:dyDescent="0.25">
      <c r="S17">
        <v>2023</v>
      </c>
      <c r="W17">
        <f>SUM(W4:W7)</f>
        <v>2273126</v>
      </c>
      <c r="AG17" s="10">
        <v>41365</v>
      </c>
      <c r="AH17" s="9">
        <f>100*((DataQ!U168/DataQ!U164)-1)</f>
        <v>2.0983934805793414</v>
      </c>
      <c r="AI17" s="9">
        <f>100*((DataQ!V168/DataQ!V164)-1)</f>
        <v>2.679196242171189</v>
      </c>
      <c r="AJ17" s="9">
        <f t="shared" si="3"/>
        <v>-0.58080276159184763</v>
      </c>
      <c r="AK17">
        <v>0</v>
      </c>
      <c r="AM17" s="10">
        <v>41365</v>
      </c>
      <c r="AN17" s="9">
        <f>DataQ!W168/DataQ!W166*100</f>
        <v>102.91399050099386</v>
      </c>
      <c r="AO17" s="9">
        <f>DataQ!X168/DataQ!X166*100</f>
        <v>99.398934426229516</v>
      </c>
      <c r="AP17" s="9">
        <f>DataQ!Y168/DataQ!Y166*100</f>
        <v>104.60177731694</v>
      </c>
      <c r="AQ17" s="9">
        <f>DataQ!V168/DataQ!V166*100</f>
        <v>101.1309115445198</v>
      </c>
      <c r="AR17" s="9"/>
      <c r="AS17" s="9">
        <f>DataQ!W166/DataQ!W164*100</f>
        <v>101.85055161136343</v>
      </c>
      <c r="AT17" s="9">
        <f>DataQ!X166/DataQ!X164*100</f>
        <v>98.625707356507675</v>
      </c>
      <c r="AU17" s="9">
        <f>DataQ!Y166/DataQ!Y164*100</f>
        <v>102.95188400321122</v>
      </c>
      <c r="AV17" s="9">
        <f>DataQ!V166/DataQ!V164*100</f>
        <v>101.5309707724426</v>
      </c>
      <c r="AW17" s="9"/>
      <c r="AX17" s="9">
        <f>HAVERQ!C60*AN17/$AQ17</f>
        <v>152.64470911402165</v>
      </c>
      <c r="AY17" s="9">
        <f>HAVERQ!D60*AO17/$AQ17</f>
        <v>39.31495638995488</v>
      </c>
      <c r="AZ17" s="9">
        <f>HAVERQ!E60*AP17/$AQ17</f>
        <v>49.647385102455331</v>
      </c>
      <c r="BA17" s="9">
        <f t="shared" si="4"/>
        <v>1000.0000000000001</v>
      </c>
      <c r="BB17" s="8"/>
      <c r="BC17" s="15">
        <f>$AV17/100*(AN17-100)*HAVERQ!C60/1000+(AS17-100)*AX17/$BA17</f>
        <v>0.72626733899842932</v>
      </c>
      <c r="BD17" s="15">
        <f>$AV17/100*(AO17-100)*HAVERQ!D60/1000+(AT17-100)*AY17/$BA17</f>
        <v>-7.8440963827061533E-2</v>
      </c>
      <c r="BE17" s="15">
        <f>$AV17/100*(AP17-100)*HAVERQ!E60/1000+(AU17-100)*AZ17/$BA17</f>
        <v>0.3708203226536167</v>
      </c>
      <c r="BF17" s="16">
        <f t="shared" si="5"/>
        <v>1.6605495443461975</v>
      </c>
      <c r="BG17" s="15">
        <f t="shared" si="6"/>
        <v>2.6791962421711824</v>
      </c>
      <c r="BH17" s="20">
        <f>100*((DataQ!V168/DataQ!V164)-1)</f>
        <v>2.679196242171189</v>
      </c>
      <c r="BI17">
        <v>2</v>
      </c>
      <c r="BJ17" s="8"/>
      <c r="BK17" s="10">
        <v>42036</v>
      </c>
      <c r="BL17" s="16">
        <f>HAVERM!B308</f>
        <v>1.96</v>
      </c>
      <c r="BM17" s="16">
        <f>HAVERM!C308</f>
        <v>3.05</v>
      </c>
      <c r="BQ17" s="16">
        <f t="shared" si="7"/>
        <v>1.2807549999999999</v>
      </c>
      <c r="BR17" s="16">
        <f t="shared" si="7"/>
        <v>1.9288200000000002</v>
      </c>
      <c r="BT17" s="16">
        <f>HAVERM!D308</f>
        <v>0.6792450000000001</v>
      </c>
      <c r="BU17" s="16">
        <f>HAVERM!E308</f>
        <v>1.1211799999999996</v>
      </c>
      <c r="BW17" s="16"/>
      <c r="BX17" s="16"/>
      <c r="BY17" s="16">
        <v>0</v>
      </c>
      <c r="CA17" s="24">
        <v>44927</v>
      </c>
      <c r="CB17" s="16">
        <f>HAVERM!G403-HAVERM!G$389</f>
        <v>2.5999999999999996</v>
      </c>
      <c r="CC17" s="16">
        <f>HAVERM!H403-HAVERM!H$389</f>
        <v>0.5299999999999998</v>
      </c>
      <c r="CD17">
        <v>0</v>
      </c>
    </row>
    <row r="18" spans="19:82" x14ac:dyDescent="0.25">
      <c r="S18">
        <v>2024</v>
      </c>
      <c r="T18" s="9">
        <f>100*((DataA!B58/DataA!B57)-1)</f>
        <v>1.1412125856639754</v>
      </c>
      <c r="U18" s="9">
        <f>100*((W18/W17)-1)</f>
        <v>1.1412125856639754</v>
      </c>
      <c r="W18">
        <f>SUM(W8:W11)</f>
        <v>2299067.2000000002</v>
      </c>
      <c r="AG18" s="10">
        <v>41456</v>
      </c>
      <c r="AH18" s="9">
        <f>100*((DataQ!U169/DataQ!U165)-1)</f>
        <v>0.64794816414686096</v>
      </c>
      <c r="AI18" s="9">
        <f>100*((DataQ!V169/DataQ!V165)-1)</f>
        <v>2.7411484128678554</v>
      </c>
      <c r="AJ18" s="9">
        <f t="shared" si="3"/>
        <v>-2.0932002487209944</v>
      </c>
      <c r="AK18">
        <v>0</v>
      </c>
      <c r="AM18" s="10">
        <v>41456</v>
      </c>
      <c r="AN18" s="9">
        <f>DataQ!W169/DataQ!W166*100</f>
        <v>103.32537207149031</v>
      </c>
      <c r="AO18" s="9">
        <f>DataQ!X169/DataQ!X166*100</f>
        <v>100.43713114754098</v>
      </c>
      <c r="AP18" s="9">
        <f>DataQ!Y169/DataQ!Y166*100</f>
        <v>104.84956140527868</v>
      </c>
      <c r="AQ18" s="9">
        <f>DataQ!V169/DataQ!V166*100</f>
        <v>101.47360858555146</v>
      </c>
      <c r="AR18" s="9"/>
      <c r="AS18" s="9">
        <f>DataQ!W166/DataQ!W165*100</f>
        <v>101.35510776077513</v>
      </c>
      <c r="AT18" s="9">
        <f>DataQ!X166/DataQ!X165*100</f>
        <v>100.19159589608653</v>
      </c>
      <c r="AU18" s="9">
        <f>DataQ!Y166/DataQ!Y165*100</f>
        <v>102.95188400321122</v>
      </c>
      <c r="AV18" s="9">
        <f>DataQ!V166/DataQ!V165*100</f>
        <v>101.24913250349992</v>
      </c>
      <c r="AW18" s="9"/>
      <c r="AX18" s="9">
        <f>HAVERQ!C61*AN18/$AQ18</f>
        <v>152.73730802287028</v>
      </c>
      <c r="AY18" s="9">
        <f>HAVERQ!D61*AO18/$AQ18</f>
        <v>39.591429751062165</v>
      </c>
      <c r="AZ18" s="9">
        <f>HAVERQ!E61*AP18/$AQ18</f>
        <v>49.596924930587122</v>
      </c>
      <c r="BA18" s="9">
        <f t="shared" si="4"/>
        <v>999.99999999999989</v>
      </c>
      <c r="BB18" s="8"/>
      <c r="BC18" s="15">
        <f>$AV18/100*(AN18-100)*HAVERQ!C61/1000+(AS18-100)*AX18/$BA18</f>
        <v>0.71201206769633263</v>
      </c>
      <c r="BD18" s="15">
        <f>$AV18/100*(AO18-100)*HAVERQ!D61/1000+(AT18-100)*AY18/$BA18</f>
        <v>2.5289215252014986E-2</v>
      </c>
      <c r="BE18" s="15">
        <f>$AV18/100*(AP18-100)*HAVERQ!E61/1000+(AU18-100)*AZ18/$BA18</f>
        <v>0.38209103425838953</v>
      </c>
      <c r="BF18" s="16">
        <f t="shared" si="5"/>
        <v>1.6217560956611341</v>
      </c>
      <c r="BG18" s="15">
        <f t="shared" si="6"/>
        <v>2.7411484128678709</v>
      </c>
      <c r="BH18" s="20">
        <f>100*((DataQ!V169/DataQ!V165)-1)</f>
        <v>2.7411484128678554</v>
      </c>
      <c r="BI18">
        <v>2</v>
      </c>
      <c r="BJ18" s="8"/>
      <c r="BK18" s="10">
        <v>42064</v>
      </c>
      <c r="BL18" s="16">
        <f>HAVERM!B309</f>
        <v>1.99</v>
      </c>
      <c r="BM18" s="16">
        <f>HAVERM!C309</f>
        <v>2.98</v>
      </c>
      <c r="BQ18" s="16">
        <f t="shared" si="7"/>
        <v>1.3028523809523809</v>
      </c>
      <c r="BR18" s="16">
        <f t="shared" si="7"/>
        <v>1.8285952380952384</v>
      </c>
      <c r="BT18" s="16">
        <f>HAVERM!D309</f>
        <v>0.68714761904761923</v>
      </c>
      <c r="BU18" s="16">
        <f>HAVERM!E309</f>
        <v>1.1514047619047616</v>
      </c>
      <c r="BW18" s="16"/>
      <c r="BX18" s="16"/>
      <c r="BY18" s="16">
        <v>0</v>
      </c>
      <c r="CA18" s="24">
        <v>44958</v>
      </c>
      <c r="CB18" s="16">
        <f>HAVERM!G404-HAVERM!G$389</f>
        <v>2.95</v>
      </c>
      <c r="CC18" s="16">
        <f>HAVERM!H404-HAVERM!H$389</f>
        <v>0.62999999999999989</v>
      </c>
      <c r="CD18">
        <v>0</v>
      </c>
    </row>
    <row r="19" spans="19:82" x14ac:dyDescent="0.25">
      <c r="S19">
        <v>2025</v>
      </c>
      <c r="T19" s="9">
        <f>100*((DataA!B59/DataA!B58)-1)</f>
        <v>1.7016596992032174</v>
      </c>
      <c r="U19" s="9">
        <f>100*((W19/W18)-1)</f>
        <v>1.37906395067946</v>
      </c>
      <c r="W19">
        <f>SUM(W12:W15)</f>
        <v>2330772.8069570959</v>
      </c>
      <c r="AG19" s="10">
        <v>41548</v>
      </c>
      <c r="AH19" s="9">
        <f>100*((DataQ!U170/DataQ!U166)-1)</f>
        <v>1.0101082251082305</v>
      </c>
      <c r="AI19" s="9">
        <f>100*((DataQ!V170/DataQ!V166)-1)</f>
        <v>2.0904694280168057</v>
      </c>
      <c r="AJ19" s="9">
        <f t="shared" si="3"/>
        <v>-1.0803612029085752</v>
      </c>
      <c r="AK19">
        <v>0</v>
      </c>
      <c r="AM19" s="10">
        <v>41548</v>
      </c>
      <c r="AN19" s="9">
        <f>DataQ!W170/DataQ!W166*100</f>
        <v>103.73675364198675</v>
      </c>
      <c r="AO19" s="9">
        <f>DataQ!X170/DataQ!X166*100</f>
        <v>96.967213114754088</v>
      </c>
      <c r="AP19" s="9">
        <f>DataQ!Y170/DataQ!Y166*100</f>
        <v>106.97342350254327</v>
      </c>
      <c r="AQ19" s="9">
        <f>DataQ!V170/DataQ!V166*100</f>
        <v>102.0904694280168</v>
      </c>
      <c r="AR19" s="9"/>
      <c r="AS19" s="9">
        <f>DataQ!W166/DataQ!W166*100</f>
        <v>100</v>
      </c>
      <c r="AT19" s="9">
        <f>DataQ!X166/DataQ!X166*100</f>
        <v>100</v>
      </c>
      <c r="AU19" s="9">
        <f>DataQ!Y166/DataQ!Y166*100</f>
        <v>100</v>
      </c>
      <c r="AV19" s="9">
        <f>DataQ!V166/DataQ!V166*100</f>
        <v>100</v>
      </c>
      <c r="AW19" s="9"/>
      <c r="AX19" s="9">
        <f>HAVERQ!C62*AN19/$AQ19</f>
        <v>152.41886077592787</v>
      </c>
      <c r="AY19" s="9">
        <f>HAVERQ!D62*AO19/$AQ19</f>
        <v>37.992660297492279</v>
      </c>
      <c r="AZ19" s="9">
        <f>HAVERQ!E62*AP19/$AQ19</f>
        <v>50.295824447575214</v>
      </c>
      <c r="BA19" s="9">
        <f t="shared" si="4"/>
        <v>1000</v>
      </c>
      <c r="BB19" s="8"/>
      <c r="BC19" s="15">
        <f>$AV19/100*(AN19-100)*HAVERQ!C62/1000+(AS19-100)*AX19/$BA19</f>
        <v>0.5605130462980128</v>
      </c>
      <c r="BD19" s="15">
        <f>$AV19/100*(AO19-100)*HAVERQ!D62/1000+(AT19-100)*AY19/$BA19</f>
        <v>-0.12131147540983647</v>
      </c>
      <c r="BE19" s="15">
        <f>$AV19/100*(AP19-100)*HAVERQ!E62/1000+(AU19-100)*AZ19/$BA19</f>
        <v>0.33472432812207692</v>
      </c>
      <c r="BF19" s="16">
        <f t="shared" si="5"/>
        <v>1.3165435290065504</v>
      </c>
      <c r="BG19" s="15">
        <f t="shared" si="6"/>
        <v>2.0904694280168035</v>
      </c>
      <c r="BH19" s="20">
        <f>100*((DataQ!V170/DataQ!V166)-1)</f>
        <v>2.0904694280168057</v>
      </c>
      <c r="BI19">
        <v>2</v>
      </c>
      <c r="BJ19" s="8"/>
      <c r="BK19" s="10">
        <v>42095</v>
      </c>
      <c r="BL19" s="16">
        <f>HAVERM!B310</f>
        <v>1.95</v>
      </c>
      <c r="BM19" s="16">
        <f>HAVERM!C310</f>
        <v>2.92</v>
      </c>
      <c r="BQ19" s="16">
        <f t="shared" si="7"/>
        <v>1.3036476190476187</v>
      </c>
      <c r="BR19" s="16">
        <f t="shared" si="7"/>
        <v>1.8594333333333333</v>
      </c>
      <c r="BT19" s="16">
        <f>HAVERM!D310</f>
        <v>0.64635238095238112</v>
      </c>
      <c r="BU19" s="16">
        <f>HAVERM!E310</f>
        <v>1.0605666666666667</v>
      </c>
      <c r="BW19" s="16"/>
      <c r="BX19" s="16"/>
      <c r="BY19" s="16">
        <v>0</v>
      </c>
      <c r="CA19" s="24">
        <v>44986</v>
      </c>
      <c r="CB19" s="16">
        <f>HAVERM!G405-HAVERM!G$389</f>
        <v>3.09</v>
      </c>
      <c r="CC19" s="16">
        <f>HAVERM!H405-HAVERM!H$389</f>
        <v>0.73</v>
      </c>
      <c r="CD19">
        <v>0</v>
      </c>
    </row>
    <row r="20" spans="19:82" x14ac:dyDescent="0.25">
      <c r="AG20" s="10">
        <v>41640</v>
      </c>
      <c r="AH20" s="9">
        <f>100*((DataQ!U171/DataQ!U167)-1)</f>
        <v>1.7416546982332859</v>
      </c>
      <c r="AI20" s="9">
        <f>100*((DataQ!V171/DataQ!V167)-1)</f>
        <v>1.7747509743857526</v>
      </c>
      <c r="AJ20" s="9">
        <f t="shared" si="3"/>
        <v>-3.3096276152466686E-2</v>
      </c>
      <c r="AK20">
        <v>0</v>
      </c>
      <c r="AM20" s="10">
        <v>41640</v>
      </c>
      <c r="AN20" s="9">
        <f>DataQ!W171/DataQ!W170*100</f>
        <v>100.8922667243005</v>
      </c>
      <c r="AO20" s="9">
        <f>DataQ!X171/DataQ!X170*100</f>
        <v>98.985629754860526</v>
      </c>
      <c r="AP20" s="9">
        <f>DataQ!Y171/DataQ!Y170*100</f>
        <v>103.44146374634803</v>
      </c>
      <c r="AQ20" s="9">
        <f>DataQ!V171/DataQ!V170*100</f>
        <v>100.1007049345418</v>
      </c>
      <c r="AR20" s="9"/>
      <c r="AS20" s="9">
        <f>DataQ!W170/DataQ!W167*100</f>
        <v>101.71432616566898</v>
      </c>
      <c r="AT20" s="9">
        <f>DataQ!X170/DataQ!X167*100</f>
        <v>96.414017929910344</v>
      </c>
      <c r="AU20" s="9">
        <f>DataQ!Y170/DataQ!Y167*100</f>
        <v>102.23271658432735</v>
      </c>
      <c r="AV20" s="9">
        <f>DataQ!V170/DataQ!V167*100</f>
        <v>101.67236188889844</v>
      </c>
      <c r="AW20" s="9"/>
      <c r="AX20" s="9">
        <f>HAVERQ!C63*AN20/$AQ20</f>
        <v>158.24150175639005</v>
      </c>
      <c r="AY20" s="9">
        <f>HAVERQ!D63*AO20/$AQ20</f>
        <v>34.610116319217077</v>
      </c>
      <c r="AZ20" s="9">
        <f>HAVERQ!E63*AP20/$AQ20</f>
        <v>46.501829049351727</v>
      </c>
      <c r="BA20" s="9">
        <f t="shared" si="4"/>
        <v>1000</v>
      </c>
      <c r="BB20" s="8"/>
      <c r="BC20" s="15">
        <f>$AV20/100*(AN20-100)*HAVERQ!C63/1000+(AS20-100)*AX20/$BA20</f>
        <v>0.41370616546810157</v>
      </c>
      <c r="BD20" s="15">
        <f>$AV20/100*(AO20-100)*HAVERQ!D63/1000+(AT20-100)*AY20/$BA20</f>
        <v>-0.16020795309303279</v>
      </c>
      <c r="BE20" s="15">
        <f>$AV20/100*(AP20-100)*HAVERQ!E63/1000+(AU20-100)*AZ20/$BA20</f>
        <v>0.26128119127084259</v>
      </c>
      <c r="BF20" s="16">
        <f t="shared" si="5"/>
        <v>1.2599715707398371</v>
      </c>
      <c r="BG20" s="15">
        <f t="shared" si="6"/>
        <v>1.7747509743857486</v>
      </c>
      <c r="BH20" s="20">
        <f>100*((DataQ!V171/DataQ!V167)-1)</f>
        <v>1.7747509743857526</v>
      </c>
      <c r="BI20">
        <v>2</v>
      </c>
      <c r="BJ20" s="8"/>
      <c r="BK20" s="10">
        <v>42125</v>
      </c>
      <c r="BL20" s="16">
        <f>HAVERM!B311</f>
        <v>1.9</v>
      </c>
      <c r="BM20" s="16">
        <f>HAVERM!C311</f>
        <v>2.86</v>
      </c>
      <c r="BQ20" s="16">
        <f t="shared" si="7"/>
        <v>1.1638523809523809</v>
      </c>
      <c r="BR20" s="16">
        <f t="shared" si="7"/>
        <v>1.597047619047619</v>
      </c>
      <c r="BT20" s="16">
        <f>HAVERM!D311</f>
        <v>0.73614761904761905</v>
      </c>
      <c r="BU20" s="16">
        <f>HAVERM!E311</f>
        <v>1.2629523809523808</v>
      </c>
      <c r="BW20" s="16"/>
      <c r="BX20" s="16"/>
      <c r="BY20" s="16">
        <v>0</v>
      </c>
      <c r="CA20" s="24">
        <v>45017</v>
      </c>
      <c r="CB20" s="16">
        <f>HAVERM!G406-HAVERM!G$389</f>
        <v>3.21</v>
      </c>
      <c r="CC20" s="16">
        <f>HAVERM!H406-HAVERM!H$389</f>
        <v>0.73999999999999977</v>
      </c>
      <c r="CD20">
        <v>0</v>
      </c>
    </row>
    <row r="21" spans="19:82" x14ac:dyDescent="0.25">
      <c r="U21" t="s">
        <v>395</v>
      </c>
      <c r="AG21" s="10">
        <v>41730</v>
      </c>
      <c r="AH21" s="9">
        <f>100*((DataQ!U172/DataQ!U168)-1)</f>
        <v>-0.21261518161694859</v>
      </c>
      <c r="AI21" s="9">
        <f>100*((DataQ!V172/DataQ!V168)-1)</f>
        <v>1.7621110890507774</v>
      </c>
      <c r="AJ21" s="9">
        <f t="shared" si="3"/>
        <v>-1.974726270667726</v>
      </c>
      <c r="AK21">
        <v>0</v>
      </c>
      <c r="AM21" s="10">
        <v>41730</v>
      </c>
      <c r="AN21" s="9">
        <f>DataQ!W172/DataQ!W170*100</f>
        <v>100.396562988578</v>
      </c>
      <c r="AO21" s="9">
        <f>DataQ!X172/DataQ!X170*100</f>
        <v>98.901098901098905</v>
      </c>
      <c r="AP21" s="9">
        <f>DataQ!Y172/DataQ!Y170*100</f>
        <v>102.61422985249166</v>
      </c>
      <c r="AQ21" s="9">
        <f>DataQ!V172/DataQ!V170*100</f>
        <v>100.80563947633433</v>
      </c>
      <c r="AR21" s="9"/>
      <c r="AS21" s="9">
        <f>DataQ!W170/DataQ!W168*100</f>
        <v>100.79946675567398</v>
      </c>
      <c r="AT21" s="9">
        <f>DataQ!X170/DataQ!X168*100</f>
        <v>97.553574064438138</v>
      </c>
      <c r="AU21" s="9">
        <f>DataQ!Y170/DataQ!Y168*100</f>
        <v>102.26730964467006</v>
      </c>
      <c r="AV21" s="9">
        <f>DataQ!V170/DataQ!V168*100</f>
        <v>100.94882748394349</v>
      </c>
      <c r="AW21" s="9"/>
      <c r="AX21" s="9">
        <f>HAVERQ!C64*AN21/$AQ21</f>
        <v>156.36288278204094</v>
      </c>
      <c r="AY21" s="9">
        <f>HAVERQ!D64*AO21/$AQ21</f>
        <v>34.338738184892037</v>
      </c>
      <c r="AZ21" s="9">
        <f>HAVERQ!E64*AP21/$AQ21</f>
        <v>45.807361248337564</v>
      </c>
      <c r="BA21" s="9">
        <f t="shared" si="4"/>
        <v>1000.0000000000001</v>
      </c>
      <c r="BB21" s="8"/>
      <c r="BC21" s="15">
        <f>$AV21/100*(AN21-100)*HAVERQ!C64/1000+(AS21-100)*AX21/$BA21</f>
        <v>0.18785805949673781</v>
      </c>
      <c r="BD21" s="15">
        <f>$AV21/100*(AO21-100)*HAVERQ!D64/1000+(AT21-100)*AY21/$BA21</f>
        <v>-0.12283365179919722</v>
      </c>
      <c r="BE21" s="15">
        <f>$AV21/100*(AP21-100)*HAVERQ!E64/1000+(AU21-100)*AZ21/$BA21</f>
        <v>0.2226160192273916</v>
      </c>
      <c r="BF21" s="16">
        <f t="shared" si="5"/>
        <v>1.4744706621258505</v>
      </c>
      <c r="BG21" s="15">
        <f t="shared" si="6"/>
        <v>1.7621110890507827</v>
      </c>
      <c r="BH21" s="20">
        <f>100*((DataQ!V172/DataQ!V168)-1)</f>
        <v>1.7621110890507774</v>
      </c>
      <c r="BI21">
        <v>2</v>
      </c>
      <c r="BJ21" s="8"/>
      <c r="BK21" s="10">
        <v>42156</v>
      </c>
      <c r="BL21" s="16">
        <f>HAVERM!B312</f>
        <v>1.83</v>
      </c>
      <c r="BM21" s="16">
        <f>HAVERM!C312</f>
        <v>2.82</v>
      </c>
      <c r="BQ21" s="16">
        <f t="shared" si="7"/>
        <v>1.0497954545454544</v>
      </c>
      <c r="BR21" s="16">
        <f t="shared" si="7"/>
        <v>1.4679636363636359</v>
      </c>
      <c r="BT21" s="16">
        <f>HAVERM!D312</f>
        <v>0.78020454545454565</v>
      </c>
      <c r="BU21" s="16">
        <f>HAVERM!E312</f>
        <v>1.3520363636363639</v>
      </c>
      <c r="BW21" s="16"/>
      <c r="BX21" s="16"/>
      <c r="BY21" s="16">
        <v>0</v>
      </c>
      <c r="CA21" s="24">
        <v>45047</v>
      </c>
      <c r="CB21" s="16">
        <f>HAVERM!G407-HAVERM!G$389</f>
        <v>3.34</v>
      </c>
      <c r="CC21" s="16">
        <f>HAVERM!H407-HAVERM!H$389</f>
        <v>0.81</v>
      </c>
      <c r="CD21">
        <v>0</v>
      </c>
    </row>
    <row r="22" spans="19:82" x14ac:dyDescent="0.25">
      <c r="S22">
        <v>2024</v>
      </c>
      <c r="U22">
        <v>1.1000000000000001</v>
      </c>
      <c r="AG22" s="10">
        <v>41821</v>
      </c>
      <c r="AH22" s="9">
        <f>100*((DataQ!U173/DataQ!U169)-1)</f>
        <v>0.85836909871244149</v>
      </c>
      <c r="AI22" s="9">
        <f>100*((DataQ!V173/DataQ!V169)-1)</f>
        <v>1.4521783181357772</v>
      </c>
      <c r="AJ22" s="9">
        <f t="shared" si="3"/>
        <v>-0.59380921942333575</v>
      </c>
      <c r="AK22">
        <v>0</v>
      </c>
      <c r="AM22" s="10">
        <v>41821</v>
      </c>
      <c r="AN22" s="9">
        <f>DataQ!W173/DataQ!W170*100</f>
        <v>100.13215461594362</v>
      </c>
      <c r="AO22" s="9">
        <f>DataQ!X173/DataQ!X170*100</f>
        <v>98.506593406593396</v>
      </c>
      <c r="AP22" s="9">
        <f>DataQ!Y173/DataQ!Y170*100</f>
        <v>102.51495781434738</v>
      </c>
      <c r="AQ22" s="9">
        <f>DataQ!V173/DataQ!V170*100</f>
        <v>100.83917421953676</v>
      </c>
      <c r="AR22" s="9"/>
      <c r="AS22" s="9">
        <f>DataQ!W170/DataQ!W169*100</f>
        <v>100.39814187188392</v>
      </c>
      <c r="AT22" s="9">
        <f>DataQ!X170/DataQ!X169*100</f>
        <v>96.545184043847669</v>
      </c>
      <c r="AU22" s="9">
        <f>DataQ!Y170/DataQ!Y169*100</f>
        <v>102.02562802247226</v>
      </c>
      <c r="AV22" s="9">
        <f>DataQ!V170/DataQ!V169*100</f>
        <v>100.60790273556231</v>
      </c>
      <c r="AW22" s="9"/>
      <c r="AX22" s="9">
        <f>HAVERQ!C65*AN22/$AQ22</f>
        <v>155.89921671192528</v>
      </c>
      <c r="AY22" s="9">
        <f>HAVERQ!D65*AO22/$AQ22</f>
        <v>34.190390747594989</v>
      </c>
      <c r="AZ22" s="9">
        <f>HAVERQ!E65*AP22/$AQ22</f>
        <v>45.747827045888961</v>
      </c>
      <c r="BA22" s="9">
        <f t="shared" si="4"/>
        <v>1000</v>
      </c>
      <c r="BB22" s="8"/>
      <c r="BC22" s="15">
        <f>$AV22/100*(AN22-100)*HAVERQ!C65/1000+(AS22-100)*AX22/$BA22</f>
        <v>8.2944409999573865E-2</v>
      </c>
      <c r="BD22" s="15">
        <f>$AV22/100*(AO22-100)*HAVERQ!D65/1000+(AT22-100)*AY22/$BA22</f>
        <v>-0.17070848435480884</v>
      </c>
      <c r="BE22" s="15">
        <f>$AV22/100*(AP22-100)*HAVERQ!E65/1000+(AU22-100)*AZ22/$BA22</f>
        <v>0.20652916445782388</v>
      </c>
      <c r="BF22" s="16">
        <f t="shared" si="5"/>
        <v>1.3334132280331725</v>
      </c>
      <c r="BG22" s="15">
        <f t="shared" si="6"/>
        <v>1.4521783181357615</v>
      </c>
      <c r="BH22" s="20">
        <f>100*((DataQ!V173/DataQ!V169)-1)</f>
        <v>1.4521783181357772</v>
      </c>
      <c r="BI22">
        <v>2</v>
      </c>
      <c r="BJ22" s="8"/>
      <c r="BK22" s="10">
        <v>42186</v>
      </c>
      <c r="BL22" s="16">
        <f>HAVERM!B313</f>
        <v>1.87</v>
      </c>
      <c r="BM22" s="16">
        <f>HAVERM!C313</f>
        <v>2.83</v>
      </c>
      <c r="BQ22" s="16">
        <f t="shared" si="7"/>
        <v>1.024260869565218</v>
      </c>
      <c r="BR22" s="16">
        <f t="shared" si="7"/>
        <v>1.422013043478261</v>
      </c>
      <c r="BT22" s="16">
        <f>HAVERM!D313</f>
        <v>0.84573913043478222</v>
      </c>
      <c r="BU22" s="16">
        <f>HAVERM!E313</f>
        <v>1.4079869565217391</v>
      </c>
      <c r="BW22" s="16"/>
      <c r="BX22" s="16"/>
      <c r="BY22" s="16">
        <v>0</v>
      </c>
      <c r="CA22" s="24">
        <v>45078</v>
      </c>
      <c r="CB22" s="16">
        <f>HAVERM!G408-HAVERM!G$389</f>
        <v>3.62</v>
      </c>
      <c r="CC22" s="16">
        <f>HAVERM!H408-HAVERM!H$389</f>
        <v>0.91000000000000014</v>
      </c>
      <c r="CD22">
        <v>0</v>
      </c>
    </row>
    <row r="23" spans="19:82" x14ac:dyDescent="0.25">
      <c r="S23">
        <v>2025</v>
      </c>
      <c r="U23">
        <v>1.4</v>
      </c>
      <c r="AG23" s="10">
        <v>41913</v>
      </c>
      <c r="AH23" s="9">
        <f>100*((DataQ!U174/DataQ!U170)-1)</f>
        <v>1.9999927142862362</v>
      </c>
      <c r="AI23" s="9">
        <f>100*((DataQ!V174/DataQ!V170)-1)</f>
        <v>0.90634441087613649</v>
      </c>
      <c r="AJ23" s="9">
        <f t="shared" si="3"/>
        <v>1.0936483034100997</v>
      </c>
      <c r="AK23">
        <v>0</v>
      </c>
      <c r="AM23" s="10">
        <v>41913</v>
      </c>
      <c r="AN23" s="9">
        <f>DataQ!W174/DataQ!W170*100</f>
        <v>100.19828149428901</v>
      </c>
      <c r="AO23" s="9">
        <f>DataQ!X174/DataQ!X170*100</f>
        <v>92.9275570583263</v>
      </c>
      <c r="AP23" s="9">
        <f>DataQ!Y174/DataQ!Y170*100</f>
        <v>102.18398483917434</v>
      </c>
      <c r="AQ23" s="9">
        <f>DataQ!V174/DataQ!V170*100</f>
        <v>100.90634441087613</v>
      </c>
      <c r="AR23" s="9"/>
      <c r="AS23" s="9">
        <f>DataQ!W170/DataQ!W170*100</f>
        <v>100</v>
      </c>
      <c r="AT23" s="9">
        <f>DataQ!X170/DataQ!X170*100</f>
        <v>100</v>
      </c>
      <c r="AU23" s="9">
        <f>DataQ!Y170/DataQ!Y170*100</f>
        <v>100</v>
      </c>
      <c r="AV23" s="9">
        <f>DataQ!V170/DataQ!V170*100</f>
        <v>100</v>
      </c>
      <c r="AW23" s="9"/>
      <c r="AX23" s="9">
        <f>HAVERQ!C66*AN23/$AQ23</f>
        <v>155.89832618005141</v>
      </c>
      <c r="AY23" s="9">
        <f>HAVERQ!D66*AO23/$AQ23</f>
        <v>32.23250744073983</v>
      </c>
      <c r="AZ23" s="9">
        <f>HAVERQ!E66*AP23/$AQ23</f>
        <v>45.569774077230598</v>
      </c>
      <c r="BA23" s="9">
        <f t="shared" si="4"/>
        <v>1000</v>
      </c>
      <c r="BB23" s="8"/>
      <c r="BC23" s="15">
        <f>$AV23/100*(AN23-100)*HAVERQ!C66/1000+(AS23-100)*AX23/$BA23</f>
        <v>3.1130194603373924E-2</v>
      </c>
      <c r="BD23" s="15">
        <f>$AV23/100*(AO23-100)*HAVERQ!D66/1000+(AT23-100)*AY23/$BA23</f>
        <v>-0.24753550295857948</v>
      </c>
      <c r="BE23" s="15">
        <f>$AV23/100*(AP23-100)*HAVERQ!E66/1000+(AU23-100)*AZ23/$BA23</f>
        <v>9.8279317762845431E-2</v>
      </c>
      <c r="BF23" s="16">
        <f t="shared" si="5"/>
        <v>1.0244704014684904</v>
      </c>
      <c r="BG23" s="15">
        <f t="shared" si="6"/>
        <v>0.90634441087613027</v>
      </c>
      <c r="BH23" s="20">
        <f>100*((DataQ!V174/DataQ!V170)-1)</f>
        <v>0.90634441087613649</v>
      </c>
      <c r="BI23">
        <v>2</v>
      </c>
      <c r="BJ23" s="8"/>
      <c r="BK23" s="10">
        <v>42217</v>
      </c>
      <c r="BL23" s="16">
        <f>HAVERM!B314</f>
        <v>1.95</v>
      </c>
      <c r="BM23" s="16">
        <f>HAVERM!C314</f>
        <v>2.92</v>
      </c>
      <c r="BQ23" s="16">
        <f t="shared" si="7"/>
        <v>1.143904761904762</v>
      </c>
      <c r="BR23" s="16">
        <f t="shared" si="7"/>
        <v>1.5978380952380951</v>
      </c>
      <c r="BT23" s="16">
        <f>HAVERM!D314</f>
        <v>0.80609523809523809</v>
      </c>
      <c r="BU23" s="16">
        <f>HAVERM!E314</f>
        <v>1.3221619047619049</v>
      </c>
      <c r="BW23" s="16"/>
      <c r="BX23" s="16"/>
      <c r="BY23" s="16">
        <v>0</v>
      </c>
      <c r="CA23" s="24">
        <v>45108</v>
      </c>
      <c r="CB23" s="16">
        <f>HAVERM!G409-HAVERM!G$389</f>
        <v>3.8099999999999996</v>
      </c>
      <c r="CC23" s="16">
        <f>HAVERM!H409-HAVERM!H$389</f>
        <v>0.96</v>
      </c>
      <c r="CD23">
        <v>0</v>
      </c>
    </row>
    <row r="24" spans="19:82" x14ac:dyDescent="0.25">
      <c r="AG24" s="10">
        <v>42005</v>
      </c>
      <c r="AH24" s="9">
        <f>100*((DataQ!U175/DataQ!U171)-1)</f>
        <v>2.2824609331284496</v>
      </c>
      <c r="AI24" s="9">
        <f>100*((DataQ!V175/DataQ!V171)-1)</f>
        <v>0.1006036217303663</v>
      </c>
      <c r="AJ24" s="9">
        <f t="shared" si="3"/>
        <v>2.1818573113980833</v>
      </c>
      <c r="AK24">
        <v>0</v>
      </c>
      <c r="AM24" s="10">
        <v>42005</v>
      </c>
      <c r="AN24" s="9">
        <f>DataQ!W175/DataQ!W174*100</f>
        <v>99.571174283913493</v>
      </c>
      <c r="AO24" s="9">
        <f>DataQ!X175/DataQ!X174*100</f>
        <v>89.993959973911458</v>
      </c>
      <c r="AP24" s="9">
        <f>DataQ!Y175/DataQ!Y174*100</f>
        <v>98.639895932608781</v>
      </c>
      <c r="AQ24" s="9">
        <f>DataQ!V175/DataQ!V174*100</f>
        <v>99.301397205588813</v>
      </c>
      <c r="AR24" s="9"/>
      <c r="AS24" s="9">
        <f>DataQ!W174/DataQ!W171*100</f>
        <v>99.312152206959638</v>
      </c>
      <c r="AT24" s="9">
        <f>DataQ!X174/DataQ!X171*100</f>
        <v>93.879846285226307</v>
      </c>
      <c r="AU24" s="9">
        <f>DataQ!Y174/DataQ!Y171*100</f>
        <v>98.784357005758167</v>
      </c>
      <c r="AV24" s="9">
        <f>DataQ!V174/DataQ!V171*100</f>
        <v>100.80482897384306</v>
      </c>
      <c r="AW24" s="9"/>
      <c r="AX24" s="9">
        <f>HAVERQ!C67*AN24/$AQ24</f>
        <v>153.41566276150397</v>
      </c>
      <c r="AY24" s="9">
        <f>HAVERQ!D67*AO24/$AQ24</f>
        <v>30.813208325539858</v>
      </c>
      <c r="AZ24" s="9">
        <f>HAVERQ!E67*AP24/$AQ24</f>
        <v>41.720214878672451</v>
      </c>
      <c r="BA24" s="9">
        <f t="shared" si="4"/>
        <v>1000</v>
      </c>
      <c r="BB24" s="8"/>
      <c r="BC24" s="15">
        <f>$AV24/100*(AN24-100)*HAVERQ!C67/1000+(AS24-100)*AX24/$BA24</f>
        <v>-0.17166501059194475</v>
      </c>
      <c r="BD24" s="15">
        <f>$AV24/100*(AO24-100)*HAVERQ!D67/1000+(AT24-100)*AY24/$BA24</f>
        <v>-0.53152500359964494</v>
      </c>
      <c r="BE24" s="15">
        <f>$AV24/100*(AP24-100)*HAVERQ!E67/1000+(AU24-100)*AZ24/$BA24</f>
        <v>-0.10830101125352212</v>
      </c>
      <c r="BF24" s="16">
        <f t="shared" si="5"/>
        <v>0.91209464717548472</v>
      </c>
      <c r="BG24" s="15">
        <f t="shared" si="6"/>
        <v>0.10060362173037296</v>
      </c>
      <c r="BH24" s="20">
        <f>100*((DataQ!V175/DataQ!V171)-1)</f>
        <v>0.1006036217303663</v>
      </c>
      <c r="BI24">
        <v>2</v>
      </c>
      <c r="BJ24" s="8"/>
      <c r="BK24" s="10">
        <v>42248</v>
      </c>
      <c r="BL24" s="16">
        <f>HAVERM!B315</f>
        <v>1.91</v>
      </c>
      <c r="BM24" s="16">
        <f>HAVERM!C315</f>
        <v>2.84</v>
      </c>
      <c r="BQ24" s="16">
        <f t="shared" si="7"/>
        <v>1.1834227272727271</v>
      </c>
      <c r="BR24" s="16">
        <f t="shared" si="7"/>
        <v>1.6508136363636363</v>
      </c>
      <c r="BT24" s="16">
        <f>HAVERM!D315</f>
        <v>0.72657727272727268</v>
      </c>
      <c r="BU24" s="16">
        <f>HAVERM!E315</f>
        <v>1.1891863636363635</v>
      </c>
      <c r="BW24" s="16"/>
      <c r="BX24" s="16"/>
      <c r="BY24" s="16">
        <v>0</v>
      </c>
      <c r="CA24" s="24">
        <v>45139</v>
      </c>
      <c r="CB24" s="16">
        <f>HAVERM!G410-HAVERM!G$389</f>
        <v>4.01</v>
      </c>
      <c r="CC24" s="16">
        <f>HAVERM!H410-HAVERM!H$389</f>
        <v>1.0499999999999998</v>
      </c>
      <c r="CD24">
        <v>0</v>
      </c>
    </row>
    <row r="25" spans="19:82" x14ac:dyDescent="0.25">
      <c r="S25" t="s">
        <v>578</v>
      </c>
      <c r="T25" s="9">
        <f>AVERAGE(T8:T9)</f>
        <v>0.64475932373964095</v>
      </c>
      <c r="U25" s="9">
        <f>AVERAGE(U8:U9)</f>
        <v>0.64475932373964095</v>
      </c>
      <c r="AG25" s="10">
        <v>42095</v>
      </c>
      <c r="AH25" s="9">
        <f>100*((DataQ!U176/DataQ!U172)-1)</f>
        <v>2.5568183634103958</v>
      </c>
      <c r="AI25" s="9">
        <f>100*((DataQ!V176/DataQ!V172)-1)</f>
        <v>-3.3266733266734683E-2</v>
      </c>
      <c r="AJ25" s="9">
        <f t="shared" si="3"/>
        <v>2.5900850966771305</v>
      </c>
      <c r="AK25">
        <v>0</v>
      </c>
      <c r="AM25" s="10">
        <v>42095</v>
      </c>
      <c r="AN25" s="9">
        <f>DataQ!W176/DataQ!W174*100</f>
        <v>99.274340608726703</v>
      </c>
      <c r="AO25" s="9">
        <f>DataQ!X176/DataQ!X174*100</f>
        <v>94.451180852389584</v>
      </c>
      <c r="AP25" s="9">
        <f>DataQ!Y176/DataQ!Y174*100</f>
        <v>97.409390352781841</v>
      </c>
      <c r="AQ25" s="9">
        <f>DataQ!V176/DataQ!V174*100</f>
        <v>99.866966067864269</v>
      </c>
      <c r="AR25" s="9"/>
      <c r="AS25" s="9">
        <f>DataQ!W174/DataQ!W172*100</f>
        <v>99.802501710828935</v>
      </c>
      <c r="AT25" s="9">
        <f>DataQ!X174/DataQ!X172*100</f>
        <v>93.960085470085474</v>
      </c>
      <c r="AU25" s="9">
        <f>DataQ!Y174/DataQ!Y172*100</f>
        <v>99.580716033306672</v>
      </c>
      <c r="AV25" s="9">
        <f>DataQ!V174/DataQ!V172*100</f>
        <v>100.09990009990011</v>
      </c>
      <c r="AW25" s="9"/>
      <c r="AX25" s="9">
        <f>HAVERQ!C68*AN25/$AQ25</f>
        <v>152.09207519945653</v>
      </c>
      <c r="AY25" s="9">
        <f>HAVERQ!D68*AO25/$AQ25</f>
        <v>32.156180120651612</v>
      </c>
      <c r="AZ25" s="9">
        <f>HAVERQ!E68*AP25/$AQ25</f>
        <v>40.966443218438016</v>
      </c>
      <c r="BA25" s="9">
        <f t="shared" si="4"/>
        <v>1000</v>
      </c>
      <c r="BB25" s="8"/>
      <c r="BC25" s="15">
        <f>$AV25/100*(AN25-100)*HAVERQ!C68/1000+(AS25-100)*AX25/$BA25</f>
        <v>-0.14117472648507701</v>
      </c>
      <c r="BD25" s="15">
        <f>$AV25/100*(AO25-100)*HAVERQ!D68/1000+(AT25-100)*AY25/$BA25</f>
        <v>-0.38306890193566556</v>
      </c>
      <c r="BE25" s="15">
        <f>$AV25/100*(AP25-100)*HAVERQ!E68/1000+(AU25-100)*AZ25/$BA25</f>
        <v>-0.12609087490538123</v>
      </c>
      <c r="BF25" s="16">
        <f t="shared" si="5"/>
        <v>0.61706777005939895</v>
      </c>
      <c r="BG25" s="15">
        <f t="shared" si="6"/>
        <v>-3.3266733266724913E-2</v>
      </c>
      <c r="BH25" s="20">
        <f>100*((DataQ!V176/DataQ!V172)-1)</f>
        <v>-3.3266733266734683E-2</v>
      </c>
      <c r="BI25">
        <v>2</v>
      </c>
      <c r="BJ25" s="8"/>
      <c r="BK25" s="10">
        <v>42278</v>
      </c>
      <c r="BL25" s="16">
        <f>HAVERM!B316</f>
        <v>1.87</v>
      </c>
      <c r="BM25" s="16">
        <f>HAVERM!C316</f>
        <v>2.78</v>
      </c>
      <c r="BQ25" s="16">
        <f t="shared" si="7"/>
        <v>1.2124818181818182</v>
      </c>
      <c r="BR25" s="16">
        <f t="shared" si="7"/>
        <v>1.6863545454545454</v>
      </c>
      <c r="BT25" s="16">
        <f>HAVERM!D316</f>
        <v>0.65751818181818189</v>
      </c>
      <c r="BU25" s="16">
        <f>HAVERM!E316</f>
        <v>1.0936454545454544</v>
      </c>
      <c r="BW25" s="16"/>
      <c r="BX25" s="16"/>
      <c r="BY25" s="16">
        <v>0</v>
      </c>
      <c r="CA25" s="24">
        <v>45170</v>
      </c>
      <c r="CB25" s="16">
        <f>HAVERM!G411-HAVERM!G$389</f>
        <v>4.1099999999999994</v>
      </c>
      <c r="CC25" s="16">
        <f>HAVERM!H411-HAVERM!H$389</f>
        <v>1.1400000000000001</v>
      </c>
      <c r="CD25">
        <v>0</v>
      </c>
    </row>
    <row r="26" spans="19:82" x14ac:dyDescent="0.25">
      <c r="S26" t="s">
        <v>579</v>
      </c>
      <c r="T26" s="9">
        <f>AVERAGE(T10:T15)</f>
        <v>0.41496086850145347</v>
      </c>
      <c r="U26" s="9">
        <f>AVERAGE(U10:U15)</f>
        <v>0.32713689704330812</v>
      </c>
      <c r="AG26" s="10">
        <v>42186</v>
      </c>
      <c r="AH26" s="9">
        <f>100*((DataQ!U177/DataQ!U173)-1)</f>
        <v>2.9078085106382989</v>
      </c>
      <c r="AI26" s="9">
        <f>100*((DataQ!V177/DataQ!V173)-1)</f>
        <v>3.3355537069090779E-2</v>
      </c>
      <c r="AJ26" s="9">
        <f t="shared" si="3"/>
        <v>2.8744529735692081</v>
      </c>
      <c r="AK26">
        <v>0</v>
      </c>
      <c r="AM26" s="10">
        <v>42186</v>
      </c>
      <c r="AN26" s="9">
        <f>DataQ!W177/DataQ!W174*100</f>
        <v>98.680702941720668</v>
      </c>
      <c r="AO26" s="9">
        <f>DataQ!X177/DataQ!X174*100</f>
        <v>92.207456703291896</v>
      </c>
      <c r="AP26" s="9">
        <f>DataQ!Y177/DataQ!Y174*100</f>
        <v>96.664539075304106</v>
      </c>
      <c r="AQ26" s="9">
        <f>DataQ!V177/DataQ!V174*100</f>
        <v>99.966766467065867</v>
      </c>
      <c r="AR26" s="9"/>
      <c r="AS26" s="9">
        <f>DataQ!W174/DataQ!W173*100</f>
        <v>100.06603960396039</v>
      </c>
      <c r="AT26" s="9">
        <f>DataQ!X174/DataQ!X173*100</f>
        <v>94.336382819331476</v>
      </c>
      <c r="AU26" s="9">
        <f>DataQ!Y174/DataQ!Y173*100</f>
        <v>99.677146650372293</v>
      </c>
      <c r="AV26" s="9">
        <f>DataQ!V174/DataQ!V173*100</f>
        <v>100.06661120726072</v>
      </c>
      <c r="AW26" s="9"/>
      <c r="AX26" s="9">
        <f>HAVERQ!C69*AN26/$AQ26</f>
        <v>151.03166866017779</v>
      </c>
      <c r="AY26" s="9">
        <f>HAVERQ!D69*AO26/$AQ26</f>
        <v>31.360957633302768</v>
      </c>
      <c r="AZ26" s="9">
        <f>HAVERQ!E69*AP26/$AQ26</f>
        <v>40.612603414558912</v>
      </c>
      <c r="BA26" s="9">
        <f t="shared" si="4"/>
        <v>1000</v>
      </c>
      <c r="BB26" s="8"/>
      <c r="BC26" s="15">
        <f>$AV26/100*(AN26-100)*HAVERQ!C69/1000+(AS26-100)*AX26/$BA26</f>
        <v>-0.19201283468671759</v>
      </c>
      <c r="BD26" s="15">
        <f>$AV26/100*(AO26-100)*HAVERQ!D69/1000+(AT26-100)*AY26/$BA26</f>
        <v>-0.44273941458591937</v>
      </c>
      <c r="BE26" s="15">
        <f>$AV26/100*(AP26-100)*HAVERQ!E69/1000+(AU26-100)*AZ26/$BA26</f>
        <v>-0.1532945890998848</v>
      </c>
      <c r="BF26" s="16">
        <f t="shared" si="5"/>
        <v>0.82140237544160621</v>
      </c>
      <c r="BG26" s="15">
        <f t="shared" si="6"/>
        <v>3.3355537069084409E-2</v>
      </c>
      <c r="BH26" s="20">
        <f>100*((DataQ!V177/DataQ!V173)-1)</f>
        <v>3.3355537069090779E-2</v>
      </c>
      <c r="BI26">
        <v>2</v>
      </c>
      <c r="BJ26" s="8"/>
      <c r="BK26" s="10">
        <v>42309</v>
      </c>
      <c r="BL26" s="16">
        <f>HAVERM!B317</f>
        <v>1.92</v>
      </c>
      <c r="BM26" s="16">
        <f>HAVERM!C317</f>
        <v>2.77</v>
      </c>
      <c r="BQ26" s="16">
        <f t="shared" si="7"/>
        <v>1.1974619047619046</v>
      </c>
      <c r="BR26" s="16">
        <f t="shared" si="7"/>
        <v>1.5989380952380954</v>
      </c>
      <c r="BT26" s="16">
        <f>HAVERM!D317</f>
        <v>0.7225380952380952</v>
      </c>
      <c r="BU26" s="16">
        <f>HAVERM!E317</f>
        <v>1.1710619047619046</v>
      </c>
      <c r="BW26" s="16"/>
      <c r="BX26" s="16"/>
      <c r="BY26" s="16">
        <v>0</v>
      </c>
      <c r="CA26" s="24">
        <v>45200</v>
      </c>
      <c r="CB26" s="16">
        <f>HAVERM!G412-HAVERM!G$389</f>
        <v>4.08</v>
      </c>
      <c r="CC26" s="16">
        <f>HAVERM!H412-HAVERM!H$389</f>
        <v>1.2000000000000002</v>
      </c>
      <c r="CD26">
        <v>0</v>
      </c>
    </row>
    <row r="27" spans="19:82" x14ac:dyDescent="0.25">
      <c r="AG27" s="10">
        <v>42278</v>
      </c>
      <c r="AH27" s="9">
        <f>100*((DataQ!U178/DataQ!U174)-1)</f>
        <v>1.8907563025210017</v>
      </c>
      <c r="AI27" s="9">
        <f>100*((DataQ!V178/DataQ!V174)-1)</f>
        <v>9.9800399201588341E-2</v>
      </c>
      <c r="AJ27" s="9">
        <f t="shared" si="3"/>
        <v>1.7909559033194133</v>
      </c>
      <c r="AK27">
        <v>0</v>
      </c>
      <c r="AM27" s="10">
        <v>42278</v>
      </c>
      <c r="AN27" s="9">
        <f>DataQ!W178/DataQ!W174*100</f>
        <v>98.251946486825034</v>
      </c>
      <c r="AO27" s="9">
        <f>DataQ!X178/DataQ!X174*100</f>
        <v>87.204395756335884</v>
      </c>
      <c r="AP27" s="9">
        <f>DataQ!Y178/DataQ!Y174*100</f>
        <v>95.887336751080554</v>
      </c>
      <c r="AQ27" s="9">
        <f>DataQ!V178/DataQ!V174*100</f>
        <v>100.09980039920158</v>
      </c>
      <c r="AR27" s="9"/>
      <c r="AS27" s="9">
        <f>DataQ!W174/DataQ!W174*100</f>
        <v>100</v>
      </c>
      <c r="AT27" s="9">
        <f>DataQ!X174/DataQ!X174*100</f>
        <v>100</v>
      </c>
      <c r="AU27" s="9">
        <f>DataQ!Y174/DataQ!Y174*100</f>
        <v>100</v>
      </c>
      <c r="AV27" s="9">
        <f>DataQ!V174/DataQ!V174*100</f>
        <v>100</v>
      </c>
      <c r="AW27" s="9"/>
      <c r="AX27" s="9">
        <f>HAVERQ!C70*AN27/$AQ27</f>
        <v>150.17560227426921</v>
      </c>
      <c r="AY27" s="9">
        <f>HAVERQ!D70*AO27/$AQ27</f>
        <v>29.619933745033414</v>
      </c>
      <c r="AZ27" s="9">
        <f>HAVERQ!E70*AP27/$AQ27</f>
        <v>40.232529210692668</v>
      </c>
      <c r="BA27" s="9">
        <f t="shared" si="4"/>
        <v>1000</v>
      </c>
      <c r="BB27" s="8"/>
      <c r="BC27" s="15">
        <f>$AV27/100*(AN27-100)*HAVERQ!C70/1000+(AS27-100)*AX27/$BA27</f>
        <v>-0.26745218751576982</v>
      </c>
      <c r="BD27" s="15">
        <f>$AV27/100*(AO27-100)*HAVERQ!D70/1000+(AT27-100)*AY27/$BA27</f>
        <v>-0.43505054428457995</v>
      </c>
      <c r="BE27" s="15">
        <f>$AV27/100*(AP27-100)*HAVERQ!E70/1000+(AU27-100)*AZ27/$BA27</f>
        <v>-0.17273185645461675</v>
      </c>
      <c r="BF27" s="16">
        <f t="shared" si="5"/>
        <v>0.97503498745655048</v>
      </c>
      <c r="BG27" s="15">
        <f t="shared" si="6"/>
        <v>9.98003992015839E-2</v>
      </c>
      <c r="BH27" s="20">
        <f>100*((DataQ!V178/DataQ!V174)-1)</f>
        <v>9.9800399201588341E-2</v>
      </c>
      <c r="BI27">
        <v>2</v>
      </c>
      <c r="BJ27" s="8"/>
      <c r="BK27" s="10">
        <v>42339</v>
      </c>
      <c r="BL27" s="16">
        <f>HAVERM!B318</f>
        <v>1.9</v>
      </c>
      <c r="BM27" s="16">
        <f>HAVERM!C318</f>
        <v>2.75</v>
      </c>
      <c r="BQ27" s="16">
        <f t="shared" si="7"/>
        <v>1.1574739130434781</v>
      </c>
      <c r="BR27" s="16">
        <f t="shared" si="7"/>
        <v>1.5918434782608692</v>
      </c>
      <c r="BT27" s="16">
        <f>HAVERM!D318</f>
        <v>0.74252608695652167</v>
      </c>
      <c r="BU27" s="16">
        <f>HAVERM!E318</f>
        <v>1.1581565217391308</v>
      </c>
      <c r="BW27" s="16"/>
      <c r="BX27" s="16"/>
      <c r="BY27" s="16">
        <v>0</v>
      </c>
      <c r="CA27" s="24">
        <v>45231</v>
      </c>
      <c r="CB27" s="16">
        <f>HAVERM!G413-HAVERM!G$389</f>
        <v>4.0999999999999996</v>
      </c>
      <c r="CC27" s="16">
        <f>HAVERM!H413-HAVERM!H$389</f>
        <v>1.2599999999999998</v>
      </c>
      <c r="CD27">
        <v>0</v>
      </c>
    </row>
    <row r="28" spans="19:82" x14ac:dyDescent="0.25">
      <c r="AG28" s="10">
        <v>42370</v>
      </c>
      <c r="AH28" s="9">
        <f>100*((DataQ!U179/DataQ!U175)-1)</f>
        <v>2.1617782426778254</v>
      </c>
      <c r="AI28" s="9">
        <f>100*((DataQ!V179/DataQ!V175)-1)</f>
        <v>0.33501507537689879</v>
      </c>
      <c r="AJ28" s="9">
        <f t="shared" si="3"/>
        <v>1.8267631673009266</v>
      </c>
      <c r="AK28">
        <v>0</v>
      </c>
      <c r="AM28" s="10">
        <v>42370</v>
      </c>
      <c r="AN28" s="9">
        <f>DataQ!W179/DataQ!W178*100</f>
        <v>99.832155085599197</v>
      </c>
      <c r="AO28" s="9">
        <f>DataQ!X179/DataQ!X178*100</f>
        <v>94.993046071173652</v>
      </c>
      <c r="AP28" s="9">
        <f>DataQ!Y179/DataQ!Y178*100</f>
        <v>98.986828774062815</v>
      </c>
      <c r="AQ28" s="9">
        <f>DataQ!V179/DataQ!V178*100</f>
        <v>99.534735792622143</v>
      </c>
      <c r="AR28" s="9"/>
      <c r="AS28" s="9">
        <f>DataQ!W178/DataQ!W175*100</f>
        <v>98.675090650907791</v>
      </c>
      <c r="AT28" s="9">
        <f>DataQ!X178/DataQ!X175*100</f>
        <v>96.90027617588531</v>
      </c>
      <c r="AU28" s="9">
        <f>DataQ!Y178/DataQ!Y175*100</f>
        <v>97.209486936798086</v>
      </c>
      <c r="AV28" s="9">
        <f>DataQ!V178/DataQ!V175*100</f>
        <v>100.80402010050251</v>
      </c>
      <c r="AW28" s="9"/>
      <c r="AX28" s="9">
        <f>HAVERQ!C71*AN28/$AQ28</f>
        <v>145.4332738429278</v>
      </c>
      <c r="AY28" s="9">
        <f>HAVERQ!D71*AO28/$AQ28</f>
        <v>30.539865807358435</v>
      </c>
      <c r="AZ28" s="9">
        <f>HAVERQ!E71*AP28/$AQ28</f>
        <v>34.807336147558267</v>
      </c>
      <c r="BA28" s="9">
        <f t="shared" si="4"/>
        <v>1000</v>
      </c>
      <c r="BB28" s="8"/>
      <c r="BC28" s="15">
        <f>$AV28/100*(AN28-100)*HAVERQ!C71/1000+(AS28-100)*AX28/$BA28</f>
        <v>-0.21721909526486968</v>
      </c>
      <c r="BD28" s="15">
        <f>$AV28/100*(AO28-100)*HAVERQ!D71/1000+(AT28-100)*AY28/$BA28</f>
        <v>-0.25617589666311896</v>
      </c>
      <c r="BE28" s="15">
        <f>$AV28/100*(AP28-100)*HAVERQ!E71/1000+(AU28-100)*AZ28/$BA28</f>
        <v>-0.13287643263363952</v>
      </c>
      <c r="BF28" s="16">
        <f t="shared" si="5"/>
        <v>0.94128649993852254</v>
      </c>
      <c r="BG28" s="15">
        <f t="shared" si="6"/>
        <v>0.33501507537689429</v>
      </c>
      <c r="BH28" s="20">
        <f>100*((DataQ!V179/DataQ!V175)-1)</f>
        <v>0.33501507537689879</v>
      </c>
      <c r="BI28">
        <v>2</v>
      </c>
      <c r="BJ28" s="8"/>
      <c r="BK28" s="10">
        <v>42370</v>
      </c>
      <c r="BL28" s="16">
        <f>HAVERM!B319</f>
        <v>1.93</v>
      </c>
      <c r="BM28" s="16">
        <f>HAVERM!C319</f>
        <v>2.68</v>
      </c>
      <c r="BQ28" s="16">
        <f t="shared" si="7"/>
        <v>1.3224</v>
      </c>
      <c r="BR28" s="16">
        <f t="shared" si="7"/>
        <v>1.6969904761904764</v>
      </c>
      <c r="BT28" s="16">
        <f>HAVERM!D319</f>
        <v>0.60759999999999992</v>
      </c>
      <c r="BU28" s="16">
        <f>HAVERM!E319</f>
        <v>0.98300952380952378</v>
      </c>
      <c r="BW28" s="16">
        <f t="shared" ref="BW28:BW91" si="10">BL28-BL4</f>
        <v>-0.44000000000000017</v>
      </c>
      <c r="BX28" s="16"/>
      <c r="BY28" s="16">
        <v>0</v>
      </c>
      <c r="CA28" s="24">
        <v>45261</v>
      </c>
      <c r="CB28" s="16">
        <f>HAVERM!G414-HAVERM!G$389</f>
        <v>4.12</v>
      </c>
      <c r="CC28" s="16">
        <f>HAVERM!H414-HAVERM!H$389</f>
        <v>1.35</v>
      </c>
      <c r="CD28">
        <v>0</v>
      </c>
    </row>
    <row r="29" spans="19:82" x14ac:dyDescent="0.25">
      <c r="AG29" s="10">
        <v>42461</v>
      </c>
      <c r="AH29" s="9">
        <f>100*((DataQ!U180/DataQ!U176)-1)</f>
        <v>2.5623408976690243</v>
      </c>
      <c r="AI29" s="9">
        <f>100*((DataQ!V180/DataQ!V176)-1)</f>
        <v>0.33307783708267369</v>
      </c>
      <c r="AJ29" s="9">
        <f t="shared" si="3"/>
        <v>2.2292630605863506</v>
      </c>
      <c r="AK29">
        <v>0</v>
      </c>
      <c r="AM29" s="10">
        <v>42461</v>
      </c>
      <c r="AN29" s="9">
        <f>DataQ!W180/DataQ!W178*100</f>
        <v>99.328630412890234</v>
      </c>
      <c r="AO29" s="9">
        <f>DataQ!X180/DataQ!X178*100</f>
        <v>101.18219397836599</v>
      </c>
      <c r="AP29" s="9">
        <f>DataQ!Y180/DataQ!Y178*100</f>
        <v>97.7372543059777</v>
      </c>
      <c r="AQ29" s="9">
        <f>DataQ!V180/DataQ!V178*100</f>
        <v>100.09970089730808</v>
      </c>
      <c r="AR29" s="9"/>
      <c r="AS29" s="9">
        <f>DataQ!W178/DataQ!W176*100</f>
        <v>98.970132548216796</v>
      </c>
      <c r="AT29" s="9">
        <f>DataQ!X178/DataQ!X176*100</f>
        <v>92.327480682979356</v>
      </c>
      <c r="AU29" s="9">
        <f>DataQ!Y178/DataQ!Y176*100</f>
        <v>98.437467274778172</v>
      </c>
      <c r="AV29" s="9">
        <f>DataQ!V178/DataQ!V176*100</f>
        <v>100.23314449262341</v>
      </c>
      <c r="AW29" s="9"/>
      <c r="AX29" s="9">
        <f>HAVERQ!C72*AN29/$AQ29</f>
        <v>143.88306139540529</v>
      </c>
      <c r="AY29" s="9">
        <f>HAVERQ!D72*AO29/$AQ29</f>
        <v>32.346052768223451</v>
      </c>
      <c r="AZ29" s="9">
        <f>HAVERQ!E72*AP29/$AQ29</f>
        <v>34.173967255093096</v>
      </c>
      <c r="BA29" s="9">
        <f t="shared" si="4"/>
        <v>1000</v>
      </c>
      <c r="BB29" s="8"/>
      <c r="BC29" s="15">
        <f>$AV29/100*(AN29-100)*HAVERQ!C72/1000+(AS29-100)*AX29/$BA29</f>
        <v>-0.24575603480150515</v>
      </c>
      <c r="BD29" s="15">
        <f>$AV29/100*(AO29-100)*HAVERQ!D72/1000+(AT29-100)*AY29/$BA29</f>
        <v>-0.21025730834096595</v>
      </c>
      <c r="BE29" s="15">
        <f>$AV29/100*(AP29-100)*HAVERQ!E72/1000+(AU29-100)*AZ29/$BA29</f>
        <v>-0.13277868282139166</v>
      </c>
      <c r="BF29" s="16">
        <f t="shared" si="5"/>
        <v>0.92186986304652496</v>
      </c>
      <c r="BG29" s="15">
        <f t="shared" si="6"/>
        <v>0.3330778370826622</v>
      </c>
      <c r="BH29" s="20">
        <f>100*((DataQ!V180/DataQ!V176)-1)</f>
        <v>0.33307783708267369</v>
      </c>
      <c r="BI29">
        <v>2</v>
      </c>
      <c r="BJ29" s="8"/>
      <c r="BK29" s="10">
        <v>42401</v>
      </c>
      <c r="BL29" s="16">
        <f>HAVERM!B320</f>
        <v>1.95</v>
      </c>
      <c r="BM29" s="16">
        <f>HAVERM!C320</f>
        <v>2.73</v>
      </c>
      <c r="BQ29" s="16">
        <f t="shared" si="7"/>
        <v>1.5433238095238095</v>
      </c>
      <c r="BR29" s="16">
        <f t="shared" si="7"/>
        <v>2.1155333333333335</v>
      </c>
      <c r="BT29" s="16">
        <f>HAVERM!D320</f>
        <v>0.40667619047619041</v>
      </c>
      <c r="BU29" s="16">
        <f>HAVERM!E320</f>
        <v>0.61446666666666672</v>
      </c>
      <c r="BW29" s="16">
        <f t="shared" si="10"/>
        <v>-0.42999999999999994</v>
      </c>
      <c r="BX29" s="16"/>
      <c r="BY29" s="16">
        <v>0</v>
      </c>
      <c r="CA29" s="24">
        <v>45292</v>
      </c>
      <c r="CB29" s="16">
        <f>HAVERM!G415-HAVERM!G$389</f>
        <v>4.1399999999999997</v>
      </c>
      <c r="CC29" s="16">
        <f>HAVERM!H415-HAVERM!H$389</f>
        <v>1.4</v>
      </c>
      <c r="CD29">
        <v>0</v>
      </c>
    </row>
    <row r="30" spans="19:82" x14ac:dyDescent="0.25">
      <c r="AG30" s="10">
        <v>42552</v>
      </c>
      <c r="AH30" s="9">
        <f>100*((DataQ!U181/DataQ!U177)-1)</f>
        <v>2.343204524934217</v>
      </c>
      <c r="AI30" s="9">
        <f>100*((DataQ!V181/DataQ!V177)-1)</f>
        <v>0.69883504198500201</v>
      </c>
      <c r="AJ30" s="9">
        <f t="shared" si="3"/>
        <v>1.644369482949215</v>
      </c>
      <c r="AK30">
        <v>0</v>
      </c>
      <c r="AM30" s="10">
        <v>42552</v>
      </c>
      <c r="AN30" s="9">
        <f>DataQ!W181/DataQ!W178*100</f>
        <v>99.227925478348439</v>
      </c>
      <c r="AO30" s="9">
        <f>DataQ!X181/DataQ!X178*100</f>
        <v>103.75521544661976</v>
      </c>
      <c r="AP30" s="9">
        <f>DataQ!Y181/DataQ!Y178*100</f>
        <v>97.97365754812563</v>
      </c>
      <c r="AQ30" s="9">
        <f>DataQ!V181/DataQ!V178*100</f>
        <v>100.56500498504487</v>
      </c>
      <c r="AR30" s="9"/>
      <c r="AS30" s="9">
        <f>DataQ!W178/DataQ!W177*100</f>
        <v>99.565511349114686</v>
      </c>
      <c r="AT30" s="9">
        <f>DataQ!X178/DataQ!X177*100</f>
        <v>94.574125427778554</v>
      </c>
      <c r="AU30" s="9">
        <f>DataQ!Y178/DataQ!Y177*100</f>
        <v>99.195979899497488</v>
      </c>
      <c r="AV30" s="9">
        <f>DataQ!V178/DataQ!V177*100</f>
        <v>100.13307815870942</v>
      </c>
      <c r="AW30" s="9"/>
      <c r="AX30" s="9">
        <f>HAVERQ!C73*AN30/$AQ30</f>
        <v>143.07212729219461</v>
      </c>
      <c r="AY30" s="9">
        <f>HAVERQ!D73*AO30/$AQ30</f>
        <v>33.015131802415539</v>
      </c>
      <c r="AZ30" s="9">
        <f>HAVERQ!E73*AP30/$AQ30</f>
        <v>34.098124041204386</v>
      </c>
      <c r="BA30" s="9">
        <f t="shared" si="4"/>
        <v>1000</v>
      </c>
      <c r="BB30" s="8"/>
      <c r="BC30" s="15">
        <f>$AV30/100*(AN30-100)*HAVERQ!C73/1000+(AS30-100)*AX30/$BA30</f>
        <v>-0.1742630032767592</v>
      </c>
      <c r="BD30" s="15">
        <f>$AV30/100*(AO30-100)*HAVERQ!D73/1000+(AT30-100)*AY30/$BA30</f>
        <v>-5.8809153963131952E-2</v>
      </c>
      <c r="BE30" s="15">
        <f>$AV30/100*(AP30-100)*HAVERQ!E73/1000+(AU30-100)*AZ30/$BA30</f>
        <v>-9.8431944607002803E-2</v>
      </c>
      <c r="BF30" s="16">
        <f t="shared" si="5"/>
        <v>1.030339143831897</v>
      </c>
      <c r="BG30" s="15">
        <f t="shared" si="6"/>
        <v>0.69883504198500312</v>
      </c>
      <c r="BH30" s="20">
        <f>100*((DataQ!V181/DataQ!V177)-1)</f>
        <v>0.69883504198500201</v>
      </c>
      <c r="BI30">
        <v>2</v>
      </c>
      <c r="BJ30" s="8"/>
      <c r="BK30" s="10">
        <v>42430</v>
      </c>
      <c r="BL30" s="16">
        <f>HAVERM!B321</f>
        <v>1.9</v>
      </c>
      <c r="BM30" s="16">
        <f>HAVERM!C321</f>
        <v>2.7</v>
      </c>
      <c r="BQ30" s="16">
        <f t="shared" si="7"/>
        <v>1.4501434782608695</v>
      </c>
      <c r="BR30" s="16">
        <f t="shared" si="7"/>
        <v>2.0500695652173917</v>
      </c>
      <c r="BT30" s="16">
        <f>HAVERM!D321</f>
        <v>0.44985652173913043</v>
      </c>
      <c r="BU30" s="16">
        <f>HAVERM!E321</f>
        <v>0.64993043478260848</v>
      </c>
      <c r="BW30" s="16">
        <f t="shared" si="10"/>
        <v>-0.4700000000000002</v>
      </c>
      <c r="BX30" s="16"/>
      <c r="BY30" s="16">
        <v>0</v>
      </c>
      <c r="CA30" s="24">
        <v>45323</v>
      </c>
      <c r="CB30" s="16">
        <f>HAVERM!G416-HAVERM!G$389</f>
        <v>4.1499999999999995</v>
      </c>
      <c r="CC30" s="16">
        <f>HAVERM!H416-HAVERM!H$389</f>
        <v>1.4700000000000002</v>
      </c>
      <c r="CD30">
        <v>0</v>
      </c>
    </row>
    <row r="31" spans="19:82" x14ac:dyDescent="0.25">
      <c r="AG31" s="10">
        <v>42644</v>
      </c>
      <c r="AH31" s="9">
        <f>100*((DataQ!U182/DataQ!U178)-1)</f>
        <v>2.4742268041237025</v>
      </c>
      <c r="AI31" s="9">
        <f>100*((DataQ!V182/DataQ!V178)-1)</f>
        <v>1.1964107676969205</v>
      </c>
      <c r="AJ31" s="9">
        <f t="shared" si="3"/>
        <v>1.2778160364267821</v>
      </c>
      <c r="AK31">
        <v>0</v>
      </c>
      <c r="AM31" s="10">
        <v>42644</v>
      </c>
      <c r="AN31" s="9">
        <f>DataQ!W182/DataQ!W178*100</f>
        <v>99.295065458207461</v>
      </c>
      <c r="AO31" s="9">
        <f>DataQ!X182/DataQ!X178*100</f>
        <v>107.37131059209631</v>
      </c>
      <c r="AP31" s="9">
        <f>DataQ!Y182/DataQ!Y178*100</f>
        <v>98.615339412360697</v>
      </c>
      <c r="AQ31" s="9">
        <f>DataQ!V182/DataQ!V178*100</f>
        <v>101.19641076769692</v>
      </c>
      <c r="AR31" s="9"/>
      <c r="AS31" s="9">
        <f>DataQ!W178/DataQ!W178*100</f>
        <v>100</v>
      </c>
      <c r="AT31" s="9">
        <f>DataQ!X178/DataQ!X178*100</f>
        <v>100</v>
      </c>
      <c r="AU31" s="9">
        <f>DataQ!Y178/DataQ!Y178*100</f>
        <v>100</v>
      </c>
      <c r="AV31" s="9">
        <f>DataQ!V178/DataQ!V178*100</f>
        <v>100</v>
      </c>
      <c r="AW31" s="9"/>
      <c r="AX31" s="9">
        <f>HAVERQ!C74*AN31/$AQ31</f>
        <v>142.2756437922601</v>
      </c>
      <c r="AY31" s="9">
        <f>HAVERQ!D74*AO31/$AQ31</f>
        <v>33.952606746442591</v>
      </c>
      <c r="AZ31" s="9">
        <f>HAVERQ!E74*AP31/$AQ31</f>
        <v>34.107305320895783</v>
      </c>
      <c r="BA31" s="9">
        <f t="shared" si="4"/>
        <v>1000</v>
      </c>
      <c r="BB31" s="8"/>
      <c r="BC31" s="15">
        <f>$AV31/100*(AN31-100)*HAVERQ!C74/1000+(AS31-100)*AX31/$BA31</f>
        <v>-0.10221550855991822</v>
      </c>
      <c r="BD31" s="15">
        <f>$AV31/100*(AO31-100)*HAVERQ!D74/1000+(AT31-100)*AY31/$BA31</f>
        <v>0.23588193894708184</v>
      </c>
      <c r="BE31" s="15">
        <f>$AV31/100*(AP31-100)*HAVERQ!E74/1000+(AU31-100)*AZ31/$BA31</f>
        <v>-4.8463120567375596E-2</v>
      </c>
      <c r="BF31" s="16">
        <f t="shared" si="5"/>
        <v>1.1112074578771298</v>
      </c>
      <c r="BG31" s="15">
        <f t="shared" si="6"/>
        <v>1.196410767696918</v>
      </c>
      <c r="BH31" s="20">
        <f>100*((DataQ!V182/DataQ!V178)-1)</f>
        <v>1.1964107676969205</v>
      </c>
      <c r="BI31">
        <v>2</v>
      </c>
      <c r="BJ31" s="8"/>
      <c r="BK31" s="10">
        <v>42461</v>
      </c>
      <c r="BL31" s="16">
        <f>HAVERM!B322</f>
        <v>1.84</v>
      </c>
      <c r="BM31" s="16">
        <f>HAVERM!C322</f>
        <v>2.71</v>
      </c>
      <c r="BQ31" s="16">
        <f t="shared" si="7"/>
        <v>1.387961904761905</v>
      </c>
      <c r="BR31" s="16">
        <f t="shared" si="7"/>
        <v>2.0608476190476188</v>
      </c>
      <c r="BT31" s="16">
        <f>HAVERM!D322</f>
        <v>0.45203809523809518</v>
      </c>
      <c r="BU31" s="16">
        <f>HAVERM!E322</f>
        <v>0.64915238095238104</v>
      </c>
      <c r="BW31" s="16">
        <f t="shared" si="10"/>
        <v>-0.7</v>
      </c>
      <c r="BX31" s="16"/>
      <c r="BY31" s="16">
        <v>0</v>
      </c>
      <c r="CA31" s="24">
        <v>45352</v>
      </c>
      <c r="CB31" s="16">
        <f>HAVERM!G417-HAVERM!G$389</f>
        <v>4.18</v>
      </c>
      <c r="CC31" s="16">
        <f>HAVERM!H417-HAVERM!H$389</f>
        <v>1.4899999999999998</v>
      </c>
      <c r="CD31">
        <v>0</v>
      </c>
    </row>
    <row r="32" spans="19:82" x14ac:dyDescent="0.25">
      <c r="AG32" s="10">
        <v>42736</v>
      </c>
      <c r="AH32" s="9">
        <f>100*((DataQ!U183/DataQ!U179)-1)</f>
        <v>2.1843073163349658</v>
      </c>
      <c r="AI32" s="9">
        <f>100*((DataQ!V183/DataQ!V179)-1)</f>
        <v>2.1702769836208891</v>
      </c>
      <c r="AJ32" s="9">
        <f t="shared" si="3"/>
        <v>1.4030332714076721E-2</v>
      </c>
      <c r="AK32">
        <v>0</v>
      </c>
      <c r="AM32" s="10">
        <v>42736</v>
      </c>
      <c r="AN32" s="9">
        <f>DataQ!W183/DataQ!W182*100</f>
        <v>101.72413793103448</v>
      </c>
      <c r="AO32" s="9">
        <f>DataQ!X183/DataQ!X182*100</f>
        <v>104.17746249270159</v>
      </c>
      <c r="AP32" s="9">
        <f>DataQ!Y183/DataQ!Y182*100</f>
        <v>100.27396573465988</v>
      </c>
      <c r="AQ32" s="9">
        <f>DataQ!V183/DataQ!V182*100</f>
        <v>100.49261083743843</v>
      </c>
      <c r="AR32" s="9"/>
      <c r="AS32" s="9">
        <f>DataQ!W182/DataQ!W179*100</f>
        <v>99.462007379354645</v>
      </c>
      <c r="AT32" s="9">
        <f>DataQ!X182/DataQ!X179*100</f>
        <v>113.03070596520111</v>
      </c>
      <c r="AU32" s="9">
        <f>DataQ!Y182/DataQ!Y179*100</f>
        <v>99.624708290685788</v>
      </c>
      <c r="AV32" s="9">
        <f>DataQ!V182/DataQ!V179*100</f>
        <v>101.66944229252472</v>
      </c>
      <c r="AW32" s="9"/>
      <c r="AX32" s="9">
        <f>HAVERQ!C75*AN32/$AQ32</f>
        <v>146.7769607843137</v>
      </c>
      <c r="AY32" s="9">
        <f>HAVERQ!D75*AO32/$AQ32</f>
        <v>33.864484294604658</v>
      </c>
      <c r="AZ32" s="9">
        <f>HAVERQ!E75*AP32/$AQ32</f>
        <v>33.593416984603451</v>
      </c>
      <c r="BA32" s="9">
        <f t="shared" si="4"/>
        <v>1000</v>
      </c>
      <c r="BB32" s="8"/>
      <c r="BC32" s="15">
        <f>$AV32/100*(AN32-100)*HAVERQ!C75/1000+(AS32-100)*AX32/$BA32</f>
        <v>0.17520868394859754</v>
      </c>
      <c r="BD32" s="15">
        <f>$AV32/100*(AO32-100)*HAVERQ!D75/1000+(AT32-100)*AY32/$BA32</f>
        <v>0.58002009623759521</v>
      </c>
      <c r="BE32" s="15">
        <f>$AV32/100*(AP32-100)*HAVERQ!E75/1000+(AU32-100)*AZ32/$BA32</f>
        <v>-3.2298365869791283E-3</v>
      </c>
      <c r="BF32" s="16">
        <f t="shared" si="5"/>
        <v>1.4182780400216983</v>
      </c>
      <c r="BG32" s="15">
        <f t="shared" si="6"/>
        <v>2.1702769836209121</v>
      </c>
      <c r="BH32" s="20">
        <f>100*((DataQ!V183/DataQ!V179)-1)</f>
        <v>2.1702769836208891</v>
      </c>
      <c r="BI32">
        <v>2</v>
      </c>
      <c r="BJ32" s="8"/>
      <c r="BK32" s="10">
        <v>42491</v>
      </c>
      <c r="BL32" s="16">
        <f>HAVERM!B323</f>
        <v>1.91</v>
      </c>
      <c r="BM32" s="16">
        <f>HAVERM!C323</f>
        <v>2.64</v>
      </c>
      <c r="BQ32" s="16">
        <f t="shared" si="7"/>
        <v>1.4411136363636363</v>
      </c>
      <c r="BR32" s="16">
        <f t="shared" si="7"/>
        <v>1.950718181818182</v>
      </c>
      <c r="BT32" s="16">
        <f>HAVERM!D323</f>
        <v>0.46888636363636366</v>
      </c>
      <c r="BU32" s="16">
        <f>HAVERM!E323</f>
        <v>0.68928181818181811</v>
      </c>
      <c r="BW32" s="16">
        <f t="shared" si="10"/>
        <v>-0.65000000000000013</v>
      </c>
      <c r="BX32" s="16"/>
      <c r="BY32" s="16">
        <v>0</v>
      </c>
      <c r="CA32" s="24">
        <v>45383</v>
      </c>
      <c r="CB32" s="16">
        <f>HAVERM!G418-HAVERM!G$389</f>
        <v>4.17</v>
      </c>
      <c r="CC32" s="16">
        <f>HAVERM!H418-HAVERM!H$389</f>
        <v>1.56</v>
      </c>
      <c r="CD32">
        <v>0</v>
      </c>
    </row>
    <row r="33" spans="33:82" x14ac:dyDescent="0.25">
      <c r="AG33" s="10">
        <v>42826</v>
      </c>
      <c r="AH33" s="9">
        <f>100*((DataQ!U184/DataQ!U180)-1)</f>
        <v>2.1606885779413609</v>
      </c>
      <c r="AI33" s="9">
        <f>100*((DataQ!V184/DataQ!V180)-1)</f>
        <v>2.7556772908366556</v>
      </c>
      <c r="AJ33" s="9">
        <f t="shared" si="3"/>
        <v>-0.59498871289529465</v>
      </c>
      <c r="AK33">
        <v>0</v>
      </c>
      <c r="AM33" s="10">
        <v>42826</v>
      </c>
      <c r="AN33" s="9">
        <f>DataQ!W184/DataQ!W182*100</f>
        <v>102.8397565922921</v>
      </c>
      <c r="AO33" s="9">
        <f>DataQ!X184/DataQ!X182*100</f>
        <v>101.42490331117335</v>
      </c>
      <c r="AP33" s="9">
        <f>DataQ!Y184/DataQ!Y182*100</f>
        <v>102.87667103584445</v>
      </c>
      <c r="AQ33" s="9">
        <f>DataQ!V184/DataQ!V182*100</f>
        <v>101.64206896551724</v>
      </c>
      <c r="AR33" s="9"/>
      <c r="AS33" s="9">
        <f>DataQ!W182/DataQ!W180*100</f>
        <v>99.96620817729665</v>
      </c>
      <c r="AT33" s="9">
        <f>DataQ!X182/DataQ!X180*100</f>
        <v>106.11680412371133</v>
      </c>
      <c r="AU33" s="9">
        <f>DataQ!Y182/DataQ!Y180*100</f>
        <v>100.89841392887307</v>
      </c>
      <c r="AV33" s="9">
        <f>DataQ!V182/DataQ!V180*100</f>
        <v>101.09561752988047</v>
      </c>
      <c r="AW33" s="9"/>
      <c r="AX33" s="9">
        <f>HAVERQ!C76*AN33/$AQ33</f>
        <v>147.72037420419346</v>
      </c>
      <c r="AY33" s="9">
        <f>HAVERQ!D76*AO33/$AQ33</f>
        <v>32.929493105893194</v>
      </c>
      <c r="AZ33" s="9">
        <f>HAVERQ!E76*AP33/$AQ33</f>
        <v>34.412983234386601</v>
      </c>
      <c r="BA33" s="9">
        <f t="shared" si="4"/>
        <v>1000.0000000000001</v>
      </c>
      <c r="BB33" s="8"/>
      <c r="BC33" s="15">
        <f>$AV33/100*(AN33-100)*HAVERQ!C76/1000+(AS33-100)*AX33/$BA33</f>
        <v>0.41415520095040564</v>
      </c>
      <c r="BD33" s="15">
        <f>$AV33/100*(AO33-100)*HAVERQ!D76/1000+(AT33-100)*AY33/$BA33</f>
        <v>0.24896024767578706</v>
      </c>
      <c r="BE33" s="15">
        <f>$AV33/100*(AP33-100)*HAVERQ!E76/1000+(AU33-100)*AZ33/$BA33</f>
        <v>0.12979550730351372</v>
      </c>
      <c r="BF33" s="16">
        <f t="shared" si="5"/>
        <v>1.962766334906938</v>
      </c>
      <c r="BG33" s="15">
        <f t="shared" si="6"/>
        <v>2.755677290836644</v>
      </c>
      <c r="BH33" s="20">
        <f>100*((DataQ!V184/DataQ!V180)-1)</f>
        <v>2.7556772908366556</v>
      </c>
      <c r="BI33">
        <v>2</v>
      </c>
      <c r="BJ33" s="8"/>
      <c r="BK33" s="10">
        <v>42522</v>
      </c>
      <c r="BL33" s="16">
        <f>HAVERM!B324</f>
        <v>1.75</v>
      </c>
      <c r="BM33" s="16">
        <f>HAVERM!C324</f>
        <v>2.54</v>
      </c>
      <c r="BQ33" s="16">
        <f t="shared" si="7"/>
        <v>1.3929045454545455</v>
      </c>
      <c r="BR33" s="16">
        <f t="shared" si="7"/>
        <v>2.0278727272727273</v>
      </c>
      <c r="BT33" s="16">
        <f>HAVERM!D324</f>
        <v>0.35709545454545455</v>
      </c>
      <c r="BU33" s="16">
        <f>HAVERM!E324</f>
        <v>0.51212727272727276</v>
      </c>
      <c r="BW33" s="16">
        <f t="shared" si="10"/>
        <v>-0.85000000000000009</v>
      </c>
      <c r="BX33" s="16"/>
      <c r="BY33" s="16">
        <v>0</v>
      </c>
      <c r="CA33" s="24">
        <v>45413</v>
      </c>
      <c r="CB33" s="16">
        <f>HAVERM!G419-HAVERM!G$389</f>
        <v>4.18</v>
      </c>
      <c r="CC33" s="16">
        <f>HAVERM!H419-HAVERM!H$389</f>
        <v>1.6</v>
      </c>
      <c r="CD33">
        <v>0</v>
      </c>
    </row>
    <row r="34" spans="33:82" x14ac:dyDescent="0.25">
      <c r="AG34" s="10">
        <v>42917</v>
      </c>
      <c r="AH34" s="9">
        <f>100*((DataQ!U185/DataQ!U181)-1)</f>
        <v>2.3569090909090873</v>
      </c>
      <c r="AI34" s="9">
        <f>100*((DataQ!V185/DataQ!V181)-1)</f>
        <v>2.8089547888450861</v>
      </c>
      <c r="AJ34" s="9">
        <f t="shared" si="3"/>
        <v>-0.4520456979359988</v>
      </c>
      <c r="AK34">
        <v>0</v>
      </c>
      <c r="AM34" s="10">
        <v>42917</v>
      </c>
      <c r="AN34" s="9">
        <f>DataQ!W185/DataQ!W182*100</f>
        <v>103.11024340770791</v>
      </c>
      <c r="AO34" s="9">
        <f>DataQ!X185/DataQ!X182*100</f>
        <v>100.90680081178782</v>
      </c>
      <c r="AP34" s="9">
        <f>DataQ!Y185/DataQ!Y182*100</f>
        <v>104.48629421326751</v>
      </c>
      <c r="AQ34" s="9">
        <f>DataQ!V185/DataQ!V182*100</f>
        <v>102.16748768472908</v>
      </c>
      <c r="AR34" s="9"/>
      <c r="AS34" s="9">
        <f>DataQ!W182/DataQ!W181*100</f>
        <v>100.06766238388572</v>
      </c>
      <c r="AT34" s="9">
        <f>DataQ!X182/DataQ!X181*100</f>
        <v>103.4852177116214</v>
      </c>
      <c r="AU34" s="9">
        <f>DataQ!Y182/DataQ!Y181*100</f>
        <v>100.65495346432265</v>
      </c>
      <c r="AV34" s="9">
        <f>DataQ!V182/DataQ!V181*100</f>
        <v>100.62785835166612</v>
      </c>
      <c r="AW34" s="9"/>
      <c r="AX34" s="9">
        <f>HAVERQ!C77*AN34/$AQ34</f>
        <v>147.34722247433203</v>
      </c>
      <c r="AY34" s="9">
        <f>HAVERQ!D77*AO34/$AQ34</f>
        <v>32.592799355745733</v>
      </c>
      <c r="AZ34" s="9">
        <f>HAVERQ!E77*AP34/$AQ34</f>
        <v>34.771668402120163</v>
      </c>
      <c r="BA34" s="9">
        <f t="shared" si="4"/>
        <v>1000</v>
      </c>
      <c r="BB34" s="8"/>
      <c r="BC34" s="15">
        <f>$AV34/100*(AN34-100)*HAVERQ!C77/1000+(AS34-100)*AX34/$BA34</f>
        <v>0.46691647861380386</v>
      </c>
      <c r="BD34" s="15">
        <f>$AV34/100*(AO34-100)*HAVERQ!D77/1000+(AT34-100)*AY34/$BA34</f>
        <v>0.14370531138774859</v>
      </c>
      <c r="BE34" s="15">
        <f>$AV34/100*(AP34-100)*HAVERQ!E77/1000+(AU34-100)*AZ34/$BA34</f>
        <v>0.17626552540988499</v>
      </c>
      <c r="BF34" s="16">
        <f t="shared" si="5"/>
        <v>2.0220674734336703</v>
      </c>
      <c r="BG34" s="15">
        <f t="shared" si="6"/>
        <v>2.8089547888451079</v>
      </c>
      <c r="BH34" s="20">
        <f>100*((DataQ!V185/DataQ!V181)-1)</f>
        <v>2.8089547888450861</v>
      </c>
      <c r="BI34">
        <v>2</v>
      </c>
      <c r="BJ34" s="8"/>
      <c r="BK34" s="10">
        <v>42552</v>
      </c>
      <c r="BL34" s="16">
        <f>HAVERM!B325</f>
        <v>1.72</v>
      </c>
      <c r="BM34" s="16">
        <f>HAVERM!C325</f>
        <v>2.5099999999999998</v>
      </c>
      <c r="BQ34" s="16">
        <f t="shared" si="7"/>
        <v>1.5872619047619048</v>
      </c>
      <c r="BR34" s="16">
        <f t="shared" si="7"/>
        <v>2.2893238095238093</v>
      </c>
      <c r="BT34" s="16">
        <f>HAVERM!D325</f>
        <v>0.13273809523809521</v>
      </c>
      <c r="BU34" s="16">
        <f>HAVERM!E325</f>
        <v>0.22067619047619053</v>
      </c>
      <c r="BW34" s="16">
        <f t="shared" si="10"/>
        <v>-0.82000000000000006</v>
      </c>
      <c r="BX34" s="16"/>
      <c r="BY34" s="16">
        <v>0</v>
      </c>
      <c r="CA34" s="24">
        <v>45444</v>
      </c>
      <c r="CB34" s="16">
        <f>HAVERM!G420-HAVERM!G$389</f>
        <v>4.22</v>
      </c>
      <c r="CC34" s="16">
        <f>HAVERM!H420-HAVERM!H$389</f>
        <v>1.6400000000000001</v>
      </c>
      <c r="CD34">
        <v>0</v>
      </c>
    </row>
    <row r="35" spans="33:82" x14ac:dyDescent="0.25">
      <c r="AG35" s="10">
        <v>43009</v>
      </c>
      <c r="AH35" s="9">
        <f>100*((DataQ!U186/DataQ!U182)-1)</f>
        <v>2.6827565392354202</v>
      </c>
      <c r="AI35" s="9">
        <f>100*((DataQ!V186/DataQ!V182)-1)</f>
        <v>3.0213793103448294</v>
      </c>
      <c r="AJ35" s="9">
        <f t="shared" si="3"/>
        <v>-0.33862277110940919</v>
      </c>
      <c r="AK35">
        <v>0</v>
      </c>
      <c r="AM35" s="10">
        <v>43009</v>
      </c>
      <c r="AN35" s="9">
        <f>DataQ!W186/DataQ!W182*100</f>
        <v>104.22586206896551</v>
      </c>
      <c r="AO35" s="9">
        <f>DataQ!X186/DataQ!X182*100</f>
        <v>103.85366057437196</v>
      </c>
      <c r="AP35" s="9">
        <f>DataQ!Y186/DataQ!Y182*100</f>
        <v>106.19865710968102</v>
      </c>
      <c r="AQ35" s="9">
        <f>DataQ!V186/DataQ!V182*100</f>
        <v>103.02137931034483</v>
      </c>
      <c r="AR35" s="9"/>
      <c r="AS35" s="9">
        <f>DataQ!W182/DataQ!W182*100</f>
        <v>100</v>
      </c>
      <c r="AT35" s="9">
        <f>DataQ!X182/DataQ!X182*100</f>
        <v>100</v>
      </c>
      <c r="AU35" s="9">
        <f>DataQ!Y182/DataQ!Y182*100</f>
        <v>100</v>
      </c>
      <c r="AV35" s="9">
        <f>DataQ!V182/DataQ!V182*100</f>
        <v>100</v>
      </c>
      <c r="AW35" s="9"/>
      <c r="AX35" s="9">
        <f>HAVERQ!C78*AN35/$AQ35</f>
        <v>147.70697076602781</v>
      </c>
      <c r="AY35" s="9">
        <f>HAVERQ!D78*AO35/$AQ35</f>
        <v>33.266597883825241</v>
      </c>
      <c r="AZ35" s="9">
        <f>HAVERQ!E78*AP35/$AQ35</f>
        <v>35.048592495078189</v>
      </c>
      <c r="BA35" s="9">
        <f t="shared" si="4"/>
        <v>1000</v>
      </c>
      <c r="BB35" s="8"/>
      <c r="BC35" s="15">
        <f>$AV35/100*(AN35-100)*HAVERQ!C78/1000+(AS35-100)*AX35/$BA35</f>
        <v>0.61697586206896471</v>
      </c>
      <c r="BD35" s="15">
        <f>$AV35/100*(AO35-100)*HAVERQ!D78/1000+(AT35-100)*AY35/$BA35</f>
        <v>0.12717079895427461</v>
      </c>
      <c r="BE35" s="15">
        <f>$AV35/100*(AP35-100)*HAVERQ!E78/1000+(AU35-100)*AZ35/$BA35</f>
        <v>0.21075434172915475</v>
      </c>
      <c r="BF35" s="16">
        <f t="shared" si="5"/>
        <v>2.0664783075924329</v>
      </c>
      <c r="BG35" s="15">
        <f t="shared" si="6"/>
        <v>3.0213793103448272</v>
      </c>
      <c r="BH35" s="20">
        <f>100*((DataQ!V186/DataQ!V182)-1)</f>
        <v>3.0213793103448294</v>
      </c>
      <c r="BI35">
        <v>2</v>
      </c>
      <c r="BJ35" s="8"/>
      <c r="BK35" s="10">
        <v>42583</v>
      </c>
      <c r="BL35" s="16">
        <f>HAVERM!B326</f>
        <v>1.69</v>
      </c>
      <c r="BM35" s="16">
        <f>HAVERM!C326</f>
        <v>2.39</v>
      </c>
      <c r="BQ35" s="16">
        <f t="shared" si="7"/>
        <v>1.5823999999999998</v>
      </c>
      <c r="BR35" s="16">
        <f t="shared" si="7"/>
        <v>2.214721739130435</v>
      </c>
      <c r="BT35" s="16">
        <f>HAVERM!D326</f>
        <v>0.10760000000000003</v>
      </c>
      <c r="BU35" s="16">
        <f>HAVERM!E326</f>
        <v>0.17527826086956519</v>
      </c>
      <c r="BW35" s="16">
        <f t="shared" si="10"/>
        <v>-0.85000000000000009</v>
      </c>
      <c r="BX35" s="16"/>
      <c r="BY35" s="16">
        <v>0</v>
      </c>
      <c r="CA35" s="24">
        <v>45474</v>
      </c>
      <c r="CB35" s="16">
        <f>HAVERM!G421-HAVERM!G$389</f>
        <v>4.18</v>
      </c>
      <c r="CC35" s="16">
        <f>HAVERM!H421-HAVERM!H$389</f>
        <v>1.6800000000000002</v>
      </c>
      <c r="CD35">
        <v>0</v>
      </c>
    </row>
    <row r="36" spans="33:82" x14ac:dyDescent="0.25">
      <c r="AG36" s="10">
        <v>43101</v>
      </c>
      <c r="AH36" s="9">
        <f>100*((DataQ!U187/DataQ!U183)-1)</f>
        <v>2.6052104208416749</v>
      </c>
      <c r="AI36" s="9">
        <f>100*((DataQ!V187/DataQ!V183)-1)</f>
        <v>2.712450980392167</v>
      </c>
      <c r="AJ36" s="9">
        <f t="shared" si="3"/>
        <v>-0.10724055955049216</v>
      </c>
      <c r="AK36">
        <v>0</v>
      </c>
      <c r="AM36" s="10">
        <v>43101</v>
      </c>
      <c r="AN36" s="9">
        <f>DataQ!W187/DataQ!W186*100</f>
        <v>101.23250041112539</v>
      </c>
      <c r="AO36" s="9">
        <f>DataQ!X187/DataQ!X186*100</f>
        <v>101.37202993451824</v>
      </c>
      <c r="AP36" s="9">
        <f>DataQ!Y187/DataQ!Y186*100</f>
        <v>100.35465967279598</v>
      </c>
      <c r="AQ36" s="9">
        <f>DataQ!V187/DataQ!V186*100</f>
        <v>100.19126547935433</v>
      </c>
      <c r="AR36" s="9"/>
      <c r="AS36" s="9">
        <f>DataQ!W186/DataQ!W183*100</f>
        <v>102.45932203389832</v>
      </c>
      <c r="AT36" s="9">
        <f>DataQ!X186/DataQ!X183*100</f>
        <v>99.689182371520786</v>
      </c>
      <c r="AU36" s="9">
        <f>DataQ!Y186/DataQ!Y183*100</f>
        <v>105.90850409836065</v>
      </c>
      <c r="AV36" s="9">
        <f>DataQ!V186/DataQ!V183*100</f>
        <v>102.51637254901959</v>
      </c>
      <c r="AW36" s="9"/>
      <c r="AX36" s="9">
        <f>HAVERQ!C79*AN36/$AQ36</f>
        <v>144.14932602047313</v>
      </c>
      <c r="AY36" s="9">
        <f>HAVERQ!D79*AO36/$AQ36</f>
        <v>31.028076513973382</v>
      </c>
      <c r="AZ36" s="9">
        <f>HAVERQ!E79*AP36/$AQ36</f>
        <v>34.055447972938929</v>
      </c>
      <c r="BA36" s="9">
        <f t="shared" si="4"/>
        <v>1000</v>
      </c>
      <c r="BB36" s="8"/>
      <c r="BC36" s="15">
        <f>$AV36/100*(AN36-100)*HAVERQ!C79/1000+(AS36-100)*AX36/$BA36</f>
        <v>0.53477104606135817</v>
      </c>
      <c r="BD36" s="15">
        <f>$AV36/100*(AO36-100)*HAVERQ!D79/1000+(AT36-100)*AY36/$BA36</f>
        <v>3.3490289962402005E-2</v>
      </c>
      <c r="BE36" s="15">
        <f>$AV36/100*(AP36-100)*HAVERQ!E79/1000+(AU36-100)*AZ36/$BA36</f>
        <v>0.21357861778873594</v>
      </c>
      <c r="BF36" s="16">
        <f t="shared" si="5"/>
        <v>1.9306110265796483</v>
      </c>
      <c r="BG36" s="15">
        <f t="shared" si="6"/>
        <v>2.7124509803921444</v>
      </c>
      <c r="BH36" s="20">
        <f>100*((DataQ!V187/DataQ!V183)-1)</f>
        <v>2.712450980392167</v>
      </c>
      <c r="BI36">
        <v>2</v>
      </c>
      <c r="BJ36" s="8"/>
      <c r="BK36" s="10">
        <v>42614</v>
      </c>
      <c r="BL36" s="16">
        <f>HAVERM!B327</f>
        <v>1.59</v>
      </c>
      <c r="BM36" s="16">
        <f>HAVERM!C327</f>
        <v>2.34</v>
      </c>
      <c r="BQ36" s="16">
        <f t="shared" si="7"/>
        <v>1.4666318181818183</v>
      </c>
      <c r="BR36" s="16">
        <f t="shared" si="7"/>
        <v>2.1336090909090908</v>
      </c>
      <c r="BT36" s="16">
        <f>HAVERM!D327</f>
        <v>0.12336818181818181</v>
      </c>
      <c r="BU36" s="16">
        <f>HAVERM!E327</f>
        <v>0.2063909090909091</v>
      </c>
      <c r="BW36" s="16">
        <f t="shared" si="10"/>
        <v>-0.86999999999999988</v>
      </c>
      <c r="BX36" s="16"/>
      <c r="BY36" s="16">
        <v>0</v>
      </c>
    </row>
    <row r="37" spans="33:82" x14ac:dyDescent="0.25">
      <c r="AG37" s="10">
        <v>43191</v>
      </c>
      <c r="AH37" s="9">
        <f>100*((DataQ!U188/DataQ!U184)-1)</f>
        <v>2.4454859514531302</v>
      </c>
      <c r="AI37" s="9">
        <f>100*((DataQ!V188/DataQ!V184)-1)</f>
        <v>2.4232625449878586</v>
      </c>
      <c r="AJ37" s="9">
        <f t="shared" si="3"/>
        <v>2.2223406465271545E-2</v>
      </c>
      <c r="AK37">
        <v>0</v>
      </c>
      <c r="AM37" s="10">
        <v>43191</v>
      </c>
      <c r="AN37" s="9">
        <f>DataQ!W188/DataQ!W186*100</f>
        <v>101.42711598212261</v>
      </c>
      <c r="AO37" s="9">
        <f>DataQ!X188/DataQ!X186*100</f>
        <v>105.02029934518239</v>
      </c>
      <c r="AP37" s="9">
        <f>DataQ!Y188/DataQ!Y186*100</f>
        <v>101.90254695177461</v>
      </c>
      <c r="AQ37" s="9">
        <f>DataQ!V188/DataQ!V186*100</f>
        <v>101.0519601364488</v>
      </c>
      <c r="AR37" s="9"/>
      <c r="AS37" s="9">
        <f>DataQ!W186/DataQ!W184*100</f>
        <v>101.34783037475346</v>
      </c>
      <c r="AT37" s="9">
        <f>DataQ!X186/DataQ!X184*100</f>
        <v>102.39463601532567</v>
      </c>
      <c r="AU37" s="9">
        <f>DataQ!Y186/DataQ!Y184*100</f>
        <v>103.22909561554448</v>
      </c>
      <c r="AV37" s="9">
        <f>DataQ!V186/DataQ!V184*100</f>
        <v>101.3570270251932</v>
      </c>
      <c r="AW37" s="9"/>
      <c r="AX37" s="9">
        <f>HAVERQ!C80*AN37/$AQ37</f>
        <v>143.53088812783955</v>
      </c>
      <c r="AY37" s="9">
        <f>HAVERQ!D80*AO37/$AQ37</f>
        <v>32.217378814865455</v>
      </c>
      <c r="AZ37" s="9">
        <f>HAVERQ!E80*AP37/$AQ37</f>
        <v>34.286188923817285</v>
      </c>
      <c r="BA37" s="9">
        <f t="shared" si="4"/>
        <v>1000.0000000000001</v>
      </c>
      <c r="BB37" s="8"/>
      <c r="BC37" s="15">
        <f>$AV37/100*(AN37-100)*HAVERQ!C80/1000+(AS37-100)*AX37/$BA37</f>
        <v>0.4003022641644069</v>
      </c>
      <c r="BD37" s="15">
        <f>$AV37/100*(AO37-100)*HAVERQ!D80/1000+(AT37-100)*AY37/$BA37</f>
        <v>0.23489010671477278</v>
      </c>
      <c r="BE37" s="15">
        <f>$AV37/100*(AP37-100)*HAVERQ!E80/1000+(AU37-100)*AZ37/$BA37</f>
        <v>0.17627779328225229</v>
      </c>
      <c r="BF37" s="16">
        <f t="shared" si="5"/>
        <v>1.6117923808264403</v>
      </c>
      <c r="BG37" s="15">
        <f t="shared" si="6"/>
        <v>2.423262544987872</v>
      </c>
      <c r="BH37" s="20">
        <f>100*((DataQ!V188/DataQ!V184)-1)</f>
        <v>2.4232625449878586</v>
      </c>
      <c r="BI37">
        <v>2</v>
      </c>
      <c r="BJ37" s="8"/>
      <c r="BK37" s="10">
        <v>42644</v>
      </c>
      <c r="BL37" s="16">
        <f>HAVERM!B328</f>
        <v>1.52</v>
      </c>
      <c r="BM37" s="16">
        <f>HAVERM!C328</f>
        <v>2.27</v>
      </c>
      <c r="BQ37" s="16">
        <f t="shared" si="7"/>
        <v>1.3240380952380952</v>
      </c>
      <c r="BR37" s="16">
        <f t="shared" si="7"/>
        <v>1.9146571428571428</v>
      </c>
      <c r="BT37" s="16">
        <f>HAVERM!D328</f>
        <v>0.19596190476190478</v>
      </c>
      <c r="BU37" s="16">
        <f>HAVERM!E328</f>
        <v>0.35534285714285718</v>
      </c>
      <c r="BW37" s="16">
        <f t="shared" si="10"/>
        <v>-0.69</v>
      </c>
      <c r="BX37" s="16"/>
      <c r="BY37" s="16">
        <v>0</v>
      </c>
    </row>
    <row r="38" spans="33:82" x14ac:dyDescent="0.25">
      <c r="AG38" s="10">
        <v>43282</v>
      </c>
      <c r="AH38" s="9">
        <f>100*((DataQ!U189/DataQ!U185)-1)</f>
        <v>3.0920919018360582</v>
      </c>
      <c r="AI38" s="9">
        <f>100*((DataQ!V189/DataQ!V185)-1)</f>
        <v>2.5072324011571778</v>
      </c>
      <c r="AJ38" s="9">
        <f t="shared" si="3"/>
        <v>0.58485950067888037</v>
      </c>
      <c r="AK38">
        <v>0</v>
      </c>
      <c r="AM38" s="10">
        <v>43282</v>
      </c>
      <c r="AN38" s="9">
        <f>DataQ!W189/DataQ!W186*100</f>
        <v>101.52442376762122</v>
      </c>
      <c r="AO38" s="9">
        <f>DataQ!X189/DataQ!X186*100</f>
        <v>108.45023386342376</v>
      </c>
      <c r="AP38" s="9">
        <f>DataQ!Y189/DataQ!Y186*100</f>
        <v>105.32086252148902</v>
      </c>
      <c r="AQ38" s="9">
        <f>DataQ!V189/DataQ!V186*100</f>
        <v>101.65760227682428</v>
      </c>
      <c r="AR38" s="9"/>
      <c r="AS38" s="9">
        <f>DataQ!W186/DataQ!W185*100</f>
        <v>101.08196685837152</v>
      </c>
      <c r="AT38" s="9">
        <f>DataQ!X186/DataQ!X185*100</f>
        <v>102.92037775340894</v>
      </c>
      <c r="AU38" s="9">
        <f>DataQ!Y186/DataQ!Y185*100</f>
        <v>101.63883972468042</v>
      </c>
      <c r="AV38" s="9">
        <f>DataQ!V186/DataQ!V185*100</f>
        <v>100.83577627772419</v>
      </c>
      <c r="AW38" s="9"/>
      <c r="AX38" s="9">
        <f>HAVERQ!C81*AN38/$AQ38</f>
        <v>142.81266008257623</v>
      </c>
      <c r="AY38" s="9">
        <f>HAVERQ!D81*AO38/$AQ38</f>
        <v>33.071380540839193</v>
      </c>
      <c r="AZ38" s="9">
        <f>HAVERQ!E81*AP38/$AQ38</f>
        <v>35.225199547589526</v>
      </c>
      <c r="BA38" s="9">
        <f t="shared" si="4"/>
        <v>1000.0000000000001</v>
      </c>
      <c r="BB38" s="8"/>
      <c r="BC38" s="15">
        <f>$AV38/100*(AN38-100)*HAVERQ!C81/1000+(AS38-100)*AX38/$BA38</f>
        <v>0.37433309436277068</v>
      </c>
      <c r="BD38" s="15">
        <f>$AV38/100*(AO38-100)*HAVERQ!D81/1000+(AT38-100)*AY38/$BA38</f>
        <v>0.36072755032344883</v>
      </c>
      <c r="BE38" s="15">
        <f>$AV38/100*(AP38-100)*HAVERQ!E81/1000+(AU38-100)*AZ38/$BA38</f>
        <v>0.2401497792876586</v>
      </c>
      <c r="BF38" s="16">
        <f t="shared" si="5"/>
        <v>1.5320219771833063</v>
      </c>
      <c r="BG38" s="15">
        <f t="shared" si="6"/>
        <v>2.5072324011571845</v>
      </c>
      <c r="BH38" s="20">
        <f>100*((DataQ!V189/DataQ!V185)-1)</f>
        <v>2.5072324011571778</v>
      </c>
      <c r="BI38">
        <v>2</v>
      </c>
      <c r="BJ38" s="8"/>
      <c r="BK38" s="10">
        <v>42675</v>
      </c>
      <c r="BL38" s="16">
        <f>HAVERM!B329</f>
        <v>1.43</v>
      </c>
      <c r="BM38" s="16">
        <f>HAVERM!C329</f>
        <v>2.25</v>
      </c>
      <c r="BQ38" s="16">
        <f t="shared" si="7"/>
        <v>1.1526454545454545</v>
      </c>
      <c r="BR38" s="16">
        <f t="shared" si="7"/>
        <v>1.6863136363636364</v>
      </c>
      <c r="BT38" s="16">
        <f>HAVERM!D329</f>
        <v>0.27735454545454546</v>
      </c>
      <c r="BU38" s="16">
        <f>HAVERM!E329</f>
        <v>0.5636863636363636</v>
      </c>
      <c r="BW38" s="16">
        <f t="shared" si="10"/>
        <v>-0.74</v>
      </c>
      <c r="BX38" s="16"/>
      <c r="BY38" s="16">
        <v>0</v>
      </c>
    </row>
    <row r="39" spans="33:82" x14ac:dyDescent="0.25">
      <c r="AG39" s="10">
        <v>43374</v>
      </c>
      <c r="AH39" s="9">
        <f>100*((DataQ!U190/DataQ!U186)-1)</f>
        <v>3.4617964377398058</v>
      </c>
      <c r="AI39" s="9">
        <f>100*((DataQ!V190/DataQ!V186)-1)</f>
        <v>2.263244417199739</v>
      </c>
      <c r="AJ39" s="9">
        <f t="shared" si="3"/>
        <v>1.1985520205400668</v>
      </c>
      <c r="AK39">
        <v>0</v>
      </c>
      <c r="AM39" s="10">
        <v>43374</v>
      </c>
      <c r="AN39" s="9">
        <f>DataQ!W190/DataQ!W186*100</f>
        <v>101.81634712411707</v>
      </c>
      <c r="AO39" s="9">
        <f>DataQ!X190/DataQ!X186*100</f>
        <v>108.0137511693171</v>
      </c>
      <c r="AP39" s="9">
        <f>DataQ!Y190/DataQ!Y186*100</f>
        <v>108.54559543837621</v>
      </c>
      <c r="AQ39" s="9">
        <f>DataQ!V190/DataQ!V186*100</f>
        <v>102.26324441719974</v>
      </c>
      <c r="AR39" s="9"/>
      <c r="AS39" s="9">
        <f>DataQ!W186/DataQ!W186*100</f>
        <v>100</v>
      </c>
      <c r="AT39" s="9">
        <f>DataQ!X186/DataQ!X186*100</f>
        <v>100</v>
      </c>
      <c r="AU39" s="9">
        <f>DataQ!Y186/DataQ!Y186*100</f>
        <v>100</v>
      </c>
      <c r="AV39" s="9">
        <f>DataQ!V186/DataQ!V186*100</f>
        <v>100</v>
      </c>
      <c r="AW39" s="9"/>
      <c r="AX39" s="9">
        <f>HAVERQ!C82*AN39/$AQ39</f>
        <v>142.37508033042542</v>
      </c>
      <c r="AY39" s="9">
        <f>HAVERQ!D82*AO39/$AQ39</f>
        <v>32.743204123158598</v>
      </c>
      <c r="AZ39" s="9">
        <f>HAVERQ!E82*AP39/$AQ39</f>
        <v>36.088726364367865</v>
      </c>
      <c r="BA39" s="9">
        <f t="shared" si="4"/>
        <v>1000</v>
      </c>
      <c r="BC39" s="15">
        <f>$AV39/100*(AN39-100)*HAVERQ!C82/1000+(AS39-100)*AX39/$BA39</f>
        <v>0.25973763874874134</v>
      </c>
      <c r="BD39" s="15">
        <f>$AV39/100*(AO39-100)*HAVERQ!D82/1000+(AT39-100)*AY39/$BA39</f>
        <v>0.2484262862488302</v>
      </c>
      <c r="BE39" s="15">
        <f>$AV39/100*(AP39-100)*HAVERQ!E82/1000+(AU39-100)*AZ39/$BA39</f>
        <v>0.29055024490479114</v>
      </c>
      <c r="BF39" s="16">
        <f t="shared" si="5"/>
        <v>1.4645302472973807</v>
      </c>
      <c r="BG39" s="15">
        <f t="shared" si="6"/>
        <v>2.2632444171997435</v>
      </c>
      <c r="BH39" s="20">
        <f>100*((DataQ!V190/DataQ!V186)-1)</f>
        <v>2.263244417199739</v>
      </c>
      <c r="BI39">
        <v>2</v>
      </c>
      <c r="BK39" s="10">
        <v>42705</v>
      </c>
      <c r="BL39" s="16">
        <f>HAVERM!B330</f>
        <v>1.45</v>
      </c>
      <c r="BM39" s="16">
        <f>HAVERM!C330</f>
        <v>2.2599999999999998</v>
      </c>
      <c r="BQ39" s="16">
        <f t="shared" si="7"/>
        <v>1.1509363636363636</v>
      </c>
      <c r="BR39" s="16">
        <f t="shared" si="7"/>
        <v>1.6513863636363633</v>
      </c>
      <c r="BT39" s="16">
        <f>HAVERM!D330</f>
        <v>0.29906363636363636</v>
      </c>
      <c r="BU39" s="16">
        <f>HAVERM!E330</f>
        <v>0.60861363636363641</v>
      </c>
      <c r="BW39" s="16">
        <f t="shared" si="10"/>
        <v>-0.63000000000000012</v>
      </c>
      <c r="BX39" s="16"/>
      <c r="BY39" s="16">
        <v>0</v>
      </c>
    </row>
    <row r="40" spans="33:82" x14ac:dyDescent="0.25">
      <c r="AG40" s="10">
        <v>43466</v>
      </c>
      <c r="AH40" s="9">
        <f>100*((DataQ!U191/DataQ!U187)-1)</f>
        <v>3.2552148437499984</v>
      </c>
      <c r="AI40" s="9">
        <f>100*((DataQ!V191/DataQ!V187)-1)</f>
        <v>1.8453382611077762</v>
      </c>
      <c r="AJ40" s="9">
        <f t="shared" si="3"/>
        <v>1.4098765826422222</v>
      </c>
      <c r="AK40">
        <v>0</v>
      </c>
      <c r="AM40" s="10">
        <v>43466</v>
      </c>
      <c r="AN40" s="9">
        <f>DataQ!W191/DataQ!W190*100</f>
        <v>101.46549903329054</v>
      </c>
      <c r="AO40" s="9">
        <f>DataQ!X191/DataQ!X190*100</f>
        <v>95.150116873522833</v>
      </c>
      <c r="AP40" s="9">
        <f>DataQ!Y191/DataQ!Y190*100</f>
        <v>93.879946524064167</v>
      </c>
      <c r="AQ40" s="9">
        <f>DataQ!V191/DataQ!V190*100</f>
        <v>99.781826615282611</v>
      </c>
      <c r="AR40" s="9"/>
      <c r="AS40" s="9">
        <f>DataQ!W190/DataQ!W187*100</f>
        <v>100.57673840972075</v>
      </c>
      <c r="AT40" s="9">
        <f>DataQ!X190/DataQ!X187*100</f>
        <v>106.55182819076342</v>
      </c>
      <c r="AU40" s="9">
        <f>DataQ!Y190/DataQ!Y187*100</f>
        <v>108.16198848392946</v>
      </c>
      <c r="AV40" s="9">
        <f>DataQ!V190/DataQ!V187*100</f>
        <v>102.0680235227415</v>
      </c>
      <c r="AW40" s="9"/>
      <c r="AX40" s="9">
        <f>HAVERQ!C83*AN40/$AQ40</f>
        <v>142.36229528479095</v>
      </c>
      <c r="AY40" s="9">
        <f>HAVERQ!D83*AO40/$AQ40</f>
        <v>28.607448901606784</v>
      </c>
      <c r="AZ40" s="9">
        <f>HAVERQ!E83*AP40/$AQ40</f>
        <v>29.793651550639254</v>
      </c>
      <c r="BA40" s="9">
        <f t="shared" si="4"/>
        <v>1000</v>
      </c>
      <c r="BC40" s="15">
        <f>$AV40/100*(AN40-100)*HAVERQ!C83/1000+(AS40-100)*AX40/$BA40</f>
        <v>0.29151862951018115</v>
      </c>
      <c r="BD40" s="15">
        <f>$AV40/100*(AO40-100)*HAVERQ!D83/1000+(AT40-100)*AY40/$BA40</f>
        <v>3.8925694668625666E-2</v>
      </c>
      <c r="BE40" s="15">
        <f>$AV40/100*(AP40-100)*HAVERQ!E83/1000+(AU40-100)*AZ40/$BA40</f>
        <v>4.536588283881085E-2</v>
      </c>
      <c r="BF40" s="16">
        <f t="shared" si="5"/>
        <v>1.469528054090175</v>
      </c>
      <c r="BG40" s="15">
        <f t="shared" si="6"/>
        <v>1.8453382611077926</v>
      </c>
      <c r="BH40" s="20">
        <f>100*((DataQ!V191/DataQ!V187)-1)</f>
        <v>1.8453382611077762</v>
      </c>
      <c r="BI40">
        <v>2</v>
      </c>
      <c r="BK40" s="10">
        <v>42736</v>
      </c>
      <c r="BL40" s="16">
        <f>HAVERM!B331</f>
        <v>1.45</v>
      </c>
      <c r="BM40" s="16">
        <f>HAVERM!C331</f>
        <v>2.2200000000000002</v>
      </c>
      <c r="BQ40" s="16">
        <f t="shared" si="7"/>
        <v>1.1252181818181817</v>
      </c>
      <c r="BR40" s="16">
        <f t="shared" si="7"/>
        <v>1.6104500000000002</v>
      </c>
      <c r="BT40" s="16">
        <f>HAVERM!D331</f>
        <v>0.32478181818181817</v>
      </c>
      <c r="BU40" s="16">
        <f>HAVERM!E331</f>
        <v>0.60955000000000004</v>
      </c>
      <c r="BW40" s="16">
        <f t="shared" si="10"/>
        <v>-0.55999999999999983</v>
      </c>
      <c r="BX40" s="16"/>
      <c r="BY40" s="16">
        <v>0</v>
      </c>
    </row>
    <row r="41" spans="33:82" x14ac:dyDescent="0.25">
      <c r="AG41" s="10">
        <v>43556</v>
      </c>
      <c r="AH41" s="9">
        <f>100*((DataQ!U192/DataQ!U188)-1)</f>
        <v>3.9354771654530829</v>
      </c>
      <c r="AI41" s="9">
        <f>100*((DataQ!V192/DataQ!V188)-1)</f>
        <v>2.0188952621781331</v>
      </c>
      <c r="AJ41" s="9">
        <f t="shared" si="3"/>
        <v>1.9165819032749498</v>
      </c>
      <c r="AK41">
        <v>0</v>
      </c>
      <c r="AM41" s="10">
        <v>43556</v>
      </c>
      <c r="AN41" s="9">
        <f>DataQ!W192/DataQ!W190*100</f>
        <v>101.43357802917427</v>
      </c>
      <c r="AO41" s="9">
        <f>DataQ!X192/DataQ!X190*100</f>
        <v>99.913394944170037</v>
      </c>
      <c r="AP41" s="9">
        <f>DataQ!Y192/DataQ!Y190*100</f>
        <v>102.88172905525848</v>
      </c>
      <c r="AQ41" s="9">
        <f>DataQ!V192/DataQ!V190*100</f>
        <v>100.81050524018242</v>
      </c>
      <c r="AR41" s="9"/>
      <c r="AS41" s="9">
        <f>DataQ!W190/DataQ!W188*100</f>
        <v>100.38375451990871</v>
      </c>
      <c r="AT41" s="9">
        <f>DataQ!X190/DataQ!X188*100</f>
        <v>102.85035544823175</v>
      </c>
      <c r="AU41" s="9">
        <f>DataQ!Y190/DataQ!Y188*100</f>
        <v>106.51902105032312</v>
      </c>
      <c r="AV41" s="9">
        <f>DataQ!V190/DataQ!V188*100</f>
        <v>101.19867470073353</v>
      </c>
      <c r="AW41" s="9"/>
      <c r="AX41" s="9">
        <f>HAVERQ!C84*AN41/$AQ41</f>
        <v>140.86528869437794</v>
      </c>
      <c r="AY41" s="9">
        <f>HAVERQ!D84*AO41/$AQ41</f>
        <v>29.733030711271109</v>
      </c>
      <c r="AZ41" s="9">
        <f>HAVERQ!E84*AP41/$AQ41</f>
        <v>31.636917135911396</v>
      </c>
      <c r="BA41" s="9">
        <f t="shared" si="4"/>
        <v>1000</v>
      </c>
      <c r="BC41" s="15">
        <f>$AV41/100*(AN41-100)*HAVERQ!C84/1000+(AS41-100)*AX41/$BA41</f>
        <v>0.25716436652024832</v>
      </c>
      <c r="BD41" s="15">
        <f>$AV41/100*(AO41-100)*HAVERQ!D84/1000+(AT41-100)*AY41/$BA41</f>
        <v>8.2120411018601028E-2</v>
      </c>
      <c r="BE41" s="15">
        <f>$AV41/100*(AP41-100)*HAVERQ!E84/1000+(AU41-100)*AZ41/$BA41</f>
        <v>0.2966461487603485</v>
      </c>
      <c r="BF41" s="16">
        <f t="shared" si="5"/>
        <v>1.382964335878945</v>
      </c>
      <c r="BG41" s="15">
        <f t="shared" si="6"/>
        <v>2.0188952621781429</v>
      </c>
      <c r="BH41" s="20">
        <f>100*((DataQ!V192/DataQ!V188)-1)</f>
        <v>2.0188952621781331</v>
      </c>
      <c r="BI41">
        <v>2</v>
      </c>
      <c r="BK41" s="10">
        <v>42767</v>
      </c>
      <c r="BL41" s="16">
        <f>HAVERM!B332</f>
        <v>1.42</v>
      </c>
      <c r="BM41" s="16">
        <f>HAVERM!C332</f>
        <v>2.2000000000000002</v>
      </c>
      <c r="BQ41" s="16">
        <f t="shared" si="7"/>
        <v>1.1224699999999999</v>
      </c>
      <c r="BR41" s="16">
        <f t="shared" si="7"/>
        <v>1.6485350000000001</v>
      </c>
      <c r="BT41" s="16">
        <f>HAVERM!D332</f>
        <v>0.29753000000000002</v>
      </c>
      <c r="BU41" s="16">
        <f>HAVERM!E332</f>
        <v>0.55146500000000009</v>
      </c>
      <c r="BW41" s="16">
        <f t="shared" si="10"/>
        <v>-0.54</v>
      </c>
      <c r="BX41" s="16"/>
      <c r="BY41" s="16">
        <v>0</v>
      </c>
    </row>
    <row r="42" spans="33:82" x14ac:dyDescent="0.25">
      <c r="AG42" s="10">
        <v>43647</v>
      </c>
      <c r="AH42" s="9">
        <f>100*((DataQ!U193/DataQ!U189)-1)</f>
        <v>3.8289728033805259</v>
      </c>
      <c r="AI42" s="9">
        <f>100*((DataQ!V193/DataQ!V189)-1)</f>
        <v>1.8501411100658505</v>
      </c>
      <c r="AJ42" s="9">
        <f t="shared" si="3"/>
        <v>1.9788316933146755</v>
      </c>
      <c r="AK42">
        <v>0</v>
      </c>
      <c r="AM42" s="10">
        <v>43647</v>
      </c>
      <c r="AN42" s="9">
        <f>DataQ!W193/DataQ!W190*100</f>
        <v>101.847786507737</v>
      </c>
      <c r="AO42" s="9">
        <f>DataQ!X193/DataQ!X190*100</f>
        <v>99.682419260271573</v>
      </c>
      <c r="AP42" s="9">
        <f>DataQ!Y193/DataQ!Y190*100</f>
        <v>102.82237076648842</v>
      </c>
      <c r="AQ42" s="9">
        <f>DataQ!V193/DataQ!V190*100</f>
        <v>101.24694552585582</v>
      </c>
      <c r="AR42" s="9"/>
      <c r="AS42" s="9">
        <f>DataQ!W190/DataQ!W189*100</f>
        <v>100.28754002796806</v>
      </c>
      <c r="AT42" s="9">
        <f>DataQ!X190/DataQ!X189*100</f>
        <v>99.597527198828985</v>
      </c>
      <c r="AU42" s="9">
        <f>DataQ!Y190/DataQ!Y189*100</f>
        <v>103.06181780103559</v>
      </c>
      <c r="AV42" s="9">
        <f>DataQ!V190/DataQ!V189*100</f>
        <v>100.59576669802446</v>
      </c>
      <c r="AW42" s="9"/>
      <c r="AX42" s="9">
        <f>HAVERQ!C85*AN42/$AQ42</f>
        <v>140.8308175325831</v>
      </c>
      <c r="AY42" s="9">
        <f>HAVERQ!D85*AO42/$AQ42</f>
        <v>29.536422677012595</v>
      </c>
      <c r="AZ42" s="9">
        <f>HAVERQ!E85*AP42/$AQ42</f>
        <v>31.482366971230146</v>
      </c>
      <c r="BA42" s="9">
        <f t="shared" si="4"/>
        <v>999.99999999999989</v>
      </c>
      <c r="BC42" s="15">
        <f>$AV42/100*(AN42-100)*HAVERQ!C85/1000+(AS42-100)*AX42/$BA42</f>
        <v>0.30072579782817999</v>
      </c>
      <c r="BD42" s="15">
        <f>$AV42/100*(AO42-100)*HAVERQ!D85/1000+(AT42-100)*AY42/$BA42</f>
        <v>-2.1471790171840428E-2</v>
      </c>
      <c r="BE42" s="15">
        <f>$AV42/100*(AP42-100)*HAVERQ!E85/1000+(AU42-100)*AZ42/$BA42</f>
        <v>0.18440802247115529</v>
      </c>
      <c r="BF42" s="16">
        <f t="shared" si="5"/>
        <v>1.386479079938344</v>
      </c>
      <c r="BG42" s="15">
        <f t="shared" si="6"/>
        <v>1.8501411100658387</v>
      </c>
      <c r="BH42" s="20">
        <f>100*((DataQ!V193/DataQ!V189)-1)</f>
        <v>1.8501411100658505</v>
      </c>
      <c r="BI42">
        <v>2</v>
      </c>
      <c r="BK42" s="10">
        <v>42795</v>
      </c>
      <c r="BL42" s="16">
        <f>HAVERM!B333</f>
        <v>1.37</v>
      </c>
      <c r="BM42" s="16">
        <f>HAVERM!C333</f>
        <v>2.15</v>
      </c>
      <c r="BQ42" s="16">
        <f t="shared" si="7"/>
        <v>1.0473304347826089</v>
      </c>
      <c r="BR42" s="16">
        <f t="shared" si="7"/>
        <v>1.591986956521739</v>
      </c>
      <c r="BT42" s="16">
        <f>HAVERM!D333</f>
        <v>0.32266956521739126</v>
      </c>
      <c r="BU42" s="16">
        <f>HAVERM!E333</f>
        <v>0.55801304347826097</v>
      </c>
      <c r="BW42" s="16">
        <f t="shared" si="10"/>
        <v>-0.61999999999999988</v>
      </c>
      <c r="BX42" s="16"/>
      <c r="BY42" s="16">
        <v>0</v>
      </c>
    </row>
    <row r="43" spans="33:82" x14ac:dyDescent="0.25">
      <c r="AG43" s="10">
        <v>43739</v>
      </c>
      <c r="AH43" s="9">
        <f>100*((DataQ!U194/DataQ!U190)-1)</f>
        <v>2.7146401515151464</v>
      </c>
      <c r="AI43" s="9">
        <f>100*((DataQ!V194/DataQ!V190)-1)</f>
        <v>1.4027435794088383</v>
      </c>
      <c r="AJ43" s="9">
        <f t="shared" si="3"/>
        <v>1.3118965721063081</v>
      </c>
      <c r="AK43">
        <v>0</v>
      </c>
      <c r="AM43" s="10">
        <v>43739</v>
      </c>
      <c r="AN43" s="9">
        <f>DataQ!W194/DataQ!W190*100</f>
        <v>101.87961193998467</v>
      </c>
      <c r="AO43" s="9">
        <f>DataQ!X194/DataQ!X190*100</f>
        <v>98.210133311162437</v>
      </c>
      <c r="AP43" s="9">
        <f>DataQ!Y194/DataQ!Y190*100</f>
        <v>98.306595365418886</v>
      </c>
      <c r="AQ43" s="9">
        <f>DataQ!V194/DataQ!V190*100</f>
        <v>101.40274357940883</v>
      </c>
      <c r="AR43" s="9"/>
      <c r="AS43" s="9">
        <f>DataQ!W190/DataQ!W190*100</f>
        <v>100</v>
      </c>
      <c r="AT43" s="9">
        <f>DataQ!X190/DataQ!X190*100</f>
        <v>100</v>
      </c>
      <c r="AU43" s="9">
        <f>DataQ!Y190/DataQ!Y190*100</f>
        <v>100</v>
      </c>
      <c r="AV43" s="9">
        <f>DataQ!V190/DataQ!V190*100</f>
        <v>100</v>
      </c>
      <c r="AW43" s="9"/>
      <c r="AX43" s="9">
        <f>HAVERQ!C86*AN43/$AQ43</f>
        <v>140.65838031717885</v>
      </c>
      <c r="AY43" s="9">
        <f>HAVERQ!D86*AO43/$AQ43</f>
        <v>29.05546630528406</v>
      </c>
      <c r="AZ43" s="9">
        <f>HAVERQ!E86*AP43/$AQ43</f>
        <v>30.053471422511109</v>
      </c>
      <c r="BA43" s="9">
        <f t="shared" si="4"/>
        <v>1000</v>
      </c>
      <c r="BC43" s="15">
        <f>$AV43/100*(AN43-100)*HAVERQ!C86/1000+(AS43-100)*AX43/$BA43</f>
        <v>0.26314567159785385</v>
      </c>
      <c r="BD43" s="15">
        <f>$AV43/100*(AO43-100)*HAVERQ!D86/1000+(AT43-100)*AY43/$BA43</f>
        <v>-5.3696000665126892E-2</v>
      </c>
      <c r="BE43" s="15">
        <f>$AV43/100*(AP43-100)*HAVERQ!E86/1000+(AU43-100)*AZ43/$BA43</f>
        <v>-5.2495543672014533E-2</v>
      </c>
      <c r="BF43" s="16">
        <f t="shared" si="5"/>
        <v>1.2457894521481219</v>
      </c>
      <c r="BG43" s="15">
        <f t="shared" si="6"/>
        <v>1.4027435794088345</v>
      </c>
      <c r="BH43" s="20">
        <f>100*((DataQ!V194/DataQ!V190)-1)</f>
        <v>1.4027435794088383</v>
      </c>
      <c r="BI43">
        <v>2</v>
      </c>
      <c r="BK43" s="10">
        <v>42826</v>
      </c>
      <c r="BL43" s="16">
        <f>HAVERM!B334</f>
        <v>1.35</v>
      </c>
      <c r="BM43" s="16">
        <f>HAVERM!C334</f>
        <v>2.09</v>
      </c>
      <c r="BQ43" s="16">
        <f t="shared" si="7"/>
        <v>1.07341</v>
      </c>
      <c r="BR43" s="16">
        <f t="shared" si="7"/>
        <v>1.6245449999999999</v>
      </c>
      <c r="BT43" s="16">
        <f>HAVERM!D334</f>
        <v>0.27659</v>
      </c>
      <c r="BU43" s="16">
        <f>HAVERM!E334</f>
        <v>0.46545500000000006</v>
      </c>
      <c r="BW43" s="16">
        <f t="shared" si="10"/>
        <v>-0.59999999999999987</v>
      </c>
      <c r="BX43" s="16"/>
      <c r="BY43" s="16">
        <v>0</v>
      </c>
    </row>
    <row r="44" spans="33:82" x14ac:dyDescent="0.25">
      <c r="AG44" s="10">
        <v>43831</v>
      </c>
      <c r="AH44" s="9">
        <f>100*((DataQ!U195/DataQ!U191)-1)</f>
        <v>2.2067968343759903</v>
      </c>
      <c r="AI44" s="9">
        <f>100*((DataQ!V195/DataQ!V191)-1)</f>
        <v>1.6557638238050565</v>
      </c>
      <c r="AJ44" s="9">
        <f t="shared" si="3"/>
        <v>0.55103301057093379</v>
      </c>
      <c r="AK44">
        <v>0</v>
      </c>
      <c r="AM44" s="10">
        <v>43831</v>
      </c>
      <c r="AN44" s="9">
        <f>DataQ!W195/DataQ!W194*100</f>
        <v>100.90684803001876</v>
      </c>
      <c r="AO44" s="9">
        <f>DataQ!X195/DataQ!X194*100</f>
        <v>98.530246913580243</v>
      </c>
      <c r="AP44" s="9">
        <f>DataQ!Y195/DataQ!Y194*100</f>
        <v>99.697824116047144</v>
      </c>
      <c r="AQ44" s="9">
        <f>DataQ!V195/DataQ!V194*100</f>
        <v>100.03080234577386</v>
      </c>
      <c r="AR44" s="9"/>
      <c r="AS44" s="9">
        <f>DataQ!W194/DataQ!W191*100</f>
        <v>100.40813173999001</v>
      </c>
      <c r="AT44" s="9">
        <f>DataQ!X194/DataQ!X191*100</f>
        <v>103.21598810194537</v>
      </c>
      <c r="AU44" s="9">
        <f>DataQ!Y194/DataQ!Y191*100</f>
        <v>104.71522301114653</v>
      </c>
      <c r="AV44" s="9">
        <f>DataQ!V194/DataQ!V191*100</f>
        <v>101.6244611059044</v>
      </c>
      <c r="AW44" s="9"/>
      <c r="AX44" s="9">
        <f>HAVERQ!C87*AN44/$AQ44</f>
        <v>139.88107594894001</v>
      </c>
      <c r="AY44" s="9">
        <f>HAVERQ!D87*AO44/$AQ44</f>
        <v>30.534971055843304</v>
      </c>
      <c r="AZ44" s="9">
        <f>HAVERQ!E87*AP44/$AQ44</f>
        <v>32.55792727257343</v>
      </c>
      <c r="BA44" s="9">
        <f t="shared" si="4"/>
        <v>1000</v>
      </c>
      <c r="BC44" s="15">
        <f>$AV44/100*(AN44-100)*HAVERQ!C87/1000+(AS44-100)*AX44/$BA44</f>
        <v>0.18488225365182553</v>
      </c>
      <c r="BD44" s="15">
        <f>$AV44/100*(AO44-100)*HAVERQ!D87/1000+(AT44-100)*AY44/$BA44</f>
        <v>5.189761534533259E-2</v>
      </c>
      <c r="BE44" s="15">
        <f>$AV44/100*(AP44-100)*HAVERQ!E87/1000+(AU44-100)*AZ44/$BA44</f>
        <v>0.14348645715800987</v>
      </c>
      <c r="BF44" s="16">
        <f t="shared" si="5"/>
        <v>1.2754974976499007</v>
      </c>
      <c r="BG44" s="15">
        <f t="shared" si="6"/>
        <v>1.6557638238050687</v>
      </c>
      <c r="BH44" s="20">
        <f>100*((DataQ!V195/DataQ!V191)-1)</f>
        <v>1.6557638238050565</v>
      </c>
      <c r="BI44">
        <v>2</v>
      </c>
      <c r="BK44" s="10">
        <v>42856</v>
      </c>
      <c r="BL44" s="16">
        <f>HAVERM!B335</f>
        <v>1.49</v>
      </c>
      <c r="BM44" s="16">
        <f>HAVERM!C335</f>
        <v>2.0299999999999998</v>
      </c>
      <c r="BQ44" s="16">
        <f t="shared" si="7"/>
        <v>1.1840478260869565</v>
      </c>
      <c r="BR44" s="16">
        <f t="shared" si="7"/>
        <v>1.5019739130434782</v>
      </c>
      <c r="BT44" s="16">
        <f>HAVERM!D335</f>
        <v>0.30595217391304347</v>
      </c>
      <c r="BU44" s="16">
        <f>HAVERM!E335</f>
        <v>0.52802608695652176</v>
      </c>
      <c r="BW44" s="16">
        <f t="shared" si="10"/>
        <v>-0.40999999999999992</v>
      </c>
      <c r="BX44" s="16"/>
      <c r="BY44" s="16">
        <v>0</v>
      </c>
    </row>
    <row r="45" spans="33:82" x14ac:dyDescent="0.25">
      <c r="AG45" s="10">
        <v>43922</v>
      </c>
      <c r="AH45" s="9">
        <f>100*((DataQ!U196/DataQ!U192)-1)</f>
        <v>-1.1173184357541888</v>
      </c>
      <c r="AI45" s="9">
        <f>100*((DataQ!V196/DataQ!V192)-1)</f>
        <v>0.68024118738403416</v>
      </c>
      <c r="AJ45" s="9">
        <f t="shared" si="3"/>
        <v>-1.7975596231382229</v>
      </c>
      <c r="AK45">
        <v>0</v>
      </c>
      <c r="AM45" s="10">
        <v>43922</v>
      </c>
      <c r="AN45" s="9">
        <f>DataQ!W196/DataQ!W194*100</f>
        <v>101.28208255159477</v>
      </c>
      <c r="AO45" s="9">
        <f>DataQ!X196/DataQ!X194*100</f>
        <v>86.331569664903</v>
      </c>
      <c r="AP45" s="9">
        <f>DataQ!Y196/DataQ!Y194*100</f>
        <v>97.491659111514053</v>
      </c>
      <c r="AQ45" s="9">
        <f>DataQ!V196/DataQ!V194*100</f>
        <v>100.09222259213728</v>
      </c>
      <c r="AR45" s="9"/>
      <c r="AS45" s="9">
        <f>DataQ!W194/DataQ!W192*100</f>
        <v>100.43973003760365</v>
      </c>
      <c r="AT45" s="9">
        <f>DataQ!X194/DataQ!X192*100</f>
        <v>98.295261977676404</v>
      </c>
      <c r="AU45" s="9">
        <f>DataQ!Y194/DataQ!Y192*100</f>
        <v>95.553016330642876</v>
      </c>
      <c r="AV45" s="9">
        <f>DataQ!V194/DataQ!V192*100</f>
        <v>100.58747680890538</v>
      </c>
      <c r="AW45" s="9"/>
      <c r="AX45" s="9">
        <f>HAVERQ!C88*AN45/$AQ45</f>
        <v>140.65238147461801</v>
      </c>
      <c r="AY45" s="9">
        <f>HAVERQ!D88*AO45/$AQ45</f>
        <v>26.73812800138807</v>
      </c>
      <c r="AZ45" s="9">
        <f>HAVERQ!E88*AP45/$AQ45</f>
        <v>32.142604763506291</v>
      </c>
      <c r="BA45" s="9">
        <f t="shared" si="4"/>
        <v>1000</v>
      </c>
      <c r="BC45" s="15">
        <f>$AV45/100*(AN45-100)*HAVERQ!C88/1000+(AS45-100)*AX45/$BA45</f>
        <v>0.24110549100151812</v>
      </c>
      <c r="BD45" s="15">
        <f>$AV45/100*(AO45-100)*HAVERQ!D88/1000+(AT45-100)*AY45/$BA45</f>
        <v>-0.47179210844689101</v>
      </c>
      <c r="BE45" s="15">
        <f>$AV45/100*(AP45-100)*HAVERQ!E88/1000+(AU45-100)*AZ45/$BA45</f>
        <v>-0.22619917318721802</v>
      </c>
      <c r="BF45" s="16">
        <f t="shared" si="5"/>
        <v>1.1371269780166231</v>
      </c>
      <c r="BG45" s="15">
        <f t="shared" si="6"/>
        <v>0.68024118738403239</v>
      </c>
      <c r="BH45" s="20">
        <f>100*((DataQ!V196/DataQ!V192)-1)</f>
        <v>0.68024118738403416</v>
      </c>
      <c r="BI45">
        <v>2</v>
      </c>
      <c r="BK45" s="10">
        <v>42887</v>
      </c>
      <c r="BL45" s="16">
        <f>HAVERM!B336</f>
        <v>1.48</v>
      </c>
      <c r="BM45" s="16">
        <f>HAVERM!C336</f>
        <v>1.99</v>
      </c>
      <c r="BQ45" s="16">
        <f t="shared" si="7"/>
        <v>1.1347681818181818</v>
      </c>
      <c r="BR45" s="16">
        <f t="shared" si="7"/>
        <v>1.4356772727272729</v>
      </c>
      <c r="BT45" s="16">
        <f>HAVERM!D336</f>
        <v>0.3452318181818182</v>
      </c>
      <c r="BU45" s="16">
        <f>HAVERM!E336</f>
        <v>0.55432272727272724</v>
      </c>
      <c r="BW45" s="16">
        <f t="shared" si="10"/>
        <v>-0.35000000000000009</v>
      </c>
      <c r="BX45" s="16"/>
      <c r="BY45" s="16">
        <v>0</v>
      </c>
    </row>
    <row r="46" spans="33:82" x14ac:dyDescent="0.25">
      <c r="AG46" s="10">
        <v>44013</v>
      </c>
      <c r="AH46" s="9">
        <f>100*((DataQ!U197/DataQ!U193)-1)</f>
        <v>1.4751076505905125</v>
      </c>
      <c r="AI46" s="9">
        <f>100*((DataQ!V197/DataQ!V193)-1)</f>
        <v>0.61570178087999583</v>
      </c>
      <c r="AJ46" s="9">
        <f t="shared" si="3"/>
        <v>0.85940586971051669</v>
      </c>
      <c r="AK46">
        <v>0</v>
      </c>
      <c r="AM46" s="10">
        <v>44013</v>
      </c>
      <c r="AN46" s="9">
        <f>DataQ!W197/DataQ!W194*100</f>
        <v>100.81303939962478</v>
      </c>
      <c r="AO46" s="9">
        <f>DataQ!X197/DataQ!X194*100</f>
        <v>90.005908289241617</v>
      </c>
      <c r="AP46" s="9">
        <f>DataQ!Y197/DataQ!Y194*100</f>
        <v>97.582320942883044</v>
      </c>
      <c r="AQ46" s="9">
        <f>DataQ!V197/DataQ!V194*100</f>
        <v>100.46111296068642</v>
      </c>
      <c r="AR46" s="9"/>
      <c r="AS46" s="9">
        <f>DataQ!W194/DataQ!W193*100</f>
        <v>100.03124803526804</v>
      </c>
      <c r="AT46" s="9">
        <f>DataQ!X194/DataQ!X193*100</f>
        <v>98.523023457862735</v>
      </c>
      <c r="AU46" s="9">
        <f>DataQ!Y194/DataQ!Y193*100</f>
        <v>95.608178096452448</v>
      </c>
      <c r="AV46" s="9">
        <f>DataQ!V194/DataQ!V193*100</f>
        <v>100.15387926296822</v>
      </c>
      <c r="AW46" s="9"/>
      <c r="AX46" s="9">
        <f>HAVERQ!C89*AN46/$AQ46</f>
        <v>139.48693244152665</v>
      </c>
      <c r="AY46" s="9">
        <f>HAVERQ!D89*AO46/$AQ46</f>
        <v>27.773763148118576</v>
      </c>
      <c r="AZ46" s="9">
        <f>HAVERQ!E89*AP46/$AQ46</f>
        <v>32.054359106844778</v>
      </c>
      <c r="BA46" s="9">
        <f t="shared" si="4"/>
        <v>1000.0000000000001</v>
      </c>
      <c r="BC46" s="15">
        <f>$AV46/100*(AN46-100)*HAVERQ!C89/1000+(AS46-100)*AX46/$BA46</f>
        <v>0.1175450718981819</v>
      </c>
      <c r="BD46" s="15">
        <f>$AV46/100*(AO46-100)*HAVERQ!D89/1000+(AT46-100)*AY46/$BA46</f>
        <v>-0.35131478356476886</v>
      </c>
      <c r="BE46" s="15">
        <f>$AV46/100*(AP46-100)*HAVERQ!E89/1000+(AU46-100)*AZ46/$BA46</f>
        <v>-0.22068321543604233</v>
      </c>
      <c r="BF46" s="16">
        <f t="shared" si="5"/>
        <v>1.0701547079826232</v>
      </c>
      <c r="BG46" s="15">
        <f t="shared" si="6"/>
        <v>0.61570178087999405</v>
      </c>
      <c r="BH46" s="20">
        <f>100*((DataQ!V197/DataQ!V193)-1)</f>
        <v>0.61570178087999583</v>
      </c>
      <c r="BI46">
        <v>2</v>
      </c>
      <c r="BK46" s="10">
        <v>42917</v>
      </c>
      <c r="BL46" s="16">
        <f>HAVERM!B337</f>
        <v>1.41</v>
      </c>
      <c r="BM46" s="16">
        <f>HAVERM!C337</f>
        <v>1.97</v>
      </c>
      <c r="BQ46" s="16">
        <f t="shared" si="7"/>
        <v>0.97240952380952361</v>
      </c>
      <c r="BR46" s="16">
        <f t="shared" si="7"/>
        <v>1.278257142857143</v>
      </c>
      <c r="BT46" s="16">
        <f>HAVERM!D337</f>
        <v>0.43759047619047631</v>
      </c>
      <c r="BU46" s="16">
        <f>HAVERM!E337</f>
        <v>0.6917428571428571</v>
      </c>
      <c r="BW46" s="16">
        <f t="shared" si="10"/>
        <v>-0.46000000000000019</v>
      </c>
      <c r="BX46" s="16"/>
      <c r="BY46" s="16">
        <v>0</v>
      </c>
    </row>
    <row r="47" spans="33:82" x14ac:dyDescent="0.25">
      <c r="AG47" s="10">
        <v>44105</v>
      </c>
      <c r="AH47" s="9">
        <f>100*((DataQ!U198/DataQ!U194)-1)</f>
        <v>4.5482547356026304</v>
      </c>
      <c r="AI47" s="9">
        <f>100*((DataQ!V198/DataQ!V194)-1)</f>
        <v>0.58413789859756982</v>
      </c>
      <c r="AJ47" s="9">
        <f t="shared" si="3"/>
        <v>3.9641168370050606</v>
      </c>
      <c r="AK47">
        <v>0</v>
      </c>
      <c r="AM47" s="10">
        <v>44105</v>
      </c>
      <c r="AN47" s="9">
        <f>DataQ!W198/DataQ!W194*100</f>
        <v>100.40647279549719</v>
      </c>
      <c r="AO47" s="9">
        <f>DataQ!X198/DataQ!X194*100</f>
        <v>90.476190476190467</v>
      </c>
      <c r="AP47" s="9">
        <f>DataQ!Y198/DataQ!Y194*100</f>
        <v>91.266273798730751</v>
      </c>
      <c r="AQ47" s="9">
        <f>DataQ!V198/DataQ!V194*100</f>
        <v>100.58413789859758</v>
      </c>
      <c r="AR47" s="9"/>
      <c r="AS47" s="9">
        <f>DataQ!W194/DataQ!W194*100</f>
        <v>100</v>
      </c>
      <c r="AT47" s="9">
        <f>DataQ!X194/DataQ!X194*100</f>
        <v>100</v>
      </c>
      <c r="AU47" s="9">
        <f>DataQ!Y194/DataQ!Y194*100</f>
        <v>100</v>
      </c>
      <c r="AV47" s="9">
        <f>DataQ!V194/DataQ!V194*100</f>
        <v>100</v>
      </c>
      <c r="AW47" s="9"/>
      <c r="AX47" s="9">
        <f>HAVERQ!C90*AN47/$AQ47</f>
        <v>138.75447968390554</v>
      </c>
      <c r="AY47" s="9">
        <f>HAVERQ!D90*AO47/$AQ47</f>
        <v>27.884733749863067</v>
      </c>
      <c r="AZ47" s="9">
        <f>HAVERQ!E90*AP47/$AQ47</f>
        <v>29.942962163620706</v>
      </c>
      <c r="BA47" s="9">
        <f t="shared" si="4"/>
        <v>1000</v>
      </c>
      <c r="BC47" s="15">
        <f>$AV47/100*(AN47-100)*HAVERQ!C90/1000+(AS47-100)*AX47/$BA47</f>
        <v>5.6499718574110007E-2</v>
      </c>
      <c r="BD47" s="15">
        <f>$AV47/100*(AO47-100)*HAVERQ!D90/1000+(AT47-100)*AY47/$BA47</f>
        <v>-0.29523809523809552</v>
      </c>
      <c r="BE47" s="15">
        <f>$AV47/100*(AP47-100)*HAVERQ!E90/1000+(AU47-100)*AZ47/$BA47</f>
        <v>-0.28821296464188523</v>
      </c>
      <c r="BF47" s="16">
        <f t="shared" si="5"/>
        <v>1.1110892399034458</v>
      </c>
      <c r="BG47" s="15">
        <f t="shared" si="6"/>
        <v>0.58413789859757514</v>
      </c>
      <c r="BH47" s="20">
        <f>100*((DataQ!V198/DataQ!V194)-1)</f>
        <v>0.58413789859756982</v>
      </c>
      <c r="BI47">
        <v>2</v>
      </c>
      <c r="BK47" s="10">
        <v>42948</v>
      </c>
      <c r="BL47" s="16">
        <f>HAVERM!B338</f>
        <v>1.43</v>
      </c>
      <c r="BM47" s="16">
        <f>HAVERM!C338</f>
        <v>1.96</v>
      </c>
      <c r="BQ47" s="16">
        <f t="shared" si="7"/>
        <v>1.0583739130434782</v>
      </c>
      <c r="BR47" s="16">
        <f t="shared" si="7"/>
        <v>1.3781739130434782</v>
      </c>
      <c r="BT47" s="16">
        <f>HAVERM!D338</f>
        <v>0.37162608695652172</v>
      </c>
      <c r="BU47" s="16">
        <f>HAVERM!E338</f>
        <v>0.58182608695652172</v>
      </c>
      <c r="BW47" s="16">
        <f t="shared" si="10"/>
        <v>-0.52</v>
      </c>
      <c r="BX47" s="16"/>
      <c r="BY47" s="16">
        <v>0</v>
      </c>
    </row>
    <row r="48" spans="33:82" x14ac:dyDescent="0.25">
      <c r="AG48" s="10">
        <v>44197</v>
      </c>
      <c r="AH48" s="9">
        <f>100*((DataQ!U199/DataQ!U195)-1)</f>
        <v>4.1949478220202119</v>
      </c>
      <c r="AI48" s="9">
        <f>100*((DataQ!V199/DataQ!V195)-1)</f>
        <v>0.64535935913971887</v>
      </c>
      <c r="AJ48" s="9">
        <f t="shared" si="3"/>
        <v>3.549588462880493</v>
      </c>
      <c r="AK48">
        <v>0</v>
      </c>
      <c r="AM48" s="10">
        <v>44197</v>
      </c>
      <c r="AN48" s="9">
        <f>DataQ!W199/DataQ!W198*100</f>
        <v>100.62289025938658</v>
      </c>
      <c r="AO48" s="9">
        <f>DataQ!X199/DataQ!X198*100</f>
        <v>105.78294346978558</v>
      </c>
      <c r="AP48" s="9">
        <f>DataQ!Y199/DataQ!Y198*100</f>
        <v>100.66218521119694</v>
      </c>
      <c r="AQ48" s="9">
        <f>DataQ!V199/DataQ!V198*100</f>
        <v>100.09168701354309</v>
      </c>
      <c r="AR48" s="9"/>
      <c r="AS48" s="9">
        <f>DataQ!W198/DataQ!W195*100</f>
        <v>99.504121628719673</v>
      </c>
      <c r="AT48" s="9">
        <f>DataQ!X198/DataQ!X195*100</f>
        <v>91.825803050657228</v>
      </c>
      <c r="AU48" s="9">
        <f>DataQ!Y198/DataQ!Y195*100</f>
        <v>91.542894348925628</v>
      </c>
      <c r="AV48" s="9">
        <f>DataQ!V198/DataQ!V195*100</f>
        <v>100.5531651649769</v>
      </c>
      <c r="AW48" s="9"/>
      <c r="AX48" s="9">
        <f>HAVERQ!C91*AN48/$AQ48</f>
        <v>159.50873708085695</v>
      </c>
      <c r="AY48" s="9">
        <f>HAVERQ!D91*AO48/$AQ48</f>
        <v>28.182944824837762</v>
      </c>
      <c r="AZ48" s="9">
        <f>HAVERQ!E91*AP48/$AQ48</f>
        <v>33.188091949334712</v>
      </c>
      <c r="BA48" s="9">
        <f t="shared" si="4"/>
        <v>1000</v>
      </c>
      <c r="BC48" s="15">
        <f>$AV48/100*(AN48-100)*HAVERQ!C91/1000+(AS48-100)*AX48/$BA48</f>
        <v>2.0281692167079229E-2</v>
      </c>
      <c r="BD48" s="15">
        <f>$AV48/100*(AO48-100)*HAVERQ!D91/1000+(AT48-100)*AY48/$BA48</f>
        <v>-7.5308069648798104E-2</v>
      </c>
      <c r="BE48" s="15">
        <f>$AV48/100*(AP48-100)*HAVERQ!E91/1000+(AU48-100)*AZ48/$BA48</f>
        <v>-0.25870220973236835</v>
      </c>
      <c r="BF48" s="16">
        <f t="shared" si="5"/>
        <v>0.95908794635381256</v>
      </c>
      <c r="BG48" s="15">
        <f t="shared" si="6"/>
        <v>0.64535935913972531</v>
      </c>
      <c r="BH48" s="20">
        <f>100*((DataQ!V199/DataQ!V195)-1)</f>
        <v>0.64535935913971887</v>
      </c>
      <c r="BI48">
        <v>2</v>
      </c>
      <c r="BK48" s="10">
        <v>42979</v>
      </c>
      <c r="BL48" s="16">
        <f>HAVERM!B339</f>
        <v>1.4</v>
      </c>
      <c r="BM48" s="16">
        <f>HAVERM!C339</f>
        <v>1.9</v>
      </c>
      <c r="BQ48" s="16">
        <f t="shared" si="7"/>
        <v>0.86071428571428554</v>
      </c>
      <c r="BR48" s="16">
        <f t="shared" si="7"/>
        <v>1.1466619047619047</v>
      </c>
      <c r="BT48" s="16">
        <f>HAVERM!D339</f>
        <v>0.53928571428571437</v>
      </c>
      <c r="BU48" s="16">
        <f>HAVERM!E339</f>
        <v>0.75333809523809525</v>
      </c>
      <c r="BW48" s="16">
        <f t="shared" si="10"/>
        <v>-0.51</v>
      </c>
      <c r="BX48" s="16"/>
      <c r="BY48" s="16">
        <v>0</v>
      </c>
    </row>
    <row r="49" spans="33:77" x14ac:dyDescent="0.25">
      <c r="AG49" s="10">
        <v>44287</v>
      </c>
      <c r="AH49" s="9">
        <f>100*((DataQ!U200/DataQ!U196)-1)</f>
        <v>8.851224105461398</v>
      </c>
      <c r="AI49" s="9">
        <f>100*((DataQ!V200/DataQ!V196)-1)</f>
        <v>2.0270276495785167</v>
      </c>
      <c r="AJ49" s="9">
        <f t="shared" si="3"/>
        <v>6.8241964558828814</v>
      </c>
      <c r="AK49">
        <v>0</v>
      </c>
      <c r="AM49" s="10">
        <v>44287</v>
      </c>
      <c r="AN49" s="9">
        <f>DataQ!W200/DataQ!W198*100</f>
        <v>100.90317686178041</v>
      </c>
      <c r="AO49" s="9">
        <f>DataQ!X200/DataQ!X198*100</f>
        <v>111.8583820662768</v>
      </c>
      <c r="AP49" s="9">
        <f>DataQ!Y200/DataQ!Y198*100</f>
        <v>109.47016242709853</v>
      </c>
      <c r="AQ49" s="9">
        <f>DataQ!V200/DataQ!V198*100</f>
        <v>101.52805576770912</v>
      </c>
      <c r="AR49" s="9"/>
      <c r="AS49" s="9">
        <f>DataQ!W198/DataQ!W196*100</f>
        <v>99.135474178612469</v>
      </c>
      <c r="AT49" s="9">
        <f>DataQ!X198/DataQ!X196*100</f>
        <v>104.80081716036771</v>
      </c>
      <c r="AU49" s="9">
        <f>DataQ!Y198/DataQ!Y196*100</f>
        <v>93.614443153888146</v>
      </c>
      <c r="AV49" s="9">
        <f>DataQ!V198/DataQ!V196*100</f>
        <v>100.49146206740235</v>
      </c>
      <c r="AW49" s="9"/>
      <c r="AX49" s="9">
        <f>HAVERQ!C92*AN49/$AQ49</f>
        <v>158.02139615211399</v>
      </c>
      <c r="AY49" s="9">
        <f>HAVERQ!D92*AO49/$AQ49</f>
        <v>29.747209211801309</v>
      </c>
      <c r="AZ49" s="9">
        <f>HAVERQ!E92*AP49/$AQ49</f>
        <v>35.581449213993594</v>
      </c>
      <c r="BA49" s="9">
        <f t="shared" si="4"/>
        <v>999.99999999999989</v>
      </c>
      <c r="BC49" s="15">
        <f>$AV49/100*(AN49-100)*HAVERQ!C92/1000+(AS49-100)*AX49/$BA49</f>
        <v>7.6973084145499637E-3</v>
      </c>
      <c r="BD49" s="15">
        <f>$AV49/100*(AO49-100)*HAVERQ!D92/1000+(AT49-100)*AY49/$BA49</f>
        <v>0.46456077338744967</v>
      </c>
      <c r="BE49" s="15">
        <f>$AV49/100*(AP49-100)*HAVERQ!E92/1000+(AU49-100)*AZ49/$BA49</f>
        <v>8.6843887920922597E-2</v>
      </c>
      <c r="BF49" s="16">
        <f t="shared" si="5"/>
        <v>1.467925679855594</v>
      </c>
      <c r="BG49" s="15">
        <f t="shared" si="6"/>
        <v>2.0270276495785162</v>
      </c>
      <c r="BH49" s="20">
        <f>100*((DataQ!V200/DataQ!V196)-1)</f>
        <v>2.0270276495785167</v>
      </c>
      <c r="BI49">
        <v>2</v>
      </c>
      <c r="BK49" s="10">
        <v>43009</v>
      </c>
      <c r="BL49" s="16">
        <f>HAVERM!B340</f>
        <v>1.55</v>
      </c>
      <c r="BM49" s="16">
        <f>HAVERM!C340</f>
        <v>2.04</v>
      </c>
      <c r="BQ49" s="16">
        <f t="shared" si="7"/>
        <v>0.8747818181818181</v>
      </c>
      <c r="BR49" s="16">
        <f t="shared" si="7"/>
        <v>1.1439545454545454</v>
      </c>
      <c r="BT49" s="16">
        <f>HAVERM!D340</f>
        <v>0.67521818181818194</v>
      </c>
      <c r="BU49" s="16">
        <f>HAVERM!E340</f>
        <v>0.89604545454545459</v>
      </c>
      <c r="BW49" s="16">
        <f t="shared" si="10"/>
        <v>-0.32000000000000006</v>
      </c>
      <c r="BX49" s="16"/>
      <c r="BY49" s="16">
        <v>0</v>
      </c>
    </row>
    <row r="50" spans="33:77" x14ac:dyDescent="0.25">
      <c r="AG50" s="10">
        <v>44378</v>
      </c>
      <c r="AH50" s="9">
        <f>100*((DataQ!U201/DataQ!U197)-1)</f>
        <v>6.0569476715292225</v>
      </c>
      <c r="AI50" s="9">
        <f>100*((DataQ!V201/DataQ!V197)-1)</f>
        <v>2.7539788108870367</v>
      </c>
      <c r="AJ50" s="9">
        <f t="shared" si="3"/>
        <v>3.3029688606421859</v>
      </c>
      <c r="AK50">
        <v>0</v>
      </c>
      <c r="AM50" s="10">
        <v>44378</v>
      </c>
      <c r="AN50" s="9">
        <f>DataQ!W201/DataQ!W198*100</f>
        <v>101.18346346417424</v>
      </c>
      <c r="AO50" s="9">
        <f>DataQ!X201/DataQ!X198*100</f>
        <v>117.1864522417154</v>
      </c>
      <c r="AP50" s="9">
        <f>DataQ!Y201/DataQ!Y198*100</f>
        <v>109.7681755734518</v>
      </c>
      <c r="AQ50" s="9">
        <f>DataQ!V201/DataQ!V198*100</f>
        <v>102.62829993022619</v>
      </c>
      <c r="AR50" s="9"/>
      <c r="AS50" s="9">
        <f>DataQ!W198/DataQ!W197*100</f>
        <v>99.596712283898171</v>
      </c>
      <c r="AT50" s="9">
        <f>DataQ!X198/DataQ!X197*100</f>
        <v>100.52250146227908</v>
      </c>
      <c r="AU50" s="9">
        <f>DataQ!Y198/DataQ!Y197*100</f>
        <v>93.527467800392628</v>
      </c>
      <c r="AV50" s="9">
        <f>DataQ!V198/DataQ!V197*100</f>
        <v>100.12246025779076</v>
      </c>
      <c r="AW50" s="9"/>
      <c r="AX50" s="9">
        <f>HAVERQ!C93*AN50/$AQ50</f>
        <v>156.76154337294443</v>
      </c>
      <c r="AY50" s="9">
        <f>HAVERQ!D93*AO50/$AQ50</f>
        <v>30.830036283144558</v>
      </c>
      <c r="AZ50" s="9">
        <f>HAVERQ!E93*AP50/$AQ50</f>
        <v>35.295817979900605</v>
      </c>
      <c r="BA50" s="9">
        <f t="shared" si="4"/>
        <v>1000</v>
      </c>
      <c r="BC50" s="15">
        <f>$AV50/100*(AN50-100)*HAVERQ!C93/1000+(AS50-100)*AX50/$BA50</f>
        <v>0.12518112031727618</v>
      </c>
      <c r="BD50" s="15">
        <f>$AV50/100*(AO50-100)*HAVERQ!D93/1000+(AT50-100)*AY50/$BA50</f>
        <v>0.48071120705682385</v>
      </c>
      <c r="BE50" s="15">
        <f>$AV50/100*(AP50-100)*HAVERQ!E93/1000+(AU50-100)*AZ50/$BA50</f>
        <v>9.4291225926149108E-2</v>
      </c>
      <c r="BF50" s="16">
        <f t="shared" si="5"/>
        <v>2.0537952575867751</v>
      </c>
      <c r="BG50" s="15">
        <f t="shared" si="6"/>
        <v>2.7539788108870242</v>
      </c>
      <c r="BH50" s="20">
        <f>100*((DataQ!V201/DataQ!V197)-1)</f>
        <v>2.7539788108870367</v>
      </c>
      <c r="BI50">
        <v>2</v>
      </c>
      <c r="BK50" s="10">
        <v>43040</v>
      </c>
      <c r="BL50" s="16">
        <f>HAVERM!B341</f>
        <v>1.61</v>
      </c>
      <c r="BM50" s="16">
        <f>HAVERM!C341</f>
        <v>2.04</v>
      </c>
      <c r="BQ50" s="16">
        <f t="shared" si="7"/>
        <v>0.93155238095238113</v>
      </c>
      <c r="BR50" s="16">
        <f t="shared" si="7"/>
        <v>1.1523904761904764</v>
      </c>
      <c r="BT50" s="16">
        <f>HAVERM!D341</f>
        <v>0.67844761904761897</v>
      </c>
      <c r="BU50" s="16">
        <f>HAVERM!E341</f>
        <v>0.88760952380952374</v>
      </c>
      <c r="BW50" s="16">
        <f t="shared" si="10"/>
        <v>-0.30999999999999983</v>
      </c>
      <c r="BX50" s="16"/>
      <c r="BY50" s="16">
        <v>0</v>
      </c>
    </row>
    <row r="51" spans="33:77" x14ac:dyDescent="0.25">
      <c r="AG51" s="10">
        <v>44470</v>
      </c>
      <c r="AH51" s="9">
        <f>100*((DataQ!U202/DataQ!U198)-1)</f>
        <v>4.5267548500881771</v>
      </c>
      <c r="AI51" s="9">
        <f>100*((DataQ!V202/DataQ!V198)-1)</f>
        <v>4.8899434932935693</v>
      </c>
      <c r="AJ51" s="9">
        <f t="shared" si="3"/>
        <v>-0.36318864320539213</v>
      </c>
      <c r="AK51">
        <v>0</v>
      </c>
      <c r="AM51" s="10">
        <v>44470</v>
      </c>
      <c r="AN51" s="9">
        <f>DataQ!W202/DataQ!W198*100</f>
        <v>102.86518307853724</v>
      </c>
      <c r="AO51" s="9">
        <f>DataQ!X202/DataQ!X198*100</f>
        <v>125.60107212475636</v>
      </c>
      <c r="AP51" s="9">
        <f>DataQ!Y202/DataQ!Y198*100</f>
        <v>122.98009172844644</v>
      </c>
      <c r="AQ51" s="9">
        <f>DataQ!V202/DataQ!V198*100</f>
        <v>104.88994349329357</v>
      </c>
      <c r="AR51" s="9"/>
      <c r="AS51" s="9">
        <f>DataQ!W198/DataQ!W198*100</f>
        <v>100</v>
      </c>
      <c r="AT51" s="9">
        <f>DataQ!X198/DataQ!X198*100</f>
        <v>100</v>
      </c>
      <c r="AU51" s="9">
        <f>DataQ!Y198/DataQ!Y198*100</f>
        <v>100</v>
      </c>
      <c r="AV51" s="9">
        <f>DataQ!V198/DataQ!V198*100</f>
        <v>100</v>
      </c>
      <c r="AW51" s="9"/>
      <c r="AX51" s="9">
        <f>HAVERQ!C94*AN51/$AQ51</f>
        <v>155.93071713813211</v>
      </c>
      <c r="AY51" s="9">
        <f>HAVERQ!D94*AO51/$AQ51</f>
        <v>32.331306838631761</v>
      </c>
      <c r="AZ51" s="9">
        <f>HAVERQ!E94*AP51/$AQ51</f>
        <v>38.691440684189267</v>
      </c>
      <c r="BA51" s="9">
        <f t="shared" si="4"/>
        <v>1000</v>
      </c>
      <c r="BC51" s="15">
        <f>$AV51/100*(AN51-100)*HAVERQ!C94/1000+(AS51-100)*AX51/$BA51</f>
        <v>0.45556410948742154</v>
      </c>
      <c r="BD51" s="15">
        <f>$AV51/100*(AO51-100)*HAVERQ!D94/1000+(AT51-100)*AY51/$BA51</f>
        <v>0.69122894736842155</v>
      </c>
      <c r="BE51" s="15">
        <f>$AV51/100*(AP51-100)*HAVERQ!E94/1000+(AU51-100)*AZ51/$BA51</f>
        <v>0.75834302703873258</v>
      </c>
      <c r="BF51" s="16">
        <f t="shared" si="5"/>
        <v>2.9848074093989965</v>
      </c>
      <c r="BG51" s="15">
        <f t="shared" si="6"/>
        <v>4.8899434932935719</v>
      </c>
      <c r="BH51" s="20">
        <f>100*((DataQ!V202/DataQ!V198)-1)</f>
        <v>4.8899434932935693</v>
      </c>
      <c r="BI51">
        <v>2</v>
      </c>
      <c r="BK51" s="10">
        <v>43070</v>
      </c>
      <c r="BL51" s="16">
        <f>HAVERM!B342</f>
        <v>1.57</v>
      </c>
      <c r="BM51" s="16">
        <f>HAVERM!C342</f>
        <v>2.0699999999999998</v>
      </c>
      <c r="BQ51" s="16">
        <f t="shared" si="7"/>
        <v>0.88347142857142857</v>
      </c>
      <c r="BR51" s="16">
        <f t="shared" si="7"/>
        <v>1.1779047619047613</v>
      </c>
      <c r="BT51" s="16">
        <f>HAVERM!D342</f>
        <v>0.68652857142857149</v>
      </c>
      <c r="BU51" s="16">
        <f>HAVERM!E342</f>
        <v>0.89209523809523839</v>
      </c>
      <c r="BW51" s="16">
        <f t="shared" si="10"/>
        <v>-0.32999999999999985</v>
      </c>
      <c r="BX51" s="16"/>
      <c r="BY51" s="16">
        <v>0</v>
      </c>
    </row>
    <row r="52" spans="33:77" x14ac:dyDescent="0.25">
      <c r="AG52" s="10">
        <v>44562</v>
      </c>
      <c r="AH52" s="9">
        <f>100*((DataQ!U203/DataQ!U199)-1)</f>
        <v>6.9863765541740674</v>
      </c>
      <c r="AI52" s="9">
        <f>100*((DataQ!V203/DataQ!V199)-1)</f>
        <v>6.1984103210960928</v>
      </c>
      <c r="AJ52" s="9">
        <f t="shared" si="3"/>
        <v>0.78796623307797464</v>
      </c>
      <c r="AK52">
        <v>0</v>
      </c>
      <c r="AM52" s="10">
        <v>44562</v>
      </c>
      <c r="AN52" s="9">
        <f>DataQ!W203/DataQ!W202*100</f>
        <v>102.45231607629428</v>
      </c>
      <c r="AO52" s="9">
        <f>DataQ!X203/DataQ!X202*100</f>
        <v>105.79404919967688</v>
      </c>
      <c r="AP52" s="9">
        <f>DataQ!Y203/DataQ!Y202*100</f>
        <v>101.15775444264943</v>
      </c>
      <c r="AQ52" s="9">
        <f>DataQ!V203/DataQ!V202*100</f>
        <v>101.3402972027972</v>
      </c>
      <c r="AR52" s="9"/>
      <c r="AS52" s="9">
        <f>DataQ!W202/DataQ!W199*100</f>
        <v>102.2284122562674</v>
      </c>
      <c r="AT52" s="9">
        <f>DataQ!X202/DataQ!X199*100</f>
        <v>118.73471091360901</v>
      </c>
      <c r="AU52" s="9">
        <f>DataQ!Y202/DataQ!Y199*100</f>
        <v>122.17109281943843</v>
      </c>
      <c r="AV52" s="9">
        <f>DataQ!V202/DataQ!V199*100</f>
        <v>104.79386113164546</v>
      </c>
      <c r="AW52" s="9"/>
      <c r="AX52" s="9">
        <f>HAVERQ!C95*AN52/$AQ52</f>
        <v>166.81056419994351</v>
      </c>
      <c r="AY52" s="9">
        <f>HAVERQ!D95*AO52/$AQ52</f>
        <v>32.36240287145575</v>
      </c>
      <c r="AZ52" s="9">
        <f>HAVERQ!E95*AP52/$AQ52</f>
        <v>35.935153738969511</v>
      </c>
      <c r="BA52" s="9">
        <f t="shared" si="4"/>
        <v>1000</v>
      </c>
      <c r="BC52" s="15">
        <f>$AV52/100*(AN52-100)*HAVERQ!C95/1000+(AS52-100)*AX52/$BA52</f>
        <v>0.79575236181567433</v>
      </c>
      <c r="BD52" s="15">
        <f>$AV52/100*(AO52-100)*HAVERQ!D95/1000+(AT52-100)*AY52/$BA52</f>
        <v>0.79452630630494014</v>
      </c>
      <c r="BE52" s="15">
        <f>$AV52/100*(AP52-100)*HAVERQ!E95/1000+(AU52-100)*AZ52/$BA52</f>
        <v>0.84039883001100102</v>
      </c>
      <c r="BF52" s="16">
        <f t="shared" si="5"/>
        <v>3.7677328229644704</v>
      </c>
      <c r="BG52" s="15">
        <f t="shared" si="6"/>
        <v>6.1984103210960857</v>
      </c>
      <c r="BH52" s="20">
        <f>100*((DataQ!V203/DataQ!V199)-1)</f>
        <v>6.1984103210960928</v>
      </c>
      <c r="BI52">
        <v>2</v>
      </c>
      <c r="BK52" s="10">
        <v>43101</v>
      </c>
      <c r="BL52" s="16">
        <f>HAVERM!B343</f>
        <v>1.54</v>
      </c>
      <c r="BM52" s="16">
        <f>HAVERM!C343</f>
        <v>1.98</v>
      </c>
      <c r="BQ52" s="16">
        <f t="shared" si="7"/>
        <v>0.79875454545454561</v>
      </c>
      <c r="BR52" s="16">
        <f t="shared" si="7"/>
        <v>0.99838636363636368</v>
      </c>
      <c r="BT52" s="16">
        <f>HAVERM!D343</f>
        <v>0.74124545454545443</v>
      </c>
      <c r="BU52" s="16">
        <f>HAVERM!E343</f>
        <v>0.9816136363636363</v>
      </c>
      <c r="BW52" s="16">
        <f t="shared" si="10"/>
        <v>-0.3899999999999999</v>
      </c>
      <c r="BX52" s="16"/>
      <c r="BY52" s="16">
        <v>0</v>
      </c>
    </row>
    <row r="53" spans="33:77" x14ac:dyDescent="0.25">
      <c r="AG53" s="10">
        <v>44652</v>
      </c>
      <c r="AH53" s="9">
        <f>100*((DataQ!U204/DataQ!U200)-1)</f>
        <v>5.1326470588235251</v>
      </c>
      <c r="AI53" s="9">
        <f>100*((DataQ!V204/DataQ!V200)-1)</f>
        <v>9.1511767462904015</v>
      </c>
      <c r="AJ53" s="9">
        <f t="shared" si="3"/>
        <v>-4.0185296874668763</v>
      </c>
      <c r="AK53">
        <v>0</v>
      </c>
      <c r="AM53" s="10">
        <v>44652</v>
      </c>
      <c r="AN53" s="9">
        <f>DataQ!W204/DataQ!W202*100</f>
        <v>105.23769300635786</v>
      </c>
      <c r="AO53" s="9">
        <f>DataQ!X204/DataQ!X202*100</f>
        <v>120.74492479438055</v>
      </c>
      <c r="AP53" s="9">
        <f>DataQ!Y204/DataQ!Y202*100</f>
        <v>151.26550888529886</v>
      </c>
      <c r="AQ53" s="9">
        <f>DataQ!V204/DataQ!V202*100</f>
        <v>105.65270979020977</v>
      </c>
      <c r="AR53" s="9"/>
      <c r="AS53" s="9">
        <f>DataQ!W202/DataQ!W200*100</f>
        <v>101.94444444444444</v>
      </c>
      <c r="AT53" s="9">
        <f>DataQ!X202/DataQ!X200*100</f>
        <v>112.2857937014831</v>
      </c>
      <c r="AU53" s="9">
        <f>DataQ!Y202/DataQ!Y200*100</f>
        <v>112.34119782214155</v>
      </c>
      <c r="AV53" s="9">
        <f>DataQ!V202/DataQ!V200*100</f>
        <v>103.31128937726955</v>
      </c>
      <c r="AW53" s="9"/>
      <c r="AX53" s="9">
        <f>HAVERQ!C96*AN53/$AQ53</f>
        <v>165.34793166918089</v>
      </c>
      <c r="AY53" s="9">
        <f>HAVERQ!D96*AO53/$AQ53</f>
        <v>35.428269431596235</v>
      </c>
      <c r="AZ53" s="9">
        <f>HAVERQ!E96*AP53/$AQ53</f>
        <v>51.54206012021632</v>
      </c>
      <c r="BA53" s="9">
        <f t="shared" si="4"/>
        <v>1000</v>
      </c>
      <c r="BC53" s="15">
        <f>$AV53/100*(AN53-100)*HAVERQ!C96/1000+(AS53-100)*AX53/$BA53</f>
        <v>1.2197571447640865</v>
      </c>
      <c r="BD53" s="15">
        <f>$AV53/100*(AO53-100)*HAVERQ!D96/1000+(AT53-100)*AY53/$BA53</f>
        <v>1.0996517372851538</v>
      </c>
      <c r="BE53" s="15">
        <f>$AV53/100*(AP53-100)*HAVERQ!E96/1000+(AU53-100)*AZ53/$BA53</f>
        <v>2.5427608565722561</v>
      </c>
      <c r="BF53" s="16">
        <f t="shared" si="5"/>
        <v>4.2890070076689106</v>
      </c>
      <c r="BG53" s="15">
        <f t="shared" si="6"/>
        <v>9.1511767462904068</v>
      </c>
      <c r="BH53" s="20">
        <f>100*((DataQ!V204/DataQ!V200)-1)</f>
        <v>9.1511767462904015</v>
      </c>
      <c r="BI53">
        <v>2</v>
      </c>
      <c r="BK53" s="10">
        <v>43132</v>
      </c>
      <c r="BL53" s="16">
        <f>HAVERM!B344</f>
        <v>1.49</v>
      </c>
      <c r="BM53" s="16">
        <f>HAVERM!C344</f>
        <v>1.99</v>
      </c>
      <c r="BQ53" s="16">
        <f t="shared" si="7"/>
        <v>0.62634999999999985</v>
      </c>
      <c r="BR53" s="16">
        <f t="shared" si="7"/>
        <v>0.81268000000000007</v>
      </c>
      <c r="BT53" s="16">
        <f>HAVERM!D344</f>
        <v>0.86365000000000014</v>
      </c>
      <c r="BU53" s="16">
        <f>HAVERM!E344</f>
        <v>1.1773199999999999</v>
      </c>
      <c r="BW53" s="16">
        <f t="shared" si="10"/>
        <v>-0.45999999999999996</v>
      </c>
      <c r="BX53" s="16"/>
      <c r="BY53" s="16">
        <v>0</v>
      </c>
    </row>
    <row r="54" spans="33:77" x14ac:dyDescent="0.25">
      <c r="AG54" s="10">
        <v>44743</v>
      </c>
      <c r="AH54" s="9">
        <f>100*((DataQ!U205/DataQ!U201)-1)</f>
        <v>5.8823468942120538</v>
      </c>
      <c r="AI54" s="9">
        <f>100*((DataQ!V205/DataQ!V201)-1)</f>
        <v>10.005958905884139</v>
      </c>
      <c r="AJ54" s="9">
        <f t="shared" si="3"/>
        <v>-4.1236120116720851</v>
      </c>
      <c r="AK54">
        <v>0</v>
      </c>
      <c r="AM54" s="10">
        <v>44743</v>
      </c>
      <c r="AN54" s="9">
        <f>DataQ!W205/DataQ!W202*100</f>
        <v>109.1734786557675</v>
      </c>
      <c r="AO54" s="9">
        <f>DataQ!X205/DataQ!X202*100</f>
        <v>125.06465983842216</v>
      </c>
      <c r="AP54" s="9">
        <f>DataQ!Y205/DataQ!Y202*100</f>
        <v>151.77705977382877</v>
      </c>
      <c r="AQ54" s="9">
        <f>DataQ!V205/DataQ!V202*100</f>
        <v>107.6340034965035</v>
      </c>
      <c r="AR54" s="9"/>
      <c r="AS54" s="9">
        <f>DataQ!W202/DataQ!W201*100</f>
        <v>101.66204986149584</v>
      </c>
      <c r="AT54" s="9">
        <f>DataQ!X202/DataQ!X201*100</f>
        <v>107.18053983380645</v>
      </c>
      <c r="AU54" s="9">
        <f>DataQ!Y202/DataQ!Y201*100</f>
        <v>112.03619909502262</v>
      </c>
      <c r="AV54" s="9">
        <f>DataQ!V202/DataQ!V201*100</f>
        <v>102.20372311010217</v>
      </c>
      <c r="AW54" s="9"/>
      <c r="AX54" s="9">
        <f>HAVERQ!C97*AN54/$AQ54</f>
        <v>168.37427641949716</v>
      </c>
      <c r="AY54" s="9">
        <f>HAVERQ!D97*AO54/$AQ54</f>
        <v>36.020256880224956</v>
      </c>
      <c r="AZ54" s="9">
        <f>HAVERQ!E97*AP54/$AQ54</f>
        <v>50.764386479736707</v>
      </c>
      <c r="BA54" s="9">
        <f t="shared" si="4"/>
        <v>1000</v>
      </c>
      <c r="BC54" s="15">
        <f>$AV54/100*(AN54-100)*HAVERQ!C97/1000+(AS54-100)*AX54/$BA54</f>
        <v>1.8362021391367076</v>
      </c>
      <c r="BD54" s="15">
        <f>$AV54/100*(AO54-100)*HAVERQ!D97/1000+(AT54-100)*AY54/$BA54</f>
        <v>1.0527723710846451</v>
      </c>
      <c r="BE54" s="15">
        <f>$AV54/100*(AP54-100)*HAVERQ!E97/1000+(AU54-100)*AZ54/$BA54</f>
        <v>2.5160612436154435</v>
      </c>
      <c r="BF54" s="16">
        <f t="shared" si="5"/>
        <v>4.600923152047331</v>
      </c>
      <c r="BG54" s="15">
        <f t="shared" si="6"/>
        <v>10.005958905884127</v>
      </c>
      <c r="BH54" s="20">
        <f>100*((DataQ!V205/DataQ!V201)-1)</f>
        <v>10.005958905884139</v>
      </c>
      <c r="BI54">
        <v>2</v>
      </c>
      <c r="BK54" s="10">
        <v>43160</v>
      </c>
      <c r="BL54" s="16">
        <f>HAVERM!B345</f>
        <v>1.53</v>
      </c>
      <c r="BM54" s="16">
        <f>HAVERM!C345</f>
        <v>2.02</v>
      </c>
      <c r="BQ54" s="16">
        <f t="shared" si="7"/>
        <v>0.63301818181818159</v>
      </c>
      <c r="BR54" s="16">
        <f t="shared" si="7"/>
        <v>0.89234545454545455</v>
      </c>
      <c r="BT54" s="16">
        <f>HAVERM!D345</f>
        <v>0.89698181818181844</v>
      </c>
      <c r="BU54" s="16">
        <f>HAVERM!E345</f>
        <v>1.1276545454545455</v>
      </c>
      <c r="BW54" s="16">
        <f t="shared" si="10"/>
        <v>-0.36999999999999988</v>
      </c>
      <c r="BX54" s="16"/>
      <c r="BY54" s="16">
        <v>0</v>
      </c>
    </row>
    <row r="55" spans="33:77" x14ac:dyDescent="0.25">
      <c r="AG55" s="10">
        <v>44835</v>
      </c>
      <c r="AH55" s="9">
        <f>100*((DataQ!U206/DataQ!U202)-1)</f>
        <v>6.3554439620110204</v>
      </c>
      <c r="AI55" s="9">
        <f>100*((DataQ!V206/DataQ!V202)-1)</f>
        <v>10.75174825174825</v>
      </c>
      <c r="AJ55" s="9">
        <f t="shared" si="3"/>
        <v>-4.3963042897372295</v>
      </c>
      <c r="AK55">
        <v>0</v>
      </c>
      <c r="AM55" s="10">
        <v>44835</v>
      </c>
      <c r="AN55" s="9">
        <f>DataQ!W206/DataQ!W202*100</f>
        <v>112.89736603088103</v>
      </c>
      <c r="AO55" s="9">
        <f>DataQ!X206/DataQ!X202*100</f>
        <v>116.83910583572015</v>
      </c>
      <c r="AP55" s="9">
        <f>DataQ!Y206/DataQ!Y202*100</f>
        <v>189.14919224555734</v>
      </c>
      <c r="AQ55" s="9">
        <f>DataQ!V206/DataQ!V202*100</f>
        <v>110.75174825174825</v>
      </c>
      <c r="AR55" s="9"/>
      <c r="AS55" s="9">
        <f>DataQ!W202/DataQ!W202*100</f>
        <v>100</v>
      </c>
      <c r="AT55" s="9">
        <f>DataQ!X202/DataQ!X202*100</f>
        <v>100</v>
      </c>
      <c r="AU55" s="9">
        <f>DataQ!Y202/DataQ!Y202*100</f>
        <v>100</v>
      </c>
      <c r="AV55" s="9">
        <f>DataQ!V202/DataQ!V202*100</f>
        <v>100</v>
      </c>
      <c r="AW55" s="9"/>
      <c r="AX55" s="9">
        <f>HAVERQ!C98*AN55/$AQ55</f>
        <v>169.21595421253696</v>
      </c>
      <c r="AY55" s="9">
        <f>HAVERQ!D98*AO55/$AQ55</f>
        <v>32.703883578200312</v>
      </c>
      <c r="AZ55" s="9">
        <f>HAVERQ!E98*AP55/$AQ55</f>
        <v>61.483191266306498</v>
      </c>
      <c r="BA55" s="9">
        <f t="shared" si="4"/>
        <v>1000</v>
      </c>
      <c r="BC55" s="15">
        <f>$AV55/100*(AN55-100)*HAVERQ!C98/1000+(AS55-100)*AX55/$BA55</f>
        <v>2.1409627611262514</v>
      </c>
      <c r="BD55" s="15">
        <f>$AV55/100*(AO55-100)*HAVERQ!D98/1000+(AT55-100)*AY55/$BA55</f>
        <v>0.52201228090732454</v>
      </c>
      <c r="BE55" s="15">
        <f>$AV55/100*(AP55-100)*HAVERQ!E98/1000+(AU55-100)*AZ55/$BA55</f>
        <v>3.209370920840064</v>
      </c>
      <c r="BF55" s="16">
        <f t="shared" si="5"/>
        <v>4.8794022888746138</v>
      </c>
      <c r="BG55" s="15">
        <f t="shared" si="6"/>
        <v>10.751748251748253</v>
      </c>
      <c r="BH55" s="20">
        <f>100*((DataQ!V206/DataQ!V202)-1)</f>
        <v>10.75174825174825</v>
      </c>
      <c r="BI55">
        <v>2</v>
      </c>
      <c r="BK55" s="10">
        <v>43191</v>
      </c>
      <c r="BL55" s="16">
        <f>HAVERM!B346</f>
        <v>1.72</v>
      </c>
      <c r="BM55" s="16">
        <f>HAVERM!C346</f>
        <v>2.0099999999999998</v>
      </c>
      <c r="BQ55" s="16">
        <f t="shared" si="7"/>
        <v>0.8357</v>
      </c>
      <c r="BR55" s="16">
        <f t="shared" si="7"/>
        <v>0.90777142857142845</v>
      </c>
      <c r="BT55" s="16">
        <f>HAVERM!D346</f>
        <v>0.88429999999999997</v>
      </c>
      <c r="BU55" s="16">
        <f>HAVERM!E346</f>
        <v>1.1022285714285713</v>
      </c>
      <c r="BW55" s="16">
        <f t="shared" si="10"/>
        <v>-0.12000000000000011</v>
      </c>
      <c r="BX55" s="16"/>
      <c r="BY55" s="16">
        <v>0</v>
      </c>
    </row>
    <row r="56" spans="33:77" x14ac:dyDescent="0.25">
      <c r="AG56" s="10">
        <v>44927</v>
      </c>
      <c r="AH56" s="9">
        <f>100*((DataQ!U207/DataQ!U203)-1)</f>
        <v>6.3087994636856326</v>
      </c>
      <c r="AI56" s="9">
        <f>100*((DataQ!V207/DataQ!V203)-1)</f>
        <v>10.178266296223782</v>
      </c>
      <c r="AJ56" s="9">
        <f t="shared" si="3"/>
        <v>-3.8694668325381496</v>
      </c>
      <c r="AK56">
        <v>0</v>
      </c>
      <c r="AM56" s="10">
        <v>44927</v>
      </c>
      <c r="AN56" s="9">
        <f>DataQ!W207/DataQ!W206*100</f>
        <v>103.62027353177797</v>
      </c>
      <c r="AO56" s="9">
        <f>DataQ!X207/DataQ!X206*100</f>
        <v>92.207174627590305</v>
      </c>
      <c r="AP56" s="9">
        <f>DataQ!Y207/DataQ!Y206*100</f>
        <v>100.45548747964592</v>
      </c>
      <c r="AQ56" s="9">
        <f>DataQ!V207/DataQ!V206*100</f>
        <v>100.81554853985793</v>
      </c>
      <c r="AR56" s="9"/>
      <c r="AS56" s="9">
        <f>DataQ!W206/DataQ!W203*100</f>
        <v>110.19503546099291</v>
      </c>
      <c r="AT56" s="9">
        <f>DataQ!X206/DataQ!X203*100</f>
        <v>110.44014925187022</v>
      </c>
      <c r="AU56" s="9">
        <f>DataQ!Y206/DataQ!Y203*100</f>
        <v>186.98437236741344</v>
      </c>
      <c r="AV56" s="9">
        <f>DataQ!V206/DataQ!V203*100</f>
        <v>109.28697794335191</v>
      </c>
      <c r="AW56" s="9"/>
      <c r="AX56" s="9">
        <f>HAVERQ!C99*AN56/$AQ56</f>
        <v>164.79386460604729</v>
      </c>
      <c r="AY56" s="9">
        <f>HAVERQ!D99*AO56/$AQ56</f>
        <v>28.657862603295957</v>
      </c>
      <c r="AZ56" s="9">
        <f>HAVERQ!E99*AP56/$AQ56</f>
        <v>48.492854473500287</v>
      </c>
      <c r="BA56" s="9">
        <f t="shared" si="4"/>
        <v>1000</v>
      </c>
      <c r="BC56" s="15">
        <f>$AV56/100*(AN56-100)*HAVERQ!C99/1000+(AS56-100)*AX56/$BA56</f>
        <v>2.3144361283775492</v>
      </c>
      <c r="BD56" s="15">
        <f>$AV56/100*(AO56-100)*HAVERQ!D99/1000+(AT56-100)*AY56/$BA56</f>
        <v>3.2340671312841462E-2</v>
      </c>
      <c r="BE56" s="17">
        <v>3.17</v>
      </c>
      <c r="BF56" s="16">
        <f t="shared" si="5"/>
        <v>4.6614894965333864</v>
      </c>
      <c r="BG56" s="15">
        <f t="shared" si="6"/>
        <v>10.178266296223777</v>
      </c>
      <c r="BH56" s="20">
        <f>100*((DataQ!V207/DataQ!V203)-1)</f>
        <v>10.178266296223782</v>
      </c>
      <c r="BI56">
        <v>2</v>
      </c>
      <c r="BK56" s="10">
        <v>43221</v>
      </c>
      <c r="BL56" s="16">
        <f>HAVERM!B347</f>
        <v>1.74</v>
      </c>
      <c r="BM56" s="16">
        <f>HAVERM!C347</f>
        <v>2.06</v>
      </c>
      <c r="BQ56" s="16">
        <f t="shared" si="7"/>
        <v>0.95797826086956506</v>
      </c>
      <c r="BR56" s="16">
        <f t="shared" si="7"/>
        <v>1.0067347826086956</v>
      </c>
      <c r="BT56" s="16">
        <f>HAVERM!D347</f>
        <v>0.78202173913043493</v>
      </c>
      <c r="BU56" s="16">
        <f>HAVERM!E347</f>
        <v>1.0532652173913044</v>
      </c>
      <c r="BW56" s="16">
        <f t="shared" si="10"/>
        <v>-0.16999999999999993</v>
      </c>
      <c r="BX56" s="16"/>
      <c r="BY56" s="16">
        <v>0</v>
      </c>
    </row>
    <row r="57" spans="33:77" x14ac:dyDescent="0.25">
      <c r="AG57" s="10">
        <v>45017</v>
      </c>
      <c r="AH57" s="9">
        <f>100*((DataQ!U208/DataQ!U204)-1)</f>
        <v>8.2830439778911682</v>
      </c>
      <c r="AI57" s="9">
        <f>100*((DataQ!V208/DataQ!V204)-1)</f>
        <v>8.4390489688226822</v>
      </c>
      <c r="AJ57" s="9">
        <f t="shared" si="3"/>
        <v>-0.15600499093151399</v>
      </c>
      <c r="AK57">
        <v>0</v>
      </c>
      <c r="AM57" s="10">
        <v>45017</v>
      </c>
      <c r="AN57" s="9">
        <f>DataQ!W208/DataQ!W206*100</f>
        <v>107.66958970233307</v>
      </c>
      <c r="AO57" s="9">
        <f>DataQ!X208/DataQ!X206*100</f>
        <v>87.66878732149938</v>
      </c>
      <c r="AP57" s="9">
        <f>DataQ!Y208/DataQ!Y206*100</f>
        <v>98.98930975241143</v>
      </c>
      <c r="AQ57" s="9">
        <f>DataQ!V208/DataQ!V206*100</f>
        <v>103.44648776637726</v>
      </c>
      <c r="AR57" s="9"/>
      <c r="AS57" s="9">
        <f>DataQ!W206/DataQ!W204*100</f>
        <v>107.27845015004311</v>
      </c>
      <c r="AT57" s="9">
        <f>DataQ!X206/DataQ!X204*100</f>
        <v>96.765231362467858</v>
      </c>
      <c r="AU57" s="9">
        <f>DataQ!Y206/DataQ!Y204*100</f>
        <v>125.04449536409838</v>
      </c>
      <c r="AV57" s="9">
        <f>DataQ!V206/DataQ!V204*100</f>
        <v>104.82622591665034</v>
      </c>
      <c r="AW57" s="9"/>
      <c r="AX57" s="9">
        <f>HAVERQ!C100*AN57/$AQ57</f>
        <v>167.57266792106475</v>
      </c>
      <c r="AY57" s="9">
        <f>HAVERQ!D100*AO57/$AQ57</f>
        <v>26.271867374600351</v>
      </c>
      <c r="AZ57" s="9">
        <f>HAVERQ!E100*AP57/$AQ57</f>
        <v>46.888746854532542</v>
      </c>
      <c r="BA57" s="9">
        <f t="shared" si="4"/>
        <v>1000</v>
      </c>
      <c r="BC57" s="15">
        <f>$AV57/100*(AN57-100)*HAVERQ!C100/1000+(AS57-100)*AX57/$BA57</f>
        <v>2.514067679921097</v>
      </c>
      <c r="BD57" s="15">
        <f>$AV57/100*(AO57-100)*HAVERQ!D100/1000+(AT57-100)*AY57/$BA57</f>
        <v>-0.48570010331221952</v>
      </c>
      <c r="BE57" s="15">
        <f>$AV57/100*(AP57-100)*HAVERQ!E100/1000+(AU57-100)*AZ57/$BA57</f>
        <v>1.1223910495562401</v>
      </c>
      <c r="BF57" s="16">
        <f t="shared" si="5"/>
        <v>5.2882903426575698</v>
      </c>
      <c r="BG57" s="15">
        <f t="shared" si="6"/>
        <v>8.4390489688226875</v>
      </c>
      <c r="BH57" s="20">
        <f>100*((DataQ!V208/DataQ!V204)-1)</f>
        <v>8.4390489688226822</v>
      </c>
      <c r="BI57">
        <v>2</v>
      </c>
      <c r="BK57" s="10">
        <v>43252</v>
      </c>
      <c r="BL57" s="16">
        <f>HAVERM!B348</f>
        <v>1.74</v>
      </c>
      <c r="BM57" s="16">
        <f>HAVERM!C348</f>
        <v>2.0299999999999998</v>
      </c>
      <c r="BQ57" s="16">
        <f t="shared" si="7"/>
        <v>0.94799523809523822</v>
      </c>
      <c r="BR57" s="16">
        <f t="shared" si="7"/>
        <v>0.99781904761904716</v>
      </c>
      <c r="BT57" s="16">
        <f>HAVERM!D348</f>
        <v>0.79200476190476177</v>
      </c>
      <c r="BU57" s="16">
        <f>HAVERM!E348</f>
        <v>1.0321809523809526</v>
      </c>
      <c r="BW57" s="16">
        <f t="shared" si="10"/>
        <v>-1.0000000000000009E-2</v>
      </c>
      <c r="BX57" s="16"/>
      <c r="BY57" s="16">
        <v>0</v>
      </c>
    </row>
    <row r="58" spans="33:77" x14ac:dyDescent="0.25">
      <c r="AG58" s="10">
        <v>45108</v>
      </c>
      <c r="AH58" s="9">
        <f>100*((DataQ!U209/DataQ!U205)-1)</f>
        <v>7.9827346278317224</v>
      </c>
      <c r="AI58" s="9">
        <f>100*((DataQ!V209/DataQ!V205)-1)</f>
        <v>6.7136184931289922</v>
      </c>
      <c r="AJ58" s="9">
        <f t="shared" si="3"/>
        <v>1.2691161347027302</v>
      </c>
      <c r="AK58">
        <v>0</v>
      </c>
      <c r="AM58" s="10">
        <v>45108</v>
      </c>
      <c r="AN58" s="9">
        <f>DataQ!W209/DataQ!W206*100</f>
        <v>108.8495575221239</v>
      </c>
      <c r="AO58" s="9">
        <f>DataQ!X209/DataQ!X206*100</f>
        <v>88.554308489194497</v>
      </c>
      <c r="AP58" s="9">
        <f>DataQ!Y209/DataQ!Y206*100</f>
        <v>84.213511143984178</v>
      </c>
      <c r="AQ58" s="9">
        <f>DataQ!V209/DataQ!V206*100</f>
        <v>103.7095501183899</v>
      </c>
      <c r="AR58" s="9"/>
      <c r="AS58" s="9">
        <f>DataQ!W206/DataQ!W205*100</f>
        <v>103.41098169717138</v>
      </c>
      <c r="AT58" s="9">
        <f>DataQ!X206/DataQ!X205*100</f>
        <v>93.422958961125346</v>
      </c>
      <c r="AU58" s="9">
        <f>DataQ!Y206/DataQ!Y205*100</f>
        <v>124.62304417243213</v>
      </c>
      <c r="AV58" s="9">
        <f>DataQ!V206/DataQ!V205*100</f>
        <v>102.8966169184128</v>
      </c>
      <c r="AW58" s="9"/>
      <c r="AX58" s="9">
        <f>HAVERQ!C101*AN58/$AQ58</f>
        <v>168.97941164585609</v>
      </c>
      <c r="AY58" s="9">
        <f>HAVERQ!D101*AO58/$AQ58</f>
        <v>26.469920658524291</v>
      </c>
      <c r="AZ58" s="9">
        <f>HAVERQ!E101*AP58/$AQ58</f>
        <v>39.788640885479225</v>
      </c>
      <c r="BA58" s="9">
        <f t="shared" si="4"/>
        <v>1000</v>
      </c>
      <c r="BC58" s="15">
        <f>$AV58/100*(AN58-100)*HAVERQ!C101/1000+(AS58-100)*AX58/$BA58</f>
        <v>2.0424348240276249</v>
      </c>
      <c r="BD58" s="15">
        <f>$AV58/100*(AO58-100)*HAVERQ!D101/1000+(AT58-100)*AY58/$BA58</f>
        <v>-0.53918786424051213</v>
      </c>
      <c r="BE58" s="15">
        <f>$AV58/100*(AP58-100)*HAVERQ!E101/1000+(AU58-100)*AZ58/$BA58</f>
        <v>0.18377307689511024</v>
      </c>
      <c r="BF58" s="16">
        <f t="shared" si="5"/>
        <v>5.0265984564467638</v>
      </c>
      <c r="BG58" s="15">
        <f t="shared" si="6"/>
        <v>6.7136184931289868</v>
      </c>
      <c r="BH58" s="20">
        <f>100*((DataQ!V209/DataQ!V205)-1)</f>
        <v>6.7136184931289922</v>
      </c>
      <c r="BI58">
        <v>2</v>
      </c>
      <c r="BK58" s="10">
        <v>43282</v>
      </c>
      <c r="BL58" s="16">
        <f>HAVERM!B349</f>
        <v>1.75</v>
      </c>
      <c r="BM58" s="16">
        <f>HAVERM!C349</f>
        <v>2.04</v>
      </c>
      <c r="BQ58" s="16">
        <f t="shared" si="7"/>
        <v>0.9152863636363634</v>
      </c>
      <c r="BR58" s="16">
        <f t="shared" si="7"/>
        <v>1.0096954545454546</v>
      </c>
      <c r="BT58" s="16">
        <f>HAVERM!D349</f>
        <v>0.8347136363636366</v>
      </c>
      <c r="BU58" s="16">
        <f>HAVERM!E349</f>
        <v>1.0303045454545454</v>
      </c>
      <c r="BW58" s="16">
        <f t="shared" si="10"/>
        <v>3.0000000000000027E-2</v>
      </c>
      <c r="BX58" s="16"/>
      <c r="BY58" s="16">
        <v>0</v>
      </c>
    </row>
    <row r="59" spans="33:77" x14ac:dyDescent="0.25">
      <c r="AG59" s="10">
        <v>45200</v>
      </c>
      <c r="AH59" s="9">
        <f>100*((DataQ!U210/DataQ!U206)-1)</f>
        <v>5.7641568357565731</v>
      </c>
      <c r="AI59" s="9">
        <f>100*((DataQ!V210/DataQ!V206)-1)</f>
        <v>4.1568271507498089</v>
      </c>
      <c r="AJ59" s="9">
        <f t="shared" si="3"/>
        <v>1.6073296850067642</v>
      </c>
      <c r="AK59">
        <v>0</v>
      </c>
      <c r="AM59" s="10">
        <v>45200</v>
      </c>
      <c r="AN59" s="9">
        <f>DataQ!W210/DataQ!W206*100</f>
        <v>109.68085277554304</v>
      </c>
      <c r="AO59" s="9">
        <f>DataQ!X210/DataQ!X206*100</f>
        <v>90.325417240332698</v>
      </c>
      <c r="AP59" s="9">
        <f>DataQ!Y210/DataQ!Y206*100</f>
        <v>78.419903427771757</v>
      </c>
      <c r="AQ59" s="9">
        <f>DataQ!V210/DataQ!V206*100</f>
        <v>104.15682715074981</v>
      </c>
      <c r="AR59" s="9"/>
      <c r="AS59" s="9">
        <f>DataQ!W206/DataQ!W206*100</f>
        <v>100</v>
      </c>
      <c r="AT59" s="9">
        <f>DataQ!X206/DataQ!X206*100</f>
        <v>100</v>
      </c>
      <c r="AU59" s="9">
        <f>DataQ!Y206/DataQ!Y206*100</f>
        <v>100</v>
      </c>
      <c r="AV59" s="9">
        <f>DataQ!V206/DataQ!V206*100</f>
        <v>100</v>
      </c>
      <c r="AW59" s="9"/>
      <c r="AX59" s="9">
        <f>HAVERQ!C102*AN59/$AQ59</f>
        <v>169.53874056958838</v>
      </c>
      <c r="AY59" s="9">
        <f>HAVERQ!D102*AO59/$AQ59</f>
        <v>26.883383557734998</v>
      </c>
      <c r="AZ59" s="9">
        <f>HAVERQ!E102*AP59/$AQ59</f>
        <v>36.892207386456995</v>
      </c>
      <c r="BA59" s="9">
        <f t="shared" si="4"/>
        <v>999.99999999999989</v>
      </c>
      <c r="BC59" s="15">
        <f>$AV59/100*(AN59-100)*HAVERQ!C102/1000+(AS59-100)*AX59/$BA59</f>
        <v>1.5586172968624303</v>
      </c>
      <c r="BD59" s="15">
        <f>$AV59/100*(AO59-100)*HAVERQ!D102/1000+(AT59-100)*AY59/$BA59</f>
        <v>-0.29991206554968636</v>
      </c>
      <c r="BE59" s="15">
        <f>$AV59/100*(AP59-100)*HAVERQ!E102/1000+(AU59-100)*AZ59/$BA59</f>
        <v>-1.0574247320391839</v>
      </c>
      <c r="BF59" s="16">
        <f t="shared" si="5"/>
        <v>3.9555466514762454</v>
      </c>
      <c r="BG59" s="15">
        <f t="shared" si="6"/>
        <v>4.1568271507498054</v>
      </c>
      <c r="BH59" s="20">
        <f>100*((DataQ!V210/DataQ!V206)-1)</f>
        <v>4.1568271507498089</v>
      </c>
      <c r="BI59">
        <v>2</v>
      </c>
      <c r="BK59" s="10">
        <v>43313</v>
      </c>
      <c r="BL59" s="16">
        <f>HAVERM!B350</f>
        <v>1.75</v>
      </c>
      <c r="BM59" s="16">
        <f>HAVERM!C350</f>
        <v>2.0299999999999998</v>
      </c>
      <c r="BQ59" s="16">
        <f t="shared" si="7"/>
        <v>0.88283478260869563</v>
      </c>
      <c r="BR59" s="16">
        <f t="shared" si="7"/>
        <v>0.96839130434782583</v>
      </c>
      <c r="BT59" s="16">
        <f>HAVERM!D350</f>
        <v>0.86716521739130437</v>
      </c>
      <c r="BU59" s="16">
        <f>HAVERM!E350</f>
        <v>1.061608695652174</v>
      </c>
      <c r="BW59" s="16">
        <f t="shared" si="10"/>
        <v>6.0000000000000053E-2</v>
      </c>
      <c r="BX59" s="16"/>
      <c r="BY59" s="16">
        <v>0</v>
      </c>
    </row>
    <row r="60" spans="33:77" x14ac:dyDescent="0.25">
      <c r="AG60" s="10">
        <v>45292</v>
      </c>
      <c r="AH60" s="9">
        <f>100*((DataQ!U211/DataQ!U207)-1)</f>
        <v>5.9344094708177808</v>
      </c>
      <c r="AI60" s="9">
        <f>100*((DataQ!V211/DataQ!V207)-1)</f>
        <v>3.5491136610421803</v>
      </c>
      <c r="AJ60" s="9">
        <f t="shared" si="3"/>
        <v>2.3852958097756005</v>
      </c>
      <c r="AK60">
        <v>0</v>
      </c>
      <c r="AM60" s="10">
        <v>45292</v>
      </c>
      <c r="AN60" s="9">
        <f>DataQ!W211/DataQ!W210*100</f>
        <v>101.0513939000963</v>
      </c>
      <c r="AO60" s="9">
        <f>DataQ!X211/DataQ!X210*100</f>
        <v>95.490220588235303</v>
      </c>
      <c r="AP60" s="9">
        <f>DataQ!Y211/DataQ!Y210*100</f>
        <v>104.77402519042028</v>
      </c>
      <c r="AQ60" s="9">
        <f>DataQ!V211/DataQ!V210*100</f>
        <v>100.22733007645108</v>
      </c>
      <c r="AR60" s="9"/>
      <c r="AS60" s="9">
        <f>DataQ!W210/DataQ!W207*100</f>
        <v>105.84883540372671</v>
      </c>
      <c r="AT60" s="9">
        <f>DataQ!X210/DataQ!X207*100</f>
        <v>97.959207193086954</v>
      </c>
      <c r="AU60" s="9">
        <f>DataQ!Y210/DataQ!Y207*100</f>
        <v>78.064330177742676</v>
      </c>
      <c r="AV60" s="9">
        <f>DataQ!V210/DataQ!V207*100</f>
        <v>103.31424929912561</v>
      </c>
      <c r="AW60" s="9"/>
      <c r="AX60" s="9">
        <f>HAVERQ!C103*AN60/$AQ60</f>
        <v>153.11050053524892</v>
      </c>
      <c r="AY60" s="9">
        <f>HAVERQ!D103*AO60/$AQ60</f>
        <v>29.54683131592769</v>
      </c>
      <c r="AZ60" s="9">
        <f>HAVERQ!E103*AP60/$AQ60</f>
        <v>41.997979526736188</v>
      </c>
      <c r="BA60" s="9">
        <f t="shared" si="4"/>
        <v>1000</v>
      </c>
      <c r="BC60" s="15">
        <f>$AV60/100*(AN60-100)*HAVERQ!C103/1000+(AS60-100)*AX60/$BA60</f>
        <v>1.0604765431975476</v>
      </c>
      <c r="BD60" s="15">
        <f>$AV60/100*(AO60-100)*HAVERQ!D103/1000+(AT60-100)*AY60/$BA60</f>
        <v>-0.2047942543740445</v>
      </c>
      <c r="BE60" s="15">
        <f>$AV60/100*(AP60-100)*HAVERQ!E103/1000+(AU60-100)*AZ60/$BA60</f>
        <v>-0.7230984354609904</v>
      </c>
      <c r="BF60" s="16">
        <f t="shared" si="5"/>
        <v>3.4165298076796571</v>
      </c>
      <c r="BG60" s="15">
        <f t="shared" si="6"/>
        <v>3.5491136610421701</v>
      </c>
      <c r="BH60" s="20">
        <f>100*((DataQ!V211/DataQ!V207)-1)</f>
        <v>3.5491136610421803</v>
      </c>
      <c r="BI60">
        <v>2</v>
      </c>
      <c r="BK60" s="10">
        <v>43344</v>
      </c>
      <c r="BL60" s="16">
        <f>HAVERM!B351</f>
        <v>1.71</v>
      </c>
      <c r="BM60" s="16">
        <f>HAVERM!C351</f>
        <v>2.0099999999999998</v>
      </c>
      <c r="BQ60" s="16">
        <f t="shared" si="7"/>
        <v>0.79029499999999986</v>
      </c>
      <c r="BR60" s="16">
        <f t="shared" si="7"/>
        <v>0.85917999999999983</v>
      </c>
      <c r="BT60" s="16">
        <f>HAVERM!D351</f>
        <v>0.91970500000000011</v>
      </c>
      <c r="BU60" s="16">
        <f>HAVERM!E351</f>
        <v>1.15082</v>
      </c>
      <c r="BW60" s="16">
        <f t="shared" si="10"/>
        <v>0.11999999999999988</v>
      </c>
      <c r="BX60" s="16"/>
      <c r="BY60" s="16">
        <v>0</v>
      </c>
    </row>
    <row r="61" spans="33:77" x14ac:dyDescent="0.25">
      <c r="AG61" s="10">
        <v>45383</v>
      </c>
      <c r="AH61" s="9">
        <f>100*((DataQ!U212/DataQ!U208)-1)</f>
        <v>4.5592705167173175</v>
      </c>
      <c r="AI61" s="9">
        <f>100*((DataQ!V212/DataQ!V208)-1)</f>
        <v>2.110833644243737</v>
      </c>
      <c r="AJ61" s="9">
        <f t="shared" si="3"/>
        <v>2.4484368724735806</v>
      </c>
      <c r="AK61">
        <v>0</v>
      </c>
      <c r="AM61" s="10">
        <v>45383</v>
      </c>
      <c r="AN61" s="9">
        <f>DataQ!W212/DataQ!W210*100</f>
        <v>101.58926689224128</v>
      </c>
      <c r="AO61" s="9">
        <f>DataQ!X212/DataQ!X210*100</f>
        <v>98.529411764705884</v>
      </c>
      <c r="AP61" s="9">
        <f>DataQ!Y212/DataQ!Y210*100</f>
        <v>91.976781988887652</v>
      </c>
      <c r="AQ61" s="9">
        <f>DataQ!V212/DataQ!V210*100</f>
        <v>101.41444773567878</v>
      </c>
      <c r="AR61" s="9"/>
      <c r="AS61" s="9">
        <f>DataQ!W210/DataQ!W208*100</f>
        <v>101.86799548393412</v>
      </c>
      <c r="AT61" s="9">
        <f>DataQ!X210/DataQ!X208*100</f>
        <v>103.03030303030303</v>
      </c>
      <c r="AU61" s="9">
        <f>DataQ!Y210/DataQ!Y208*100</f>
        <v>79.220578084555655</v>
      </c>
      <c r="AV61" s="9">
        <f>DataQ!V210/DataQ!V208*100</f>
        <v>100.6866732739895</v>
      </c>
      <c r="AW61" s="9"/>
      <c r="AX61" s="9">
        <f>HAVERQ!C104*AN61/$AQ61</f>
        <v>152.55812855421127</v>
      </c>
      <c r="AY61" s="9">
        <f>HAVERQ!D104*AO61/$AQ61</f>
        <v>29.984718591538218</v>
      </c>
      <c r="AZ61" s="9">
        <f>HAVERQ!E104*AP61/$AQ61</f>
        <v>37.082947705473366</v>
      </c>
      <c r="BA61" s="9">
        <f t="shared" si="4"/>
        <v>1000</v>
      </c>
      <c r="BC61" s="15">
        <f>$AV61/100*(AN61-100)*HAVERQ!C104/1000+(AS61-100)*AX61/$BA61</f>
        <v>0.52867826278672825</v>
      </c>
      <c r="BD61" s="15">
        <f>$AV61/100*(AO61-100)*HAVERQ!D104/1000+(AT61-100)*AY61/$BA61</f>
        <v>4.5164804327587314E-2</v>
      </c>
      <c r="BE61" s="15">
        <f>$AV61/100*(AP61-100)*HAVERQ!E104/1000+(AU61-100)*AZ61/$BA61</f>
        <v>-1.1008682088754913</v>
      </c>
      <c r="BF61" s="16">
        <f t="shared" si="5"/>
        <v>2.6378587860049074</v>
      </c>
      <c r="BG61" s="15">
        <f t="shared" si="6"/>
        <v>2.1108336442437317</v>
      </c>
      <c r="BH61" s="20">
        <f>100*((DataQ!V212/DataQ!V208)-1)</f>
        <v>2.110833644243737</v>
      </c>
      <c r="BI61">
        <v>2</v>
      </c>
      <c r="BK61" s="10">
        <v>43374</v>
      </c>
      <c r="BL61" s="16">
        <f>HAVERM!B352</f>
        <v>1.8</v>
      </c>
      <c r="BM61" s="16">
        <f>HAVERM!C352</f>
        <v>2.06</v>
      </c>
      <c r="BO61" s="16"/>
      <c r="BQ61" s="16">
        <f t="shared" si="7"/>
        <v>0.85045217391304351</v>
      </c>
      <c r="BR61" s="16">
        <f t="shared" si="7"/>
        <v>0.86357826086956546</v>
      </c>
      <c r="BT61" s="16">
        <f>HAVERM!D352</f>
        <v>0.94954782608695654</v>
      </c>
      <c r="BU61" s="16">
        <f>HAVERM!E352</f>
        <v>1.1964217391304346</v>
      </c>
      <c r="BW61" s="16">
        <f t="shared" si="10"/>
        <v>0.28000000000000003</v>
      </c>
      <c r="BX61" s="16"/>
      <c r="BY61" s="16">
        <v>0</v>
      </c>
    </row>
    <row r="62" spans="33:77" x14ac:dyDescent="0.25">
      <c r="AG62" s="10">
        <v>45474</v>
      </c>
      <c r="AH62" s="9">
        <f>100*((DataQ!U213/DataQ!U209)-1)</f>
        <v>4.1318483582341914</v>
      </c>
      <c r="AI62" s="9">
        <f>100*((DataQ!V213/DataQ!V209)-1)</f>
        <v>2.0927701674277044</v>
      </c>
      <c r="AJ62" s="9">
        <f t="shared" si="3"/>
        <v>2.039078190806487</v>
      </c>
      <c r="AK62">
        <v>0</v>
      </c>
      <c r="AM62" s="10">
        <v>45474</v>
      </c>
      <c r="AN62" s="9">
        <f>DataQ!W213/DataQ!W210*100</f>
        <v>101.74652854438351</v>
      </c>
      <c r="AO62" s="9">
        <f>DataQ!X213/DataQ!X210*100</f>
        <v>94.946617647058815</v>
      </c>
      <c r="AP62" s="9">
        <f>DataQ!Y213/DataQ!Y210*100</f>
        <v>85.559917509514889</v>
      </c>
      <c r="AQ62" s="9">
        <f>DataQ!V213/DataQ!V210*100</f>
        <v>101.65435674302682</v>
      </c>
      <c r="AR62" s="9"/>
      <c r="AS62" s="9">
        <f>DataQ!W210/DataQ!W209*100</f>
        <v>100.76371027346637</v>
      </c>
      <c r="AT62" s="9">
        <f>DataQ!X210/DataQ!X209*100</f>
        <v>102.00002550000637</v>
      </c>
      <c r="AU62" s="9">
        <f>DataQ!Y210/DataQ!Y209*100</f>
        <v>93.12033468559838</v>
      </c>
      <c r="AV62" s="9">
        <f>DataQ!V210/DataQ!V209*100</f>
        <v>100.43127853881278</v>
      </c>
      <c r="AW62" s="9"/>
      <c r="AX62" s="9">
        <f>HAVERQ!C105*AN62/$AQ62</f>
        <v>152.43368911138145</v>
      </c>
      <c r="AY62" s="9">
        <f>HAVERQ!D105*AO62/$AQ62</f>
        <v>28.826201555369071</v>
      </c>
      <c r="AZ62" s="9">
        <f>HAVERQ!E105*AP62/$AQ62</f>
        <v>34.414402089746361</v>
      </c>
      <c r="BA62" s="9">
        <f t="shared" si="4"/>
        <v>1000.0000000000001</v>
      </c>
      <c r="BC62" s="15">
        <f>$AV62/100*(AN62-100)*HAVERQ!C105/1000+(AS62-100)*AX62/$BA62</f>
        <v>0.38355093878251489</v>
      </c>
      <c r="BD62" s="15">
        <f>$AV62/100*(AO62-100)*HAVERQ!D105/1000+(AT62-100)*AY62/$BA62</f>
        <v>-9.8980511788514913E-2</v>
      </c>
      <c r="BE62" s="15">
        <f>$AV62/100*(AP62-100)*HAVERQ!E105/1000+(AU62-100)*AZ62/$BA62</f>
        <v>-0.82973204226975705</v>
      </c>
      <c r="BF62" s="16">
        <f t="shared" si="5"/>
        <v>2.6379317827034336</v>
      </c>
      <c r="BG62" s="15">
        <f t="shared" si="6"/>
        <v>2.0927701674276769</v>
      </c>
      <c r="BH62" s="20">
        <f>100*((DataQ!V213/DataQ!V209)-1)</f>
        <v>2.0927701674277044</v>
      </c>
      <c r="BI62">
        <v>2</v>
      </c>
      <c r="BK62" s="10">
        <v>43405</v>
      </c>
      <c r="BL62" s="16">
        <f>HAVERM!B353</f>
        <v>1.75</v>
      </c>
      <c r="BM62" s="16">
        <f>HAVERM!C353</f>
        <v>2.02</v>
      </c>
      <c r="BO62" s="16"/>
      <c r="BQ62" s="16">
        <f t="shared" si="7"/>
        <v>0.83523181818181813</v>
      </c>
      <c r="BR62" s="16">
        <f t="shared" si="7"/>
        <v>0.89829545454545467</v>
      </c>
      <c r="BT62" s="16">
        <f>HAVERM!D353</f>
        <v>0.91476818181818187</v>
      </c>
      <c r="BU62" s="16">
        <f>HAVERM!E353</f>
        <v>1.1217045454545453</v>
      </c>
      <c r="BW62" s="16">
        <f t="shared" si="10"/>
        <v>0.32000000000000006</v>
      </c>
      <c r="BX62" s="16"/>
      <c r="BY62" s="16">
        <v>0</v>
      </c>
    </row>
    <row r="63" spans="33:77" x14ac:dyDescent="0.25">
      <c r="AG63" s="10">
        <v>45566</v>
      </c>
      <c r="AH63" s="9">
        <f>100*((DataQ!U214/DataQ!U210)-1)</f>
        <v>5.3200497339975117</v>
      </c>
      <c r="AI63" s="9">
        <f>100*((DataQ!V214/DataQ!V210)-1)</f>
        <v>2.5582969036885839</v>
      </c>
      <c r="AJ63" s="9">
        <f t="shared" si="3"/>
        <v>2.7617528303089278</v>
      </c>
      <c r="AK63">
        <v>0</v>
      </c>
      <c r="AM63" s="10">
        <v>45566</v>
      </c>
      <c r="AN63" s="9">
        <f>DataQ!W214/DataQ!W210*100</f>
        <v>102.09083180704933</v>
      </c>
      <c r="AO63" s="9">
        <f>DataQ!X214/DataQ!X210*100</f>
        <v>94.298823529411763</v>
      </c>
      <c r="AP63" s="9">
        <f>DataQ!Y214/DataQ!Y210*100</f>
        <v>93.141058838456871</v>
      </c>
      <c r="AQ63" s="9">
        <f>DataQ!V214/DataQ!V210*100</f>
        <v>102.55829690368859</v>
      </c>
      <c r="AR63" s="9"/>
      <c r="AS63" s="9">
        <f>DataQ!W210/DataQ!W210*100</f>
        <v>100</v>
      </c>
      <c r="AT63" s="9">
        <f>DataQ!X210/DataQ!X210*100</f>
        <v>100</v>
      </c>
      <c r="AU63" s="9">
        <f>DataQ!Y210/DataQ!Y210*100</f>
        <v>100</v>
      </c>
      <c r="AV63" s="9">
        <f>DataQ!V210/DataQ!V210*100</f>
        <v>100</v>
      </c>
      <c r="AW63" s="9"/>
      <c r="AX63" s="9">
        <f>HAVERQ!C106*AN63/$AQ63</f>
        <v>151.60143015201012</v>
      </c>
      <c r="AY63" s="9">
        <f>HAVERQ!D106*AO63/$AQ63</f>
        <v>28.377190230393779</v>
      </c>
      <c r="AZ63" s="9">
        <f>HAVERQ!E106*AP63/$AQ63</f>
        <v>37.133530184917241</v>
      </c>
      <c r="BA63" s="9">
        <f t="shared" si="4"/>
        <v>1000.0000000000001</v>
      </c>
      <c r="BC63" s="15">
        <f>$AV63/100*(AN63-100)*HAVERQ!C106/1000+(AS63-100)*AX63/$BA63</f>
        <v>0.31842448455366146</v>
      </c>
      <c r="BD63" s="15">
        <f>$AV63/100*(AO63-100)*HAVERQ!D106/1000+(AT63-100)*AY63/$BA63</f>
        <v>-0.17595369905882358</v>
      </c>
      <c r="BE63" s="15">
        <f>$AV63/100*(AP63-100)*HAVERQ!E106/1000+(AU63-100)*AZ63/$BA63</f>
        <v>-0.28044838621317542</v>
      </c>
      <c r="BF63" s="16">
        <f t="shared" si="5"/>
        <v>2.6962745044069232</v>
      </c>
      <c r="BG63" s="15">
        <f t="shared" si="6"/>
        <v>2.5582969036885856</v>
      </c>
      <c r="BH63" s="20">
        <f>100*((DataQ!V214/DataQ!V210)-1)</f>
        <v>2.5582969036885839</v>
      </c>
      <c r="BI63">
        <v>2</v>
      </c>
      <c r="BK63" s="10">
        <v>43435</v>
      </c>
      <c r="BL63" s="16">
        <f>HAVERM!B354</f>
        <v>1.73</v>
      </c>
      <c r="BM63" s="16">
        <f>HAVERM!C354</f>
        <v>2.0099999999999998</v>
      </c>
      <c r="BO63" s="16"/>
      <c r="BQ63" s="16">
        <f t="shared" si="7"/>
        <v>0.85709999999999997</v>
      </c>
      <c r="BR63" s="16">
        <f t="shared" si="7"/>
        <v>0.98364285714285704</v>
      </c>
      <c r="BT63" s="16">
        <f>HAVERM!D354</f>
        <v>0.87290000000000001</v>
      </c>
      <c r="BU63" s="16">
        <f>HAVERM!E354</f>
        <v>1.0263571428571427</v>
      </c>
      <c r="BW63" s="16">
        <f t="shared" si="10"/>
        <v>0.28000000000000003</v>
      </c>
      <c r="BX63" s="16"/>
      <c r="BY63" s="16">
        <v>0</v>
      </c>
    </row>
    <row r="64" spans="33:77" x14ac:dyDescent="0.25">
      <c r="AG64" s="10">
        <v>45658</v>
      </c>
      <c r="AH64" s="9">
        <f>100*((DataQ!U215/DataQ!U211)-1)</f>
        <v>4.3469633585731415</v>
      </c>
      <c r="AI64" s="9">
        <f>100*((DataQ!V215/DataQ!V211)-1)</f>
        <v>2.7192785485689264</v>
      </c>
      <c r="AJ64" s="9">
        <f t="shared" si="3"/>
        <v>1.6276848100042152</v>
      </c>
      <c r="AK64">
        <v>0</v>
      </c>
      <c r="AM64" s="10">
        <v>45658</v>
      </c>
      <c r="AN64" s="9">
        <f>DataQ!W215/DataQ!W214*100</f>
        <v>100.91203142894504</v>
      </c>
      <c r="AO64" s="9">
        <f>DataQ!X215/DataQ!X214*100</f>
        <v>99.826115976744774</v>
      </c>
      <c r="AP64" s="9">
        <f>DataQ!Y215/DataQ!Y214*100</f>
        <v>104.36107765525789</v>
      </c>
      <c r="AQ64" s="9">
        <f>DataQ!V215/DataQ!V214*100</f>
        <v>100.38465289620136</v>
      </c>
      <c r="AR64" s="9"/>
      <c r="AS64" s="9">
        <f>DataQ!W214/DataQ!W211*100</f>
        <v>101.02862302719018</v>
      </c>
      <c r="AT64" s="9">
        <f>DataQ!X214/DataQ!X211*100</f>
        <v>98.752336049195037</v>
      </c>
      <c r="AU64" s="9">
        <f>DataQ!Y214/DataQ!Y211*100</f>
        <v>88.897089397089402</v>
      </c>
      <c r="AV64" s="9">
        <f>DataQ!V214/DataQ!V211*100</f>
        <v>102.32567985743957</v>
      </c>
      <c r="AW64" s="9"/>
      <c r="AX64" s="9">
        <f>HAVERQ!C107*AN64/$AQ64</f>
        <v>153.09569670556283</v>
      </c>
      <c r="AY64" s="9">
        <f>HAVERQ!D107*AO64/$AQ64</f>
        <v>30.690980948463935</v>
      </c>
      <c r="AZ64" s="9">
        <f>HAVERQ!E107*AP64/$AQ64</f>
        <v>42.507650522838588</v>
      </c>
      <c r="BA64" s="9">
        <f t="shared" si="4"/>
        <v>1000</v>
      </c>
      <c r="BC64" s="15">
        <f>$AV64/100*(AN64-100)*HAVERQ!C107/1000+(AS64-100)*AX64/$BA64</f>
        <v>0.29960646418432846</v>
      </c>
      <c r="BD64" s="15">
        <f>$AV64/100*(AO64-100)*HAVERQ!D107/1000+(AT64-100)*AY64/$BA64</f>
        <v>-4.3783369306350975E-2</v>
      </c>
      <c r="BE64" s="15">
        <f>$AV64/100*(AP64-100)*HAVERQ!E107/1000+(AU64-100)*AZ64/$BA64</f>
        <v>-0.28949584720515215</v>
      </c>
      <c r="BF64" s="16">
        <f t="shared" si="5"/>
        <v>2.7529513008961146</v>
      </c>
      <c r="BG64" s="15">
        <f t="shared" si="6"/>
        <v>2.7192785485689397</v>
      </c>
      <c r="BH64" s="20">
        <f>100*((DataQ!V215/DataQ!V211)-1)</f>
        <v>2.7192785485689264</v>
      </c>
      <c r="BI64">
        <v>2</v>
      </c>
      <c r="BK64" s="10">
        <v>43466</v>
      </c>
      <c r="BL64" s="16">
        <f>HAVERM!B355</f>
        <v>1.72</v>
      </c>
      <c r="BM64" s="16">
        <f>HAVERM!C355</f>
        <v>2.0499999999999998</v>
      </c>
      <c r="BO64" s="16"/>
      <c r="BQ64" s="16">
        <f t="shared" si="7"/>
        <v>0.85026086956521751</v>
      </c>
      <c r="BR64" s="16">
        <f t="shared" si="7"/>
        <v>1.0260217391304347</v>
      </c>
      <c r="BT64" s="16">
        <f>HAVERM!D355</f>
        <v>0.86973913043478246</v>
      </c>
      <c r="BU64" s="16">
        <f>HAVERM!E355</f>
        <v>1.0239782608695651</v>
      </c>
      <c r="BW64" s="16">
        <f t="shared" si="10"/>
        <v>0.27</v>
      </c>
      <c r="BX64" s="16">
        <f t="shared" ref="BX64:BX127" si="11">BM64-BM4</f>
        <v>-1.29</v>
      </c>
      <c r="BY64" s="16">
        <v>0</v>
      </c>
    </row>
    <row r="65" spans="33:77" x14ac:dyDescent="0.25">
      <c r="AG65" s="10">
        <v>45748</v>
      </c>
      <c r="AH65" s="9">
        <f>100*((DataQ!U216/DataQ!U212)-1)</f>
        <v>3.5907848837209322</v>
      </c>
      <c r="AI65" s="9">
        <f>100*((DataQ!V216/DataQ!V212)-1)</f>
        <v>2.4867503080324482</v>
      </c>
      <c r="AJ65" s="9">
        <f t="shared" si="3"/>
        <v>1.104034575688484</v>
      </c>
      <c r="AK65">
        <v>0</v>
      </c>
      <c r="AM65" s="10">
        <v>45748</v>
      </c>
      <c r="AN65" s="9">
        <f>DataQ!W216/DataQ!W214*100</f>
        <v>101.28384194137536</v>
      </c>
      <c r="AO65" s="9">
        <f>DataQ!X216/DataQ!X214*100</f>
        <v>99.281149412381183</v>
      </c>
      <c r="AP65" s="9">
        <f>DataQ!Y216/DataQ!Y214*100</f>
        <v>103.90965750301102</v>
      </c>
      <c r="AQ65" s="9">
        <f>DataQ!V216/DataQ!V214*100</f>
        <v>101.34369911070257</v>
      </c>
      <c r="AR65" s="9"/>
      <c r="AS65" s="9">
        <f>DataQ!W214/DataQ!W212*100</f>
        <v>100.49371841155235</v>
      </c>
      <c r="AT65" s="9">
        <f>DataQ!X214/DataQ!X212*100</f>
        <v>95.706268656716404</v>
      </c>
      <c r="AU65" s="9">
        <f>DataQ!Y214/DataQ!Y212*100</f>
        <v>101.26583777383067</v>
      </c>
      <c r="AV65" s="9">
        <f>DataQ!V214/DataQ!V212*100</f>
        <v>101.12789567319942</v>
      </c>
      <c r="AW65" s="9"/>
      <c r="AX65" s="9">
        <f>HAVERQ!C108*AN65/$AQ65</f>
        <v>152.2056488377967</v>
      </c>
      <c r="AY65" s="9">
        <f>HAVERQ!D108*AO65/$AQ65</f>
        <v>30.234581496995197</v>
      </c>
      <c r="AZ65" s="9">
        <f>HAVERQ!E108*AP65/$AQ65</f>
        <v>41.923258310732287</v>
      </c>
      <c r="BA65" s="9">
        <f t="shared" si="4"/>
        <v>1000</v>
      </c>
      <c r="BC65" s="15">
        <f>$AV65/100*(AN65-100)*HAVERQ!C108/1000+(AS65-100)*AX65/$BA65</f>
        <v>0.27287551079751782</v>
      </c>
      <c r="BD65" s="15">
        <f>$AV65/100*(AO65-100)*HAVERQ!D108/1000+(AT65-100)*AY65/$BA65</f>
        <v>-0.15225507146755818</v>
      </c>
      <c r="BE65" s="15">
        <f>$AV65/100*(AP65-100)*HAVERQ!E108/1000+(AU65-100)*AZ65/$BA65</f>
        <v>0.21472915227717335</v>
      </c>
      <c r="BF65" s="16">
        <f t="shared" si="5"/>
        <v>2.1514007164252922</v>
      </c>
      <c r="BG65" s="15">
        <f t="shared" si="6"/>
        <v>2.4867503080324251</v>
      </c>
      <c r="BH65" s="20">
        <f>100*((DataQ!V216/DataQ!V212)-1)</f>
        <v>2.4867503080324482</v>
      </c>
      <c r="BI65">
        <v>2</v>
      </c>
      <c r="BK65" s="10">
        <v>43497</v>
      </c>
      <c r="BL65" s="16">
        <f>HAVERM!B356</f>
        <v>1.7</v>
      </c>
      <c r="BM65" s="16">
        <f>HAVERM!C356</f>
        <v>2.0499999999999998</v>
      </c>
      <c r="BO65" s="16"/>
      <c r="BQ65" s="16">
        <f t="shared" si="7"/>
        <v>0.87339499999999992</v>
      </c>
      <c r="BR65" s="16">
        <f t="shared" si="7"/>
        <v>1.0789399999999998</v>
      </c>
      <c r="BT65" s="16">
        <f>HAVERM!D356</f>
        <v>0.82660500000000003</v>
      </c>
      <c r="BU65" s="16">
        <f>HAVERM!E356</f>
        <v>0.97106000000000015</v>
      </c>
      <c r="BW65" s="16">
        <f t="shared" si="10"/>
        <v>0.28000000000000003</v>
      </c>
      <c r="BX65" s="16">
        <f t="shared" si="11"/>
        <v>-1.4000000000000004</v>
      </c>
      <c r="BY65" s="16">
        <v>0</v>
      </c>
    </row>
    <row r="66" spans="33:77" x14ac:dyDescent="0.25">
      <c r="AG66" s="10">
        <v>45839</v>
      </c>
      <c r="AH66" s="9">
        <f>100*((DataQ!U217/DataQ!U213)-1)</f>
        <v>3.2688570332843225</v>
      </c>
      <c r="AI66" s="9">
        <f>100*((DataQ!V217/DataQ!V213)-1)</f>
        <v>2.7588540878524581</v>
      </c>
      <c r="AJ66" s="9">
        <f t="shared" si="3"/>
        <v>0.51000294543186442</v>
      </c>
      <c r="AK66">
        <v>0</v>
      </c>
      <c r="AM66" s="10">
        <v>45839</v>
      </c>
      <c r="AN66" s="9">
        <f>DataQ!W217/DataQ!W214*100</f>
        <v>101.31602959539832</v>
      </c>
      <c r="AO66" s="9">
        <f>DataQ!X217/DataQ!X214*100</f>
        <v>98.824528407814967</v>
      </c>
      <c r="AP66" s="9">
        <f>DataQ!Y217/DataQ!Y214*100</f>
        <v>103.47507571416877</v>
      </c>
      <c r="AQ66" s="9">
        <f>DataQ!V217/DataQ!V214*100</f>
        <v>101.85314623312063</v>
      </c>
      <c r="AR66" s="9"/>
      <c r="AS66" s="9">
        <f>DataQ!W214/DataQ!W213*100</f>
        <v>100.33839313005714</v>
      </c>
      <c r="AT66" s="9">
        <f>DataQ!X214/DataQ!X213*100</f>
        <v>99.317728073205231</v>
      </c>
      <c r="AU66" s="9">
        <f>DataQ!Y214/DataQ!Y213*100</f>
        <v>108.86062253168826</v>
      </c>
      <c r="AV66" s="9">
        <f>DataQ!V214/DataQ!V213*100</f>
        <v>100.88922913844887</v>
      </c>
      <c r="AW66" s="9"/>
      <c r="AX66" s="9">
        <f>HAVERQ!C109*AN66/$AQ66</f>
        <v>151.49247801862617</v>
      </c>
      <c r="AY66" s="9">
        <f>HAVERQ!D109*AO66/$AQ66</f>
        <v>29.944993215144038</v>
      </c>
      <c r="AZ66" s="9">
        <f>HAVERQ!E109*AP66/$AQ66</f>
        <v>41.539108532958906</v>
      </c>
      <c r="BA66" s="9">
        <f t="shared" si="4"/>
        <v>1000</v>
      </c>
      <c r="BC66" s="15">
        <f>$AV66/100*(AN66-100)*HAVERQ!C109/1000+(AS66-100)*AX66/$BA66</f>
        <v>0.25347177276248756</v>
      </c>
      <c r="BD66" s="15">
        <f>$AV66/100*(AO66-100)*HAVERQ!D109/1000+(AT66-100)*AY66/$BA66</f>
        <v>-5.7031451893239771E-2</v>
      </c>
      <c r="BE66" s="15">
        <f>$AV66/100*(AP66-100)*HAVERQ!E109/1000+(AU66-100)*AZ66/$BA66</f>
        <v>0.51141475267827463</v>
      </c>
      <c r="BF66" s="16">
        <f t="shared" si="5"/>
        <v>2.0509990143049479</v>
      </c>
      <c r="BG66" s="15">
        <f t="shared" si="6"/>
        <v>2.7588540878524705</v>
      </c>
      <c r="BH66" s="20">
        <f>100*((DataQ!V217/DataQ!V213)-1)</f>
        <v>2.7588540878524581</v>
      </c>
      <c r="BI66">
        <v>2</v>
      </c>
      <c r="BK66" s="10">
        <v>43525</v>
      </c>
      <c r="BL66" s="16">
        <f>HAVERM!B357</f>
        <v>1.7</v>
      </c>
      <c r="BM66" s="16">
        <f>HAVERM!C357</f>
        <v>2.0299999999999998</v>
      </c>
      <c r="BO66" s="16"/>
      <c r="BQ66" s="16">
        <f t="shared" si="7"/>
        <v>0.90167619047619041</v>
      </c>
      <c r="BR66" s="16">
        <f t="shared" si="7"/>
        <v>1.0867999999999998</v>
      </c>
      <c r="BT66" s="16">
        <f>HAVERM!D357</f>
        <v>0.79832380952380955</v>
      </c>
      <c r="BU66" s="16">
        <f>HAVERM!E357</f>
        <v>0.94320000000000004</v>
      </c>
      <c r="BW66" s="16">
        <f t="shared" si="10"/>
        <v>0.32999999999999985</v>
      </c>
      <c r="BX66" s="16">
        <f t="shared" si="11"/>
        <v>-1.4500000000000002</v>
      </c>
      <c r="BY66" s="16">
        <v>0</v>
      </c>
    </row>
    <row r="67" spans="33:77" x14ac:dyDescent="0.25">
      <c r="AG67" s="10">
        <v>45931</v>
      </c>
      <c r="AH67" s="9">
        <f>100*((DataQ!U218/DataQ!U214)-1)</f>
        <v>2.915897641716958</v>
      </c>
      <c r="AI67" s="9">
        <f>100*((DataQ!V218/DataQ!V214)-1)</f>
        <v>2.4929290660456127</v>
      </c>
      <c r="AJ67" s="9">
        <f t="shared" si="3"/>
        <v>0.42296857567134527</v>
      </c>
      <c r="AK67">
        <v>0</v>
      </c>
      <c r="AM67" s="10">
        <v>45931</v>
      </c>
      <c r="AN67" s="9">
        <f>DataQ!W218/DataQ!W214*100</f>
        <v>102.03543803229974</v>
      </c>
      <c r="AO67" s="9">
        <f>DataQ!X218/DataQ!X214*100</f>
        <v>98.574930758290307</v>
      </c>
      <c r="AP67" s="9">
        <f>DataQ!Y218/DataQ!Y214*100</f>
        <v>103.05920321799833</v>
      </c>
      <c r="AQ67" s="9">
        <f>DataQ!V218/DataQ!V214*100</f>
        <v>102.49292906604562</v>
      </c>
      <c r="AR67" s="9"/>
      <c r="AS67" s="9">
        <f>DataQ!W214/DataQ!W214*100</f>
        <v>100</v>
      </c>
      <c r="AT67" s="9">
        <f>DataQ!X214/DataQ!X214*100</f>
        <v>100</v>
      </c>
      <c r="AU67" s="9">
        <f>DataQ!Y214/DataQ!Y214*100</f>
        <v>100</v>
      </c>
      <c r="AV67" s="9">
        <f>DataQ!V214/DataQ!V214*100</f>
        <v>100</v>
      </c>
      <c r="AW67" s="9"/>
      <c r="AX67" s="9">
        <f>HAVERQ!C110*AN67/$AQ67</f>
        <v>151.61580801713987</v>
      </c>
      <c r="AY67" s="9">
        <f>HAVERQ!D110*AO67/$AQ67</f>
        <v>29.682911233354059</v>
      </c>
      <c r="AZ67" s="9">
        <f>HAVERQ!E110*AP67/$AQ67</f>
        <v>41.113906486779413</v>
      </c>
      <c r="BA67" s="9">
        <f t="shared" si="4"/>
        <v>1000</v>
      </c>
      <c r="BC67" s="15">
        <f>$AV67/100*(AN67-100)*HAVERQ!C110/1000+(AS67-100)*AX67/$BA67</f>
        <v>0.30998825639190791</v>
      </c>
      <c r="BD67" s="15">
        <f>$AV67/100*(AO67-100)*HAVERQ!D110/1000+(AT67-100)*AY67/$BA67</f>
        <v>-4.3981484486113734E-2</v>
      </c>
      <c r="BE67" s="15">
        <f>$AV67/100*(AP67-100)*HAVERQ!E110/1000+(AU67-100)*AZ67/$BA67</f>
        <v>0.12508470117751574</v>
      </c>
      <c r="BF67" s="16">
        <f t="shared" si="5"/>
        <v>2.1018375929623092</v>
      </c>
      <c r="BG67" s="15">
        <f t="shared" si="6"/>
        <v>2.4929290660456189</v>
      </c>
      <c r="BH67" s="20">
        <f>100*((DataQ!V218/DataQ!V214)-1)</f>
        <v>2.4929290660456127</v>
      </c>
      <c r="BI67">
        <v>2</v>
      </c>
      <c r="BK67" s="10">
        <v>43556</v>
      </c>
      <c r="BL67" s="16">
        <f>HAVERM!B358</f>
        <v>1.66</v>
      </c>
      <c r="BM67" s="16">
        <f>HAVERM!C358</f>
        <v>2</v>
      </c>
      <c r="BO67" s="16"/>
      <c r="BQ67" s="16">
        <f t="shared" si="7"/>
        <v>0.86787272727272724</v>
      </c>
      <c r="BR67" s="16">
        <f t="shared" si="7"/>
        <v>1.0611363636363638</v>
      </c>
      <c r="BT67" s="16">
        <f>HAVERM!D358</f>
        <v>0.79212727272727268</v>
      </c>
      <c r="BU67" s="16">
        <f>HAVERM!E358</f>
        <v>0.93886363636363623</v>
      </c>
      <c r="BW67" s="16">
        <f t="shared" si="10"/>
        <v>0.30999999999999983</v>
      </c>
      <c r="BX67" s="16">
        <f t="shared" si="11"/>
        <v>-1.69</v>
      </c>
      <c r="BY67" s="16">
        <v>0</v>
      </c>
    </row>
    <row r="68" spans="33:77" x14ac:dyDescent="0.25">
      <c r="AM68" s="10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C68" s="9"/>
      <c r="BD68" s="9"/>
      <c r="BE68" s="9"/>
      <c r="BF68" s="9"/>
      <c r="BG68" s="9"/>
      <c r="BH68" s="9"/>
      <c r="BK68" s="10">
        <v>43586</v>
      </c>
      <c r="BL68" s="16">
        <f>HAVERM!B359</f>
        <v>1.65</v>
      </c>
      <c r="BM68" s="16">
        <f>HAVERM!C359</f>
        <v>1.99</v>
      </c>
      <c r="BO68" s="16"/>
      <c r="BQ68" s="16">
        <f t="shared" si="7"/>
        <v>0.8832130434782608</v>
      </c>
      <c r="BR68" s="16">
        <f t="shared" si="7"/>
        <v>1.1189521739130437</v>
      </c>
      <c r="BT68" s="16">
        <f>HAVERM!D359</f>
        <v>0.76678695652173912</v>
      </c>
      <c r="BU68" s="16">
        <f>HAVERM!E359</f>
        <v>0.8710478260869563</v>
      </c>
      <c r="BW68" s="16">
        <f t="shared" si="10"/>
        <v>0.15999999999999992</v>
      </c>
      <c r="BX68" s="16">
        <f t="shared" si="11"/>
        <v>-1.7300000000000002</v>
      </c>
      <c r="BY68" s="16">
        <v>0</v>
      </c>
    </row>
    <row r="69" spans="33:77" x14ac:dyDescent="0.25"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C69" s="9"/>
      <c r="BD69" s="9"/>
      <c r="BE69" s="9"/>
      <c r="BF69" s="9"/>
      <c r="BG69" s="9"/>
      <c r="BH69" s="9"/>
      <c r="BK69" s="10">
        <v>43617</v>
      </c>
      <c r="BL69" s="16">
        <f>HAVERM!B360</f>
        <v>1.64</v>
      </c>
      <c r="BM69" s="16">
        <f>HAVERM!C360</f>
        <v>1.97</v>
      </c>
      <c r="BO69" s="16"/>
      <c r="BQ69" s="16">
        <f t="shared" ref="BQ69:BR116" si="12">BL69-BT69</f>
        <v>0.99899499999999986</v>
      </c>
      <c r="BR69" s="16">
        <f t="shared" si="12"/>
        <v>1.2903849999999999</v>
      </c>
      <c r="BT69" s="16">
        <f>HAVERM!D360</f>
        <v>0.64100500000000005</v>
      </c>
      <c r="BU69" s="16">
        <f>HAVERM!E360</f>
        <v>0.67961500000000008</v>
      </c>
      <c r="BW69" s="16">
        <f t="shared" si="10"/>
        <v>0.15999999999999992</v>
      </c>
      <c r="BX69" s="16">
        <f t="shared" si="11"/>
        <v>-1.72</v>
      </c>
      <c r="BY69" s="16">
        <v>0</v>
      </c>
    </row>
    <row r="70" spans="33:77" x14ac:dyDescent="0.25"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C70" s="9"/>
      <c r="BD70" s="9"/>
      <c r="BE70" s="9"/>
      <c r="BF70" s="9"/>
      <c r="BG70" s="9"/>
      <c r="BH70" s="9"/>
      <c r="BK70" s="10">
        <v>43647</v>
      </c>
      <c r="BL70" s="16">
        <f>HAVERM!B361</f>
        <v>1.61</v>
      </c>
      <c r="BM70" s="16">
        <f>HAVERM!C361</f>
        <v>1.93</v>
      </c>
      <c r="BO70" s="16"/>
      <c r="BQ70" s="16">
        <f t="shared" si="12"/>
        <v>1.0740869565217392</v>
      </c>
      <c r="BR70" s="16">
        <f t="shared" si="12"/>
        <v>1.3573086956521738</v>
      </c>
      <c r="BT70" s="16">
        <f>HAVERM!D361</f>
        <v>0.53591304347826085</v>
      </c>
      <c r="BU70" s="16">
        <f>HAVERM!E361</f>
        <v>0.57269130434782611</v>
      </c>
      <c r="BW70" s="16">
        <f t="shared" si="10"/>
        <v>0.20000000000000018</v>
      </c>
      <c r="BX70" s="16">
        <f t="shared" si="11"/>
        <v>-1.8499999999999999</v>
      </c>
      <c r="BY70" s="16">
        <v>0</v>
      </c>
    </row>
    <row r="71" spans="33:77" x14ac:dyDescent="0.25"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C71" s="9"/>
      <c r="BD71" s="9"/>
      <c r="BE71" s="9"/>
      <c r="BF71" s="9"/>
      <c r="BG71" s="9"/>
      <c r="BH71" s="9"/>
      <c r="BK71" s="10">
        <v>43678</v>
      </c>
      <c r="BL71" s="16">
        <f>HAVERM!B362</f>
        <v>1.59</v>
      </c>
      <c r="BM71" s="16">
        <f>HAVERM!C362</f>
        <v>1.89</v>
      </c>
      <c r="BO71" s="16">
        <v>100</v>
      </c>
      <c r="BQ71" s="16">
        <f t="shared" si="12"/>
        <v>1.1301772727272728</v>
      </c>
      <c r="BR71" s="16">
        <f t="shared" si="12"/>
        <v>1.4921818181818181</v>
      </c>
      <c r="BT71" s="16">
        <f>HAVERM!D362</f>
        <v>0.45982272727272727</v>
      </c>
      <c r="BU71" s="16">
        <f>HAVERM!E362</f>
        <v>0.39781818181818179</v>
      </c>
      <c r="BW71" s="16">
        <f t="shared" si="10"/>
        <v>0.16000000000000014</v>
      </c>
      <c r="BX71" s="16">
        <f t="shared" si="11"/>
        <v>-1.8699999999999999</v>
      </c>
      <c r="BY71" s="16">
        <v>0</v>
      </c>
    </row>
    <row r="72" spans="33:77" x14ac:dyDescent="0.25"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C72" s="9"/>
      <c r="BD72" s="9"/>
      <c r="BE72" s="9"/>
      <c r="BF72" s="9"/>
      <c r="BG72" s="9"/>
      <c r="BH72" s="9"/>
      <c r="BK72" s="10">
        <v>43709</v>
      </c>
      <c r="BL72" s="16">
        <f>HAVERM!B363</f>
        <v>1.55</v>
      </c>
      <c r="BM72" s="16">
        <f>HAVERM!C363</f>
        <v>1.79</v>
      </c>
      <c r="BO72" s="16">
        <v>100</v>
      </c>
      <c r="BQ72" s="16">
        <f t="shared" si="12"/>
        <v>1.017895238095238</v>
      </c>
      <c r="BR72" s="16">
        <f t="shared" si="12"/>
        <v>1.3218285714285716</v>
      </c>
      <c r="BT72" s="16">
        <f>HAVERM!D363</f>
        <v>0.53210476190476197</v>
      </c>
      <c r="BU72" s="16">
        <f>HAVERM!E363</f>
        <v>0.46817142857142846</v>
      </c>
      <c r="BW72" s="16">
        <f t="shared" si="10"/>
        <v>0.15000000000000013</v>
      </c>
      <c r="BX72" s="16">
        <f t="shared" si="11"/>
        <v>-1.8199999999999998</v>
      </c>
      <c r="BY72" s="16">
        <v>0</v>
      </c>
    </row>
    <row r="73" spans="33:77" x14ac:dyDescent="0.25"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C73" s="9"/>
      <c r="BD73" s="9"/>
      <c r="BE73" s="9"/>
      <c r="BF73" s="9"/>
      <c r="BG73" s="9"/>
      <c r="BH73" s="9"/>
      <c r="BK73" s="10">
        <v>43739</v>
      </c>
      <c r="BL73" s="16">
        <f>HAVERM!B364</f>
        <v>1.47</v>
      </c>
      <c r="BM73" s="16">
        <f>HAVERM!C364</f>
        <v>1.71</v>
      </c>
      <c r="BO73" s="16">
        <v>100</v>
      </c>
      <c r="BQ73" s="16">
        <f t="shared" si="12"/>
        <v>0.94510869565217392</v>
      </c>
      <c r="BR73" s="16">
        <f t="shared" si="12"/>
        <v>1.2177695652173912</v>
      </c>
      <c r="BT73" s="16">
        <f>HAVERM!D364</f>
        <v>0.52489130434782605</v>
      </c>
      <c r="BU73" s="16">
        <f>HAVERM!E364</f>
        <v>0.49223043478260875</v>
      </c>
      <c r="BW73" s="16">
        <f t="shared" si="10"/>
        <v>-8.0000000000000071E-2</v>
      </c>
      <c r="BX73" s="16">
        <f t="shared" si="11"/>
        <v>-1.56</v>
      </c>
      <c r="BY73" s="16">
        <v>0</v>
      </c>
    </row>
    <row r="74" spans="33:77" x14ac:dyDescent="0.25"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C74" s="14"/>
      <c r="BD74" s="14"/>
      <c r="BE74" s="14"/>
      <c r="BF74" s="9"/>
      <c r="BG74" s="9"/>
      <c r="BH74" s="9"/>
      <c r="BK74" s="10">
        <v>43770</v>
      </c>
      <c r="BL74" s="16">
        <f>HAVERM!B365</f>
        <v>1.41</v>
      </c>
      <c r="BM74" s="16">
        <f>HAVERM!C365</f>
        <v>1.67</v>
      </c>
      <c r="BO74" s="16">
        <v>100</v>
      </c>
      <c r="BQ74" s="16">
        <f t="shared" si="12"/>
        <v>0.8291952380952381</v>
      </c>
      <c r="BR74" s="16">
        <f t="shared" si="12"/>
        <v>1.0745142857142855</v>
      </c>
      <c r="BT74" s="16">
        <f>HAVERM!D365</f>
        <v>0.58080476190476182</v>
      </c>
      <c r="BU74" s="16">
        <f>HAVERM!E365</f>
        <v>0.5954857142857144</v>
      </c>
      <c r="BW74" s="16">
        <f t="shared" si="10"/>
        <v>-0.20000000000000018</v>
      </c>
      <c r="BX74" s="16">
        <f t="shared" si="11"/>
        <v>-1.54</v>
      </c>
      <c r="BY74" s="16">
        <v>0</v>
      </c>
    </row>
    <row r="75" spans="33:77" x14ac:dyDescent="0.25"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C75" s="14"/>
      <c r="BD75" s="14"/>
      <c r="BE75" s="14"/>
      <c r="BF75" s="9"/>
      <c r="BG75" s="9"/>
      <c r="BH75" s="9"/>
      <c r="BK75" s="10">
        <v>43800</v>
      </c>
      <c r="BL75" s="16">
        <f>HAVERM!B366</f>
        <v>1.42</v>
      </c>
      <c r="BM75" s="16">
        <f>HAVERM!C366</f>
        <v>1.67</v>
      </c>
      <c r="BO75" s="16">
        <v>100</v>
      </c>
      <c r="BQ75" s="16">
        <f t="shared" si="12"/>
        <v>0.81618181818181812</v>
      </c>
      <c r="BR75" s="16">
        <f t="shared" si="12"/>
        <v>1.0191954545454545</v>
      </c>
      <c r="BT75" s="16">
        <f>HAVERM!D366</f>
        <v>0.60381818181818181</v>
      </c>
      <c r="BU75" s="16">
        <f>HAVERM!E366</f>
        <v>0.65080454545454536</v>
      </c>
      <c r="BW75" s="16">
        <f t="shared" si="10"/>
        <v>-0.15000000000000013</v>
      </c>
      <c r="BX75" s="16">
        <f t="shared" si="11"/>
        <v>-1.54</v>
      </c>
      <c r="BY75" s="16">
        <v>0</v>
      </c>
    </row>
    <row r="76" spans="33:77" x14ac:dyDescent="0.25"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C76" s="14"/>
      <c r="BD76" s="14"/>
      <c r="BE76" s="14"/>
      <c r="BF76" s="9"/>
      <c r="BG76" s="9"/>
      <c r="BH76" s="9"/>
      <c r="BK76" s="10">
        <v>43831</v>
      </c>
      <c r="BL76" s="16">
        <f>HAVERM!B367</f>
        <v>1.41</v>
      </c>
      <c r="BM76" s="16">
        <f>HAVERM!C367</f>
        <v>1.68</v>
      </c>
      <c r="BO76" s="16">
        <v>100</v>
      </c>
      <c r="BQ76" s="16">
        <f t="shared" si="12"/>
        <v>0.90799999999999992</v>
      </c>
      <c r="BR76" s="16">
        <f t="shared" si="12"/>
        <v>1.1408260869565217</v>
      </c>
      <c r="BT76" s="16">
        <f>HAVERM!D367</f>
        <v>0.502</v>
      </c>
      <c r="BU76" s="16">
        <f>HAVERM!E367</f>
        <v>0.53917391304347828</v>
      </c>
      <c r="BW76" s="16">
        <f t="shared" si="10"/>
        <v>-0.13000000000000012</v>
      </c>
      <c r="BX76" s="16">
        <f t="shared" si="11"/>
        <v>-1.41</v>
      </c>
      <c r="BY76" s="16">
        <v>0</v>
      </c>
    </row>
    <row r="77" spans="33:77" x14ac:dyDescent="0.25"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C77" s="14"/>
      <c r="BD77" s="14"/>
      <c r="BE77" s="14"/>
      <c r="BF77" s="9"/>
      <c r="BG77" s="9"/>
      <c r="BH77" s="9"/>
      <c r="BK77" s="10">
        <v>43862</v>
      </c>
      <c r="BL77" s="16">
        <f>HAVERM!B368</f>
        <v>1.4</v>
      </c>
      <c r="BM77" s="16">
        <f>HAVERM!C368</f>
        <v>1.67</v>
      </c>
      <c r="BO77" s="16">
        <v>100</v>
      </c>
      <c r="BQ77" s="16">
        <f t="shared" si="12"/>
        <v>0.89045999999999992</v>
      </c>
      <c r="BR77" s="16">
        <f t="shared" si="12"/>
        <v>1.1757500000000001</v>
      </c>
      <c r="BT77" s="16">
        <f>HAVERM!D368</f>
        <v>0.50953999999999999</v>
      </c>
      <c r="BU77" s="16">
        <f>HAVERM!E368</f>
        <v>0.49424999999999991</v>
      </c>
      <c r="BW77" s="16">
        <f t="shared" si="10"/>
        <v>-9.000000000000008E-2</v>
      </c>
      <c r="BX77" s="16">
        <f t="shared" si="11"/>
        <v>-1.38</v>
      </c>
      <c r="BY77" s="16">
        <v>0</v>
      </c>
    </row>
    <row r="78" spans="33:77" x14ac:dyDescent="0.25"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C78" s="14"/>
      <c r="BD78" s="14"/>
      <c r="BE78" s="14"/>
      <c r="BF78" s="9"/>
      <c r="BG78" s="9"/>
      <c r="BH78" s="9"/>
      <c r="BK78" s="10">
        <v>43891</v>
      </c>
      <c r="BL78" s="16">
        <f>HAVERM!B369</f>
        <v>1.4</v>
      </c>
      <c r="BM78" s="16">
        <f>HAVERM!C369</f>
        <v>1.66</v>
      </c>
      <c r="BO78" s="16">
        <v>100</v>
      </c>
      <c r="BQ78" s="16">
        <f t="shared" si="12"/>
        <v>1.2043318181818181</v>
      </c>
      <c r="BR78" s="16">
        <f t="shared" si="12"/>
        <v>1.376531818181818</v>
      </c>
      <c r="BT78" s="16">
        <f>HAVERM!D369</f>
        <v>0.1956681818181818</v>
      </c>
      <c r="BU78" s="16">
        <f>HAVERM!E369</f>
        <v>0.2834681818181819</v>
      </c>
      <c r="BW78" s="16">
        <f t="shared" si="10"/>
        <v>-0.13000000000000012</v>
      </c>
      <c r="BX78" s="16">
        <f t="shared" si="11"/>
        <v>-1.32</v>
      </c>
      <c r="BY78" s="16">
        <v>0</v>
      </c>
    </row>
    <row r="79" spans="33:77" x14ac:dyDescent="0.25"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C79" s="14"/>
      <c r="BD79" s="14"/>
      <c r="BE79" s="14"/>
      <c r="BF79" s="9"/>
      <c r="BG79" s="9"/>
      <c r="BH79" s="9"/>
      <c r="BK79" s="10">
        <v>43922</v>
      </c>
      <c r="BL79" s="16">
        <f>HAVERM!B370</f>
        <v>1.38</v>
      </c>
      <c r="BM79" s="16">
        <f>HAVERM!C370</f>
        <v>1.67</v>
      </c>
      <c r="BO79" s="16">
        <v>100</v>
      </c>
      <c r="BQ79" s="16">
        <f t="shared" si="12"/>
        <v>1.2634181818181818</v>
      </c>
      <c r="BR79" s="16">
        <f t="shared" si="12"/>
        <v>1.4713272727272726</v>
      </c>
      <c r="BT79" s="16">
        <f>HAVERM!D370</f>
        <v>0.11658181818181818</v>
      </c>
      <c r="BU79" s="16">
        <f>HAVERM!E370</f>
        <v>0.19867272727272728</v>
      </c>
      <c r="BW79" s="16">
        <f t="shared" si="10"/>
        <v>-0.34000000000000008</v>
      </c>
      <c r="BX79" s="16">
        <f t="shared" si="11"/>
        <v>-1.25</v>
      </c>
      <c r="BY79" s="16">
        <v>0</v>
      </c>
    </row>
    <row r="80" spans="33:77" x14ac:dyDescent="0.25"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C80" s="14"/>
      <c r="BD80" s="14"/>
      <c r="BE80" s="14"/>
      <c r="BF80" s="9"/>
      <c r="BG80" s="9"/>
      <c r="BH80" s="9"/>
      <c r="BK80" s="10">
        <v>43952</v>
      </c>
      <c r="BL80" s="16">
        <f>HAVERM!B371</f>
        <v>1.42</v>
      </c>
      <c r="BM80" s="16">
        <f>HAVERM!C371</f>
        <v>1.7</v>
      </c>
      <c r="BO80" s="16">
        <v>100</v>
      </c>
      <c r="BQ80" s="16">
        <f t="shared" si="12"/>
        <v>1.3963999999999999</v>
      </c>
      <c r="BR80" s="16">
        <f t="shared" si="12"/>
        <v>1.6153</v>
      </c>
      <c r="BT80" s="16">
        <f>HAVERM!D371</f>
        <v>2.3600000000000006E-2</v>
      </c>
      <c r="BU80" s="16">
        <f>HAVERM!E371</f>
        <v>8.4699999999999998E-2</v>
      </c>
      <c r="BW80" s="16">
        <f t="shared" si="10"/>
        <v>-0.32000000000000006</v>
      </c>
      <c r="BX80" s="16">
        <f t="shared" si="11"/>
        <v>-1.1599999999999999</v>
      </c>
      <c r="BY80" s="16">
        <v>0</v>
      </c>
    </row>
    <row r="81" spans="40:77" x14ac:dyDescent="0.25"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C81" s="14"/>
      <c r="BD81" s="14"/>
      <c r="BE81" s="14"/>
      <c r="BF81" s="9"/>
      <c r="BG81" s="9"/>
      <c r="BH81" s="9"/>
      <c r="BK81" s="10">
        <v>43983</v>
      </c>
      <c r="BL81" s="16">
        <f>HAVERM!B372</f>
        <v>1.41</v>
      </c>
      <c r="BM81" s="16">
        <f>HAVERM!C372</f>
        <v>1.69</v>
      </c>
      <c r="BO81" s="16">
        <v>100</v>
      </c>
      <c r="BQ81" s="16">
        <f t="shared" si="12"/>
        <v>1.4068772727272727</v>
      </c>
      <c r="BR81" s="16">
        <f t="shared" si="12"/>
        <v>1.6384454545454545</v>
      </c>
      <c r="BT81" s="16">
        <f>HAVERM!D372</f>
        <v>3.1227272727272718E-3</v>
      </c>
      <c r="BU81" s="16">
        <f>HAVERM!E372</f>
        <v>5.155454545454545E-2</v>
      </c>
      <c r="BW81" s="16">
        <f t="shared" si="10"/>
        <v>-0.33000000000000007</v>
      </c>
      <c r="BX81" s="16">
        <f t="shared" si="11"/>
        <v>-1.1299999999999999</v>
      </c>
      <c r="BY81" s="16">
        <v>0</v>
      </c>
    </row>
    <row r="82" spans="40:77" x14ac:dyDescent="0.25"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C82" s="14"/>
      <c r="BD82" s="14"/>
      <c r="BE82" s="14"/>
      <c r="BF82" s="9"/>
      <c r="BG82" s="9"/>
      <c r="BH82" s="9"/>
      <c r="BK82" s="10">
        <v>44013</v>
      </c>
      <c r="BL82" s="16">
        <f>HAVERM!B373</f>
        <v>1.45</v>
      </c>
      <c r="BM82" s="16">
        <f>HAVERM!C373</f>
        <v>1.7</v>
      </c>
      <c r="BO82" s="16">
        <v>100</v>
      </c>
      <c r="BQ82" s="16">
        <f t="shared" si="12"/>
        <v>1.4926739130434783</v>
      </c>
      <c r="BR82" s="16">
        <f t="shared" si="12"/>
        <v>1.7278956521739131</v>
      </c>
      <c r="BT82" s="16">
        <f>HAVERM!D373</f>
        <v>-4.2673913043478257E-2</v>
      </c>
      <c r="BU82" s="16">
        <f>HAVERM!E373</f>
        <v>-2.789565217391304E-2</v>
      </c>
      <c r="BW82" s="16">
        <f t="shared" si="10"/>
        <v>-0.30000000000000004</v>
      </c>
      <c r="BX82" s="16">
        <f t="shared" si="11"/>
        <v>-1.1300000000000001</v>
      </c>
      <c r="BY82" s="16">
        <v>0</v>
      </c>
    </row>
    <row r="83" spans="40:77" x14ac:dyDescent="0.25"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C83" s="14"/>
      <c r="BD83" s="14"/>
      <c r="BE83" s="14"/>
      <c r="BF83" s="9"/>
      <c r="BG83" s="9"/>
      <c r="BH83" s="9"/>
      <c r="BK83" s="10">
        <v>44044</v>
      </c>
      <c r="BL83" s="16">
        <f>HAVERM!B374</f>
        <v>1.6</v>
      </c>
      <c r="BM83" s="16">
        <f>HAVERM!C374</f>
        <v>1.79</v>
      </c>
      <c r="BO83" s="16">
        <v>100</v>
      </c>
      <c r="BQ83" s="16">
        <f t="shared" si="12"/>
        <v>1.6307238095238097</v>
      </c>
      <c r="BR83" s="16">
        <f t="shared" si="12"/>
        <v>1.7956761904761904</v>
      </c>
      <c r="BT83" s="16">
        <f>HAVERM!D374</f>
        <v>-3.0723809523809525E-2</v>
      </c>
      <c r="BU83" s="16">
        <f>HAVERM!E374</f>
        <v>-5.6761904761904753E-3</v>
      </c>
      <c r="BW83" s="16">
        <f t="shared" si="10"/>
        <v>-0.14999999999999991</v>
      </c>
      <c r="BX83" s="16">
        <f t="shared" si="11"/>
        <v>-1.1299999999999999</v>
      </c>
      <c r="BY83" s="16">
        <v>0</v>
      </c>
    </row>
    <row r="84" spans="40:77" x14ac:dyDescent="0.25"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C84" s="14"/>
      <c r="BD84" s="14"/>
      <c r="BE84" s="14"/>
      <c r="BF84" s="9"/>
      <c r="BG84" s="9"/>
      <c r="BH84" s="9"/>
      <c r="BK84" s="10">
        <v>44075</v>
      </c>
      <c r="BL84" s="16">
        <f>HAVERM!B375</f>
        <v>1.75</v>
      </c>
      <c r="BM84" s="16">
        <f>HAVERM!C375</f>
        <v>1.92</v>
      </c>
      <c r="BO84" s="16">
        <v>100</v>
      </c>
      <c r="BQ84" s="16">
        <f t="shared" si="12"/>
        <v>1.8163909090909092</v>
      </c>
      <c r="BR84" s="16">
        <f t="shared" si="12"/>
        <v>1.9531499999999999</v>
      </c>
      <c r="BT84" s="16">
        <f>HAVERM!D375</f>
        <v>-6.639090909090907E-2</v>
      </c>
      <c r="BU84" s="16">
        <f>HAVERM!E375</f>
        <v>-3.3150000000000006E-2</v>
      </c>
      <c r="BW84" s="16">
        <f t="shared" si="10"/>
        <v>4.0000000000000036E-2</v>
      </c>
      <c r="BX84" s="16">
        <f t="shared" si="11"/>
        <v>-0.91999999999999993</v>
      </c>
      <c r="BY84" s="16">
        <v>0</v>
      </c>
    </row>
    <row r="85" spans="40:77" x14ac:dyDescent="0.25"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C85" s="14"/>
      <c r="BD85" s="14"/>
      <c r="BE85" s="14"/>
      <c r="BF85" s="9"/>
      <c r="BG85" s="9"/>
      <c r="BH85" s="9"/>
      <c r="BK85" s="10">
        <v>44105</v>
      </c>
      <c r="BL85" s="16">
        <f>HAVERM!B376</f>
        <v>1.94</v>
      </c>
      <c r="BM85" s="16">
        <f>HAVERM!C376</f>
        <v>2.0499999999999998</v>
      </c>
      <c r="BO85" s="16">
        <v>100</v>
      </c>
      <c r="BQ85" s="16">
        <f t="shared" si="12"/>
        <v>1.9874954545454546</v>
      </c>
      <c r="BR85" s="16">
        <f t="shared" si="12"/>
        <v>2.0551999999999997</v>
      </c>
      <c r="BT85" s="16">
        <f>HAVERM!D376</f>
        <v>-4.7495454545454563E-2</v>
      </c>
      <c r="BU85" s="16">
        <f>HAVERM!E376</f>
        <v>-5.2000000000000015E-3</v>
      </c>
      <c r="BW85" s="16">
        <f t="shared" si="10"/>
        <v>0.1399999999999999</v>
      </c>
      <c r="BX85" s="16">
        <f t="shared" si="11"/>
        <v>-0.73</v>
      </c>
      <c r="BY85" s="16">
        <v>0</v>
      </c>
    </row>
    <row r="86" spans="40:77" x14ac:dyDescent="0.25"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C86" s="15"/>
      <c r="BD86" s="15"/>
      <c r="BE86" s="15"/>
      <c r="BF86" s="16"/>
      <c r="BG86" s="15"/>
      <c r="BH86" s="15"/>
      <c r="BK86" s="10">
        <v>44136</v>
      </c>
      <c r="BL86" s="16">
        <f>HAVERM!B377</f>
        <v>1.92</v>
      </c>
      <c r="BM86" s="16">
        <f>HAVERM!C377</f>
        <v>2.0499999999999998</v>
      </c>
      <c r="BO86" s="16">
        <v>100</v>
      </c>
      <c r="BQ86" s="16">
        <f t="shared" si="12"/>
        <v>1.9391047619047619</v>
      </c>
      <c r="BR86" s="16">
        <f t="shared" si="12"/>
        <v>2.0021714285714283</v>
      </c>
      <c r="BT86" s="16">
        <f>HAVERM!D377</f>
        <v>-1.9104761904761902E-2</v>
      </c>
      <c r="BU86" s="16">
        <f>HAVERM!E377</f>
        <v>4.7828571428571436E-2</v>
      </c>
      <c r="BW86" s="16">
        <f t="shared" si="10"/>
        <v>0.16999999999999993</v>
      </c>
      <c r="BX86" s="16">
        <f t="shared" si="11"/>
        <v>-0.7200000000000002</v>
      </c>
      <c r="BY86" s="16">
        <v>0</v>
      </c>
    </row>
    <row r="87" spans="40:77" x14ac:dyDescent="0.25"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C87" s="15"/>
      <c r="BD87" s="15"/>
      <c r="BE87" s="15"/>
      <c r="BF87" s="16"/>
      <c r="BG87" s="15"/>
      <c r="BH87" s="15"/>
      <c r="BK87" s="10">
        <v>44166</v>
      </c>
      <c r="BL87" s="16">
        <f>HAVERM!B378</f>
        <v>1.86</v>
      </c>
      <c r="BM87" s="16">
        <f>HAVERM!C378</f>
        <v>2</v>
      </c>
      <c r="BO87" s="16">
        <v>100</v>
      </c>
      <c r="BQ87" s="16">
        <f t="shared" si="12"/>
        <v>1.8880869565217393</v>
      </c>
      <c r="BR87" s="16">
        <f t="shared" si="12"/>
        <v>1.9713739130434782</v>
      </c>
      <c r="BT87" s="16">
        <f>HAVERM!D378</f>
        <v>-2.8086956521739127E-2</v>
      </c>
      <c r="BU87" s="16">
        <f>HAVERM!E378</f>
        <v>2.8626086956521739E-2</v>
      </c>
      <c r="BW87" s="16">
        <f t="shared" si="10"/>
        <v>0.13000000000000012</v>
      </c>
      <c r="BX87" s="16">
        <f t="shared" si="11"/>
        <v>-0.75</v>
      </c>
      <c r="BY87" s="16">
        <v>0</v>
      </c>
    </row>
    <row r="88" spans="40:77" x14ac:dyDescent="0.25"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C88" s="15"/>
      <c r="BD88" s="15"/>
      <c r="BE88" s="15"/>
      <c r="BF88" s="16"/>
      <c r="BG88" s="15"/>
      <c r="BH88" s="15"/>
      <c r="BK88" s="10">
        <v>44197</v>
      </c>
      <c r="BL88" s="16">
        <f>HAVERM!B379</f>
        <v>1.75</v>
      </c>
      <c r="BM88" s="16">
        <f>HAVERM!C379</f>
        <v>1.92</v>
      </c>
      <c r="BQ88" s="16">
        <f t="shared" si="12"/>
        <v>1.8021952380952382</v>
      </c>
      <c r="BR88" s="16">
        <f t="shared" si="12"/>
        <v>1.8915285714285714</v>
      </c>
      <c r="BT88" s="16">
        <f>HAVERM!D379</f>
        <v>-5.21952380952381E-2</v>
      </c>
      <c r="BU88" s="16">
        <f>HAVERM!E379</f>
        <v>2.8471428571428571E-2</v>
      </c>
      <c r="BW88" s="16">
        <f t="shared" si="10"/>
        <v>3.0000000000000027E-2</v>
      </c>
      <c r="BX88" s="16">
        <f t="shared" si="11"/>
        <v>-0.76000000000000023</v>
      </c>
      <c r="BY88" s="16">
        <v>0</v>
      </c>
    </row>
    <row r="89" spans="40:77" x14ac:dyDescent="0.25"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C89" s="15"/>
      <c r="BD89" s="15"/>
      <c r="BE89" s="15"/>
      <c r="BF89" s="16"/>
      <c r="BG89" s="15"/>
      <c r="BH89" s="15"/>
      <c r="BK89" s="10">
        <v>44228</v>
      </c>
      <c r="BL89" s="16">
        <f>HAVERM!B380</f>
        <v>1.61</v>
      </c>
      <c r="BM89" s="16">
        <f>HAVERM!C380</f>
        <v>1.8</v>
      </c>
      <c r="BQ89" s="16">
        <f t="shared" si="12"/>
        <v>1.57728</v>
      </c>
      <c r="BR89" s="16">
        <f t="shared" si="12"/>
        <v>1.5794049999999999</v>
      </c>
      <c r="BT89" s="16">
        <f>HAVERM!D380</f>
        <v>3.2719999999999999E-2</v>
      </c>
      <c r="BU89" s="16">
        <f>HAVERM!E380</f>
        <v>0.22059500000000001</v>
      </c>
      <c r="BW89" s="16">
        <f t="shared" si="10"/>
        <v>-8.9999999999999858E-2</v>
      </c>
      <c r="BX89" s="16">
        <f t="shared" si="11"/>
        <v>-0.92999999999999994</v>
      </c>
      <c r="BY89" s="16">
        <v>0</v>
      </c>
    </row>
    <row r="90" spans="40:77" x14ac:dyDescent="0.25"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C90" s="15"/>
      <c r="BD90" s="15"/>
      <c r="BE90" s="15"/>
      <c r="BF90" s="16"/>
      <c r="BG90" s="15"/>
      <c r="BH90" s="15"/>
      <c r="BK90" s="10">
        <v>44256</v>
      </c>
      <c r="BL90" s="16">
        <f>HAVERM!B381</f>
        <v>1.56</v>
      </c>
      <c r="BM90" s="16">
        <f>HAVERM!C381</f>
        <v>1.74</v>
      </c>
      <c r="BQ90" s="16">
        <f t="shared" si="12"/>
        <v>1.4588913043478262</v>
      </c>
      <c r="BR90" s="16">
        <f t="shared" si="12"/>
        <v>1.3310999999999999</v>
      </c>
      <c r="BT90" s="16">
        <f>HAVERM!D381</f>
        <v>0.10110869565217391</v>
      </c>
      <c r="BU90" s="16">
        <f>HAVERM!E381</f>
        <v>0.40889999999999999</v>
      </c>
      <c r="BW90" s="16">
        <f t="shared" si="10"/>
        <v>-0.1399999999999999</v>
      </c>
      <c r="BX90" s="16">
        <f t="shared" si="11"/>
        <v>-0.96000000000000019</v>
      </c>
      <c r="BY90" s="16">
        <v>0</v>
      </c>
    </row>
    <row r="91" spans="40:77" x14ac:dyDescent="0.25"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C91" s="15"/>
      <c r="BD91" s="15"/>
      <c r="BE91" s="15"/>
      <c r="BF91" s="16"/>
      <c r="BG91" s="15"/>
      <c r="BH91" s="15"/>
      <c r="BK91" s="10">
        <v>44287</v>
      </c>
      <c r="BL91" s="16">
        <f>HAVERM!B382</f>
        <v>1.49</v>
      </c>
      <c r="BM91" s="16">
        <f>HAVERM!C382</f>
        <v>1.71</v>
      </c>
      <c r="BQ91" s="16">
        <f t="shared" si="12"/>
        <v>1.3774681818181818</v>
      </c>
      <c r="BR91" s="16">
        <f t="shared" si="12"/>
        <v>1.2763363636363636</v>
      </c>
      <c r="BT91" s="16">
        <f>HAVERM!D382</f>
        <v>0.11253181818181819</v>
      </c>
      <c r="BU91" s="16">
        <f>HAVERM!E382</f>
        <v>0.43366363636363636</v>
      </c>
      <c r="BW91" s="16">
        <f t="shared" si="10"/>
        <v>-0.16999999999999993</v>
      </c>
      <c r="BX91" s="16">
        <f t="shared" si="11"/>
        <v>-1</v>
      </c>
      <c r="BY91" s="16">
        <v>0</v>
      </c>
    </row>
    <row r="92" spans="40:77" x14ac:dyDescent="0.25"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C92" s="15"/>
      <c r="BD92" s="15"/>
      <c r="BE92" s="15"/>
      <c r="BF92" s="16"/>
      <c r="BG92" s="15"/>
      <c r="BH92" s="15"/>
      <c r="BK92" s="10">
        <v>44317</v>
      </c>
      <c r="BL92" s="16">
        <f>HAVERM!B383</f>
        <v>1.47</v>
      </c>
      <c r="BM92" s="16">
        <f>HAVERM!C383</f>
        <v>1.68</v>
      </c>
      <c r="BQ92" s="16">
        <f t="shared" si="12"/>
        <v>1.3355999999999999</v>
      </c>
      <c r="BR92" s="16">
        <f t="shared" si="12"/>
        <v>1.2162999999999999</v>
      </c>
      <c r="BT92" s="16">
        <f>HAVERM!D383</f>
        <v>0.13439999999999999</v>
      </c>
      <c r="BU92" s="16">
        <f>HAVERM!E383</f>
        <v>0.46369999999999995</v>
      </c>
      <c r="BW92" s="16">
        <f t="shared" ref="BW92:BW134" si="13">BL92-BL68</f>
        <v>-0.17999999999999994</v>
      </c>
      <c r="BX92" s="16">
        <f t="shared" si="11"/>
        <v>-0.96000000000000019</v>
      </c>
      <c r="BY92" s="16">
        <v>0</v>
      </c>
    </row>
    <row r="93" spans="40:77" x14ac:dyDescent="0.25"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C93" s="15"/>
      <c r="BD93" s="15"/>
      <c r="BE93" s="15"/>
      <c r="BF93" s="16"/>
      <c r="BG93" s="15"/>
      <c r="BH93" s="15"/>
      <c r="BK93" s="10">
        <v>44348</v>
      </c>
      <c r="BL93" s="16">
        <f>HAVERM!B384</f>
        <v>1.39</v>
      </c>
      <c r="BM93" s="16">
        <f>HAVERM!C384</f>
        <v>1.6</v>
      </c>
      <c r="BQ93" s="16">
        <f t="shared" si="12"/>
        <v>1.2148727272727271</v>
      </c>
      <c r="BR93" s="16">
        <f t="shared" si="12"/>
        <v>1.1281045454545455</v>
      </c>
      <c r="BT93" s="16">
        <f>HAVERM!D384</f>
        <v>0.17512727272727277</v>
      </c>
      <c r="BU93" s="16">
        <f>HAVERM!E384</f>
        <v>0.47189545454545456</v>
      </c>
      <c r="BW93" s="16">
        <f t="shared" si="13"/>
        <v>-0.25</v>
      </c>
      <c r="BX93" s="16">
        <f t="shared" si="11"/>
        <v>-0.94</v>
      </c>
      <c r="BY93" s="16">
        <v>0</v>
      </c>
    </row>
    <row r="94" spans="40:77" x14ac:dyDescent="0.25"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C94" s="15"/>
      <c r="BD94" s="15"/>
      <c r="BE94" s="15"/>
      <c r="BF94" s="16"/>
      <c r="BG94" s="15"/>
      <c r="BH94" s="15"/>
      <c r="BK94" s="10">
        <v>44378</v>
      </c>
      <c r="BL94" s="16">
        <f>HAVERM!B385</f>
        <v>1.29</v>
      </c>
      <c r="BM94" s="16">
        <f>HAVERM!C385</f>
        <v>1.45</v>
      </c>
      <c r="BQ94" s="16">
        <f t="shared" si="12"/>
        <v>1.0817272727272726</v>
      </c>
      <c r="BR94" s="16">
        <f t="shared" si="12"/>
        <v>1.0199272727272726</v>
      </c>
      <c r="BT94" s="16">
        <f>HAVERM!D385</f>
        <v>0.20827272727272728</v>
      </c>
      <c r="BU94" s="16">
        <f>HAVERM!E385</f>
        <v>0.43007272727272733</v>
      </c>
      <c r="BW94" s="16">
        <f t="shared" si="13"/>
        <v>-0.32000000000000006</v>
      </c>
      <c r="BX94" s="16">
        <f t="shared" si="11"/>
        <v>-1.0599999999999998</v>
      </c>
      <c r="BY94" s="16">
        <v>0</v>
      </c>
    </row>
    <row r="95" spans="40:77" x14ac:dyDescent="0.25"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C95" s="15"/>
      <c r="BD95" s="15"/>
      <c r="BE95" s="15"/>
      <c r="BF95" s="16"/>
      <c r="BG95" s="15"/>
      <c r="BH95" s="15"/>
      <c r="BK95" s="10">
        <v>44409</v>
      </c>
      <c r="BL95" s="16">
        <f>HAVERM!B386</f>
        <v>1.23</v>
      </c>
      <c r="BM95" s="16">
        <f>HAVERM!C386</f>
        <v>1.39</v>
      </c>
      <c r="BQ95" s="16">
        <f t="shared" si="12"/>
        <v>0.96960454545454544</v>
      </c>
      <c r="BR95" s="16">
        <f t="shared" si="12"/>
        <v>0.95339545454545438</v>
      </c>
      <c r="BT95" s="16">
        <f>HAVERM!D386</f>
        <v>0.26039545454545454</v>
      </c>
      <c r="BU95" s="16">
        <f>HAVERM!E386</f>
        <v>0.43660454545454552</v>
      </c>
      <c r="BW95" s="16">
        <f t="shared" si="13"/>
        <v>-0.3600000000000001</v>
      </c>
      <c r="BX95" s="16">
        <f t="shared" si="11"/>
        <v>-1.0000000000000002</v>
      </c>
      <c r="BY95" s="16">
        <v>0</v>
      </c>
    </row>
    <row r="96" spans="40:77" x14ac:dyDescent="0.25"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C96" s="15"/>
      <c r="BD96" s="15"/>
      <c r="BE96" s="15"/>
      <c r="BF96" s="16"/>
      <c r="BG96" s="15"/>
      <c r="BH96" s="15"/>
      <c r="BK96" s="10">
        <v>44440</v>
      </c>
      <c r="BL96" s="16">
        <f>HAVERM!B387</f>
        <v>1.2</v>
      </c>
      <c r="BM96" s="16">
        <f>HAVERM!C387</f>
        <v>1.28</v>
      </c>
      <c r="BQ96" s="16">
        <f t="shared" si="12"/>
        <v>0.84570454545454532</v>
      </c>
      <c r="BR96" s="16">
        <f t="shared" si="12"/>
        <v>0.70779999999999998</v>
      </c>
      <c r="BT96" s="16">
        <f>HAVERM!D387</f>
        <v>0.35429545454545458</v>
      </c>
      <c r="BU96" s="16">
        <f>HAVERM!E387</f>
        <v>0.57220000000000004</v>
      </c>
      <c r="BW96" s="16">
        <f t="shared" si="13"/>
        <v>-0.35000000000000009</v>
      </c>
      <c r="BX96" s="16">
        <f t="shared" si="11"/>
        <v>-1.0599999999999998</v>
      </c>
      <c r="BY96" s="16">
        <v>0</v>
      </c>
    </row>
    <row r="97" spans="40:77" x14ac:dyDescent="0.25"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C97" s="15"/>
      <c r="BD97" s="15"/>
      <c r="BE97" s="15"/>
      <c r="BF97" s="16"/>
      <c r="BG97" s="15"/>
      <c r="BH97" s="15"/>
      <c r="BK97" s="10">
        <v>44470</v>
      </c>
      <c r="BL97" s="16">
        <f>HAVERM!B388</f>
        <v>1.29</v>
      </c>
      <c r="BM97" s="16">
        <f>HAVERM!C388</f>
        <v>1.3</v>
      </c>
      <c r="BN97" s="16"/>
      <c r="BQ97" s="16">
        <f t="shared" si="12"/>
        <v>0.51142857142857157</v>
      </c>
      <c r="BR97" s="16">
        <f t="shared" si="12"/>
        <v>0.39312857142857149</v>
      </c>
      <c r="BT97" s="16">
        <f>HAVERM!D388</f>
        <v>0.77857142857142847</v>
      </c>
      <c r="BU97" s="16">
        <f>HAVERM!E388</f>
        <v>0.90687142857142855</v>
      </c>
      <c r="BW97" s="16">
        <f t="shared" si="13"/>
        <v>-0.17999999999999994</v>
      </c>
      <c r="BX97" s="16">
        <f t="shared" si="11"/>
        <v>-0.97</v>
      </c>
      <c r="BY97" s="16">
        <v>0</v>
      </c>
    </row>
    <row r="98" spans="40:77" x14ac:dyDescent="0.25"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C98" s="15"/>
      <c r="BD98" s="15"/>
      <c r="BE98" s="15"/>
      <c r="BF98" s="16"/>
      <c r="BG98" s="15"/>
      <c r="BH98" s="15"/>
      <c r="BK98" s="10">
        <v>44501</v>
      </c>
      <c r="BL98" s="16">
        <f>HAVERM!B389</f>
        <v>1.53</v>
      </c>
      <c r="BM98" s="16">
        <f>HAVERM!C389</f>
        <v>1.52</v>
      </c>
      <c r="BN98" s="16"/>
      <c r="BQ98" s="16">
        <f t="shared" si="12"/>
        <v>0.63360909090909101</v>
      </c>
      <c r="BR98" s="16">
        <f t="shared" si="12"/>
        <v>0.53602727272727257</v>
      </c>
      <c r="BT98" s="16">
        <f>HAVERM!D389</f>
        <v>0.89639090909090902</v>
      </c>
      <c r="BU98" s="16">
        <f>HAVERM!E389</f>
        <v>0.98397272727272744</v>
      </c>
      <c r="BW98" s="16">
        <f t="shared" si="13"/>
        <v>0.12000000000000011</v>
      </c>
      <c r="BX98" s="16">
        <f t="shared" si="11"/>
        <v>-0.73</v>
      </c>
      <c r="BY98" s="16">
        <v>0</v>
      </c>
    </row>
    <row r="99" spans="40:77" x14ac:dyDescent="0.25"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C99" s="15"/>
      <c r="BD99" s="15"/>
      <c r="BE99" s="15"/>
      <c r="BF99" s="16"/>
      <c r="BG99" s="15"/>
      <c r="BH99" s="15"/>
      <c r="BK99" s="10">
        <v>44531</v>
      </c>
      <c r="BL99" s="16">
        <f>HAVERM!B390</f>
        <v>1.57</v>
      </c>
      <c r="BM99" s="16">
        <f>HAVERM!C390</f>
        <v>1.59</v>
      </c>
      <c r="BN99" s="16"/>
      <c r="BQ99" s="16">
        <f t="shared" si="12"/>
        <v>0.6703782608695652</v>
      </c>
      <c r="BR99" s="16">
        <f t="shared" si="12"/>
        <v>0.65821739130434787</v>
      </c>
      <c r="BT99" s="16">
        <f>HAVERM!D390</f>
        <v>0.89962173913043486</v>
      </c>
      <c r="BU99" s="16">
        <f>HAVERM!E390</f>
        <v>0.93178260869565221</v>
      </c>
      <c r="BW99" s="16">
        <f t="shared" si="13"/>
        <v>0.15000000000000013</v>
      </c>
      <c r="BX99" s="16">
        <f t="shared" si="11"/>
        <v>-0.66999999999999971</v>
      </c>
      <c r="BY99" s="16">
        <v>0</v>
      </c>
    </row>
    <row r="100" spans="40:77" x14ac:dyDescent="0.25"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C100" s="15"/>
      <c r="BD100" s="15"/>
      <c r="BE100" s="15"/>
      <c r="BF100" s="16"/>
      <c r="BG100" s="15"/>
      <c r="BH100" s="15"/>
      <c r="BK100" s="10">
        <v>44562</v>
      </c>
      <c r="BL100" s="16">
        <f>HAVERM!B391</f>
        <v>1.64</v>
      </c>
      <c r="BM100" s="16">
        <f>HAVERM!C391</f>
        <v>1.63</v>
      </c>
      <c r="BN100" s="16"/>
      <c r="BQ100" s="16">
        <f t="shared" si="12"/>
        <v>0.50936666666666675</v>
      </c>
      <c r="BR100" s="16">
        <f t="shared" si="12"/>
        <v>0.44407142857142845</v>
      </c>
      <c r="BT100" s="16">
        <f>HAVERM!D391</f>
        <v>1.1306333333333332</v>
      </c>
      <c r="BU100" s="16">
        <f>HAVERM!E391</f>
        <v>1.1859285714285714</v>
      </c>
      <c r="BW100" s="16">
        <f t="shared" si="13"/>
        <v>0.22999999999999998</v>
      </c>
      <c r="BX100" s="16">
        <f t="shared" si="11"/>
        <v>-0.5900000000000003</v>
      </c>
      <c r="BY100" s="16">
        <v>0</v>
      </c>
    </row>
    <row r="101" spans="40:77" x14ac:dyDescent="0.25"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C101" s="15"/>
      <c r="BD101" s="15"/>
      <c r="BE101" s="15"/>
      <c r="BF101" s="16"/>
      <c r="BG101" s="15"/>
      <c r="BH101" s="15"/>
      <c r="BK101" s="10">
        <v>44593</v>
      </c>
      <c r="BL101" s="16">
        <f>HAVERM!B392</f>
        <v>1.78</v>
      </c>
      <c r="BM101" s="16">
        <f>HAVERM!C392</f>
        <v>1.79</v>
      </c>
      <c r="BN101" s="16"/>
      <c r="BQ101" s="16">
        <f t="shared" si="12"/>
        <v>0.12531500000000007</v>
      </c>
      <c r="BR101" s="16">
        <f t="shared" si="12"/>
        <v>0.20478499999999999</v>
      </c>
      <c r="BT101" s="16">
        <f>HAVERM!D392</f>
        <v>1.654685</v>
      </c>
      <c r="BU101" s="16">
        <f>HAVERM!E392</f>
        <v>1.585215</v>
      </c>
      <c r="BW101" s="16">
        <f t="shared" si="13"/>
        <v>0.38000000000000012</v>
      </c>
      <c r="BX101" s="16">
        <f t="shared" si="11"/>
        <v>-0.41000000000000014</v>
      </c>
      <c r="BY101" s="16">
        <v>0</v>
      </c>
    </row>
    <row r="102" spans="40:77" x14ac:dyDescent="0.25"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C102" s="15"/>
      <c r="BD102" s="15"/>
      <c r="BE102" s="15"/>
      <c r="BF102" s="16"/>
      <c r="BG102" s="15"/>
      <c r="BH102" s="15"/>
      <c r="BK102" s="10">
        <v>44621</v>
      </c>
      <c r="BL102" s="16">
        <f>HAVERM!B393</f>
        <v>2.14</v>
      </c>
      <c r="BM102" s="16">
        <f>HAVERM!C393</f>
        <v>2.11</v>
      </c>
      <c r="BN102" s="16"/>
      <c r="BQ102" s="16">
        <f t="shared" si="12"/>
        <v>0.26233478260869592</v>
      </c>
      <c r="BR102" s="16">
        <f t="shared" si="12"/>
        <v>0.34684347826086959</v>
      </c>
      <c r="BT102" s="16">
        <f>HAVERM!D393</f>
        <v>1.8776652173913042</v>
      </c>
      <c r="BU102" s="16">
        <f>HAVERM!E393</f>
        <v>1.7631565217391303</v>
      </c>
      <c r="BW102" s="16">
        <f t="shared" si="13"/>
        <v>0.74000000000000021</v>
      </c>
      <c r="BX102" s="16">
        <f t="shared" si="11"/>
        <v>-4.0000000000000036E-2</v>
      </c>
      <c r="BY102" s="16">
        <v>0</v>
      </c>
    </row>
    <row r="103" spans="40:77" x14ac:dyDescent="0.25"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C103" s="15"/>
      <c r="BD103" s="15"/>
      <c r="BE103" s="15"/>
      <c r="BF103" s="16"/>
      <c r="BG103" s="15"/>
      <c r="BH103" s="15"/>
      <c r="BK103" s="10">
        <v>44652</v>
      </c>
      <c r="BL103" s="16">
        <f>HAVERM!B394</f>
        <v>2.35</v>
      </c>
      <c r="BM103" s="16">
        <f>HAVERM!C394</f>
        <v>2.35</v>
      </c>
      <c r="BN103" s="16"/>
      <c r="BQ103" s="16">
        <f t="shared" si="12"/>
        <v>0.19494761904761937</v>
      </c>
      <c r="BR103" s="16">
        <f t="shared" si="12"/>
        <v>0.29374285714285664</v>
      </c>
      <c r="BT103" s="16">
        <f>HAVERM!D394</f>
        <v>2.1550523809523807</v>
      </c>
      <c r="BU103" s="16">
        <f>HAVERM!E394</f>
        <v>2.0562571428571434</v>
      </c>
      <c r="BW103" s="16">
        <f t="shared" si="13"/>
        <v>0.9700000000000002</v>
      </c>
      <c r="BX103" s="16">
        <f t="shared" si="11"/>
        <v>0.26000000000000023</v>
      </c>
      <c r="BY103" s="16">
        <v>0</v>
      </c>
    </row>
    <row r="104" spans="40:77" x14ac:dyDescent="0.25"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C104" s="15"/>
      <c r="BD104" s="15"/>
      <c r="BE104" s="15"/>
      <c r="BF104" s="16"/>
      <c r="BG104" s="15"/>
      <c r="BH104" s="15"/>
      <c r="BK104" s="10">
        <v>44682</v>
      </c>
      <c r="BL104" s="16">
        <f>HAVERM!B395</f>
        <v>2.63</v>
      </c>
      <c r="BM104" s="16">
        <f>HAVERM!C395</f>
        <v>2.62</v>
      </c>
      <c r="BN104" s="16"/>
      <c r="BQ104" s="16">
        <f t="shared" si="12"/>
        <v>0.4451227272727265</v>
      </c>
      <c r="BR104" s="16">
        <f t="shared" si="12"/>
        <v>0.52685000000000004</v>
      </c>
      <c r="BT104" s="16">
        <f>HAVERM!D395</f>
        <v>2.1848772727272734</v>
      </c>
      <c r="BU104" s="16">
        <f>HAVERM!E395</f>
        <v>2.0931500000000001</v>
      </c>
      <c r="BW104" s="16">
        <f t="shared" si="13"/>
        <v>1.21</v>
      </c>
      <c r="BX104" s="16">
        <f t="shared" si="11"/>
        <v>0.5900000000000003</v>
      </c>
      <c r="BY104" s="16">
        <v>0</v>
      </c>
    </row>
    <row r="105" spans="40:77" x14ac:dyDescent="0.25"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C105" s="15"/>
      <c r="BD105" s="15"/>
      <c r="BE105" s="15"/>
      <c r="BF105" s="16"/>
      <c r="BG105" s="15"/>
      <c r="BH105" s="15"/>
      <c r="BK105" s="10">
        <v>44713</v>
      </c>
      <c r="BL105" s="16">
        <f>HAVERM!B396</f>
        <v>2.87</v>
      </c>
      <c r="BM105" s="16">
        <f>HAVERM!C396</f>
        <v>2.9</v>
      </c>
      <c r="BN105" s="16"/>
      <c r="BQ105" s="16">
        <f t="shared" si="12"/>
        <v>9.8968181818182011E-2</v>
      </c>
      <c r="BR105" s="16">
        <f t="shared" si="12"/>
        <v>0.26043181818181838</v>
      </c>
      <c r="BT105" s="16">
        <f>HAVERM!D396</f>
        <v>2.7710318181818181</v>
      </c>
      <c r="BU105" s="16">
        <f>HAVERM!E396</f>
        <v>2.6395681818181815</v>
      </c>
      <c r="BW105" s="16">
        <f t="shared" si="13"/>
        <v>1.4600000000000002</v>
      </c>
      <c r="BX105" s="16">
        <f t="shared" si="11"/>
        <v>0.90999999999999992</v>
      </c>
      <c r="BY105" s="16">
        <v>0</v>
      </c>
    </row>
    <row r="106" spans="40:77" x14ac:dyDescent="0.25"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C106" s="15"/>
      <c r="BD106" s="15"/>
      <c r="BE106" s="15"/>
      <c r="BF106" s="16"/>
      <c r="BG106" s="15"/>
      <c r="BH106" s="15"/>
      <c r="BK106" s="10">
        <v>44743</v>
      </c>
      <c r="BL106" s="16">
        <f>HAVERM!B397</f>
        <v>3.48</v>
      </c>
      <c r="BM106" s="16">
        <f>HAVERM!C397</f>
        <v>3.43</v>
      </c>
      <c r="BN106" s="16"/>
      <c r="BQ106" s="16">
        <f t="shared" si="12"/>
        <v>0.83590476190476171</v>
      </c>
      <c r="BR106" s="16">
        <f t="shared" si="12"/>
        <v>1.0384238095238092</v>
      </c>
      <c r="BT106" s="16">
        <f>HAVERM!D397</f>
        <v>2.6440952380952383</v>
      </c>
      <c r="BU106" s="16">
        <f>HAVERM!E397</f>
        <v>2.391576190476191</v>
      </c>
      <c r="BW106" s="16">
        <f t="shared" si="13"/>
        <v>2.0300000000000002</v>
      </c>
      <c r="BX106" s="16">
        <f t="shared" si="11"/>
        <v>1.4600000000000002</v>
      </c>
      <c r="BY106" s="16">
        <v>0</v>
      </c>
    </row>
    <row r="107" spans="40:77" x14ac:dyDescent="0.25"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C107" s="15"/>
      <c r="BD107" s="15"/>
      <c r="BE107" s="15"/>
      <c r="BF107" s="16"/>
      <c r="BG107" s="15"/>
      <c r="BH107" s="15"/>
      <c r="BK107" s="10">
        <v>44774</v>
      </c>
      <c r="BL107" s="16">
        <f>HAVERM!B398</f>
        <v>3.6</v>
      </c>
      <c r="BM107" s="16">
        <f>HAVERM!C398</f>
        <v>3.61</v>
      </c>
      <c r="BN107" s="16">
        <v>100</v>
      </c>
      <c r="BQ107" s="16">
        <f t="shared" si="12"/>
        <v>0.40231304347826136</v>
      </c>
      <c r="BR107" s="16">
        <f t="shared" si="12"/>
        <v>0.84390869565217397</v>
      </c>
      <c r="BT107" s="16">
        <f>HAVERM!D398</f>
        <v>3.1976869565217387</v>
      </c>
      <c r="BU107" s="16">
        <f>HAVERM!E398</f>
        <v>2.7660913043478259</v>
      </c>
      <c r="BW107" s="16">
        <f t="shared" si="13"/>
        <v>2</v>
      </c>
      <c r="BX107" s="16">
        <f t="shared" si="11"/>
        <v>1.65</v>
      </c>
      <c r="BY107" s="16">
        <v>0</v>
      </c>
    </row>
    <row r="108" spans="40:77" x14ac:dyDescent="0.25"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C108" s="15"/>
      <c r="BD108" s="15"/>
      <c r="BE108" s="15"/>
      <c r="BF108" s="16"/>
      <c r="BG108" s="15"/>
      <c r="BH108" s="15"/>
      <c r="BK108" s="10">
        <v>44805</v>
      </c>
      <c r="BL108" s="16">
        <f>HAVERM!B399</f>
        <v>4.17</v>
      </c>
      <c r="BM108" s="16">
        <f>HAVERM!C399</f>
        <v>3.97</v>
      </c>
      <c r="BN108" s="16">
        <v>100</v>
      </c>
      <c r="BQ108" s="16">
        <f t="shared" si="12"/>
        <v>-0.29443636363636383</v>
      </c>
      <c r="BR108" s="16">
        <f t="shared" si="12"/>
        <v>-4.5904545454545254E-2</v>
      </c>
      <c r="BT108" s="16">
        <f>HAVERM!D399</f>
        <v>4.4644363636363638</v>
      </c>
      <c r="BU108" s="16">
        <f>HAVERM!E399</f>
        <v>4.0159045454545454</v>
      </c>
      <c r="BW108" s="16">
        <f t="shared" si="13"/>
        <v>2.42</v>
      </c>
      <c r="BX108" s="16">
        <f t="shared" si="11"/>
        <v>2.0700000000000003</v>
      </c>
      <c r="BY108" s="16">
        <v>0</v>
      </c>
    </row>
    <row r="109" spans="40:77" x14ac:dyDescent="0.25"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C109" s="15"/>
      <c r="BD109" s="15"/>
      <c r="BE109" s="15"/>
      <c r="BF109" s="16"/>
      <c r="BG109" s="15"/>
      <c r="BH109" s="15"/>
      <c r="BK109" s="10">
        <v>44835</v>
      </c>
      <c r="BL109" s="16">
        <f>HAVERM!B400</f>
        <v>5.99</v>
      </c>
      <c r="BM109" s="16">
        <f>HAVERM!C400</f>
        <v>5.61</v>
      </c>
      <c r="BN109" s="16">
        <v>100</v>
      </c>
      <c r="BQ109" s="16">
        <f t="shared" si="12"/>
        <v>1.0281999999999991</v>
      </c>
      <c r="BR109" s="16">
        <f t="shared" si="12"/>
        <v>0.88082857142857129</v>
      </c>
      <c r="BT109" s="16">
        <f>HAVERM!D400</f>
        <v>4.9618000000000011</v>
      </c>
      <c r="BU109" s="16">
        <f>HAVERM!E400</f>
        <v>4.729171428571429</v>
      </c>
      <c r="BW109" s="16">
        <f t="shared" si="13"/>
        <v>4.0500000000000007</v>
      </c>
      <c r="BX109" s="16">
        <f t="shared" si="11"/>
        <v>3.5700000000000003</v>
      </c>
      <c r="BY109" s="16">
        <v>0</v>
      </c>
    </row>
    <row r="110" spans="40:77" x14ac:dyDescent="0.25"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C110" s="15"/>
      <c r="BD110" s="15"/>
      <c r="BE110" s="15"/>
      <c r="BF110" s="16"/>
      <c r="BG110" s="15"/>
      <c r="BH110" s="15"/>
      <c r="BK110" s="10">
        <v>44866</v>
      </c>
      <c r="BL110" s="16">
        <f>HAVERM!B401</f>
        <v>5.98</v>
      </c>
      <c r="BM110" s="16">
        <f>HAVERM!C401</f>
        <v>5.5</v>
      </c>
      <c r="BN110" s="16">
        <v>100</v>
      </c>
      <c r="BQ110" s="16">
        <f t="shared" si="12"/>
        <v>1.6356272727272732</v>
      </c>
      <c r="BR110" s="16">
        <f t="shared" si="12"/>
        <v>1.5627590909090912</v>
      </c>
      <c r="BT110" s="16">
        <f>HAVERM!D401</f>
        <v>4.3443727272727273</v>
      </c>
      <c r="BU110" s="16">
        <f>HAVERM!E401</f>
        <v>3.9372409090909088</v>
      </c>
      <c r="BW110" s="16">
        <f t="shared" si="13"/>
        <v>4.0600000000000005</v>
      </c>
      <c r="BX110" s="16">
        <f t="shared" si="11"/>
        <v>3.46</v>
      </c>
      <c r="BY110" s="16">
        <v>0</v>
      </c>
    </row>
    <row r="111" spans="40:77" x14ac:dyDescent="0.25"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C111" s="15"/>
      <c r="BD111" s="15"/>
      <c r="BE111" s="15"/>
      <c r="BF111" s="16"/>
      <c r="BG111" s="15"/>
      <c r="BH111" s="15"/>
      <c r="BK111" s="10">
        <v>44896</v>
      </c>
      <c r="BL111" s="16">
        <f>HAVERM!B402</f>
        <v>5.43</v>
      </c>
      <c r="BM111" s="16">
        <f>HAVERM!C402</f>
        <v>5.05</v>
      </c>
      <c r="BN111" s="16">
        <v>100</v>
      </c>
      <c r="BQ111" s="16">
        <f t="shared" si="12"/>
        <v>1.055968181818181</v>
      </c>
      <c r="BR111" s="16">
        <f t="shared" si="12"/>
        <v>1.1480681818181822</v>
      </c>
      <c r="BT111" s="16">
        <f>HAVERM!D402</f>
        <v>4.3740318181818187</v>
      </c>
      <c r="BU111" s="16">
        <f>HAVERM!E402</f>
        <v>3.9019318181818177</v>
      </c>
      <c r="BW111" s="16">
        <f t="shared" si="13"/>
        <v>3.5699999999999994</v>
      </c>
      <c r="BX111" s="16">
        <f t="shared" si="11"/>
        <v>2.98</v>
      </c>
      <c r="BY111" s="16">
        <v>0</v>
      </c>
    </row>
    <row r="112" spans="40:77" x14ac:dyDescent="0.25"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C112" s="15"/>
      <c r="BD112" s="15"/>
      <c r="BE112" s="15"/>
      <c r="BF112" s="16"/>
      <c r="BG112" s="15"/>
      <c r="BH112" s="15"/>
      <c r="BK112" s="10">
        <v>44927</v>
      </c>
      <c r="BL112" s="16">
        <f>HAVERM!B403</f>
        <v>5.14</v>
      </c>
      <c r="BM112" s="16">
        <f>HAVERM!C403</f>
        <v>4.66</v>
      </c>
      <c r="BN112" s="16">
        <v>100</v>
      </c>
      <c r="BQ112" s="16">
        <f t="shared" si="12"/>
        <v>0.9770590909090906</v>
      </c>
      <c r="BR112" s="16">
        <f t="shared" si="12"/>
        <v>0.94867272727272711</v>
      </c>
      <c r="BT112" s="16">
        <f>HAVERM!D403</f>
        <v>4.1629409090909091</v>
      </c>
      <c r="BU112" s="16">
        <f>HAVERM!E403</f>
        <v>3.711327272727273</v>
      </c>
      <c r="BW112" s="16">
        <f t="shared" si="13"/>
        <v>3.3899999999999997</v>
      </c>
      <c r="BX112" s="16">
        <f t="shared" si="11"/>
        <v>2.68</v>
      </c>
      <c r="BY112" s="16">
        <v>0</v>
      </c>
    </row>
    <row r="113" spans="40:77" x14ac:dyDescent="0.25"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C113" s="15"/>
      <c r="BD113" s="15"/>
      <c r="BE113" s="15"/>
      <c r="BF113" s="16"/>
      <c r="BG113" s="15"/>
      <c r="BH113" s="15"/>
      <c r="BK113" s="10">
        <v>44958</v>
      </c>
      <c r="BL113" s="16">
        <f>HAVERM!B404</f>
        <v>4.79</v>
      </c>
      <c r="BM113" s="16">
        <f>HAVERM!C404</f>
        <v>4.3600000000000003</v>
      </c>
      <c r="BN113" s="16">
        <v>100</v>
      </c>
      <c r="BQ113" s="16">
        <f t="shared" si="12"/>
        <v>0.61070000000000046</v>
      </c>
      <c r="BR113" s="16">
        <f t="shared" si="12"/>
        <v>0.63180500000000084</v>
      </c>
      <c r="BT113" s="16">
        <f>HAVERM!D404</f>
        <v>4.1792999999999996</v>
      </c>
      <c r="BU113" s="16">
        <f>HAVERM!E404</f>
        <v>3.7281949999999995</v>
      </c>
      <c r="BW113" s="16">
        <f t="shared" si="13"/>
        <v>3.1799999999999997</v>
      </c>
      <c r="BX113" s="16">
        <f t="shared" si="11"/>
        <v>2.37</v>
      </c>
      <c r="BY113" s="16">
        <v>0</v>
      </c>
    </row>
    <row r="114" spans="40:77" x14ac:dyDescent="0.25"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C114" s="15"/>
      <c r="BD114" s="15"/>
      <c r="BE114" s="15"/>
      <c r="BF114" s="16"/>
      <c r="BG114" s="15"/>
      <c r="BH114" s="15"/>
      <c r="BK114" s="10">
        <v>44986</v>
      </c>
      <c r="BL114" s="16">
        <f>HAVERM!B405</f>
        <v>4.74</v>
      </c>
      <c r="BM114" s="16">
        <f>HAVERM!C405</f>
        <v>4.26</v>
      </c>
      <c r="BN114" s="16">
        <v>100</v>
      </c>
      <c r="BQ114" s="16">
        <f t="shared" si="12"/>
        <v>0.4481869565217389</v>
      </c>
      <c r="BR114" s="16">
        <f t="shared" si="12"/>
        <v>0.43181304347826011</v>
      </c>
      <c r="BT114" s="16">
        <f>HAVERM!D405</f>
        <v>4.2918130434782613</v>
      </c>
      <c r="BU114" s="16">
        <f>HAVERM!E405</f>
        <v>3.8281869565217397</v>
      </c>
      <c r="BW114" s="16">
        <f t="shared" si="13"/>
        <v>3.18</v>
      </c>
      <c r="BX114" s="16">
        <f t="shared" si="11"/>
        <v>2.2399999999999998</v>
      </c>
      <c r="BY114" s="16">
        <v>0</v>
      </c>
    </row>
    <row r="115" spans="40:77" x14ac:dyDescent="0.25"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C115" s="15"/>
      <c r="BD115" s="15"/>
      <c r="BE115" s="15"/>
      <c r="BF115" s="16"/>
      <c r="BG115" s="15"/>
      <c r="BH115" s="15"/>
      <c r="BK115" s="10">
        <v>45017</v>
      </c>
      <c r="BL115" s="16">
        <f>HAVERM!B406</f>
        <v>4.5999999999999996</v>
      </c>
      <c r="BM115" s="16">
        <f>HAVERM!C406</f>
        <v>4.16</v>
      </c>
      <c r="BN115" s="16">
        <v>100</v>
      </c>
      <c r="BQ115" s="16">
        <f t="shared" si="12"/>
        <v>0.25405499999999925</v>
      </c>
      <c r="BR115" s="16">
        <f t="shared" si="12"/>
        <v>0.30359999999999943</v>
      </c>
      <c r="BT115" s="16">
        <f>HAVERM!D406</f>
        <v>4.3459450000000004</v>
      </c>
      <c r="BU115" s="16">
        <f>HAVERM!E406</f>
        <v>3.8564000000000007</v>
      </c>
      <c r="BW115" s="16">
        <f t="shared" si="13"/>
        <v>3.1099999999999994</v>
      </c>
      <c r="BX115" s="16">
        <f t="shared" si="11"/>
        <v>2.1500000000000004</v>
      </c>
      <c r="BY115" s="16">
        <v>0</v>
      </c>
    </row>
    <row r="116" spans="40:77" x14ac:dyDescent="0.25"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C116" s="15"/>
      <c r="BD116" s="15"/>
      <c r="BE116" s="15"/>
      <c r="BF116" s="16"/>
      <c r="BG116" s="15"/>
      <c r="BH116" s="15"/>
      <c r="BK116" s="10">
        <v>45047</v>
      </c>
      <c r="BL116" s="16">
        <f>HAVERM!B407</f>
        <v>4.72</v>
      </c>
      <c r="BM116" s="16">
        <f>HAVERM!C407</f>
        <v>4.28</v>
      </c>
      <c r="BN116" s="16">
        <v>100</v>
      </c>
      <c r="BQ116" s="16">
        <f t="shared" si="12"/>
        <v>3.2291304347825012E-2</v>
      </c>
      <c r="BR116" s="16">
        <f t="shared" si="12"/>
        <v>0.1096826086956515</v>
      </c>
      <c r="BT116" s="16">
        <f>HAVERM!D407</f>
        <v>4.6877086956521747</v>
      </c>
      <c r="BU116" s="16">
        <f>HAVERM!E407</f>
        <v>4.1703173913043488</v>
      </c>
      <c r="BW116" s="16">
        <f t="shared" si="13"/>
        <v>3.25</v>
      </c>
      <c r="BX116" s="16">
        <f t="shared" si="11"/>
        <v>2.2200000000000002</v>
      </c>
      <c r="BY116" s="16">
        <v>0</v>
      </c>
    </row>
    <row r="117" spans="40:77" x14ac:dyDescent="0.25"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C117" s="15"/>
      <c r="BD117" s="15"/>
      <c r="BE117" s="15"/>
      <c r="BF117" s="16"/>
      <c r="BG117" s="15"/>
      <c r="BH117" s="15"/>
      <c r="BK117" s="10">
        <v>45078</v>
      </c>
      <c r="BL117" s="16">
        <f>HAVERM!B408</f>
        <v>5.49</v>
      </c>
      <c r="BM117" s="16">
        <f>HAVERM!C408</f>
        <v>4.95</v>
      </c>
      <c r="BN117" s="16">
        <v>100</v>
      </c>
      <c r="BQ117" s="16">
        <f t="shared" ref="BQ117:BR129" si="14">BL117-BT117</f>
        <v>-3.707272727272759E-2</v>
      </c>
      <c r="BR117" s="16">
        <f t="shared" si="14"/>
        <v>0.13845909090909103</v>
      </c>
      <c r="BT117" s="16">
        <f>HAVERM!D408</f>
        <v>5.5270727272727278</v>
      </c>
      <c r="BU117" s="16">
        <f>HAVERM!E408</f>
        <v>4.8115409090909091</v>
      </c>
      <c r="BW117" s="16">
        <f t="shared" si="13"/>
        <v>4.1000000000000005</v>
      </c>
      <c r="BX117" s="16">
        <f t="shared" si="11"/>
        <v>2.9200000000000004</v>
      </c>
      <c r="BY117" s="16">
        <v>0</v>
      </c>
    </row>
    <row r="118" spans="40:77" x14ac:dyDescent="0.25"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C118" s="15"/>
      <c r="BD118" s="15"/>
      <c r="BE118" s="15"/>
      <c r="BF118" s="16"/>
      <c r="BG118" s="15"/>
      <c r="BH118" s="15"/>
      <c r="BK118" s="10">
        <v>45108</v>
      </c>
      <c r="BL118" s="16">
        <f>HAVERM!B409</f>
        <v>6.22</v>
      </c>
      <c r="BM118" s="16">
        <f>HAVERM!C409</f>
        <v>5.71</v>
      </c>
      <c r="BN118" s="16">
        <v>100</v>
      </c>
      <c r="BQ118" s="16">
        <f t="shared" si="14"/>
        <v>0.37700476190476184</v>
      </c>
      <c r="BR118" s="16">
        <f t="shared" si="14"/>
        <v>0.69453333333333322</v>
      </c>
      <c r="BT118" s="16">
        <f>HAVERM!D409</f>
        <v>5.8429952380952379</v>
      </c>
      <c r="BU118" s="16">
        <f>HAVERM!E409</f>
        <v>5.0154666666666667</v>
      </c>
      <c r="BW118" s="16">
        <f t="shared" si="13"/>
        <v>4.93</v>
      </c>
      <c r="BX118" s="16">
        <f t="shared" si="11"/>
        <v>3.67</v>
      </c>
      <c r="BY118" s="16">
        <v>0</v>
      </c>
    </row>
    <row r="119" spans="40:77" x14ac:dyDescent="0.25"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C119" s="15"/>
      <c r="BD119" s="15"/>
      <c r="BE119" s="15"/>
      <c r="BF119" s="16"/>
      <c r="BG119" s="15"/>
      <c r="BH119" s="15"/>
      <c r="BK119" s="10">
        <v>45139</v>
      </c>
      <c r="BL119" s="16">
        <f>HAVERM!B410</f>
        <v>6.18</v>
      </c>
      <c r="BM119" s="16">
        <f>HAVERM!C410</f>
        <v>5.53</v>
      </c>
      <c r="BN119" s="16">
        <v>100</v>
      </c>
      <c r="BQ119" s="16">
        <f t="shared" si="14"/>
        <v>0.55060434782608514</v>
      </c>
      <c r="BR119" s="16">
        <f t="shared" si="14"/>
        <v>0.60108695652174049</v>
      </c>
      <c r="BT119" s="16">
        <f>HAVERM!D410</f>
        <v>5.6293956521739146</v>
      </c>
      <c r="BU119" s="16">
        <f>HAVERM!E410</f>
        <v>4.9289130434782598</v>
      </c>
      <c r="BW119" s="16">
        <f t="shared" si="13"/>
        <v>4.9499999999999993</v>
      </c>
      <c r="BX119" s="16">
        <f t="shared" si="11"/>
        <v>3.5000000000000004</v>
      </c>
      <c r="BY119" s="16">
        <v>0</v>
      </c>
    </row>
    <row r="120" spans="40:77" x14ac:dyDescent="0.25"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C120" s="15"/>
      <c r="BD120" s="15"/>
      <c r="BE120" s="15"/>
      <c r="BF120" s="16"/>
      <c r="BG120" s="15"/>
      <c r="BH120" s="15"/>
      <c r="BK120" s="10">
        <v>45170</v>
      </c>
      <c r="BL120" s="16">
        <f>HAVERM!B411</f>
        <v>5.91</v>
      </c>
      <c r="BM120" s="16">
        <f>HAVERM!C411</f>
        <v>5.24</v>
      </c>
      <c r="BN120" s="16">
        <v>100</v>
      </c>
      <c r="BQ120" s="16">
        <f t="shared" si="14"/>
        <v>0.614185714285715</v>
      </c>
      <c r="BR120" s="16">
        <f t="shared" si="14"/>
        <v>0.58186666666666653</v>
      </c>
      <c r="BT120" s="16">
        <f>HAVERM!D411</f>
        <v>5.2958142857142851</v>
      </c>
      <c r="BU120" s="16">
        <f>HAVERM!E411</f>
        <v>4.6581333333333337</v>
      </c>
      <c r="BW120" s="16">
        <f t="shared" si="13"/>
        <v>4.71</v>
      </c>
      <c r="BX120" s="16">
        <f t="shared" si="11"/>
        <v>3.2300000000000004</v>
      </c>
      <c r="BY120" s="16">
        <v>0</v>
      </c>
    </row>
    <row r="121" spans="40:77" x14ac:dyDescent="0.25"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C121" s="15"/>
      <c r="BD121" s="15"/>
      <c r="BE121" s="15"/>
      <c r="BF121" s="16"/>
      <c r="BG121" s="15"/>
      <c r="BH121" s="15"/>
      <c r="BK121" s="10">
        <v>45200</v>
      </c>
      <c r="BL121" s="16">
        <f>HAVERM!B412</f>
        <v>5.6</v>
      </c>
      <c r="BM121" s="16">
        <f>HAVERM!C412</f>
        <v>5.0199999999999996</v>
      </c>
      <c r="BN121" s="16">
        <v>100</v>
      </c>
      <c r="BQ121" s="16">
        <f t="shared" si="14"/>
        <v>0.49028636363636302</v>
      </c>
      <c r="BR121" s="16">
        <f t="shared" si="14"/>
        <v>0.40371818181818053</v>
      </c>
      <c r="BT121" s="16">
        <f>HAVERM!D412</f>
        <v>5.1097136363636366</v>
      </c>
      <c r="BU121" s="16">
        <f>HAVERM!E412</f>
        <v>4.616281818181819</v>
      </c>
      <c r="BW121" s="16">
        <f t="shared" si="13"/>
        <v>4.3099999999999996</v>
      </c>
      <c r="BX121" s="16">
        <f t="shared" si="11"/>
        <v>2.9599999999999995</v>
      </c>
      <c r="BY121" s="16">
        <v>0</v>
      </c>
    </row>
    <row r="122" spans="40:77" x14ac:dyDescent="0.25"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C122" s="15"/>
      <c r="BD122" s="15"/>
      <c r="BE122" s="15"/>
      <c r="BF122" s="16"/>
      <c r="BG122" s="15"/>
      <c r="BH122" s="15"/>
      <c r="BK122" s="10">
        <v>45231</v>
      </c>
      <c r="BL122" s="16">
        <f>HAVERM!B413</f>
        <v>5.28</v>
      </c>
      <c r="BM122" s="16">
        <f>HAVERM!C413</f>
        <v>4.8899999999999997</v>
      </c>
      <c r="BN122" s="16">
        <v>100</v>
      </c>
      <c r="BQ122" s="16">
        <f t="shared" si="14"/>
        <v>0.47829090909090866</v>
      </c>
      <c r="BR122" s="16">
        <f t="shared" si="14"/>
        <v>0.63816363636363516</v>
      </c>
      <c r="BT122" s="16">
        <f>HAVERM!D413</f>
        <v>4.8017090909090916</v>
      </c>
      <c r="BU122" s="16">
        <f>HAVERM!E413</f>
        <v>4.2518363636363645</v>
      </c>
      <c r="BW122" s="16">
        <f t="shared" si="13"/>
        <v>3.75</v>
      </c>
      <c r="BX122" s="16">
        <f t="shared" si="11"/>
        <v>2.8699999999999997</v>
      </c>
      <c r="BY122" s="16">
        <v>0</v>
      </c>
    </row>
    <row r="123" spans="40:77" x14ac:dyDescent="0.25"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C123" s="15"/>
      <c r="BD123" s="15"/>
      <c r="BE123" s="15"/>
      <c r="BF123" s="16"/>
      <c r="BG123" s="15"/>
      <c r="BH123" s="15"/>
      <c r="BK123" s="10">
        <v>45261</v>
      </c>
      <c r="BL123" s="16">
        <f>HAVERM!B414</f>
        <v>5.03</v>
      </c>
      <c r="BM123" s="16">
        <f>HAVERM!C414</f>
        <v>4.68</v>
      </c>
      <c r="BN123" s="16">
        <v>100</v>
      </c>
      <c r="BQ123" s="16">
        <f t="shared" si="14"/>
        <v>0.67720476190476298</v>
      </c>
      <c r="BR123" s="16">
        <f t="shared" si="14"/>
        <v>0.96569523809523794</v>
      </c>
      <c r="BT123" s="16">
        <f>HAVERM!D414</f>
        <v>4.3527952380952373</v>
      </c>
      <c r="BU123" s="16">
        <f>HAVERM!E414</f>
        <v>3.7143047619047618</v>
      </c>
      <c r="BW123" s="16">
        <f t="shared" si="13"/>
        <v>3.46</v>
      </c>
      <c r="BX123" s="16">
        <f t="shared" si="11"/>
        <v>2.67</v>
      </c>
      <c r="BY123" s="16">
        <v>0</v>
      </c>
    </row>
    <row r="124" spans="40:77" x14ac:dyDescent="0.25"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C124" s="15"/>
      <c r="BD124" s="15"/>
      <c r="BE124" s="15"/>
      <c r="BF124" s="16"/>
      <c r="BG124" s="15"/>
      <c r="BH124" s="15"/>
      <c r="BK124" s="10">
        <v>45292</v>
      </c>
      <c r="BL124" s="16">
        <f>HAVERM!B415</f>
        <v>4.71</v>
      </c>
      <c r="BM124" s="16">
        <f>HAVERM!C415</f>
        <v>4.43</v>
      </c>
      <c r="BQ124" s="16">
        <f t="shared" si="14"/>
        <v>0.47477727272727233</v>
      </c>
      <c r="BR124" s="16">
        <f t="shared" si="14"/>
        <v>0.77136956521739108</v>
      </c>
      <c r="BT124" s="16">
        <f>HAVERM!D415</f>
        <v>4.2352227272727276</v>
      </c>
      <c r="BU124" s="16">
        <f>HAVERM!E415</f>
        <v>3.6586304347826086</v>
      </c>
      <c r="BW124" s="16">
        <f t="shared" si="13"/>
        <v>3.0700000000000003</v>
      </c>
      <c r="BX124" s="16">
        <f t="shared" si="11"/>
        <v>2.38</v>
      </c>
      <c r="BY124" s="16">
        <v>0</v>
      </c>
    </row>
    <row r="125" spans="40:77" x14ac:dyDescent="0.25"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C125" s="15"/>
      <c r="BD125" s="15"/>
      <c r="BE125" s="15"/>
      <c r="BF125" s="16"/>
      <c r="BG125" s="15"/>
      <c r="BH125" s="15"/>
      <c r="BK125" s="10">
        <v>45323</v>
      </c>
      <c r="BL125" s="16">
        <f>HAVERM!B416</f>
        <v>4.76</v>
      </c>
      <c r="BM125" s="16">
        <f>HAVERM!C416</f>
        <v>4.41</v>
      </c>
      <c r="BQ125" s="16">
        <f t="shared" si="14"/>
        <v>0.24355714285714214</v>
      </c>
      <c r="BR125" s="16">
        <f t="shared" si="14"/>
        <v>0.4541476190476188</v>
      </c>
      <c r="BT125" s="16">
        <f>HAVERM!D416</f>
        <v>4.5164428571428576</v>
      </c>
      <c r="BU125" s="16">
        <f>HAVERM!E416</f>
        <v>3.9558523809523813</v>
      </c>
      <c r="BW125" s="16">
        <f t="shared" si="13"/>
        <v>2.9799999999999995</v>
      </c>
      <c r="BX125" s="16">
        <f t="shared" si="11"/>
        <v>2.3600000000000003</v>
      </c>
      <c r="BY125" s="16">
        <v>0</v>
      </c>
    </row>
    <row r="126" spans="40:77" x14ac:dyDescent="0.25"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C126" s="15"/>
      <c r="BD126" s="15"/>
      <c r="BE126" s="15"/>
      <c r="BF126" s="16"/>
      <c r="BG126" s="15"/>
      <c r="BH126" s="15"/>
      <c r="BK126" s="10">
        <v>45352</v>
      </c>
      <c r="BL126" s="16">
        <f>HAVERM!B417</f>
        <v>4.96</v>
      </c>
      <c r="BM126" s="16">
        <f>HAVERM!C417</f>
        <v>4.53</v>
      </c>
      <c r="BQ126" s="16">
        <f t="shared" si="14"/>
        <v>0.47039047619047558</v>
      </c>
      <c r="BR126" s="16">
        <f t="shared" si="14"/>
        <v>0.62670476190476165</v>
      </c>
      <c r="BT126" s="16">
        <f>HAVERM!D417</f>
        <v>4.4896095238095244</v>
      </c>
      <c r="BU126" s="16">
        <f>HAVERM!E417</f>
        <v>3.9032952380952386</v>
      </c>
      <c r="BW126" s="16">
        <f t="shared" si="13"/>
        <v>2.82</v>
      </c>
      <c r="BX126" s="16">
        <f t="shared" si="11"/>
        <v>2.5000000000000004</v>
      </c>
      <c r="BY126" s="16">
        <v>0</v>
      </c>
    </row>
    <row r="127" spans="40:77" x14ac:dyDescent="0.25"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C127" s="15"/>
      <c r="BD127" s="15"/>
      <c r="BE127" s="15"/>
      <c r="BF127" s="16"/>
      <c r="BG127" s="15"/>
      <c r="BH127" s="15"/>
      <c r="BK127" s="10">
        <v>45383</v>
      </c>
      <c r="BL127" s="16">
        <f>HAVERM!B418</f>
        <v>4.99</v>
      </c>
      <c r="BM127" s="16">
        <f>HAVERM!C418</f>
        <v>4.51</v>
      </c>
      <c r="BQ127" s="16">
        <f t="shared" si="14"/>
        <v>0.39600952380952403</v>
      </c>
      <c r="BR127" s="16">
        <f t="shared" si="14"/>
        <v>0.45218571428571419</v>
      </c>
      <c r="BT127" s="16">
        <f>HAVERM!D418</f>
        <v>4.5939904761904762</v>
      </c>
      <c r="BU127" s="16">
        <f>HAVERM!E418</f>
        <v>4.0578142857142856</v>
      </c>
      <c r="BW127" s="16">
        <f t="shared" si="13"/>
        <v>2.64</v>
      </c>
      <c r="BX127" s="16">
        <f t="shared" si="11"/>
        <v>2.5099999999999998</v>
      </c>
      <c r="BY127" s="16">
        <v>0</v>
      </c>
    </row>
    <row r="128" spans="40:77" x14ac:dyDescent="0.25"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C128" s="15"/>
      <c r="BD128" s="15"/>
      <c r="BE128" s="15"/>
      <c r="BF128" s="16"/>
      <c r="BG128" s="15"/>
      <c r="BH128" s="15"/>
      <c r="BK128" s="10">
        <v>45413</v>
      </c>
      <c r="BL128" s="16">
        <f>HAVERM!B419</f>
        <v>5.19</v>
      </c>
      <c r="BM128" s="16">
        <f>HAVERM!C419</f>
        <v>4.67</v>
      </c>
      <c r="BQ128" s="16">
        <f t="shared" si="14"/>
        <v>0.56181304347826089</v>
      </c>
      <c r="BR128" s="16">
        <f t="shared" si="14"/>
        <v>0.58997826086956451</v>
      </c>
      <c r="BT128" s="16">
        <f>HAVERM!D419</f>
        <v>4.6281869565217395</v>
      </c>
      <c r="BU128" s="16">
        <f>HAVERM!E419</f>
        <v>4.0800217391304354</v>
      </c>
      <c r="BW128" s="16">
        <f t="shared" si="13"/>
        <v>2.5600000000000005</v>
      </c>
      <c r="BX128" s="16">
        <f t="shared" ref="BX128:BX134" si="15">BM128-BM68</f>
        <v>2.6799999999999997</v>
      </c>
      <c r="BY128" s="16">
        <v>0</v>
      </c>
    </row>
    <row r="129" spans="40:77" x14ac:dyDescent="0.25"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C129" s="15"/>
      <c r="BD129" s="15"/>
      <c r="BE129" s="15"/>
      <c r="BF129" s="16"/>
      <c r="BG129" s="15"/>
      <c r="BH129" s="15"/>
      <c r="BK129" s="10">
        <v>45444</v>
      </c>
      <c r="BL129" s="16">
        <f>HAVERM!B420</f>
        <v>5.16</v>
      </c>
      <c r="BM129" s="16">
        <f>HAVERM!C420</f>
        <v>4.6500000000000004</v>
      </c>
      <c r="BQ129" s="16">
        <f t="shared" si="14"/>
        <v>0.58655263157894844</v>
      </c>
      <c r="BR129" s="16">
        <f t="shared" si="14"/>
        <v>0.64676315789473726</v>
      </c>
      <c r="BT129" s="16">
        <f>HAVERM!D420</f>
        <v>4.5734473684210517</v>
      </c>
      <c r="BU129" s="16">
        <f>HAVERM!E420</f>
        <v>4.0032368421052631</v>
      </c>
      <c r="BW129" s="16">
        <f t="shared" si="13"/>
        <v>2.29</v>
      </c>
      <c r="BX129" s="16">
        <f t="shared" si="15"/>
        <v>2.6800000000000006</v>
      </c>
      <c r="BY129" s="16">
        <v>0</v>
      </c>
    </row>
    <row r="130" spans="40:77" x14ac:dyDescent="0.25"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C130" s="15"/>
      <c r="BD130" s="15"/>
      <c r="BE130" s="15"/>
      <c r="BF130" s="16"/>
      <c r="BG130" s="15"/>
      <c r="BH130" s="15"/>
      <c r="BK130" s="10">
        <v>45474</v>
      </c>
      <c r="BL130" s="16">
        <f>HAVERM!B421</f>
        <v>4.99</v>
      </c>
      <c r="BM130" s="16">
        <f>HAVERM!C421</f>
        <v>4.51</v>
      </c>
      <c r="BQ130" s="16">
        <f t="shared" ref="BQ130" si="16">BL130-BT130</f>
        <v>0.5763045454545459</v>
      </c>
      <c r="BR130" s="16">
        <f t="shared" ref="BR130" si="17">BM130-BU130</f>
        <v>0.59900909090909149</v>
      </c>
      <c r="BT130" s="16">
        <f>HAVERM!D421</f>
        <v>4.4136954545454543</v>
      </c>
      <c r="BU130" s="16">
        <f>HAVERM!E421</f>
        <v>3.9109909090909083</v>
      </c>
      <c r="BW130" s="16">
        <f t="shared" si="13"/>
        <v>1.5100000000000002</v>
      </c>
      <c r="BX130" s="16">
        <f t="shared" si="15"/>
        <v>2.58</v>
      </c>
      <c r="BY130" s="16">
        <v>0</v>
      </c>
    </row>
    <row r="131" spans="40:77" x14ac:dyDescent="0.25"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C131" s="15"/>
      <c r="BD131" s="15"/>
      <c r="BE131" s="15"/>
      <c r="BF131" s="16"/>
      <c r="BG131" s="15"/>
      <c r="BH131" s="15"/>
      <c r="BK131" s="10">
        <v>45505</v>
      </c>
      <c r="BL131" s="16">
        <f>+BQ131+BT131</f>
        <v>4.8079609999999997</v>
      </c>
      <c r="BM131" s="16">
        <f>+BR131+BU131</f>
        <v>4.431044</v>
      </c>
      <c r="BQ131" s="23">
        <f>'[2]Mortgage &amp; deposit rates'!Z109</f>
        <v>0.59</v>
      </c>
      <c r="BR131" s="23">
        <f>'[2]Mortgage &amp; deposit rates'!AA109</f>
        <v>0.64</v>
      </c>
      <c r="BT131" s="23">
        <f>DataQ!AF213</f>
        <v>4.2179609999999998</v>
      </c>
      <c r="BU131" s="23">
        <f>DataQ!AG213</f>
        <v>3.7910439999999999</v>
      </c>
      <c r="BW131" s="16">
        <f t="shared" si="13"/>
        <v>1.2079609999999996</v>
      </c>
      <c r="BX131" s="16">
        <f t="shared" si="15"/>
        <v>2.5410440000000003</v>
      </c>
      <c r="BY131" s="16">
        <v>0</v>
      </c>
    </row>
    <row r="132" spans="40:77" x14ac:dyDescent="0.25"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C132" s="15"/>
      <c r="BD132" s="15"/>
      <c r="BE132" s="15"/>
      <c r="BF132" s="16"/>
      <c r="BG132" s="15"/>
      <c r="BH132" s="15"/>
      <c r="BK132" s="10">
        <v>45536</v>
      </c>
      <c r="BL132" s="16">
        <f t="shared" ref="BL132:BL147" si="18">+BQ132+BT132</f>
        <v>4.7792823333333327</v>
      </c>
      <c r="BM132" s="16">
        <f t="shared" ref="BM132:BM147" si="19">+BR132+BU132</f>
        <v>4.4107750000000001</v>
      </c>
      <c r="BQ132" s="22">
        <f>BQ131+(BQ134-BQ131)*1/3</f>
        <v>0.60166666666666668</v>
      </c>
      <c r="BR132" s="22">
        <f>BR131+(BR134-BR131)*1/3</f>
        <v>0.64333333333333331</v>
      </c>
      <c r="BT132" s="22">
        <f>BT131+(BT134-BT131)*1/3</f>
        <v>4.1776156666666662</v>
      </c>
      <c r="BU132" s="22">
        <f>BU131+(BU134-BU131)*1/3</f>
        <v>3.7674416666666666</v>
      </c>
      <c r="BW132" s="16">
        <f t="shared" si="13"/>
        <v>0.60928233333333282</v>
      </c>
      <c r="BX132" s="16">
        <f t="shared" si="15"/>
        <v>2.6207750000000001</v>
      </c>
      <c r="BY132" s="16">
        <v>0</v>
      </c>
    </row>
    <row r="133" spans="40:77" x14ac:dyDescent="0.25"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C133" s="15"/>
      <c r="BD133" s="15"/>
      <c r="BE133" s="15"/>
      <c r="BF133" s="16"/>
      <c r="BG133" s="15"/>
      <c r="BH133" s="15"/>
      <c r="BK133" s="10">
        <v>45566</v>
      </c>
      <c r="BL133" s="16">
        <f t="shared" si="18"/>
        <v>4.7506036666666658</v>
      </c>
      <c r="BM133" s="16">
        <f t="shared" si="19"/>
        <v>4.3905060000000002</v>
      </c>
      <c r="BQ133" s="22">
        <f>BQ132+(BQ134-BQ131)*1/3</f>
        <v>0.6133333333333334</v>
      </c>
      <c r="BR133" s="22">
        <f>BR132+(BR134-BR131)*1/3</f>
        <v>0.64666666666666661</v>
      </c>
      <c r="BT133" s="22">
        <f>BT132+(BT134-BT131)*1/3</f>
        <v>4.1372703333333325</v>
      </c>
      <c r="BU133" s="22">
        <f>BU132+(BU134-BU131)*1/3</f>
        <v>3.7438393333333333</v>
      </c>
      <c r="BW133" s="16">
        <f t="shared" si="13"/>
        <v>-1.2393963333333344</v>
      </c>
      <c r="BX133" s="16">
        <f t="shared" si="15"/>
        <v>2.6805060000000003</v>
      </c>
      <c r="BY133" s="16">
        <v>0</v>
      </c>
    </row>
    <row r="134" spans="40:77" x14ac:dyDescent="0.25"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C134" s="15"/>
      <c r="BD134" s="15"/>
      <c r="BE134" s="15"/>
      <c r="BF134" s="16"/>
      <c r="BG134" s="15"/>
      <c r="BH134" s="15"/>
      <c r="BK134" s="10">
        <v>45597</v>
      </c>
      <c r="BL134" s="16">
        <f t="shared" si="18"/>
        <v>4.7219249999999997</v>
      </c>
      <c r="BM134" s="16">
        <f t="shared" si="19"/>
        <v>4.3702370000000004</v>
      </c>
      <c r="BQ134" s="23">
        <f>'[2]Mortgage &amp; deposit rates'!Z110</f>
        <v>0.625</v>
      </c>
      <c r="BR134" s="23">
        <f>'[2]Mortgage &amp; deposit rates'!AA110</f>
        <v>0.65</v>
      </c>
      <c r="BT134" s="23">
        <f>DataQ!AF214</f>
        <v>4.0969249999999997</v>
      </c>
      <c r="BU134" s="23">
        <f>DataQ!AG214</f>
        <v>3.720237</v>
      </c>
      <c r="BW134" s="16">
        <f t="shared" si="13"/>
        <v>-1.2580750000000007</v>
      </c>
      <c r="BX134" s="16">
        <f t="shared" si="15"/>
        <v>2.7002370000000004</v>
      </c>
      <c r="BY134" s="16">
        <v>0</v>
      </c>
    </row>
    <row r="135" spans="40:77" x14ac:dyDescent="0.25"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C135" s="15"/>
      <c r="BD135" s="15"/>
      <c r="BE135" s="15"/>
      <c r="BF135" s="16"/>
      <c r="BG135" s="15"/>
      <c r="BH135" s="15"/>
      <c r="BK135" s="10">
        <v>45627</v>
      </c>
      <c r="BL135" s="16">
        <f t="shared" si="18"/>
        <v>4.7175673333333332</v>
      </c>
      <c r="BM135" s="16">
        <f t="shared" si="19"/>
        <v>4.3632656666666669</v>
      </c>
      <c r="BQ135" s="22">
        <f>BQ134+(BQ137-BQ134)*1/3</f>
        <v>0.64166666666666672</v>
      </c>
      <c r="BR135" s="22">
        <f>BR134+(BR137-BR134)*1/3</f>
        <v>0.65</v>
      </c>
      <c r="BT135" s="22">
        <f>BT134+(BT137-BT134)*1/3</f>
        <v>4.0759006666666666</v>
      </c>
      <c r="BU135" s="22">
        <f>BU134+(BU137-BU134)*1/3</f>
        <v>3.7132656666666666</v>
      </c>
      <c r="BW135" s="16">
        <f>BL135-BL111</f>
        <v>-0.71243266666666649</v>
      </c>
      <c r="BX135" s="16">
        <f>BM135-BM75</f>
        <v>2.693265666666667</v>
      </c>
      <c r="BY135" s="16">
        <v>0</v>
      </c>
    </row>
    <row r="136" spans="40:77" x14ac:dyDescent="0.25"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C136" s="15"/>
      <c r="BD136" s="15"/>
      <c r="BE136" s="15"/>
      <c r="BF136" s="16"/>
      <c r="BG136" s="15"/>
      <c r="BH136" s="15"/>
      <c r="BK136" s="10">
        <v>45658</v>
      </c>
      <c r="BL136" s="16">
        <f t="shared" si="18"/>
        <v>4.7132096666666667</v>
      </c>
      <c r="BM136" s="16">
        <f t="shared" si="19"/>
        <v>4.3562943333333335</v>
      </c>
      <c r="BQ136" s="22">
        <f>BQ135+(BQ137-BQ134)*1/3</f>
        <v>0.65833333333333344</v>
      </c>
      <c r="BR136" s="22">
        <f>BR135+(BR137-BR134)*1/3</f>
        <v>0.65</v>
      </c>
      <c r="BT136" s="22">
        <f>BT135+(BT137-BT134)*1/3</f>
        <v>4.0548763333333335</v>
      </c>
      <c r="BU136" s="22">
        <f>BU135+(BU137-BU134)*1/3</f>
        <v>3.7062943333333331</v>
      </c>
      <c r="BW136" s="16">
        <f t="shared" ref="BW136:BW147" si="20">BL136-BL112</f>
        <v>-0.42679033333333294</v>
      </c>
      <c r="BX136" s="16">
        <f t="shared" ref="BX136:BX147" si="21">BM136-BM76</f>
        <v>2.6762943333333338</v>
      </c>
      <c r="BY136" s="16">
        <v>0</v>
      </c>
    </row>
    <row r="137" spans="40:77" x14ac:dyDescent="0.25"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C137" s="15"/>
      <c r="BD137" s="15"/>
      <c r="BE137" s="15"/>
      <c r="BF137" s="16"/>
      <c r="BG137" s="15"/>
      <c r="BH137" s="15"/>
      <c r="BK137" s="10">
        <v>45689</v>
      </c>
      <c r="BL137" s="16">
        <f t="shared" si="18"/>
        <v>4.7088520000000003</v>
      </c>
      <c r="BM137" s="16">
        <f t="shared" si="19"/>
        <v>4.3493230000000001</v>
      </c>
      <c r="BQ137" s="23">
        <f>'[2]Mortgage &amp; deposit rates'!Z111</f>
        <v>0.67500000000000004</v>
      </c>
      <c r="BR137" s="23">
        <f>'[2]Mortgage &amp; deposit rates'!AA111</f>
        <v>0.65</v>
      </c>
      <c r="BT137" s="23">
        <f>DataQ!AF215</f>
        <v>4.0338520000000004</v>
      </c>
      <c r="BU137" s="23">
        <f>DataQ!AG215</f>
        <v>3.6993230000000001</v>
      </c>
      <c r="BW137" s="16">
        <f t="shared" si="20"/>
        <v>-8.1147999999999776E-2</v>
      </c>
      <c r="BX137" s="16">
        <f t="shared" si="21"/>
        <v>2.6793230000000001</v>
      </c>
      <c r="BY137" s="16">
        <v>0</v>
      </c>
    </row>
    <row r="138" spans="40:77" x14ac:dyDescent="0.25"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C138" s="15"/>
      <c r="BD138" s="15"/>
      <c r="BE138" s="15"/>
      <c r="BF138" s="16"/>
      <c r="BG138" s="15"/>
      <c r="BH138" s="15"/>
      <c r="BK138" s="10">
        <v>45717</v>
      </c>
      <c r="BL138" s="16">
        <f t="shared" si="18"/>
        <v>4.7000680000000008</v>
      </c>
      <c r="BM138" s="16">
        <f t="shared" si="19"/>
        <v>4.3325460000000007</v>
      </c>
      <c r="BQ138" s="22">
        <f>BQ137+(BQ140-BQ137)*1/3</f>
        <v>0.70000000000000007</v>
      </c>
      <c r="BR138" s="22">
        <f>BR137+(BR140-BR137)*1/3</f>
        <v>0.65666666666666673</v>
      </c>
      <c r="BT138" s="22">
        <f>BT137+(BT140-BT137)*1/3</f>
        <v>4.0000680000000006</v>
      </c>
      <c r="BU138" s="22">
        <f>BU137+(BU140-BU137)*1/3</f>
        <v>3.6758793333333335</v>
      </c>
      <c r="BW138" s="16">
        <f t="shared" si="20"/>
        <v>-3.9931999999999412E-2</v>
      </c>
      <c r="BX138" s="16">
        <f t="shared" si="21"/>
        <v>2.6725460000000005</v>
      </c>
      <c r="BY138" s="16">
        <v>0</v>
      </c>
    </row>
    <row r="139" spans="40:77" x14ac:dyDescent="0.25"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C139" s="15"/>
      <c r="BD139" s="15"/>
      <c r="BE139" s="15"/>
      <c r="BF139" s="16"/>
      <c r="BG139" s="15"/>
      <c r="BH139" s="15"/>
      <c r="BK139" s="10">
        <v>45748</v>
      </c>
      <c r="BL139" s="16">
        <f t="shared" si="18"/>
        <v>4.6912840000000005</v>
      </c>
      <c r="BM139" s="16">
        <f t="shared" si="19"/>
        <v>4.3157690000000004</v>
      </c>
      <c r="BQ139" s="22">
        <f>BQ138+(BQ140-BQ137)*1/3</f>
        <v>0.72500000000000009</v>
      </c>
      <c r="BR139" s="22">
        <f>BR138+(BR140-BR137)*1/3</f>
        <v>0.66333333333333344</v>
      </c>
      <c r="BT139" s="22">
        <f>BT138+(BT140-BT137)*1/3</f>
        <v>3.9662840000000004</v>
      </c>
      <c r="BU139" s="22">
        <f>BU138+(BU140-BU137)*1/3</f>
        <v>3.6524356666666669</v>
      </c>
      <c r="BW139" s="16">
        <f t="shared" si="20"/>
        <v>9.1284000000000809E-2</v>
      </c>
      <c r="BX139" s="16">
        <f t="shared" si="21"/>
        <v>2.6457690000000005</v>
      </c>
      <c r="BY139" s="16">
        <v>0</v>
      </c>
    </row>
    <row r="140" spans="40:77" x14ac:dyDescent="0.25"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C140" s="15"/>
      <c r="BD140" s="15"/>
      <c r="BE140" s="15"/>
      <c r="BF140" s="16"/>
      <c r="BG140" s="15"/>
      <c r="BH140" s="15"/>
      <c r="BK140" s="10">
        <v>45778</v>
      </c>
      <c r="BL140" s="16">
        <f t="shared" si="18"/>
        <v>4.6825000000000001</v>
      </c>
      <c r="BM140" s="16">
        <f t="shared" si="19"/>
        <v>4.2989920000000001</v>
      </c>
      <c r="BQ140" s="23">
        <f>'[2]Mortgage &amp; deposit rates'!Z112</f>
        <v>0.75</v>
      </c>
      <c r="BR140" s="23">
        <f>'[2]Mortgage &amp; deposit rates'!AA112</f>
        <v>0.67</v>
      </c>
      <c r="BT140" s="23">
        <f>DataQ!AF216</f>
        <v>3.9325000000000001</v>
      </c>
      <c r="BU140" s="23">
        <f>DataQ!AG216</f>
        <v>3.6289920000000002</v>
      </c>
      <c r="BW140" s="16">
        <f t="shared" si="20"/>
        <v>-3.7499999999999645E-2</v>
      </c>
      <c r="BX140" s="16">
        <f t="shared" si="21"/>
        <v>2.598992</v>
      </c>
      <c r="BY140" s="16">
        <v>0</v>
      </c>
    </row>
    <row r="141" spans="40:77" x14ac:dyDescent="0.25"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C141" s="15"/>
      <c r="BD141" s="15"/>
      <c r="BE141" s="15"/>
      <c r="BF141" s="16"/>
      <c r="BG141" s="15"/>
      <c r="BH141" s="15"/>
      <c r="BK141" s="10">
        <v>45809</v>
      </c>
      <c r="BL141" s="16">
        <f t="shared" si="18"/>
        <v>4.6795123333333333</v>
      </c>
      <c r="BM141" s="16">
        <f t="shared" si="19"/>
        <v>4.2934809999999999</v>
      </c>
      <c r="BQ141" s="22">
        <f>BQ140+(BQ143-BQ140)*1/3</f>
        <v>0.78333333333333333</v>
      </c>
      <c r="BR141" s="22">
        <f>BR140+(BR143-BR140)*1/3</f>
        <v>0.68</v>
      </c>
      <c r="BT141" s="22">
        <f>BT140+(BT143-BT140)*1/3</f>
        <v>3.8961790000000001</v>
      </c>
      <c r="BU141" s="22">
        <f>BU140+(BU143-BU140)*1/3</f>
        <v>3.6134810000000002</v>
      </c>
      <c r="BW141" s="16">
        <f t="shared" si="20"/>
        <v>-0.81048766666666694</v>
      </c>
      <c r="BX141" s="16">
        <f t="shared" si="21"/>
        <v>2.6034809999999999</v>
      </c>
      <c r="BY141" s="16">
        <v>0</v>
      </c>
    </row>
    <row r="142" spans="40:77" x14ac:dyDescent="0.25"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C142" s="15"/>
      <c r="BD142" s="15"/>
      <c r="BE142" s="15"/>
      <c r="BF142" s="16"/>
      <c r="BG142" s="15"/>
      <c r="BH142" s="15"/>
      <c r="BK142" s="10">
        <v>45839</v>
      </c>
      <c r="BL142" s="16">
        <f t="shared" si="18"/>
        <v>4.6765246666666664</v>
      </c>
      <c r="BM142" s="16">
        <f t="shared" si="19"/>
        <v>4.2879700000000005</v>
      </c>
      <c r="BQ142" s="22">
        <f>BQ141+(BQ143-BQ140)*1/3</f>
        <v>0.81666666666666665</v>
      </c>
      <c r="BR142" s="22">
        <f>BR141+(BR143-BR140)*1/3</f>
        <v>0.69000000000000006</v>
      </c>
      <c r="BT142" s="22">
        <f>BT141+(BT143-BT140)*1/3</f>
        <v>3.859858</v>
      </c>
      <c r="BU142" s="22">
        <f>BU141+(BU143-BU140)*1/3</f>
        <v>3.5979700000000001</v>
      </c>
      <c r="BW142" s="16">
        <f t="shared" si="20"/>
        <v>-1.5434753333333333</v>
      </c>
      <c r="BX142" s="16">
        <f t="shared" si="21"/>
        <v>2.5879700000000003</v>
      </c>
      <c r="BY142" s="16">
        <v>0</v>
      </c>
    </row>
    <row r="143" spans="40:77" x14ac:dyDescent="0.25"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C143" s="15"/>
      <c r="BD143" s="15"/>
      <c r="BE143" s="15"/>
      <c r="BF143" s="16"/>
      <c r="BG143" s="15"/>
      <c r="BH143" s="15"/>
      <c r="BK143" s="10">
        <v>45870</v>
      </c>
      <c r="BL143" s="16">
        <f t="shared" si="18"/>
        <v>4.6735369999999996</v>
      </c>
      <c r="BM143" s="16">
        <f t="shared" si="19"/>
        <v>4.2824590000000002</v>
      </c>
      <c r="BQ143" s="23">
        <f>'[2]Mortgage &amp; deposit rates'!Z113</f>
        <v>0.85</v>
      </c>
      <c r="BR143" s="23">
        <f>'[2]Mortgage &amp; deposit rates'!AA113</f>
        <v>0.7</v>
      </c>
      <c r="BT143" s="23">
        <f>DataQ!AF217</f>
        <v>3.823537</v>
      </c>
      <c r="BU143" s="23">
        <f>DataQ!AG217</f>
        <v>3.5824590000000001</v>
      </c>
      <c r="BW143" s="16">
        <f t="shared" si="20"/>
        <v>-1.5064630000000001</v>
      </c>
      <c r="BX143" s="16">
        <f t="shared" si="21"/>
        <v>2.4924590000000002</v>
      </c>
      <c r="BY143" s="16">
        <v>0</v>
      </c>
    </row>
    <row r="144" spans="40:77" x14ac:dyDescent="0.25"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C144" s="15"/>
      <c r="BD144" s="15"/>
      <c r="BE144" s="15"/>
      <c r="BF144" s="16"/>
      <c r="BG144" s="15"/>
      <c r="BH144" s="15"/>
      <c r="BK144" s="10">
        <v>45901</v>
      </c>
      <c r="BL144" s="16">
        <f t="shared" si="18"/>
        <v>4.6654633333333333</v>
      </c>
      <c r="BM144" s="16">
        <f t="shared" si="19"/>
        <v>4.2848553333333337</v>
      </c>
      <c r="BQ144" s="22">
        <f>BQ143+(BQ146-BQ143)*1/3</f>
        <v>0.875</v>
      </c>
      <c r="BR144" s="22">
        <f>BR143+(BR146-BR143)*1/3</f>
        <v>0.71666666666666667</v>
      </c>
      <c r="BT144" s="22">
        <f>BT143+(BT146-BT143)*1/3</f>
        <v>3.7904633333333333</v>
      </c>
      <c r="BU144" s="22">
        <f>BU143+(BU146-BU143)*1/3</f>
        <v>3.5681886666666669</v>
      </c>
      <c r="BW144" s="16">
        <f t="shared" si="20"/>
        <v>-1.2445366666666668</v>
      </c>
      <c r="BX144" s="16">
        <f t="shared" si="21"/>
        <v>2.3648553333333338</v>
      </c>
      <c r="BY144" s="16">
        <v>0</v>
      </c>
    </row>
    <row r="145" spans="40:77" x14ac:dyDescent="0.25"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C145" s="15"/>
      <c r="BD145" s="15"/>
      <c r="BE145" s="15"/>
      <c r="BF145" s="16"/>
      <c r="BG145" s="15"/>
      <c r="BH145" s="15"/>
      <c r="BK145" s="10">
        <v>45931</v>
      </c>
      <c r="BL145" s="16">
        <f t="shared" si="18"/>
        <v>4.657389666666667</v>
      </c>
      <c r="BM145" s="16">
        <f t="shared" si="19"/>
        <v>4.2872516666666671</v>
      </c>
      <c r="BQ145" s="22">
        <f>BQ144+(BQ146-BQ143)*1/3</f>
        <v>0.9</v>
      </c>
      <c r="BR145" s="22">
        <f>BR144+(BR146-BR143)*1/3</f>
        <v>0.73333333333333339</v>
      </c>
      <c r="BT145" s="22">
        <f>BT144+(BT146-BT143)*1/3</f>
        <v>3.7573896666666666</v>
      </c>
      <c r="BU145" s="22">
        <f>BU144+(BU146-BU143)*1/3</f>
        <v>3.5539183333333337</v>
      </c>
      <c r="BW145" s="16">
        <f t="shared" si="20"/>
        <v>-0.94261033333333266</v>
      </c>
      <c r="BX145" s="16">
        <f t="shared" si="21"/>
        <v>2.2372516666666673</v>
      </c>
      <c r="BY145" s="16">
        <v>0</v>
      </c>
    </row>
    <row r="146" spans="40:77" x14ac:dyDescent="0.25"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C146" s="15"/>
      <c r="BD146" s="15"/>
      <c r="BE146" s="15"/>
      <c r="BF146" s="16"/>
      <c r="BG146" s="15"/>
      <c r="BH146" s="15"/>
      <c r="BK146" s="10">
        <v>45962</v>
      </c>
      <c r="BL146" s="16">
        <f t="shared" si="18"/>
        <v>4.6493159999999998</v>
      </c>
      <c r="BM146" s="16">
        <f t="shared" si="19"/>
        <v>4.2896479999999997</v>
      </c>
      <c r="BQ146" s="23">
        <f>'[2]Mortgage &amp; deposit rates'!Z114</f>
        <v>0.92500000000000004</v>
      </c>
      <c r="BR146" s="23">
        <f>'[2]Mortgage &amp; deposit rates'!AA114</f>
        <v>0.75</v>
      </c>
      <c r="BT146" s="23">
        <f>DataQ!AF218</f>
        <v>3.724316</v>
      </c>
      <c r="BU146" s="23">
        <f>DataQ!AG218</f>
        <v>3.5396480000000001</v>
      </c>
      <c r="BW146" s="16">
        <f t="shared" si="20"/>
        <v>-0.63068400000000047</v>
      </c>
      <c r="BX146" s="16">
        <f t="shared" si="21"/>
        <v>2.2396479999999999</v>
      </c>
      <c r="BY146" s="16">
        <v>0</v>
      </c>
    </row>
    <row r="147" spans="40:77" x14ac:dyDescent="0.25"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C147" s="15"/>
      <c r="BD147" s="15"/>
      <c r="BE147" s="15"/>
      <c r="BF147" s="16"/>
      <c r="BG147" s="15"/>
      <c r="BH147" s="15"/>
      <c r="BK147" s="10">
        <v>45992</v>
      </c>
      <c r="BL147" s="16">
        <f t="shared" si="18"/>
        <v>4.6074003333333335</v>
      </c>
      <c r="BM147" s="16">
        <f t="shared" si="19"/>
        <v>4.2867440000000006</v>
      </c>
      <c r="BQ147" s="22">
        <f>BQ146+(BQ149-BQ146)*1/3</f>
        <v>0.95000000000000007</v>
      </c>
      <c r="BR147" s="22">
        <f>BR146+(BR149-BR146)*1/3</f>
        <v>0.77500000000000002</v>
      </c>
      <c r="BT147" s="22">
        <f>BT146+(BT149-BT146)*1/3</f>
        <v>3.6574003333333334</v>
      </c>
      <c r="BU147" s="22">
        <f>BU146+(BU149-BU146)*1/3</f>
        <v>3.5117440000000002</v>
      </c>
      <c r="BW147" s="16">
        <f t="shared" si="20"/>
        <v>-0.42259966666666671</v>
      </c>
      <c r="BX147" s="16">
        <f t="shared" si="21"/>
        <v>2.2867440000000006</v>
      </c>
      <c r="BY147" s="16">
        <v>0</v>
      </c>
    </row>
    <row r="148" spans="40:77" x14ac:dyDescent="0.25"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C148" s="15"/>
      <c r="BD148" s="15"/>
      <c r="BE148" s="15"/>
      <c r="BF148" s="16"/>
      <c r="BG148" s="15"/>
      <c r="BH148" s="15"/>
      <c r="BY148" s="16"/>
    </row>
    <row r="149" spans="40:77" x14ac:dyDescent="0.25"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C149" s="15"/>
      <c r="BD149" s="15"/>
      <c r="BE149" s="15"/>
      <c r="BF149" s="16"/>
      <c r="BG149" s="15"/>
      <c r="BH149" s="15"/>
      <c r="BL149" s="16"/>
      <c r="BM149" s="16"/>
      <c r="BQ149" s="23">
        <f>'[2]Mortgage &amp; deposit rates'!Z115</f>
        <v>1</v>
      </c>
      <c r="BR149" s="23">
        <f>'[2]Mortgage &amp; deposit rates'!AA115</f>
        <v>0.82499999999999996</v>
      </c>
      <c r="BT149" s="23">
        <f>DataQ!AF219</f>
        <v>3.5235690000000002</v>
      </c>
      <c r="BU149" s="23">
        <f>DataQ!AG219</f>
        <v>3.4559359999999999</v>
      </c>
      <c r="BY149" s="16"/>
    </row>
    <row r="150" spans="40:77" x14ac:dyDescent="0.25"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C150" s="15"/>
      <c r="BD150" s="15"/>
      <c r="BE150" s="15"/>
      <c r="BF150" s="16"/>
      <c r="BG150" s="15"/>
      <c r="BH150" s="15"/>
      <c r="BL150" s="16"/>
      <c r="BM150" s="16"/>
      <c r="BY150" s="16"/>
    </row>
    <row r="151" spans="40:77" x14ac:dyDescent="0.25"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C151" s="15"/>
      <c r="BD151" s="15"/>
      <c r="BE151" s="15"/>
      <c r="BF151" s="16"/>
      <c r="BG151" s="15"/>
      <c r="BH151" s="15"/>
      <c r="BL151" s="16"/>
      <c r="BM151" s="16"/>
      <c r="BY151" s="16"/>
    </row>
    <row r="152" spans="40:77" x14ac:dyDescent="0.25"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C152" s="15"/>
      <c r="BD152" s="15"/>
      <c r="BE152" s="15"/>
      <c r="BF152" s="16"/>
      <c r="BG152" s="15"/>
      <c r="BH152" s="15"/>
      <c r="BY152" s="16"/>
    </row>
    <row r="153" spans="40:77" x14ac:dyDescent="0.25"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C153" s="15"/>
      <c r="BD153" s="15"/>
      <c r="BE153" s="15"/>
      <c r="BF153" s="16"/>
      <c r="BG153" s="15"/>
      <c r="BH153" s="15"/>
      <c r="BL153" s="16"/>
      <c r="BM153" s="16"/>
      <c r="BW153" s="16"/>
      <c r="BX153" s="16"/>
      <c r="BY153" s="16"/>
    </row>
    <row r="154" spans="40:77" x14ac:dyDescent="0.25"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C154" s="15"/>
      <c r="BD154" s="15"/>
      <c r="BE154" s="15"/>
      <c r="BF154" s="16"/>
      <c r="BG154" s="15"/>
      <c r="BH154" s="15"/>
      <c r="BL154" s="9"/>
      <c r="BM154" s="9"/>
      <c r="BW154" s="9"/>
      <c r="BX154" s="9"/>
      <c r="BY154" s="16"/>
    </row>
    <row r="155" spans="40:77" x14ac:dyDescent="0.25"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C155" s="15"/>
      <c r="BD155" s="15"/>
      <c r="BE155" s="15"/>
      <c r="BF155" s="16"/>
      <c r="BG155" s="15"/>
      <c r="BH155" s="15"/>
      <c r="BL155" s="16"/>
      <c r="BW155" s="16"/>
      <c r="BY155" s="16"/>
    </row>
    <row r="156" spans="40:77" x14ac:dyDescent="0.25"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C156" s="15"/>
      <c r="BD156" s="15"/>
      <c r="BE156" s="15"/>
      <c r="BF156" s="16"/>
      <c r="BG156" s="15"/>
      <c r="BH156" s="15"/>
      <c r="BY156" s="16"/>
    </row>
    <row r="157" spans="40:77" x14ac:dyDescent="0.25"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C157" s="15"/>
      <c r="BD157" s="15"/>
      <c r="BE157" s="15"/>
      <c r="BF157" s="16"/>
      <c r="BG157" s="15"/>
      <c r="BH157" s="15"/>
      <c r="BY157" s="16"/>
    </row>
    <row r="158" spans="40:77" x14ac:dyDescent="0.25"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C158" s="15"/>
      <c r="BD158" s="15"/>
      <c r="BE158" s="15"/>
      <c r="BF158" s="16"/>
      <c r="BG158" s="15"/>
      <c r="BH158" s="15"/>
      <c r="BK158" s="1"/>
      <c r="BL158" s="16"/>
      <c r="BM158" s="16"/>
      <c r="BY158" s="16"/>
    </row>
    <row r="159" spans="40:77" x14ac:dyDescent="0.25"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C159" s="15"/>
      <c r="BD159" s="15"/>
      <c r="BE159" s="15"/>
      <c r="BF159" s="16"/>
      <c r="BG159" s="15"/>
      <c r="BH159" s="15"/>
      <c r="BK159" s="1"/>
      <c r="BY159" s="16"/>
    </row>
    <row r="160" spans="40:77" x14ac:dyDescent="0.25"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C160" s="15"/>
      <c r="BD160" s="15"/>
      <c r="BE160" s="15"/>
      <c r="BF160" s="16"/>
      <c r="BG160" s="15"/>
      <c r="BH160" s="15"/>
      <c r="BY160" s="16"/>
    </row>
    <row r="161" spans="40:77" x14ac:dyDescent="0.25"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C161" s="15"/>
      <c r="BD161" s="15"/>
      <c r="BE161" s="15"/>
      <c r="BF161" s="16"/>
      <c r="BG161" s="15"/>
      <c r="BH161" s="15"/>
      <c r="BY161" s="16"/>
    </row>
    <row r="162" spans="40:77" x14ac:dyDescent="0.25"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C162" s="15"/>
      <c r="BD162" s="15"/>
      <c r="BE162" s="15"/>
      <c r="BF162" s="16"/>
      <c r="BG162" s="15"/>
      <c r="BH162" s="15"/>
    </row>
    <row r="163" spans="40:77" x14ac:dyDescent="0.25"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C163" s="15"/>
      <c r="BD163" s="15"/>
      <c r="BE163" s="15"/>
      <c r="BF163" s="16"/>
      <c r="BG163" s="15"/>
      <c r="BH163" s="15"/>
    </row>
    <row r="164" spans="40:77" x14ac:dyDescent="0.25"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C164" s="15"/>
      <c r="BD164" s="15"/>
      <c r="BE164" s="15"/>
      <c r="BF164" s="16"/>
      <c r="BG164" s="15"/>
      <c r="BH164" s="15"/>
    </row>
    <row r="165" spans="40:77" x14ac:dyDescent="0.25"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C165" s="15"/>
      <c r="BD165" s="15"/>
      <c r="BE165" s="15"/>
      <c r="BF165" s="16"/>
      <c r="BG165" s="15"/>
      <c r="BH165" s="15"/>
    </row>
    <row r="166" spans="40:77" x14ac:dyDescent="0.25"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C166" s="15"/>
      <c r="BD166" s="15"/>
      <c r="BE166" s="15"/>
      <c r="BF166" s="16"/>
      <c r="BG166" s="15"/>
      <c r="BH166" s="15"/>
    </row>
    <row r="167" spans="40:77" x14ac:dyDescent="0.25"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C167" s="15"/>
      <c r="BD167" s="15"/>
      <c r="BE167" s="15"/>
      <c r="BF167" s="16"/>
      <c r="BG167" s="15"/>
      <c r="BH167" s="15"/>
    </row>
    <row r="168" spans="40:77" x14ac:dyDescent="0.25"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C168" s="15"/>
      <c r="BD168" s="15"/>
      <c r="BE168" s="15"/>
      <c r="BF168" s="16"/>
      <c r="BG168" s="15"/>
      <c r="BH168" s="15"/>
    </row>
    <row r="169" spans="40:77" x14ac:dyDescent="0.25"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C169" s="15"/>
      <c r="BD169" s="15"/>
      <c r="BE169" s="15"/>
      <c r="BF169" s="16"/>
      <c r="BG169" s="15"/>
      <c r="BH169" s="15"/>
    </row>
    <row r="170" spans="40:77" x14ac:dyDescent="0.25"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C170" s="15"/>
      <c r="BD170" s="15"/>
      <c r="BE170" s="15"/>
      <c r="BF170" s="16"/>
      <c r="BG170" s="15"/>
      <c r="BH170" s="15"/>
    </row>
    <row r="171" spans="40:77" x14ac:dyDescent="0.25"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C171" s="15"/>
      <c r="BD171" s="15"/>
      <c r="BE171" s="15"/>
      <c r="BF171" s="16"/>
      <c r="BG171" s="15"/>
      <c r="BH171" s="15"/>
    </row>
    <row r="172" spans="40:77" x14ac:dyDescent="0.25"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C172" s="15"/>
      <c r="BD172" s="15"/>
      <c r="BE172" s="15"/>
      <c r="BF172" s="16"/>
      <c r="BG172" s="15"/>
      <c r="BH172" s="15"/>
    </row>
    <row r="173" spans="40:77" x14ac:dyDescent="0.25"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C173" s="15"/>
      <c r="BD173" s="15"/>
      <c r="BE173" s="15"/>
      <c r="BF173" s="16"/>
      <c r="BG173" s="15"/>
      <c r="BH173" s="15"/>
    </row>
    <row r="174" spans="40:77" x14ac:dyDescent="0.25"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C174" s="15"/>
      <c r="BD174" s="15"/>
      <c r="BE174" s="15"/>
      <c r="BF174" s="16"/>
      <c r="BG174" s="15"/>
      <c r="BH174" s="15"/>
    </row>
    <row r="175" spans="40:77" x14ac:dyDescent="0.25"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C175" s="15"/>
      <c r="BD175" s="15"/>
      <c r="BE175" s="15"/>
      <c r="BF175" s="16"/>
      <c r="BG175" s="15"/>
      <c r="BH175" s="15"/>
    </row>
    <row r="176" spans="40:77" x14ac:dyDescent="0.25"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C176" s="15"/>
      <c r="BD176" s="15"/>
      <c r="BE176" s="15"/>
      <c r="BF176" s="16"/>
      <c r="BG176" s="15"/>
      <c r="BH176" s="15"/>
    </row>
    <row r="177" spans="40:60" x14ac:dyDescent="0.25"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C177" s="15"/>
      <c r="BD177" s="15"/>
      <c r="BE177" s="15"/>
      <c r="BF177" s="16"/>
      <c r="BG177" s="15"/>
      <c r="BH177" s="15"/>
    </row>
    <row r="178" spans="40:60" x14ac:dyDescent="0.25"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C178" s="15"/>
      <c r="BD178" s="15"/>
      <c r="BE178" s="17"/>
      <c r="BF178" s="16"/>
      <c r="BG178" s="15"/>
      <c r="BH178" s="15"/>
    </row>
    <row r="179" spans="40:60" x14ac:dyDescent="0.25"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C179" s="15"/>
      <c r="BD179" s="15"/>
      <c r="BE179" s="15"/>
      <c r="BF179" s="16"/>
      <c r="BG179" s="15"/>
      <c r="BH179" s="15"/>
    </row>
    <row r="180" spans="40:60" x14ac:dyDescent="0.25"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C180" s="15"/>
      <c r="BD180" s="15"/>
      <c r="BE180" s="15"/>
      <c r="BF180" s="16"/>
      <c r="BG180" s="15"/>
      <c r="BH180" s="15"/>
    </row>
    <row r="181" spans="40:60" x14ac:dyDescent="0.25"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C181" s="15"/>
      <c r="BD181" s="15"/>
      <c r="BE181" s="15"/>
      <c r="BF181" s="16"/>
      <c r="BG181" s="15"/>
      <c r="BH181" s="15"/>
    </row>
    <row r="182" spans="40:60" x14ac:dyDescent="0.25"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C182" s="15"/>
      <c r="BD182" s="15"/>
      <c r="BE182" s="15"/>
      <c r="BF182" s="16"/>
      <c r="BG182" s="15"/>
      <c r="BH182" s="15"/>
    </row>
    <row r="183" spans="40:60" x14ac:dyDescent="0.25"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C183" s="15"/>
      <c r="BD183" s="15"/>
      <c r="BE183" s="15"/>
      <c r="BF183" s="16"/>
      <c r="BG183" s="15"/>
      <c r="BH183" s="15"/>
    </row>
    <row r="184" spans="40:60" x14ac:dyDescent="0.25"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C184" s="15"/>
      <c r="BD184" s="15"/>
      <c r="BE184" s="15"/>
      <c r="BF184" s="16"/>
      <c r="BG184" s="15"/>
      <c r="BH184" s="15"/>
    </row>
    <row r="185" spans="40:60" x14ac:dyDescent="0.25"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C185" s="15"/>
      <c r="BD185" s="15"/>
      <c r="BE185" s="15"/>
      <c r="BF185" s="16"/>
      <c r="BG185" s="15"/>
      <c r="BH185" s="15"/>
    </row>
    <row r="186" spans="40:60" x14ac:dyDescent="0.25"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C186" s="15"/>
      <c r="BD186" s="15"/>
      <c r="BE186" s="15"/>
      <c r="BF186" s="16"/>
      <c r="BG186" s="15"/>
      <c r="BH186" s="15"/>
    </row>
    <row r="187" spans="40:60" x14ac:dyDescent="0.25"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C187" s="15"/>
      <c r="BD187" s="15"/>
      <c r="BE187" s="15"/>
      <c r="BF187" s="16"/>
      <c r="BG187" s="15"/>
      <c r="BH187" s="15"/>
    </row>
    <row r="188" spans="40:60" x14ac:dyDescent="0.25"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C188" s="15"/>
      <c r="BD188" s="15"/>
      <c r="BE188" s="15"/>
      <c r="BF188" s="16"/>
      <c r="BG188" s="15"/>
      <c r="BH188" s="15"/>
    </row>
    <row r="189" spans="40:60" x14ac:dyDescent="0.25"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C189" s="15"/>
      <c r="BD189" s="15"/>
      <c r="BE189" s="15"/>
      <c r="BF189" s="16"/>
      <c r="BG189" s="15"/>
      <c r="BH189" s="15"/>
    </row>
    <row r="190" spans="40:60" x14ac:dyDescent="0.25"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C190" s="15"/>
      <c r="BD190" s="15"/>
      <c r="BE190" s="15"/>
      <c r="BF190" s="16"/>
      <c r="BG190" s="15"/>
      <c r="BH190" s="15"/>
    </row>
    <row r="191" spans="40:60" x14ac:dyDescent="0.25"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C191" s="15"/>
      <c r="BD191" s="15"/>
      <c r="BE191" s="15"/>
      <c r="BF191" s="16"/>
      <c r="BG191" s="15"/>
      <c r="BH191" s="15"/>
    </row>
    <row r="192" spans="40:60" x14ac:dyDescent="0.25"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C192" s="15"/>
      <c r="BD192" s="15"/>
      <c r="BE192" s="15"/>
      <c r="BF192" s="16"/>
      <c r="BG192" s="15"/>
      <c r="BH192" s="15"/>
    </row>
    <row r="193" spans="40:60" x14ac:dyDescent="0.25"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C193" s="15"/>
      <c r="BD193" s="15"/>
      <c r="BE193" s="15"/>
      <c r="BF193" s="16"/>
      <c r="BG193" s="15"/>
      <c r="BH193" s="15"/>
    </row>
    <row r="194" spans="40:60" x14ac:dyDescent="0.25"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C194" s="15"/>
      <c r="BD194" s="15"/>
      <c r="BE194" s="15"/>
      <c r="BF194" s="16"/>
      <c r="BG194" s="15"/>
      <c r="BH194" s="15"/>
    </row>
    <row r="195" spans="40:60" x14ac:dyDescent="0.25"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C195" s="15"/>
      <c r="BD195" s="15"/>
      <c r="BE195" s="15"/>
      <c r="BF195" s="16"/>
      <c r="BG195" s="15"/>
      <c r="BH195" s="15"/>
    </row>
    <row r="196" spans="40:60" x14ac:dyDescent="0.25"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C196" s="15"/>
      <c r="BD196" s="15"/>
      <c r="BE196" s="15"/>
      <c r="BF196" s="16"/>
      <c r="BG196" s="15"/>
      <c r="BH196" s="15"/>
    </row>
    <row r="197" spans="40:60" x14ac:dyDescent="0.25"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C197" s="15"/>
      <c r="BD197" s="15"/>
      <c r="BE197" s="15"/>
      <c r="BF197" s="16"/>
      <c r="BG197" s="15"/>
      <c r="BH197" s="15"/>
    </row>
    <row r="198" spans="40:60" x14ac:dyDescent="0.25"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C198" s="15"/>
      <c r="BD198" s="15"/>
      <c r="BE198" s="15"/>
      <c r="BF198" s="16"/>
      <c r="BG198" s="15"/>
      <c r="BH198" s="15"/>
    </row>
    <row r="199" spans="40:60" x14ac:dyDescent="0.25"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C199" s="15"/>
      <c r="BD199" s="15"/>
      <c r="BE199" s="15"/>
      <c r="BF199" s="16"/>
      <c r="BG199" s="15"/>
      <c r="BH199" s="15"/>
    </row>
    <row r="200" spans="40:60" x14ac:dyDescent="0.25"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C200" s="15"/>
      <c r="BD200" s="15"/>
      <c r="BE200" s="15"/>
      <c r="BF200" s="16"/>
      <c r="BG200" s="15"/>
      <c r="BH200" s="15"/>
    </row>
    <row r="201" spans="40:60" x14ac:dyDescent="0.25"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C201" s="15"/>
      <c r="BD201" s="15"/>
      <c r="BE201" s="15"/>
      <c r="BF201" s="16"/>
      <c r="BG201" s="15"/>
      <c r="BH201" s="15"/>
    </row>
    <row r="202" spans="40:60" x14ac:dyDescent="0.25"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C202" s="15"/>
      <c r="BD202" s="15"/>
      <c r="BE202" s="15"/>
      <c r="BF202" s="16"/>
      <c r="BG202" s="15"/>
      <c r="BH202" s="15"/>
    </row>
    <row r="203" spans="40:60" x14ac:dyDescent="0.25"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C203" s="15"/>
      <c r="BD203" s="15"/>
      <c r="BE203" s="15"/>
      <c r="BF203" s="16"/>
      <c r="BG203" s="15"/>
      <c r="BH203" s="15"/>
    </row>
    <row r="204" spans="40:60" x14ac:dyDescent="0.25"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C204" s="15"/>
      <c r="BD204" s="15"/>
      <c r="BE204" s="15"/>
      <c r="BF204" s="16"/>
      <c r="BG204" s="15"/>
      <c r="BH204" s="15"/>
    </row>
    <row r="205" spans="40:60" x14ac:dyDescent="0.25"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C205" s="15"/>
      <c r="BD205" s="15"/>
      <c r="BE205" s="15"/>
      <c r="BF205" s="16"/>
      <c r="BG205" s="15"/>
      <c r="BH205" s="15"/>
    </row>
    <row r="206" spans="40:60" x14ac:dyDescent="0.25"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C206" s="15"/>
      <c r="BD206" s="15"/>
      <c r="BE206" s="15"/>
      <c r="BF206" s="16"/>
      <c r="BG206" s="15"/>
      <c r="BH206" s="15"/>
    </row>
    <row r="207" spans="40:60" x14ac:dyDescent="0.25"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C207" s="15"/>
      <c r="BD207" s="15"/>
      <c r="BE207" s="15"/>
      <c r="BF207" s="16"/>
      <c r="BG207" s="15"/>
      <c r="BH207" s="15"/>
    </row>
    <row r="208" spans="40:60" x14ac:dyDescent="0.25"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C208" s="15"/>
      <c r="BD208" s="15"/>
      <c r="BE208" s="15"/>
      <c r="BF208" s="16"/>
      <c r="BG208" s="15"/>
      <c r="BH208" s="15"/>
    </row>
    <row r="209" spans="40:60" x14ac:dyDescent="0.25"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C209" s="15"/>
      <c r="BD209" s="15"/>
      <c r="BE209" s="15"/>
      <c r="BF209" s="16"/>
      <c r="BG209" s="15"/>
      <c r="BH209" s="15"/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C66DF-A479-4496-81F8-DAD30BE56209}">
  <dimension ref="A1:AE84"/>
  <sheetViews>
    <sheetView workbookViewId="0">
      <pane xSplit="1" ySplit="6" topLeftCell="L7" activePane="bottomRight" state="frozen"/>
      <selection pane="topRight" activeCell="B1" sqref="B1"/>
      <selection pane="bottomLeft" activeCell="A7" sqref="A7"/>
      <selection pane="bottomRight" activeCell="AC27" sqref="AC27"/>
    </sheetView>
  </sheetViews>
  <sheetFormatPr defaultRowHeight="15" x14ac:dyDescent="0.25"/>
  <cols>
    <col min="2" max="31" width="12.7109375" style="7" customWidth="1"/>
  </cols>
  <sheetData>
    <row r="1" spans="1:31" x14ac:dyDescent="0.25">
      <c r="B1" s="7" t="str">
        <f>DataQ!D1</f>
        <v>SEP002A.db</v>
      </c>
      <c r="C1" s="7" t="str">
        <f>DataQ!E1</f>
        <v>JAN011B.db</v>
      </c>
      <c r="D1" s="7" t="str">
        <f>DataQ!F1</f>
        <v>JAN024B.db</v>
      </c>
      <c r="E1" s="7" t="str">
        <f>DataQ!G1</f>
        <v>FEB006C.db</v>
      </c>
      <c r="F1" s="7" t="str">
        <f>DataQ!H1</f>
        <v>FEB019C.db</v>
      </c>
      <c r="G1" s="7" t="str">
        <f>DataQ!I1</f>
        <v>MAR011D.db</v>
      </c>
      <c r="H1" s="7" t="str">
        <f>DataQ!J1</f>
        <v>MAR020B.db</v>
      </c>
      <c r="I1" s="7" t="str">
        <f>DataQ!K1</f>
        <v>APR009C.db</v>
      </c>
      <c r="J1" s="7" t="str">
        <f>DataQ!L1</f>
        <v>APR023B.db</v>
      </c>
      <c r="K1" s="7" t="str">
        <f>DataQ!M1</f>
        <v>MAY007C.db</v>
      </c>
      <c r="L1" s="7" t="str">
        <f>DataQ!N1</f>
        <v>MAY017C.db</v>
      </c>
      <c r="M1" s="7" t="str">
        <f>DataQ!O1</f>
        <v>JUN011A.db</v>
      </c>
      <c r="N1" s="7" t="str">
        <f>DataQ!P1</f>
        <v>JUN018H.db</v>
      </c>
      <c r="O1" s="7" t="str">
        <f>DataQ!Q1</f>
        <v>JUL010A.db</v>
      </c>
      <c r="P1" s="7" t="str">
        <f>DataQ!R1</f>
        <v>JUL024D.db</v>
      </c>
      <c r="Q1" s="7" t="str">
        <f>DataQ!S1</f>
        <v>AUG008C.db</v>
      </c>
      <c r="R1" s="7" t="str">
        <f>DataQ!T1</f>
        <v>AUG019C.db</v>
      </c>
      <c r="S1" s="7" t="str">
        <f>DataQ!U1</f>
        <v>SEP002A.db</v>
      </c>
      <c r="T1" s="7" t="str">
        <f>DataQ!V1</f>
        <v>SEP002A.db</v>
      </c>
      <c r="U1" s="7" t="str">
        <f>DataQ!W1</f>
        <v>SEP002A.db</v>
      </c>
      <c r="V1" s="7" t="str">
        <f>DataQ!X1</f>
        <v>SEP002A.db</v>
      </c>
      <c r="W1" s="7" t="str">
        <f>DataQ!Y1</f>
        <v>SEP002A.db</v>
      </c>
      <c r="X1" s="7" t="str">
        <f>DataQ!Z1</f>
        <v>SEP002A.db</v>
      </c>
      <c r="Y1" s="7" t="str">
        <f>DataQ!AA1</f>
        <v>SEP002A.db</v>
      </c>
      <c r="Z1" s="7" t="str">
        <f>DataQ!AB1</f>
        <v>SEP002A.db</v>
      </c>
      <c r="AA1" s="7" t="str">
        <f>DataQ!AC1</f>
        <v>SEP002A.db</v>
      </c>
      <c r="AB1" s="7" t="str">
        <f>DataQ!AD1</f>
        <v>SEP002A.db</v>
      </c>
      <c r="AC1" s="7" t="str">
        <f>DataQ!AE1</f>
        <v>SEP002A.db</v>
      </c>
      <c r="AD1" s="7" t="str">
        <f>DataQ!AF1</f>
        <v>SEP002A.db</v>
      </c>
      <c r="AE1" s="7" t="str">
        <f>DataQ!AG1</f>
        <v>SEP002A.db</v>
      </c>
    </row>
    <row r="2" spans="1:31" x14ac:dyDescent="0.25">
      <c r="B2" s="7" t="str">
        <f>DataQ!D2</f>
        <v>UK</v>
      </c>
      <c r="C2" s="7" t="str">
        <f>DataQ!E2</f>
        <v>UK</v>
      </c>
      <c r="D2" s="7" t="str">
        <f>DataQ!F2</f>
        <v>UK</v>
      </c>
      <c r="E2" s="7" t="str">
        <f>DataQ!G2</f>
        <v>UK</v>
      </c>
      <c r="F2" s="7" t="str">
        <f>DataQ!H2</f>
        <v>UK</v>
      </c>
      <c r="G2" s="7" t="str">
        <f>DataQ!I2</f>
        <v>UK</v>
      </c>
      <c r="H2" s="7" t="str">
        <f>DataQ!J2</f>
        <v>UK</v>
      </c>
      <c r="I2" s="7" t="str">
        <f>DataQ!K2</f>
        <v>UK</v>
      </c>
      <c r="J2" s="7" t="str">
        <f>DataQ!L2</f>
        <v>UK</v>
      </c>
      <c r="K2" s="7" t="str">
        <f>DataQ!M2</f>
        <v>UK</v>
      </c>
      <c r="L2" s="7" t="str">
        <f>DataQ!N2</f>
        <v>UK</v>
      </c>
      <c r="M2" s="7" t="str">
        <f>DataQ!O2</f>
        <v>UK</v>
      </c>
      <c r="N2" s="7" t="str">
        <f>DataQ!P2</f>
        <v>UK</v>
      </c>
      <c r="O2" s="7" t="str">
        <f>DataQ!Q2</f>
        <v>UK</v>
      </c>
      <c r="P2" s="7" t="str">
        <f>DataQ!R2</f>
        <v>UK</v>
      </c>
      <c r="Q2" s="7" t="str">
        <f>DataQ!S2</f>
        <v>UK</v>
      </c>
      <c r="R2" s="7" t="str">
        <f>DataQ!T2</f>
        <v>UK</v>
      </c>
      <c r="S2" s="7" t="str">
        <f>DataQ!U2</f>
        <v>UK</v>
      </c>
      <c r="T2" s="7" t="str">
        <f>DataQ!V2</f>
        <v>UK</v>
      </c>
      <c r="U2" s="7" t="str">
        <f>DataQ!W2</f>
        <v>UK</v>
      </c>
      <c r="V2" s="7" t="str">
        <f>DataQ!X2</f>
        <v>UK</v>
      </c>
      <c r="W2" s="7" t="str">
        <f>DataQ!Y2</f>
        <v>UK</v>
      </c>
      <c r="X2" s="7" t="str">
        <f>DataQ!Z2</f>
        <v>UK</v>
      </c>
      <c r="Y2" s="7" t="str">
        <f>DataQ!AA2</f>
        <v>UK</v>
      </c>
      <c r="Z2" s="7" t="str">
        <f>DataQ!AB2</f>
        <v>UK</v>
      </c>
      <c r="AA2" s="7" t="str">
        <f>DataQ!AC2</f>
        <v>UK</v>
      </c>
      <c r="AB2" s="7" t="str">
        <f>DataQ!AD2</f>
        <v>UK</v>
      </c>
      <c r="AC2" s="7" t="str">
        <f>DataQ!AE2</f>
        <v>UK</v>
      </c>
      <c r="AD2" s="7" t="str">
        <f>DataQ!AF2</f>
        <v>UK</v>
      </c>
      <c r="AE2" s="7" t="str">
        <f>DataQ!AG2</f>
        <v>UK</v>
      </c>
    </row>
    <row r="3" spans="1:31" x14ac:dyDescent="0.25">
      <c r="B3" s="7" t="str">
        <f>DataQ!D3</f>
        <v>GDP</v>
      </c>
      <c r="C3" s="7" t="str">
        <f>DataQ!E3</f>
        <v>GDP</v>
      </c>
      <c r="D3" s="7" t="str">
        <f>DataQ!F3</f>
        <v>GDP</v>
      </c>
      <c r="E3" s="7" t="str">
        <f>DataQ!G3</f>
        <v>GDP</v>
      </c>
      <c r="F3" s="7" t="str">
        <f>DataQ!H3</f>
        <v>GDP</v>
      </c>
      <c r="G3" s="7" t="str">
        <f>DataQ!I3</f>
        <v>GDP</v>
      </c>
      <c r="H3" s="7" t="str">
        <f>DataQ!J3</f>
        <v>GDP</v>
      </c>
      <c r="I3" s="7" t="str">
        <f>DataQ!K3</f>
        <v>GDP</v>
      </c>
      <c r="J3" s="7" t="str">
        <f>DataQ!L3</f>
        <v>GDP</v>
      </c>
      <c r="K3" s="7" t="str">
        <f>DataQ!M3</f>
        <v>GDP</v>
      </c>
      <c r="L3" s="7" t="str">
        <f>DataQ!N3</f>
        <v>GDP</v>
      </c>
      <c r="M3" s="7" t="str">
        <f>DataQ!O3</f>
        <v>GDP</v>
      </c>
      <c r="N3" s="7" t="str">
        <f>DataQ!P3</f>
        <v>GDP</v>
      </c>
      <c r="O3" s="7" t="str">
        <f>DataQ!Q3</f>
        <v>GDP</v>
      </c>
      <c r="P3" s="7" t="str">
        <f>DataQ!R3</f>
        <v>GDP</v>
      </c>
      <c r="Q3" s="7" t="str">
        <f>DataQ!S3</f>
        <v>GDP</v>
      </c>
      <c r="R3" s="7" t="str">
        <f>DataQ!T3</f>
        <v>GDP</v>
      </c>
      <c r="S3" s="7" t="str">
        <f>DataQ!U3</f>
        <v>WAGEWKLY</v>
      </c>
      <c r="T3" s="7" t="str">
        <f>DataQ!V3</f>
        <v>CPI</v>
      </c>
      <c r="U3" s="7" t="str">
        <f>DataQ!W3</f>
        <v>CPIFD</v>
      </c>
      <c r="V3" s="7" t="str">
        <f>DataQ!X3</f>
        <v>CPIFU</v>
      </c>
      <c r="W3" s="7" t="str">
        <f>DataQ!Y3</f>
        <v>CPIEN</v>
      </c>
      <c r="X3" s="7" t="str">
        <f>DataQ!Z3</f>
        <v>CPICORE</v>
      </c>
      <c r="Y3" s="7" t="str">
        <f>DataQ!AA3</f>
        <v>C</v>
      </c>
      <c r="Z3" s="7" t="str">
        <f>DataQ!AB3</f>
        <v>IF</v>
      </c>
      <c r="AA3" s="7" t="str">
        <f>DataQ!AC3</f>
        <v>GC</v>
      </c>
      <c r="AB3" s="7" t="str">
        <f>DataQ!AD3</f>
        <v>X</v>
      </c>
      <c r="AC3" s="7" t="str">
        <f>DataQ!AE3</f>
        <v>M</v>
      </c>
      <c r="AD3" s="7" t="str">
        <f>DataQ!AF3</f>
        <v>RSWAP2YR_RFR</v>
      </c>
      <c r="AE3" s="7" t="str">
        <f>DataQ!AG3</f>
        <v>RSWAP5YR_RFR</v>
      </c>
    </row>
    <row r="4" spans="1:31" x14ac:dyDescent="0.25">
      <c r="B4" s="7" t="str">
        <f>DataQ!D4</f>
        <v>GBR</v>
      </c>
      <c r="C4" s="7" t="str">
        <f>DataQ!E4</f>
        <v>GBR</v>
      </c>
      <c r="D4" s="7" t="str">
        <f>DataQ!F4</f>
        <v>GBR</v>
      </c>
      <c r="E4" s="7" t="str">
        <f>DataQ!G4</f>
        <v>GBR</v>
      </c>
      <c r="F4" s="7" t="str">
        <f>DataQ!H4</f>
        <v>GBR</v>
      </c>
      <c r="G4" s="7" t="str">
        <f>DataQ!I4</f>
        <v>GBR</v>
      </c>
      <c r="H4" s="7" t="str">
        <f>DataQ!J4</f>
        <v>GBR</v>
      </c>
      <c r="I4" s="7" t="str">
        <f>DataQ!K4</f>
        <v>GBR</v>
      </c>
      <c r="J4" s="7" t="str">
        <f>DataQ!L4</f>
        <v>GBR</v>
      </c>
      <c r="K4" s="7" t="str">
        <f>DataQ!M4</f>
        <v>GBR</v>
      </c>
      <c r="L4" s="7" t="str">
        <f>DataQ!N4</f>
        <v>GBR</v>
      </c>
      <c r="M4" s="7" t="str">
        <f>DataQ!O4</f>
        <v>GBR</v>
      </c>
      <c r="N4" s="7" t="str">
        <f>DataQ!P4</f>
        <v>GBR</v>
      </c>
      <c r="O4" s="7" t="str">
        <f>DataQ!Q4</f>
        <v>GBR</v>
      </c>
      <c r="P4" s="7" t="str">
        <f>DataQ!R4</f>
        <v>GBR</v>
      </c>
      <c r="Q4" s="7" t="str">
        <f>DataQ!S4</f>
        <v>GBR</v>
      </c>
      <c r="R4" s="7" t="str">
        <f>DataQ!T4</f>
        <v>GBR</v>
      </c>
      <c r="S4" s="7" t="str">
        <f>DataQ!U4</f>
        <v>GBR</v>
      </c>
      <c r="T4" s="7" t="str">
        <f>DataQ!V4</f>
        <v>GBR</v>
      </c>
      <c r="U4" s="7" t="str">
        <f>DataQ!W4</f>
        <v>GBR</v>
      </c>
      <c r="V4" s="7" t="str">
        <f>DataQ!X4</f>
        <v>GBR</v>
      </c>
      <c r="W4" s="7" t="str">
        <f>DataQ!Y4</f>
        <v>GBR</v>
      </c>
      <c r="X4" s="7" t="str">
        <f>DataQ!Z4</f>
        <v>GBR</v>
      </c>
      <c r="Y4" s="7" t="str">
        <f>DataQ!AA4</f>
        <v>GBR</v>
      </c>
      <c r="Z4" s="7" t="str">
        <f>DataQ!AB4</f>
        <v>GBR</v>
      </c>
      <c r="AA4" s="7" t="str">
        <f>DataQ!AC4</f>
        <v>GBR</v>
      </c>
      <c r="AB4" s="7" t="str">
        <f>DataQ!AD4</f>
        <v>GBR</v>
      </c>
      <c r="AC4" s="7" t="str">
        <f>DataQ!AE4</f>
        <v>GBR</v>
      </c>
      <c r="AD4" s="7" t="str">
        <f>DataQ!AF4</f>
        <v>GBR</v>
      </c>
      <c r="AE4" s="7" t="str">
        <f>DataQ!AG4</f>
        <v>GBR</v>
      </c>
    </row>
    <row r="5" spans="1:31" x14ac:dyDescent="0.25">
      <c r="B5" s="7" t="str">
        <f>DataQ!D5</f>
        <v>L</v>
      </c>
      <c r="C5" s="7" t="str">
        <f>DataQ!E5</f>
        <v>L</v>
      </c>
      <c r="D5" s="7" t="str">
        <f>DataQ!F5</f>
        <v>L</v>
      </c>
      <c r="E5" s="7" t="str">
        <f>DataQ!G5</f>
        <v>L</v>
      </c>
      <c r="F5" s="7" t="str">
        <f>DataQ!H5</f>
        <v>L</v>
      </c>
      <c r="G5" s="7" t="str">
        <f>DataQ!I5</f>
        <v>L</v>
      </c>
      <c r="H5" s="7" t="str">
        <f>DataQ!J5</f>
        <v>L</v>
      </c>
      <c r="I5" s="7" t="str">
        <f>DataQ!K5</f>
        <v>L</v>
      </c>
      <c r="J5" s="7" t="str">
        <f>DataQ!L5</f>
        <v>L</v>
      </c>
      <c r="K5" s="7" t="str">
        <f>DataQ!M5</f>
        <v>L</v>
      </c>
      <c r="L5" s="7" t="str">
        <f>DataQ!N5</f>
        <v>L</v>
      </c>
      <c r="M5" s="7" t="str">
        <f>DataQ!O5</f>
        <v>L</v>
      </c>
      <c r="N5" s="7" t="str">
        <f>DataQ!P5</f>
        <v>L</v>
      </c>
      <c r="O5" s="7" t="str">
        <f>DataQ!Q5</f>
        <v>L</v>
      </c>
      <c r="P5" s="7" t="str">
        <f>DataQ!R5</f>
        <v>L</v>
      </c>
      <c r="Q5" s="7" t="str">
        <f>DataQ!S5</f>
        <v>L</v>
      </c>
      <c r="R5" s="7" t="str">
        <f>DataQ!T5</f>
        <v>L</v>
      </c>
      <c r="S5" s="7" t="str">
        <f>DataQ!U5</f>
        <v>L</v>
      </c>
      <c r="T5" s="7" t="str">
        <f>DataQ!V5</f>
        <v>L</v>
      </c>
      <c r="U5" s="7" t="str">
        <f>DataQ!W5</f>
        <v>L</v>
      </c>
      <c r="V5" s="7" t="str">
        <f>DataQ!X5</f>
        <v>L</v>
      </c>
      <c r="W5" s="7" t="str">
        <f>DataQ!Y5</f>
        <v>L</v>
      </c>
      <c r="X5" s="7" t="str">
        <f>DataQ!Z5</f>
        <v>L</v>
      </c>
      <c r="Y5" s="7" t="str">
        <f>DataQ!AA5</f>
        <v>L</v>
      </c>
      <c r="Z5" s="7" t="str">
        <f>DataQ!AB5</f>
        <v>L</v>
      </c>
      <c r="AA5" s="7" t="str">
        <f>DataQ!AC5</f>
        <v>L</v>
      </c>
      <c r="AB5" s="7" t="str">
        <f>DataQ!AD5</f>
        <v>L</v>
      </c>
      <c r="AC5" s="7" t="str">
        <f>DataQ!AE5</f>
        <v>L</v>
      </c>
      <c r="AD5" s="7" t="str">
        <f>DataQ!AF5</f>
        <v>L</v>
      </c>
      <c r="AE5" s="7" t="str">
        <f>DataQ!AG5</f>
        <v>L</v>
      </c>
    </row>
    <row r="6" spans="1:31" x14ac:dyDescent="0.25">
      <c r="B6" s="7" t="str">
        <f>DataQ!D6</f>
        <v>202402</v>
      </c>
      <c r="C6" s="7" t="str">
        <f>DataQ!E6</f>
        <v>202303</v>
      </c>
      <c r="D6" s="7" t="str">
        <f>DataQ!F6</f>
        <v>202303</v>
      </c>
      <c r="E6" s="7" t="str">
        <f>DataQ!G6</f>
        <v>202303</v>
      </c>
      <c r="F6" s="7" t="str">
        <f>DataQ!H6</f>
        <v>202304</v>
      </c>
      <c r="G6" s="7" t="str">
        <f>DataQ!I6</f>
        <v>202304</v>
      </c>
      <c r="H6" s="7" t="str">
        <f>DataQ!J6</f>
        <v>202304</v>
      </c>
      <c r="I6" s="7" t="str">
        <f>DataQ!K6</f>
        <v>202304</v>
      </c>
      <c r="J6" s="7" t="str">
        <f>DataQ!L6</f>
        <v>202304</v>
      </c>
      <c r="K6" s="7" t="str">
        <f>DataQ!M6</f>
        <v>202304</v>
      </c>
      <c r="L6" s="7" t="str">
        <f>DataQ!N6</f>
        <v>202401</v>
      </c>
      <c r="M6" s="7" t="str">
        <f>DataQ!O6</f>
        <v>202401</v>
      </c>
      <c r="N6" s="7" t="str">
        <f>DataQ!P6</f>
        <v>202401</v>
      </c>
      <c r="O6" s="7" t="str">
        <f>DataQ!Q6</f>
        <v>202401</v>
      </c>
      <c r="P6" s="7" t="str">
        <f>DataQ!R6</f>
        <v>202401</v>
      </c>
      <c r="Q6" s="7" t="str">
        <f>DataQ!S6</f>
        <v>202401</v>
      </c>
      <c r="R6" s="7" t="str">
        <f>DataQ!T6</f>
        <v>202402</v>
      </c>
      <c r="S6" s="7" t="str">
        <f>DataQ!U6</f>
        <v>202402</v>
      </c>
      <c r="T6" s="7" t="str">
        <f>DataQ!V6</f>
        <v>202402</v>
      </c>
      <c r="U6" s="7" t="str">
        <f>DataQ!W6</f>
        <v>202402</v>
      </c>
      <c r="V6" s="7" t="str">
        <f>DataQ!X6</f>
        <v>202402</v>
      </c>
      <c r="W6" s="7" t="str">
        <f>DataQ!Y6</f>
        <v>202402</v>
      </c>
      <c r="X6" s="7" t="str">
        <f>DataQ!Z6</f>
        <v>202402</v>
      </c>
      <c r="Y6" s="7" t="str">
        <f>DataQ!AA6</f>
        <v>202402</v>
      </c>
      <c r="Z6" s="7" t="str">
        <f>DataQ!AB6</f>
        <v>202402</v>
      </c>
      <c r="AA6" s="7" t="str">
        <f>DataQ!AC6</f>
        <v>202402</v>
      </c>
      <c r="AB6" s="7" t="str">
        <f>DataQ!AD6</f>
        <v>202402</v>
      </c>
      <c r="AC6" s="7" t="str">
        <f>DataQ!AE6</f>
        <v>202402</v>
      </c>
      <c r="AD6" s="7" t="str">
        <f>DataQ!AF6</f>
        <v>202402</v>
      </c>
      <c r="AE6" s="7" t="str">
        <f>DataQ!AG6</f>
        <v>202402</v>
      </c>
    </row>
    <row r="7" spans="1:31" x14ac:dyDescent="0.25">
      <c r="A7" s="4">
        <v>1973</v>
      </c>
      <c r="B7" s="7">
        <f>SUMIF(DataQ!$B:$B,DataA!$A7,DataQ!D:D)</f>
        <v>891381</v>
      </c>
      <c r="C7" s="7">
        <f>SUMIF(DataQ!$B:$B,DataA!$A7,DataQ!E:E)</f>
        <v>891381</v>
      </c>
      <c r="D7" s="7">
        <f>SUMIF(DataQ!$B:$B,DataA!$A7,DataQ!F:F)</f>
        <v>891381</v>
      </c>
      <c r="E7" s="7">
        <f>SUMIF(DataQ!$B:$B,DataA!$A7,DataQ!G:G)</f>
        <v>891381</v>
      </c>
      <c r="F7" s="7">
        <f>SUMIF(DataQ!$B:$B,DataA!$A7,DataQ!H:H)</f>
        <v>891381</v>
      </c>
      <c r="G7" s="7">
        <f>SUMIF(DataQ!$B:$B,DataA!$A7,DataQ!I:I)</f>
        <v>891381</v>
      </c>
      <c r="H7" s="7">
        <f>SUMIF(DataQ!$B:$B,DataA!$A7,DataQ!J:J)</f>
        <v>891381</v>
      </c>
      <c r="I7" s="7">
        <f>SUMIF(DataQ!$B:$B,DataA!$A7,DataQ!K:K)</f>
        <v>891381</v>
      </c>
      <c r="J7" s="7">
        <f>SUMIF(DataQ!$B:$B,DataA!$A7,DataQ!L:L)</f>
        <v>891381</v>
      </c>
      <c r="K7" s="7">
        <f>SUMIF(DataQ!$B:$B,DataA!$A7,DataQ!M:M)</f>
        <v>891381</v>
      </c>
      <c r="L7" s="7">
        <f>SUMIF(DataQ!$B:$B,DataA!$A7,DataQ!N:N)</f>
        <v>891381</v>
      </c>
      <c r="M7" s="7">
        <f>SUMIF(DataQ!$B:$B,DataA!$A7,DataQ!O:O)</f>
        <v>891381</v>
      </c>
      <c r="N7" s="7">
        <f>SUMIF(DataQ!$B:$B,DataA!$A7,DataQ!P:P)</f>
        <v>891381</v>
      </c>
      <c r="O7" s="7">
        <f>SUMIF(DataQ!$B:$B,DataA!$A7,DataQ!Q:Q)</f>
        <v>891381</v>
      </c>
      <c r="P7" s="7">
        <f>SUMIF(DataQ!$B:$B,DataA!$A7,DataQ!R:R)</f>
        <v>891381</v>
      </c>
      <c r="Q7" s="7">
        <f>SUMIF(DataQ!$B:$B,DataA!$A7,DataQ!S:S)</f>
        <v>891381</v>
      </c>
      <c r="R7" s="7">
        <f>SUMIF(DataQ!$B:$B,DataA!$A7,DataQ!T:T)</f>
        <v>891381</v>
      </c>
      <c r="S7" s="7">
        <f>AVERAGEIF(DataQ!$B:$B,DataA!$A7,DataQ!U:U)</f>
        <v>15.940814999999999</v>
      </c>
      <c r="T7" s="7">
        <f>AVERAGEIF(DataQ!$B:$B,DataA!$A7,DataQ!V:V)</f>
        <v>12.428425000000001</v>
      </c>
      <c r="U7" s="7">
        <f>AVERAGEIF(DataQ!$B:$B,DataA!$A7,DataQ!W:W)</f>
        <v>1E-3</v>
      </c>
      <c r="V7" s="7">
        <f>AVERAGEIF(DataQ!$B:$B,DataA!$A7,DataQ!X:X)</f>
        <v>1E-3</v>
      </c>
      <c r="W7" s="7">
        <f>AVERAGEIF(DataQ!$B:$B,DataA!$A7,DataQ!Y:Y)</f>
        <v>1E-3</v>
      </c>
      <c r="X7" s="7">
        <f>AVERAGEIF(DataQ!$B:$B,DataA!$A7,DataQ!Z:Z)</f>
        <v>1E-3</v>
      </c>
      <c r="Y7" s="7">
        <f>SUMIF(DataQ!$B:$B,DataA!$A7,DataQ!AA:AA)</f>
        <v>461905</v>
      </c>
      <c r="Z7" s="7">
        <f>SUMIF(DataQ!$B:$B,DataA!$A7,DataQ!AB:AB)</f>
        <v>178241</v>
      </c>
      <c r="AA7" s="7">
        <f>SUMIF(DataQ!$B:$B,DataA!$A7,DataQ!AC:AC)</f>
        <v>204050</v>
      </c>
      <c r="AB7" s="7">
        <f>SUMIF(DataQ!$B:$B,DataA!$A7,DataQ!AD:AD)</f>
        <v>126702</v>
      </c>
      <c r="AC7" s="7">
        <f>SUMIF(DataQ!$B:$B,DataA!$A7,DataQ!AE:AE)</f>
        <v>117567</v>
      </c>
      <c r="AD7" s="7">
        <f>AVERAGEIF(DataQ!$B:$B,DataA!$A7,DataQ!AF:AF)</f>
        <v>1E-3</v>
      </c>
      <c r="AE7" s="7">
        <f>AVERAGEIF(DataQ!$B:$B,DataA!$A7,DataQ!AG:AG)</f>
        <v>1E-3</v>
      </c>
    </row>
    <row r="8" spans="1:31" x14ac:dyDescent="0.25">
      <c r="A8" s="4">
        <f>+A7+1</f>
        <v>1974</v>
      </c>
      <c r="B8" s="7">
        <f>SUMIF(DataQ!$B:$B,DataA!$A8,DataQ!D:D)</f>
        <v>869155</v>
      </c>
      <c r="C8" s="7">
        <f>SUMIF(DataQ!$B:$B,DataA!$A8,DataQ!E:E)</f>
        <v>869155</v>
      </c>
      <c r="D8" s="7">
        <f>SUMIF(DataQ!$B:$B,DataA!$A8,DataQ!F:F)</f>
        <v>869155</v>
      </c>
      <c r="E8" s="7">
        <f>SUMIF(DataQ!$B:$B,DataA!$A8,DataQ!G:G)</f>
        <v>869155</v>
      </c>
      <c r="F8" s="7">
        <f>SUMIF(DataQ!$B:$B,DataA!$A8,DataQ!H:H)</f>
        <v>869155</v>
      </c>
      <c r="G8" s="7">
        <f>SUMIF(DataQ!$B:$B,DataA!$A8,DataQ!I:I)</f>
        <v>869155</v>
      </c>
      <c r="H8" s="7">
        <f>SUMIF(DataQ!$B:$B,DataA!$A8,DataQ!J:J)</f>
        <v>869155</v>
      </c>
      <c r="I8" s="7">
        <f>SUMIF(DataQ!$B:$B,DataA!$A8,DataQ!K:K)</f>
        <v>869155</v>
      </c>
      <c r="J8" s="7">
        <f>SUMIF(DataQ!$B:$B,DataA!$A8,DataQ!L:L)</f>
        <v>869155</v>
      </c>
      <c r="K8" s="7">
        <f>SUMIF(DataQ!$B:$B,DataA!$A8,DataQ!M:M)</f>
        <v>869155</v>
      </c>
      <c r="L8" s="7">
        <f>SUMIF(DataQ!$B:$B,DataA!$A8,DataQ!N:N)</f>
        <v>869155</v>
      </c>
      <c r="M8" s="7">
        <f>SUMIF(DataQ!$B:$B,DataA!$A8,DataQ!O:O)</f>
        <v>869155</v>
      </c>
      <c r="N8" s="7">
        <f>SUMIF(DataQ!$B:$B,DataA!$A8,DataQ!P:P)</f>
        <v>869155</v>
      </c>
      <c r="O8" s="7">
        <f>SUMIF(DataQ!$B:$B,DataA!$A8,DataQ!Q:Q)</f>
        <v>869155</v>
      </c>
      <c r="P8" s="7">
        <f>SUMIF(DataQ!$B:$B,DataA!$A8,DataQ!R:R)</f>
        <v>869155</v>
      </c>
      <c r="Q8" s="7">
        <f>SUMIF(DataQ!$B:$B,DataA!$A8,DataQ!S:S)</f>
        <v>869155</v>
      </c>
      <c r="R8" s="7">
        <f>SUMIF(DataQ!$B:$B,DataA!$A8,DataQ!T:T)</f>
        <v>869155</v>
      </c>
      <c r="S8" s="7">
        <f>AVERAGEIF(DataQ!$B:$B,DataA!$A8,DataQ!U:U)</f>
        <v>19.300352499999999</v>
      </c>
      <c r="T8" s="7">
        <f>AVERAGEIF(DataQ!$B:$B,DataA!$A8,DataQ!V:V)</f>
        <v>14.3836075</v>
      </c>
      <c r="U8" s="7">
        <f>AVERAGEIF(DataQ!$B:$B,DataA!$A8,DataQ!W:W)</f>
        <v>1E-3</v>
      </c>
      <c r="V8" s="7">
        <f>AVERAGEIF(DataQ!$B:$B,DataA!$A8,DataQ!X:X)</f>
        <v>1E-3</v>
      </c>
      <c r="W8" s="7">
        <f>AVERAGEIF(DataQ!$B:$B,DataA!$A8,DataQ!Y:Y)</f>
        <v>1E-3</v>
      </c>
      <c r="X8" s="7">
        <f>AVERAGEIF(DataQ!$B:$B,DataA!$A8,DataQ!Z:Z)</f>
        <v>1E-3</v>
      </c>
      <c r="Y8" s="7">
        <f>SUMIF(DataQ!$B:$B,DataA!$A8,DataQ!AA:AA)</f>
        <v>456007</v>
      </c>
      <c r="Z8" s="7">
        <f>SUMIF(DataQ!$B:$B,DataA!$A8,DataQ!AB:AB)</f>
        <v>164938</v>
      </c>
      <c r="AA8" s="7">
        <f>SUMIF(DataQ!$B:$B,DataA!$A8,DataQ!AC:AC)</f>
        <v>207503</v>
      </c>
      <c r="AB8" s="7">
        <f>SUMIF(DataQ!$B:$B,DataA!$A8,DataQ!AD:AD)</f>
        <v>135895</v>
      </c>
      <c r="AC8" s="7">
        <f>SUMIF(DataQ!$B:$B,DataA!$A8,DataQ!AE:AE)</f>
        <v>118687</v>
      </c>
      <c r="AD8" s="7">
        <f>AVERAGEIF(DataQ!$B:$B,DataA!$A8,DataQ!AF:AF)</f>
        <v>1E-3</v>
      </c>
      <c r="AE8" s="7">
        <f>AVERAGEIF(DataQ!$B:$B,DataA!$A8,DataQ!AG:AG)</f>
        <v>1E-3</v>
      </c>
    </row>
    <row r="9" spans="1:31" x14ac:dyDescent="0.25">
      <c r="A9" s="4">
        <f t="shared" ref="A9:A47" si="0">+A8+1</f>
        <v>1975</v>
      </c>
      <c r="B9" s="7">
        <f>SUMIF(DataQ!$B:$B,DataA!$A9,DataQ!D:D)</f>
        <v>856049</v>
      </c>
      <c r="C9" s="7">
        <f>SUMIF(DataQ!$B:$B,DataA!$A9,DataQ!E:E)</f>
        <v>856049</v>
      </c>
      <c r="D9" s="7">
        <f>SUMIF(DataQ!$B:$B,DataA!$A9,DataQ!F:F)</f>
        <v>856049</v>
      </c>
      <c r="E9" s="7">
        <f>SUMIF(DataQ!$B:$B,DataA!$A9,DataQ!G:G)</f>
        <v>856049</v>
      </c>
      <c r="F9" s="7">
        <f>SUMIF(DataQ!$B:$B,DataA!$A9,DataQ!H:H)</f>
        <v>856049</v>
      </c>
      <c r="G9" s="7">
        <f>SUMIF(DataQ!$B:$B,DataA!$A9,DataQ!I:I)</f>
        <v>856049</v>
      </c>
      <c r="H9" s="7">
        <f>SUMIF(DataQ!$B:$B,DataA!$A9,DataQ!J:J)</f>
        <v>856049</v>
      </c>
      <c r="I9" s="7">
        <f>SUMIF(DataQ!$B:$B,DataA!$A9,DataQ!K:K)</f>
        <v>856049</v>
      </c>
      <c r="J9" s="7">
        <f>SUMIF(DataQ!$B:$B,DataA!$A9,DataQ!L:L)</f>
        <v>856049</v>
      </c>
      <c r="K9" s="7">
        <f>SUMIF(DataQ!$B:$B,DataA!$A9,DataQ!M:M)</f>
        <v>856049</v>
      </c>
      <c r="L9" s="7">
        <f>SUMIF(DataQ!$B:$B,DataA!$A9,DataQ!N:N)</f>
        <v>856049</v>
      </c>
      <c r="M9" s="7">
        <f>SUMIF(DataQ!$B:$B,DataA!$A9,DataQ!O:O)</f>
        <v>856049</v>
      </c>
      <c r="N9" s="7">
        <f>SUMIF(DataQ!$B:$B,DataA!$A9,DataQ!P:P)</f>
        <v>856049</v>
      </c>
      <c r="O9" s="7">
        <f>SUMIF(DataQ!$B:$B,DataA!$A9,DataQ!Q:Q)</f>
        <v>856049</v>
      </c>
      <c r="P9" s="7">
        <f>SUMIF(DataQ!$B:$B,DataA!$A9,DataQ!R:R)</f>
        <v>856049</v>
      </c>
      <c r="Q9" s="7">
        <f>SUMIF(DataQ!$B:$B,DataA!$A9,DataQ!S:S)</f>
        <v>856049</v>
      </c>
      <c r="R9" s="7">
        <f>SUMIF(DataQ!$B:$B,DataA!$A9,DataQ!T:T)</f>
        <v>856049</v>
      </c>
      <c r="S9" s="7">
        <f>AVERAGEIF(DataQ!$B:$B,DataA!$A9,DataQ!U:U)</f>
        <v>25.941457499999999</v>
      </c>
      <c r="T9" s="7">
        <f>AVERAGEIF(DataQ!$B:$B,DataA!$A9,DataQ!V:V)</f>
        <v>17.648755000000001</v>
      </c>
      <c r="U9" s="7">
        <f>AVERAGEIF(DataQ!$B:$B,DataA!$A9,DataQ!W:W)</f>
        <v>1E-3</v>
      </c>
      <c r="V9" s="7">
        <f>AVERAGEIF(DataQ!$B:$B,DataA!$A9,DataQ!X:X)</f>
        <v>1E-3</v>
      </c>
      <c r="W9" s="7">
        <f>AVERAGEIF(DataQ!$B:$B,DataA!$A9,DataQ!Y:Y)</f>
        <v>1E-3</v>
      </c>
      <c r="X9" s="7">
        <f>AVERAGEIF(DataQ!$B:$B,DataA!$A9,DataQ!Z:Z)</f>
        <v>1E-3</v>
      </c>
      <c r="Y9" s="7">
        <f>SUMIF(DataQ!$B:$B,DataA!$A9,DataQ!AA:AA)</f>
        <v>455397</v>
      </c>
      <c r="Z9" s="7">
        <f>SUMIF(DataQ!$B:$B,DataA!$A9,DataQ!AB:AB)</f>
        <v>155077</v>
      </c>
      <c r="AA9" s="7">
        <f>SUMIF(DataQ!$B:$B,DataA!$A9,DataQ!AC:AC)</f>
        <v>219574</v>
      </c>
      <c r="AB9" s="7">
        <f>SUMIF(DataQ!$B:$B,DataA!$A9,DataQ!AD:AD)</f>
        <v>131880</v>
      </c>
      <c r="AC9" s="7">
        <f>SUMIF(DataQ!$B:$B,DataA!$A9,DataQ!AE:AE)</f>
        <v>110825</v>
      </c>
      <c r="AD9" s="7">
        <f>AVERAGEIF(DataQ!$B:$B,DataA!$A9,DataQ!AF:AF)</f>
        <v>1E-3</v>
      </c>
      <c r="AE9" s="7">
        <f>AVERAGEIF(DataQ!$B:$B,DataA!$A9,DataQ!AG:AG)</f>
        <v>1E-3</v>
      </c>
    </row>
    <row r="10" spans="1:31" x14ac:dyDescent="0.25">
      <c r="A10" s="4">
        <f t="shared" si="0"/>
        <v>1976</v>
      </c>
      <c r="B10" s="7">
        <f>SUMIF(DataQ!$B:$B,DataA!$A10,DataQ!D:D)</f>
        <v>881878</v>
      </c>
      <c r="C10" s="7">
        <f>SUMIF(DataQ!$B:$B,DataA!$A10,DataQ!E:E)</f>
        <v>881878</v>
      </c>
      <c r="D10" s="7">
        <f>SUMIF(DataQ!$B:$B,DataA!$A10,DataQ!F:F)</f>
        <v>881878</v>
      </c>
      <c r="E10" s="7">
        <f>SUMIF(DataQ!$B:$B,DataA!$A10,DataQ!G:G)</f>
        <v>881878</v>
      </c>
      <c r="F10" s="7">
        <f>SUMIF(DataQ!$B:$B,DataA!$A10,DataQ!H:H)</f>
        <v>881878</v>
      </c>
      <c r="G10" s="7">
        <f>SUMIF(DataQ!$B:$B,DataA!$A10,DataQ!I:I)</f>
        <v>881878</v>
      </c>
      <c r="H10" s="7">
        <f>SUMIF(DataQ!$B:$B,DataA!$A10,DataQ!J:J)</f>
        <v>881878</v>
      </c>
      <c r="I10" s="7">
        <f>SUMIF(DataQ!$B:$B,DataA!$A10,DataQ!K:K)</f>
        <v>881878</v>
      </c>
      <c r="J10" s="7">
        <f>SUMIF(DataQ!$B:$B,DataA!$A10,DataQ!L:L)</f>
        <v>881878</v>
      </c>
      <c r="K10" s="7">
        <f>SUMIF(DataQ!$B:$B,DataA!$A10,DataQ!M:M)</f>
        <v>881878</v>
      </c>
      <c r="L10" s="7">
        <f>SUMIF(DataQ!$B:$B,DataA!$A10,DataQ!N:N)</f>
        <v>881878</v>
      </c>
      <c r="M10" s="7">
        <f>SUMIF(DataQ!$B:$B,DataA!$A10,DataQ!O:O)</f>
        <v>881878</v>
      </c>
      <c r="N10" s="7">
        <f>SUMIF(DataQ!$B:$B,DataA!$A10,DataQ!P:P)</f>
        <v>881878</v>
      </c>
      <c r="O10" s="7">
        <f>SUMIF(DataQ!$B:$B,DataA!$A10,DataQ!Q:Q)</f>
        <v>881878</v>
      </c>
      <c r="P10" s="7">
        <f>SUMIF(DataQ!$B:$B,DataA!$A10,DataQ!R:R)</f>
        <v>881878</v>
      </c>
      <c r="Q10" s="7">
        <f>SUMIF(DataQ!$B:$B,DataA!$A10,DataQ!S:S)</f>
        <v>881878</v>
      </c>
      <c r="R10" s="7">
        <f>SUMIF(DataQ!$B:$B,DataA!$A10,DataQ!T:T)</f>
        <v>881878</v>
      </c>
      <c r="S10" s="7">
        <f>AVERAGEIF(DataQ!$B:$B,DataA!$A10,DataQ!U:U)</f>
        <v>31.409385</v>
      </c>
      <c r="T10" s="7">
        <f>AVERAGEIF(DataQ!$B:$B,DataA!$A10,DataQ!V:V)</f>
        <v>20.412077499999999</v>
      </c>
      <c r="U10" s="7">
        <f>AVERAGEIF(DataQ!$B:$B,DataA!$A10,DataQ!W:W)</f>
        <v>1E-3</v>
      </c>
      <c r="V10" s="7">
        <f>AVERAGEIF(DataQ!$B:$B,DataA!$A10,DataQ!X:X)</f>
        <v>1E-3</v>
      </c>
      <c r="W10" s="7">
        <f>AVERAGEIF(DataQ!$B:$B,DataA!$A10,DataQ!Y:Y)</f>
        <v>1E-3</v>
      </c>
      <c r="X10" s="7">
        <f>AVERAGEIF(DataQ!$B:$B,DataA!$A10,DataQ!Z:Z)</f>
        <v>1E-3</v>
      </c>
      <c r="Y10" s="7">
        <f>SUMIF(DataQ!$B:$B,DataA!$A10,DataQ!AA:AA)</f>
        <v>457926</v>
      </c>
      <c r="Z10" s="7">
        <f>SUMIF(DataQ!$B:$B,DataA!$A10,DataQ!AB:AB)</f>
        <v>156130</v>
      </c>
      <c r="AA10" s="7">
        <f>SUMIF(DataQ!$B:$B,DataA!$A10,DataQ!AC:AC)</f>
        <v>222968</v>
      </c>
      <c r="AB10" s="7">
        <f>SUMIF(DataQ!$B:$B,DataA!$A10,DataQ!AD:AD)</f>
        <v>143534</v>
      </c>
      <c r="AC10" s="7">
        <f>SUMIF(DataQ!$B:$B,DataA!$A10,DataQ!AE:AE)</f>
        <v>116253</v>
      </c>
      <c r="AD10" s="7">
        <f>AVERAGEIF(DataQ!$B:$B,DataA!$A10,DataQ!AF:AF)</f>
        <v>1E-3</v>
      </c>
      <c r="AE10" s="7">
        <f>AVERAGEIF(DataQ!$B:$B,DataA!$A10,DataQ!AG:AG)</f>
        <v>1E-3</v>
      </c>
    </row>
    <row r="11" spans="1:31" x14ac:dyDescent="0.25">
      <c r="A11" s="4">
        <f t="shared" si="0"/>
        <v>1977</v>
      </c>
      <c r="B11" s="7">
        <f>SUMIF(DataQ!$B:$B,DataA!$A11,DataQ!D:D)</f>
        <v>903587</v>
      </c>
      <c r="C11" s="7">
        <f>SUMIF(DataQ!$B:$B,DataA!$A11,DataQ!E:E)</f>
        <v>903587</v>
      </c>
      <c r="D11" s="7">
        <f>SUMIF(DataQ!$B:$B,DataA!$A11,DataQ!F:F)</f>
        <v>903587</v>
      </c>
      <c r="E11" s="7">
        <f>SUMIF(DataQ!$B:$B,DataA!$A11,DataQ!G:G)</f>
        <v>903587</v>
      </c>
      <c r="F11" s="7">
        <f>SUMIF(DataQ!$B:$B,DataA!$A11,DataQ!H:H)</f>
        <v>903587</v>
      </c>
      <c r="G11" s="7">
        <f>SUMIF(DataQ!$B:$B,DataA!$A11,DataQ!I:I)</f>
        <v>903587</v>
      </c>
      <c r="H11" s="7">
        <f>SUMIF(DataQ!$B:$B,DataA!$A11,DataQ!J:J)</f>
        <v>903587</v>
      </c>
      <c r="I11" s="7">
        <f>SUMIF(DataQ!$B:$B,DataA!$A11,DataQ!K:K)</f>
        <v>903587</v>
      </c>
      <c r="J11" s="7">
        <f>SUMIF(DataQ!$B:$B,DataA!$A11,DataQ!L:L)</f>
        <v>903587</v>
      </c>
      <c r="K11" s="7">
        <f>SUMIF(DataQ!$B:$B,DataA!$A11,DataQ!M:M)</f>
        <v>903587</v>
      </c>
      <c r="L11" s="7">
        <f>SUMIF(DataQ!$B:$B,DataA!$A11,DataQ!N:N)</f>
        <v>903587</v>
      </c>
      <c r="M11" s="7">
        <f>SUMIF(DataQ!$B:$B,DataA!$A11,DataQ!O:O)</f>
        <v>903587</v>
      </c>
      <c r="N11" s="7">
        <f>SUMIF(DataQ!$B:$B,DataA!$A11,DataQ!P:P)</f>
        <v>903587</v>
      </c>
      <c r="O11" s="7">
        <f>SUMIF(DataQ!$B:$B,DataA!$A11,DataQ!Q:Q)</f>
        <v>903587</v>
      </c>
      <c r="P11" s="7">
        <f>SUMIF(DataQ!$B:$B,DataA!$A11,DataQ!R:R)</f>
        <v>903587</v>
      </c>
      <c r="Q11" s="7">
        <f>SUMIF(DataQ!$B:$B,DataA!$A11,DataQ!S:S)</f>
        <v>903587</v>
      </c>
      <c r="R11" s="7">
        <f>SUMIF(DataQ!$B:$B,DataA!$A11,DataQ!T:T)</f>
        <v>903587</v>
      </c>
      <c r="S11" s="7">
        <f>AVERAGEIF(DataQ!$B:$B,DataA!$A11,DataQ!U:U)</f>
        <v>35.091777499999999</v>
      </c>
      <c r="T11" s="7">
        <f>AVERAGEIF(DataQ!$B:$B,DataA!$A11,DataQ!V:V)</f>
        <v>23.4621575</v>
      </c>
      <c r="U11" s="7">
        <f>AVERAGEIF(DataQ!$B:$B,DataA!$A11,DataQ!W:W)</f>
        <v>1E-3</v>
      </c>
      <c r="V11" s="7">
        <f>AVERAGEIF(DataQ!$B:$B,DataA!$A11,DataQ!X:X)</f>
        <v>1E-3</v>
      </c>
      <c r="W11" s="7">
        <f>AVERAGEIF(DataQ!$B:$B,DataA!$A11,DataQ!Y:Y)</f>
        <v>1E-3</v>
      </c>
      <c r="X11" s="7">
        <f>AVERAGEIF(DataQ!$B:$B,DataA!$A11,DataQ!Z:Z)</f>
        <v>1E-3</v>
      </c>
      <c r="Y11" s="7">
        <f>SUMIF(DataQ!$B:$B,DataA!$A11,DataQ!AA:AA)</f>
        <v>456906</v>
      </c>
      <c r="Z11" s="7">
        <f>SUMIF(DataQ!$B:$B,DataA!$A11,DataQ!AB:AB)</f>
        <v>158549</v>
      </c>
      <c r="AA11" s="7">
        <f>SUMIF(DataQ!$B:$B,DataA!$A11,DataQ!AC:AC)</f>
        <v>220135</v>
      </c>
      <c r="AB11" s="7">
        <f>SUMIF(DataQ!$B:$B,DataA!$A11,DataQ!AD:AD)</f>
        <v>153003</v>
      </c>
      <c r="AC11" s="7">
        <f>SUMIF(DataQ!$B:$B,DataA!$A11,DataQ!AE:AE)</f>
        <v>118265</v>
      </c>
      <c r="AD11" s="7">
        <f>AVERAGEIF(DataQ!$B:$B,DataA!$A11,DataQ!AF:AF)</f>
        <v>1E-3</v>
      </c>
      <c r="AE11" s="7">
        <f>AVERAGEIF(DataQ!$B:$B,DataA!$A11,DataQ!AG:AG)</f>
        <v>1E-3</v>
      </c>
    </row>
    <row r="12" spans="1:31" x14ac:dyDescent="0.25">
      <c r="A12" s="4">
        <f t="shared" si="0"/>
        <v>1978</v>
      </c>
      <c r="B12" s="7">
        <f>SUMIF(DataQ!$B:$B,DataA!$A12,DataQ!D:D)</f>
        <v>941461</v>
      </c>
      <c r="C12" s="7">
        <f>SUMIF(DataQ!$B:$B,DataA!$A12,DataQ!E:E)</f>
        <v>941461</v>
      </c>
      <c r="D12" s="7">
        <f>SUMIF(DataQ!$B:$B,DataA!$A12,DataQ!F:F)</f>
        <v>941461</v>
      </c>
      <c r="E12" s="7">
        <f>SUMIF(DataQ!$B:$B,DataA!$A12,DataQ!G:G)</f>
        <v>941461</v>
      </c>
      <c r="F12" s="7">
        <f>SUMIF(DataQ!$B:$B,DataA!$A12,DataQ!H:H)</f>
        <v>941461</v>
      </c>
      <c r="G12" s="7">
        <f>SUMIF(DataQ!$B:$B,DataA!$A12,DataQ!I:I)</f>
        <v>941461</v>
      </c>
      <c r="H12" s="7">
        <f>SUMIF(DataQ!$B:$B,DataA!$A12,DataQ!J:J)</f>
        <v>941461</v>
      </c>
      <c r="I12" s="7">
        <f>SUMIF(DataQ!$B:$B,DataA!$A12,DataQ!K:K)</f>
        <v>941461</v>
      </c>
      <c r="J12" s="7">
        <f>SUMIF(DataQ!$B:$B,DataA!$A12,DataQ!L:L)</f>
        <v>941461</v>
      </c>
      <c r="K12" s="7">
        <f>SUMIF(DataQ!$B:$B,DataA!$A12,DataQ!M:M)</f>
        <v>941461</v>
      </c>
      <c r="L12" s="7">
        <f>SUMIF(DataQ!$B:$B,DataA!$A12,DataQ!N:N)</f>
        <v>941461</v>
      </c>
      <c r="M12" s="7">
        <f>SUMIF(DataQ!$B:$B,DataA!$A12,DataQ!O:O)</f>
        <v>941461</v>
      </c>
      <c r="N12" s="7">
        <f>SUMIF(DataQ!$B:$B,DataA!$A12,DataQ!P:P)</f>
        <v>941461</v>
      </c>
      <c r="O12" s="7">
        <f>SUMIF(DataQ!$B:$B,DataA!$A12,DataQ!Q:Q)</f>
        <v>941461</v>
      </c>
      <c r="P12" s="7">
        <f>SUMIF(DataQ!$B:$B,DataA!$A12,DataQ!R:R)</f>
        <v>941461</v>
      </c>
      <c r="Q12" s="7">
        <f>SUMIF(DataQ!$B:$B,DataA!$A12,DataQ!S:S)</f>
        <v>941461</v>
      </c>
      <c r="R12" s="7">
        <f>SUMIF(DataQ!$B:$B,DataA!$A12,DataQ!T:T)</f>
        <v>941461</v>
      </c>
      <c r="S12" s="7">
        <f>AVERAGEIF(DataQ!$B:$B,DataA!$A12,DataQ!U:U)</f>
        <v>40.728302499999998</v>
      </c>
      <c r="T12" s="7">
        <f>AVERAGEIF(DataQ!$B:$B,DataA!$A12,DataQ!V:V)</f>
        <v>25.215302500000004</v>
      </c>
      <c r="U12" s="7">
        <f>AVERAGEIF(DataQ!$B:$B,DataA!$A12,DataQ!W:W)</f>
        <v>1E-3</v>
      </c>
      <c r="V12" s="7">
        <f>AVERAGEIF(DataQ!$B:$B,DataA!$A12,DataQ!X:X)</f>
        <v>1E-3</v>
      </c>
      <c r="W12" s="7">
        <f>AVERAGEIF(DataQ!$B:$B,DataA!$A12,DataQ!Y:Y)</f>
        <v>1E-3</v>
      </c>
      <c r="X12" s="7">
        <f>AVERAGEIF(DataQ!$B:$B,DataA!$A12,DataQ!Z:Z)</f>
        <v>1E-3</v>
      </c>
      <c r="Y12" s="7">
        <f>SUMIF(DataQ!$B:$B,DataA!$A12,DataQ!AA:AA)</f>
        <v>481558</v>
      </c>
      <c r="Z12" s="7">
        <f>SUMIF(DataQ!$B:$B,DataA!$A12,DataQ!AB:AB)</f>
        <v>170231</v>
      </c>
      <c r="AA12" s="7">
        <f>SUMIF(DataQ!$B:$B,DataA!$A12,DataQ!AC:AC)</f>
        <v>223839</v>
      </c>
      <c r="AB12" s="7">
        <f>SUMIF(DataQ!$B:$B,DataA!$A12,DataQ!AD:AD)</f>
        <v>155528</v>
      </c>
      <c r="AC12" s="7">
        <f>SUMIF(DataQ!$B:$B,DataA!$A12,DataQ!AE:AE)</f>
        <v>122400</v>
      </c>
      <c r="AD12" s="7">
        <f>AVERAGEIF(DataQ!$B:$B,DataA!$A12,DataQ!AF:AF)</f>
        <v>1E-3</v>
      </c>
      <c r="AE12" s="7">
        <f>AVERAGEIF(DataQ!$B:$B,DataA!$A12,DataQ!AG:AG)</f>
        <v>1E-3</v>
      </c>
    </row>
    <row r="13" spans="1:31" x14ac:dyDescent="0.25">
      <c r="A13" s="4">
        <f t="shared" si="0"/>
        <v>1979</v>
      </c>
      <c r="B13" s="7">
        <f>SUMIF(DataQ!$B:$B,DataA!$A13,DataQ!D:D)</f>
        <v>976566</v>
      </c>
      <c r="C13" s="7">
        <f>SUMIF(DataQ!$B:$B,DataA!$A13,DataQ!E:E)</f>
        <v>976566</v>
      </c>
      <c r="D13" s="7">
        <f>SUMIF(DataQ!$B:$B,DataA!$A13,DataQ!F:F)</f>
        <v>976566</v>
      </c>
      <c r="E13" s="7">
        <f>SUMIF(DataQ!$B:$B,DataA!$A13,DataQ!G:G)</f>
        <v>976566</v>
      </c>
      <c r="F13" s="7">
        <f>SUMIF(DataQ!$B:$B,DataA!$A13,DataQ!H:H)</f>
        <v>976566</v>
      </c>
      <c r="G13" s="7">
        <f>SUMIF(DataQ!$B:$B,DataA!$A13,DataQ!I:I)</f>
        <v>976566</v>
      </c>
      <c r="H13" s="7">
        <f>SUMIF(DataQ!$B:$B,DataA!$A13,DataQ!J:J)</f>
        <v>976566</v>
      </c>
      <c r="I13" s="7">
        <f>SUMIF(DataQ!$B:$B,DataA!$A13,DataQ!K:K)</f>
        <v>976566</v>
      </c>
      <c r="J13" s="7">
        <f>SUMIF(DataQ!$B:$B,DataA!$A13,DataQ!L:L)</f>
        <v>976566</v>
      </c>
      <c r="K13" s="7">
        <f>SUMIF(DataQ!$B:$B,DataA!$A13,DataQ!M:M)</f>
        <v>976566</v>
      </c>
      <c r="L13" s="7">
        <f>SUMIF(DataQ!$B:$B,DataA!$A13,DataQ!N:N)</f>
        <v>976566</v>
      </c>
      <c r="M13" s="7">
        <f>SUMIF(DataQ!$B:$B,DataA!$A13,DataQ!O:O)</f>
        <v>976566</v>
      </c>
      <c r="N13" s="7">
        <f>SUMIF(DataQ!$B:$B,DataA!$A13,DataQ!P:P)</f>
        <v>976566</v>
      </c>
      <c r="O13" s="7">
        <f>SUMIF(DataQ!$B:$B,DataA!$A13,DataQ!Q:Q)</f>
        <v>976566</v>
      </c>
      <c r="P13" s="7">
        <f>SUMIF(DataQ!$B:$B,DataA!$A13,DataQ!R:R)</f>
        <v>976566</v>
      </c>
      <c r="Q13" s="7">
        <f>SUMIF(DataQ!$B:$B,DataA!$A13,DataQ!S:S)</f>
        <v>976566</v>
      </c>
      <c r="R13" s="7">
        <f>SUMIF(DataQ!$B:$B,DataA!$A13,DataQ!T:T)</f>
        <v>976566</v>
      </c>
      <c r="S13" s="7">
        <f>AVERAGEIF(DataQ!$B:$B,DataA!$A13,DataQ!U:U)</f>
        <v>48.393659999999997</v>
      </c>
      <c r="T13" s="7">
        <f>AVERAGEIF(DataQ!$B:$B,DataA!$A13,DataQ!V:V)</f>
        <v>28.082897500000001</v>
      </c>
      <c r="U13" s="7">
        <f>AVERAGEIF(DataQ!$B:$B,DataA!$A13,DataQ!W:W)</f>
        <v>1E-3</v>
      </c>
      <c r="V13" s="7">
        <f>AVERAGEIF(DataQ!$B:$B,DataA!$A13,DataQ!X:X)</f>
        <v>1E-3</v>
      </c>
      <c r="W13" s="7">
        <f>AVERAGEIF(DataQ!$B:$B,DataA!$A13,DataQ!Y:Y)</f>
        <v>1E-3</v>
      </c>
      <c r="X13" s="7">
        <f>AVERAGEIF(DataQ!$B:$B,DataA!$A13,DataQ!Z:Z)</f>
        <v>1E-3</v>
      </c>
      <c r="Y13" s="7">
        <f>SUMIF(DataQ!$B:$B,DataA!$A13,DataQ!AA:AA)</f>
        <v>504380</v>
      </c>
      <c r="Z13" s="7">
        <f>SUMIF(DataQ!$B:$B,DataA!$A13,DataQ!AB:AB)</f>
        <v>184880</v>
      </c>
      <c r="AA13" s="7">
        <f>SUMIF(DataQ!$B:$B,DataA!$A13,DataQ!AC:AC)</f>
        <v>227267</v>
      </c>
      <c r="AB13" s="7">
        <f>SUMIF(DataQ!$B:$B,DataA!$A13,DataQ!AD:AD)</f>
        <v>161066</v>
      </c>
      <c r="AC13" s="7">
        <f>SUMIF(DataQ!$B:$B,DataA!$A13,DataQ!AE:AE)</f>
        <v>133788</v>
      </c>
      <c r="AD13" s="7">
        <f>AVERAGEIF(DataQ!$B:$B,DataA!$A13,DataQ!AF:AF)</f>
        <v>1E-3</v>
      </c>
      <c r="AE13" s="7">
        <f>AVERAGEIF(DataQ!$B:$B,DataA!$A13,DataQ!AG:AG)</f>
        <v>1E-3</v>
      </c>
    </row>
    <row r="14" spans="1:31" x14ac:dyDescent="0.25">
      <c r="A14" s="4">
        <f t="shared" si="0"/>
        <v>1980</v>
      </c>
      <c r="B14" s="7">
        <f>SUMIF(DataQ!$B:$B,DataA!$A14,DataQ!D:D)</f>
        <v>956533</v>
      </c>
      <c r="C14" s="7">
        <f>SUMIF(DataQ!$B:$B,DataA!$A14,DataQ!E:E)</f>
        <v>956533</v>
      </c>
      <c r="D14" s="7">
        <f>SUMIF(DataQ!$B:$B,DataA!$A14,DataQ!F:F)</f>
        <v>956533</v>
      </c>
      <c r="E14" s="7">
        <f>SUMIF(DataQ!$B:$B,DataA!$A14,DataQ!G:G)</f>
        <v>956533</v>
      </c>
      <c r="F14" s="7">
        <f>SUMIF(DataQ!$B:$B,DataA!$A14,DataQ!H:H)</f>
        <v>956533</v>
      </c>
      <c r="G14" s="7">
        <f>SUMIF(DataQ!$B:$B,DataA!$A14,DataQ!I:I)</f>
        <v>956533</v>
      </c>
      <c r="H14" s="7">
        <f>SUMIF(DataQ!$B:$B,DataA!$A14,DataQ!J:J)</f>
        <v>956533</v>
      </c>
      <c r="I14" s="7">
        <f>SUMIF(DataQ!$B:$B,DataA!$A14,DataQ!K:K)</f>
        <v>956533</v>
      </c>
      <c r="J14" s="7">
        <f>SUMIF(DataQ!$B:$B,DataA!$A14,DataQ!L:L)</f>
        <v>956533</v>
      </c>
      <c r="K14" s="7">
        <f>SUMIF(DataQ!$B:$B,DataA!$A14,DataQ!M:M)</f>
        <v>956533</v>
      </c>
      <c r="L14" s="7">
        <f>SUMIF(DataQ!$B:$B,DataA!$A14,DataQ!N:N)</f>
        <v>956533</v>
      </c>
      <c r="M14" s="7">
        <f>SUMIF(DataQ!$B:$B,DataA!$A14,DataQ!O:O)</f>
        <v>956533</v>
      </c>
      <c r="N14" s="7">
        <f>SUMIF(DataQ!$B:$B,DataA!$A14,DataQ!P:P)</f>
        <v>956533</v>
      </c>
      <c r="O14" s="7">
        <f>SUMIF(DataQ!$B:$B,DataA!$A14,DataQ!Q:Q)</f>
        <v>956533</v>
      </c>
      <c r="P14" s="7">
        <f>SUMIF(DataQ!$B:$B,DataA!$A14,DataQ!R:R)</f>
        <v>956533</v>
      </c>
      <c r="Q14" s="7">
        <f>SUMIF(DataQ!$B:$B,DataA!$A14,DataQ!S:S)</f>
        <v>956533</v>
      </c>
      <c r="R14" s="7">
        <f>SUMIF(DataQ!$B:$B,DataA!$A14,DataQ!T:T)</f>
        <v>956533</v>
      </c>
      <c r="S14" s="7">
        <f>AVERAGEIF(DataQ!$B:$B,DataA!$A14,DataQ!U:U)</f>
        <v>61.122669999999992</v>
      </c>
      <c r="T14" s="7">
        <f>AVERAGEIF(DataQ!$B:$B,DataA!$A14,DataQ!V:V)</f>
        <v>32.338672500000001</v>
      </c>
      <c r="U14" s="7">
        <f>AVERAGEIF(DataQ!$B:$B,DataA!$A14,DataQ!W:W)</f>
        <v>1E-3</v>
      </c>
      <c r="V14" s="7">
        <f>AVERAGEIF(DataQ!$B:$B,DataA!$A14,DataQ!X:X)</f>
        <v>1E-3</v>
      </c>
      <c r="W14" s="7">
        <f>AVERAGEIF(DataQ!$B:$B,DataA!$A14,DataQ!Y:Y)</f>
        <v>1E-3</v>
      </c>
      <c r="X14" s="7">
        <f>AVERAGEIF(DataQ!$B:$B,DataA!$A14,DataQ!Z:Z)</f>
        <v>1E-3</v>
      </c>
      <c r="Y14" s="7">
        <f>SUMIF(DataQ!$B:$B,DataA!$A14,DataQ!AA:AA)</f>
        <v>504992</v>
      </c>
      <c r="Z14" s="7">
        <f>SUMIF(DataQ!$B:$B,DataA!$A14,DataQ!AB:AB)</f>
        <v>172984</v>
      </c>
      <c r="AA14" s="7">
        <f>SUMIF(DataQ!$B:$B,DataA!$A14,DataQ!AC:AC)</f>
        <v>229881</v>
      </c>
      <c r="AB14" s="7">
        <f>SUMIF(DataQ!$B:$B,DataA!$A14,DataQ!AD:AD)</f>
        <v>160235</v>
      </c>
      <c r="AC14" s="7">
        <f>SUMIF(DataQ!$B:$B,DataA!$A14,DataQ!AE:AE)</f>
        <v>129029</v>
      </c>
      <c r="AD14" s="7">
        <f>AVERAGEIF(DataQ!$B:$B,DataA!$A14,DataQ!AF:AF)</f>
        <v>1E-3</v>
      </c>
      <c r="AE14" s="7">
        <f>AVERAGEIF(DataQ!$B:$B,DataA!$A14,DataQ!AG:AG)</f>
        <v>1E-3</v>
      </c>
    </row>
    <row r="15" spans="1:31" x14ac:dyDescent="0.25">
      <c r="A15" s="4">
        <f t="shared" si="0"/>
        <v>1981</v>
      </c>
      <c r="B15" s="7">
        <f>SUMIF(DataQ!$B:$B,DataA!$A15,DataQ!D:D)</f>
        <v>949961</v>
      </c>
      <c r="C15" s="7">
        <f>SUMIF(DataQ!$B:$B,DataA!$A15,DataQ!E:E)</f>
        <v>949961</v>
      </c>
      <c r="D15" s="7">
        <f>SUMIF(DataQ!$B:$B,DataA!$A15,DataQ!F:F)</f>
        <v>949961</v>
      </c>
      <c r="E15" s="7">
        <f>SUMIF(DataQ!$B:$B,DataA!$A15,DataQ!G:G)</f>
        <v>949961</v>
      </c>
      <c r="F15" s="7">
        <f>SUMIF(DataQ!$B:$B,DataA!$A15,DataQ!H:H)</f>
        <v>949961</v>
      </c>
      <c r="G15" s="7">
        <f>SUMIF(DataQ!$B:$B,DataA!$A15,DataQ!I:I)</f>
        <v>949961</v>
      </c>
      <c r="H15" s="7">
        <f>SUMIF(DataQ!$B:$B,DataA!$A15,DataQ!J:J)</f>
        <v>949961</v>
      </c>
      <c r="I15" s="7">
        <f>SUMIF(DataQ!$B:$B,DataA!$A15,DataQ!K:K)</f>
        <v>949961</v>
      </c>
      <c r="J15" s="7">
        <f>SUMIF(DataQ!$B:$B,DataA!$A15,DataQ!L:L)</f>
        <v>949961</v>
      </c>
      <c r="K15" s="7">
        <f>SUMIF(DataQ!$B:$B,DataA!$A15,DataQ!M:M)</f>
        <v>949961</v>
      </c>
      <c r="L15" s="7">
        <f>SUMIF(DataQ!$B:$B,DataA!$A15,DataQ!N:N)</f>
        <v>949961</v>
      </c>
      <c r="M15" s="7">
        <f>SUMIF(DataQ!$B:$B,DataA!$A15,DataQ!O:O)</f>
        <v>949961</v>
      </c>
      <c r="N15" s="7">
        <f>SUMIF(DataQ!$B:$B,DataA!$A15,DataQ!P:P)</f>
        <v>949961</v>
      </c>
      <c r="O15" s="7">
        <f>SUMIF(DataQ!$B:$B,DataA!$A15,DataQ!Q:Q)</f>
        <v>949961</v>
      </c>
      <c r="P15" s="7">
        <f>SUMIF(DataQ!$B:$B,DataA!$A15,DataQ!R:R)</f>
        <v>949961</v>
      </c>
      <c r="Q15" s="7">
        <f>SUMIF(DataQ!$B:$B,DataA!$A15,DataQ!S:S)</f>
        <v>949961</v>
      </c>
      <c r="R15" s="7">
        <f>SUMIF(DataQ!$B:$B,DataA!$A15,DataQ!T:T)</f>
        <v>949961</v>
      </c>
      <c r="S15" s="7">
        <f>AVERAGEIF(DataQ!$B:$B,DataA!$A15,DataQ!U:U)</f>
        <v>71.618052500000005</v>
      </c>
      <c r="T15" s="7">
        <f>AVERAGEIF(DataQ!$B:$B,DataA!$A15,DataQ!V:V)</f>
        <v>36.157795</v>
      </c>
      <c r="U15" s="7">
        <f>AVERAGEIF(DataQ!$B:$B,DataA!$A15,DataQ!W:W)</f>
        <v>1E-3</v>
      </c>
      <c r="V15" s="7">
        <f>AVERAGEIF(DataQ!$B:$B,DataA!$A15,DataQ!X:X)</f>
        <v>1E-3</v>
      </c>
      <c r="W15" s="7">
        <f>AVERAGEIF(DataQ!$B:$B,DataA!$A15,DataQ!Y:Y)</f>
        <v>1E-3</v>
      </c>
      <c r="X15" s="7">
        <f>AVERAGEIF(DataQ!$B:$B,DataA!$A15,DataQ!Z:Z)</f>
        <v>1E-3</v>
      </c>
      <c r="Y15" s="7">
        <f>SUMIF(DataQ!$B:$B,DataA!$A15,DataQ!AA:AA)</f>
        <v>506426</v>
      </c>
      <c r="Z15" s="7">
        <f>SUMIF(DataQ!$B:$B,DataA!$A15,DataQ!AB:AB)</f>
        <v>161511</v>
      </c>
      <c r="AA15" s="7">
        <f>SUMIF(DataQ!$B:$B,DataA!$A15,DataQ!AC:AC)</f>
        <v>229663</v>
      </c>
      <c r="AB15" s="7">
        <f>SUMIF(DataQ!$B:$B,DataA!$A15,DataQ!AD:AD)</f>
        <v>159266</v>
      </c>
      <c r="AC15" s="7">
        <f>SUMIF(DataQ!$B:$B,DataA!$A15,DataQ!AE:AE)</f>
        <v>125351</v>
      </c>
      <c r="AD15" s="7">
        <f>AVERAGEIF(DataQ!$B:$B,DataA!$A15,DataQ!AF:AF)</f>
        <v>1E-3</v>
      </c>
      <c r="AE15" s="7">
        <f>AVERAGEIF(DataQ!$B:$B,DataA!$A15,DataQ!AG:AG)</f>
        <v>1E-3</v>
      </c>
    </row>
    <row r="16" spans="1:31" x14ac:dyDescent="0.25">
      <c r="A16" s="4">
        <f t="shared" si="0"/>
        <v>1982</v>
      </c>
      <c r="B16" s="7">
        <f>SUMIF(DataQ!$B:$B,DataA!$A16,DataQ!D:D)</f>
        <v>968629</v>
      </c>
      <c r="C16" s="7">
        <f>SUMIF(DataQ!$B:$B,DataA!$A16,DataQ!E:E)</f>
        <v>968629</v>
      </c>
      <c r="D16" s="7">
        <f>SUMIF(DataQ!$B:$B,DataA!$A16,DataQ!F:F)</f>
        <v>968629</v>
      </c>
      <c r="E16" s="7">
        <f>SUMIF(DataQ!$B:$B,DataA!$A16,DataQ!G:G)</f>
        <v>968629</v>
      </c>
      <c r="F16" s="7">
        <f>SUMIF(DataQ!$B:$B,DataA!$A16,DataQ!H:H)</f>
        <v>968629</v>
      </c>
      <c r="G16" s="7">
        <f>SUMIF(DataQ!$B:$B,DataA!$A16,DataQ!I:I)</f>
        <v>968629</v>
      </c>
      <c r="H16" s="7">
        <f>SUMIF(DataQ!$B:$B,DataA!$A16,DataQ!J:J)</f>
        <v>968629</v>
      </c>
      <c r="I16" s="7">
        <f>SUMIF(DataQ!$B:$B,DataA!$A16,DataQ!K:K)</f>
        <v>968629</v>
      </c>
      <c r="J16" s="7">
        <f>SUMIF(DataQ!$B:$B,DataA!$A16,DataQ!L:L)</f>
        <v>968629</v>
      </c>
      <c r="K16" s="7">
        <f>SUMIF(DataQ!$B:$B,DataA!$A16,DataQ!M:M)</f>
        <v>968629</v>
      </c>
      <c r="L16" s="7">
        <f>SUMIF(DataQ!$B:$B,DataA!$A16,DataQ!N:N)</f>
        <v>968629</v>
      </c>
      <c r="M16" s="7">
        <f>SUMIF(DataQ!$B:$B,DataA!$A16,DataQ!O:O)</f>
        <v>968629</v>
      </c>
      <c r="N16" s="7">
        <f>SUMIF(DataQ!$B:$B,DataA!$A16,DataQ!P:P)</f>
        <v>968629</v>
      </c>
      <c r="O16" s="7">
        <f>SUMIF(DataQ!$B:$B,DataA!$A16,DataQ!Q:Q)</f>
        <v>968629</v>
      </c>
      <c r="P16" s="7">
        <f>SUMIF(DataQ!$B:$B,DataA!$A16,DataQ!R:R)</f>
        <v>968629</v>
      </c>
      <c r="Q16" s="7">
        <f>SUMIF(DataQ!$B:$B,DataA!$A16,DataQ!S:S)</f>
        <v>968629</v>
      </c>
      <c r="R16" s="7">
        <f>SUMIF(DataQ!$B:$B,DataA!$A16,DataQ!T:T)</f>
        <v>968629</v>
      </c>
      <c r="S16" s="7">
        <f>AVERAGEIF(DataQ!$B:$B,DataA!$A16,DataQ!U:U)</f>
        <v>80.275882499999994</v>
      </c>
      <c r="T16" s="7">
        <f>AVERAGEIF(DataQ!$B:$B,DataA!$A16,DataQ!V:V)</f>
        <v>39.090559999999996</v>
      </c>
      <c r="U16" s="7">
        <f>AVERAGEIF(DataQ!$B:$B,DataA!$A16,DataQ!W:W)</f>
        <v>1E-3</v>
      </c>
      <c r="V16" s="7">
        <f>AVERAGEIF(DataQ!$B:$B,DataA!$A16,DataQ!X:X)</f>
        <v>1E-3</v>
      </c>
      <c r="W16" s="7">
        <f>AVERAGEIF(DataQ!$B:$B,DataA!$A16,DataQ!Y:Y)</f>
        <v>1E-3</v>
      </c>
      <c r="X16" s="7">
        <f>AVERAGEIF(DataQ!$B:$B,DataA!$A16,DataQ!Z:Z)</f>
        <v>1E-3</v>
      </c>
      <c r="Y16" s="7">
        <f>SUMIF(DataQ!$B:$B,DataA!$A16,DataQ!AA:AA)</f>
        <v>512285</v>
      </c>
      <c r="Z16" s="7">
        <f>SUMIF(DataQ!$B:$B,DataA!$A16,DataQ!AB:AB)</f>
        <v>169791</v>
      </c>
      <c r="AA16" s="7">
        <f>SUMIF(DataQ!$B:$B,DataA!$A16,DataQ!AC:AC)</f>
        <v>231086</v>
      </c>
      <c r="AB16" s="7">
        <f>SUMIF(DataQ!$B:$B,DataA!$A16,DataQ!AD:AD)</f>
        <v>160647</v>
      </c>
      <c r="AC16" s="7">
        <f>SUMIF(DataQ!$B:$B,DataA!$A16,DataQ!AE:AE)</f>
        <v>131032</v>
      </c>
      <c r="AD16" s="7">
        <f>AVERAGEIF(DataQ!$B:$B,DataA!$A16,DataQ!AF:AF)</f>
        <v>1E-3</v>
      </c>
      <c r="AE16" s="7">
        <f>AVERAGEIF(DataQ!$B:$B,DataA!$A16,DataQ!AG:AG)</f>
        <v>1E-3</v>
      </c>
    </row>
    <row r="17" spans="1:31" x14ac:dyDescent="0.25">
      <c r="A17" s="4">
        <f t="shared" si="0"/>
        <v>1983</v>
      </c>
      <c r="B17" s="7">
        <f>SUMIF(DataQ!$B:$B,DataA!$A17,DataQ!D:D)</f>
        <v>1008981</v>
      </c>
      <c r="C17" s="7">
        <f>SUMIF(DataQ!$B:$B,DataA!$A17,DataQ!E:E)</f>
        <v>1008981</v>
      </c>
      <c r="D17" s="7">
        <f>SUMIF(DataQ!$B:$B,DataA!$A17,DataQ!F:F)</f>
        <v>1008981</v>
      </c>
      <c r="E17" s="7">
        <f>SUMIF(DataQ!$B:$B,DataA!$A17,DataQ!G:G)</f>
        <v>1008981</v>
      </c>
      <c r="F17" s="7">
        <f>SUMIF(DataQ!$B:$B,DataA!$A17,DataQ!H:H)</f>
        <v>1008981</v>
      </c>
      <c r="G17" s="7">
        <f>SUMIF(DataQ!$B:$B,DataA!$A17,DataQ!I:I)</f>
        <v>1008981</v>
      </c>
      <c r="H17" s="7">
        <f>SUMIF(DataQ!$B:$B,DataA!$A17,DataQ!J:J)</f>
        <v>1008981</v>
      </c>
      <c r="I17" s="7">
        <f>SUMIF(DataQ!$B:$B,DataA!$A17,DataQ!K:K)</f>
        <v>1008981</v>
      </c>
      <c r="J17" s="7">
        <f>SUMIF(DataQ!$B:$B,DataA!$A17,DataQ!L:L)</f>
        <v>1008981</v>
      </c>
      <c r="K17" s="7">
        <f>SUMIF(DataQ!$B:$B,DataA!$A17,DataQ!M:M)</f>
        <v>1008981</v>
      </c>
      <c r="L17" s="7">
        <f>SUMIF(DataQ!$B:$B,DataA!$A17,DataQ!N:N)</f>
        <v>1008981</v>
      </c>
      <c r="M17" s="7">
        <f>SUMIF(DataQ!$B:$B,DataA!$A17,DataQ!O:O)</f>
        <v>1008981</v>
      </c>
      <c r="N17" s="7">
        <f>SUMIF(DataQ!$B:$B,DataA!$A17,DataQ!P:P)</f>
        <v>1008981</v>
      </c>
      <c r="O17" s="7">
        <f>SUMIF(DataQ!$B:$B,DataA!$A17,DataQ!Q:Q)</f>
        <v>1008981</v>
      </c>
      <c r="P17" s="7">
        <f>SUMIF(DataQ!$B:$B,DataA!$A17,DataQ!R:R)</f>
        <v>1008981</v>
      </c>
      <c r="Q17" s="7">
        <f>SUMIF(DataQ!$B:$B,DataA!$A17,DataQ!S:S)</f>
        <v>1008981</v>
      </c>
      <c r="R17" s="7">
        <f>SUMIF(DataQ!$B:$B,DataA!$A17,DataQ!T:T)</f>
        <v>1008981</v>
      </c>
      <c r="S17" s="7">
        <f>AVERAGEIF(DataQ!$B:$B,DataA!$A17,DataQ!U:U)</f>
        <v>88.732820000000004</v>
      </c>
      <c r="T17" s="7">
        <f>AVERAGEIF(DataQ!$B:$B,DataA!$A17,DataQ!V:V)</f>
        <v>41.019672499999999</v>
      </c>
      <c r="U17" s="7">
        <f>AVERAGEIF(DataQ!$B:$B,DataA!$A17,DataQ!W:W)</f>
        <v>1E-3</v>
      </c>
      <c r="V17" s="7">
        <f>AVERAGEIF(DataQ!$B:$B,DataA!$A17,DataQ!X:X)</f>
        <v>1E-3</v>
      </c>
      <c r="W17" s="7">
        <f>AVERAGEIF(DataQ!$B:$B,DataA!$A17,DataQ!Y:Y)</f>
        <v>1E-3</v>
      </c>
      <c r="X17" s="7">
        <f>AVERAGEIF(DataQ!$B:$B,DataA!$A17,DataQ!Z:Z)</f>
        <v>1E-3</v>
      </c>
      <c r="Y17" s="7">
        <f>SUMIF(DataQ!$B:$B,DataA!$A17,DataQ!AA:AA)</f>
        <v>534478</v>
      </c>
      <c r="Z17" s="7">
        <f>SUMIF(DataQ!$B:$B,DataA!$A17,DataQ!AB:AB)</f>
        <v>182084</v>
      </c>
      <c r="AA17" s="7">
        <f>SUMIF(DataQ!$B:$B,DataA!$A17,DataQ!AC:AC)</f>
        <v>234700</v>
      </c>
      <c r="AB17" s="7">
        <f>SUMIF(DataQ!$B:$B,DataA!$A17,DataQ!AD:AD)</f>
        <v>163491</v>
      </c>
      <c r="AC17" s="7">
        <f>SUMIF(DataQ!$B:$B,DataA!$A17,DataQ!AE:AE)</f>
        <v>139113</v>
      </c>
      <c r="AD17" s="7">
        <f>AVERAGEIF(DataQ!$B:$B,DataA!$A17,DataQ!AF:AF)</f>
        <v>1E-3</v>
      </c>
      <c r="AE17" s="7">
        <f>AVERAGEIF(DataQ!$B:$B,DataA!$A17,DataQ!AG:AG)</f>
        <v>1E-3</v>
      </c>
    </row>
    <row r="18" spans="1:31" x14ac:dyDescent="0.25">
      <c r="A18" s="4">
        <f t="shared" si="0"/>
        <v>1984</v>
      </c>
      <c r="B18" s="7">
        <f>SUMIF(DataQ!$B:$B,DataA!$A18,DataQ!D:D)</f>
        <v>1031385</v>
      </c>
      <c r="C18" s="7">
        <f>SUMIF(DataQ!$B:$B,DataA!$A18,DataQ!E:E)</f>
        <v>1031385</v>
      </c>
      <c r="D18" s="7">
        <f>SUMIF(DataQ!$B:$B,DataA!$A18,DataQ!F:F)</f>
        <v>1031385</v>
      </c>
      <c r="E18" s="7">
        <f>SUMIF(DataQ!$B:$B,DataA!$A18,DataQ!G:G)</f>
        <v>1031385</v>
      </c>
      <c r="F18" s="7">
        <f>SUMIF(DataQ!$B:$B,DataA!$A18,DataQ!H:H)</f>
        <v>1031385</v>
      </c>
      <c r="G18" s="7">
        <f>SUMIF(DataQ!$B:$B,DataA!$A18,DataQ!I:I)</f>
        <v>1031385</v>
      </c>
      <c r="H18" s="7">
        <f>SUMIF(DataQ!$B:$B,DataA!$A18,DataQ!J:J)</f>
        <v>1031385</v>
      </c>
      <c r="I18" s="7">
        <f>SUMIF(DataQ!$B:$B,DataA!$A18,DataQ!K:K)</f>
        <v>1031385</v>
      </c>
      <c r="J18" s="7">
        <f>SUMIF(DataQ!$B:$B,DataA!$A18,DataQ!L:L)</f>
        <v>1031385</v>
      </c>
      <c r="K18" s="7">
        <f>SUMIF(DataQ!$B:$B,DataA!$A18,DataQ!M:M)</f>
        <v>1031385</v>
      </c>
      <c r="L18" s="7">
        <f>SUMIF(DataQ!$B:$B,DataA!$A18,DataQ!N:N)</f>
        <v>1031385</v>
      </c>
      <c r="M18" s="7">
        <f>SUMIF(DataQ!$B:$B,DataA!$A18,DataQ!O:O)</f>
        <v>1031385</v>
      </c>
      <c r="N18" s="7">
        <f>SUMIF(DataQ!$B:$B,DataA!$A18,DataQ!P:P)</f>
        <v>1031385</v>
      </c>
      <c r="O18" s="7">
        <f>SUMIF(DataQ!$B:$B,DataA!$A18,DataQ!Q:Q)</f>
        <v>1031385</v>
      </c>
      <c r="P18" s="7">
        <f>SUMIF(DataQ!$B:$B,DataA!$A18,DataQ!R:R)</f>
        <v>1031385</v>
      </c>
      <c r="Q18" s="7">
        <f>SUMIF(DataQ!$B:$B,DataA!$A18,DataQ!S:S)</f>
        <v>1031385</v>
      </c>
      <c r="R18" s="7">
        <f>SUMIF(DataQ!$B:$B,DataA!$A18,DataQ!T:T)</f>
        <v>1031385</v>
      </c>
      <c r="S18" s="7">
        <f>AVERAGEIF(DataQ!$B:$B,DataA!$A18,DataQ!U:U)</f>
        <v>95.596452499999984</v>
      </c>
      <c r="T18" s="7">
        <f>AVERAGEIF(DataQ!$B:$B,DataA!$A18,DataQ!V:V)</f>
        <v>42.766302500000002</v>
      </c>
      <c r="U18" s="7">
        <f>AVERAGEIF(DataQ!$B:$B,DataA!$A18,DataQ!W:W)</f>
        <v>1E-3</v>
      </c>
      <c r="V18" s="7">
        <f>AVERAGEIF(DataQ!$B:$B,DataA!$A18,DataQ!X:X)</f>
        <v>1E-3</v>
      </c>
      <c r="W18" s="7">
        <f>AVERAGEIF(DataQ!$B:$B,DataA!$A18,DataQ!Y:Y)</f>
        <v>1E-3</v>
      </c>
      <c r="X18" s="7">
        <f>AVERAGEIF(DataQ!$B:$B,DataA!$A18,DataQ!Z:Z)</f>
        <v>1E-3</v>
      </c>
      <c r="Y18" s="7">
        <f>SUMIF(DataQ!$B:$B,DataA!$A18,DataQ!AA:AA)</f>
        <v>547479</v>
      </c>
      <c r="Z18" s="7">
        <f>SUMIF(DataQ!$B:$B,DataA!$A18,DataQ!AB:AB)</f>
        <v>193798</v>
      </c>
      <c r="AA18" s="7">
        <f>SUMIF(DataQ!$B:$B,DataA!$A18,DataQ!AC:AC)</f>
        <v>237498</v>
      </c>
      <c r="AB18" s="7">
        <f>SUMIF(DataQ!$B:$B,DataA!$A18,DataQ!AD:AD)</f>
        <v>174015</v>
      </c>
      <c r="AC18" s="7">
        <f>SUMIF(DataQ!$B:$B,DataA!$A18,DataQ!AE:AE)</f>
        <v>152269</v>
      </c>
      <c r="AD18" s="7">
        <f>AVERAGEIF(DataQ!$B:$B,DataA!$A18,DataQ!AF:AF)</f>
        <v>1E-3</v>
      </c>
      <c r="AE18" s="7">
        <f>AVERAGEIF(DataQ!$B:$B,DataA!$A18,DataQ!AG:AG)</f>
        <v>1E-3</v>
      </c>
    </row>
    <row r="19" spans="1:31" x14ac:dyDescent="0.25">
      <c r="A19" s="4">
        <f t="shared" si="0"/>
        <v>1985</v>
      </c>
      <c r="B19" s="7">
        <f>SUMIF(DataQ!$B:$B,DataA!$A19,DataQ!D:D)</f>
        <v>1073547</v>
      </c>
      <c r="C19" s="7">
        <f>SUMIF(DataQ!$B:$B,DataA!$A19,DataQ!E:E)</f>
        <v>1073547</v>
      </c>
      <c r="D19" s="7">
        <f>SUMIF(DataQ!$B:$B,DataA!$A19,DataQ!F:F)</f>
        <v>1073547</v>
      </c>
      <c r="E19" s="7">
        <f>SUMIF(DataQ!$B:$B,DataA!$A19,DataQ!G:G)</f>
        <v>1073547</v>
      </c>
      <c r="F19" s="7">
        <f>SUMIF(DataQ!$B:$B,DataA!$A19,DataQ!H:H)</f>
        <v>1073547</v>
      </c>
      <c r="G19" s="7">
        <f>SUMIF(DataQ!$B:$B,DataA!$A19,DataQ!I:I)</f>
        <v>1073547</v>
      </c>
      <c r="H19" s="7">
        <f>SUMIF(DataQ!$B:$B,DataA!$A19,DataQ!J:J)</f>
        <v>1073547</v>
      </c>
      <c r="I19" s="7">
        <f>SUMIF(DataQ!$B:$B,DataA!$A19,DataQ!K:K)</f>
        <v>1073547</v>
      </c>
      <c r="J19" s="7">
        <f>SUMIF(DataQ!$B:$B,DataA!$A19,DataQ!L:L)</f>
        <v>1073547</v>
      </c>
      <c r="K19" s="7">
        <f>SUMIF(DataQ!$B:$B,DataA!$A19,DataQ!M:M)</f>
        <v>1073547</v>
      </c>
      <c r="L19" s="7">
        <f>SUMIF(DataQ!$B:$B,DataA!$A19,DataQ!N:N)</f>
        <v>1073547</v>
      </c>
      <c r="M19" s="7">
        <f>SUMIF(DataQ!$B:$B,DataA!$A19,DataQ!O:O)</f>
        <v>1073547</v>
      </c>
      <c r="N19" s="7">
        <f>SUMIF(DataQ!$B:$B,DataA!$A19,DataQ!P:P)</f>
        <v>1073547</v>
      </c>
      <c r="O19" s="7">
        <f>SUMIF(DataQ!$B:$B,DataA!$A19,DataQ!Q:Q)</f>
        <v>1073547</v>
      </c>
      <c r="P19" s="7">
        <f>SUMIF(DataQ!$B:$B,DataA!$A19,DataQ!R:R)</f>
        <v>1073547</v>
      </c>
      <c r="Q19" s="7">
        <f>SUMIF(DataQ!$B:$B,DataA!$A19,DataQ!S:S)</f>
        <v>1073547</v>
      </c>
      <c r="R19" s="7">
        <f>SUMIF(DataQ!$B:$B,DataA!$A19,DataQ!T:T)</f>
        <v>1073547</v>
      </c>
      <c r="S19" s="7">
        <f>AVERAGEIF(DataQ!$B:$B,DataA!$A19,DataQ!U:U)</f>
        <v>105.47990000000001</v>
      </c>
      <c r="T19" s="7">
        <f>AVERAGEIF(DataQ!$B:$B,DataA!$A19,DataQ!V:V)</f>
        <v>44.871375</v>
      </c>
      <c r="U19" s="7">
        <f>AVERAGEIF(DataQ!$B:$B,DataA!$A19,DataQ!W:W)</f>
        <v>1E-3</v>
      </c>
      <c r="V19" s="7">
        <f>AVERAGEIF(DataQ!$B:$B,DataA!$A19,DataQ!X:X)</f>
        <v>1E-3</v>
      </c>
      <c r="W19" s="7">
        <f>AVERAGEIF(DataQ!$B:$B,DataA!$A19,DataQ!Y:Y)</f>
        <v>1E-3</v>
      </c>
      <c r="X19" s="7">
        <f>AVERAGEIF(DataQ!$B:$B,DataA!$A19,DataQ!Z:Z)</f>
        <v>1E-3</v>
      </c>
      <c r="Y19" s="7">
        <f>SUMIF(DataQ!$B:$B,DataA!$A19,DataQ!AA:AA)</f>
        <v>575061</v>
      </c>
      <c r="Z19" s="7">
        <f>SUMIF(DataQ!$B:$B,DataA!$A19,DataQ!AB:AB)</f>
        <v>197673</v>
      </c>
      <c r="AA19" s="7">
        <f>SUMIF(DataQ!$B:$B,DataA!$A19,DataQ!AC:AC)</f>
        <v>236788</v>
      </c>
      <c r="AB19" s="7">
        <f>SUMIF(DataQ!$B:$B,DataA!$A19,DataQ!AD:AD)</f>
        <v>183853</v>
      </c>
      <c r="AC19" s="7">
        <f>SUMIF(DataQ!$B:$B,DataA!$A19,DataQ!AE:AE)</f>
        <v>155835</v>
      </c>
      <c r="AD19" s="7">
        <f>AVERAGEIF(DataQ!$B:$B,DataA!$A19,DataQ!AF:AF)</f>
        <v>1E-3</v>
      </c>
      <c r="AE19" s="7">
        <f>AVERAGEIF(DataQ!$B:$B,DataA!$A19,DataQ!AG:AG)</f>
        <v>1E-3</v>
      </c>
    </row>
    <row r="20" spans="1:31" x14ac:dyDescent="0.25">
      <c r="A20" s="4">
        <f t="shared" si="0"/>
        <v>1986</v>
      </c>
      <c r="B20" s="7">
        <f>SUMIF(DataQ!$B:$B,DataA!$A20,DataQ!D:D)</f>
        <v>1106912</v>
      </c>
      <c r="C20" s="7">
        <f>SUMIF(DataQ!$B:$B,DataA!$A20,DataQ!E:E)</f>
        <v>1106912</v>
      </c>
      <c r="D20" s="7">
        <f>SUMIF(DataQ!$B:$B,DataA!$A20,DataQ!F:F)</f>
        <v>1106912</v>
      </c>
      <c r="E20" s="7">
        <f>SUMIF(DataQ!$B:$B,DataA!$A20,DataQ!G:G)</f>
        <v>1106912</v>
      </c>
      <c r="F20" s="7">
        <f>SUMIF(DataQ!$B:$B,DataA!$A20,DataQ!H:H)</f>
        <v>1106912</v>
      </c>
      <c r="G20" s="7">
        <f>SUMIF(DataQ!$B:$B,DataA!$A20,DataQ!I:I)</f>
        <v>1106912</v>
      </c>
      <c r="H20" s="7">
        <f>SUMIF(DataQ!$B:$B,DataA!$A20,DataQ!J:J)</f>
        <v>1106912</v>
      </c>
      <c r="I20" s="7">
        <f>SUMIF(DataQ!$B:$B,DataA!$A20,DataQ!K:K)</f>
        <v>1106912</v>
      </c>
      <c r="J20" s="7">
        <f>SUMIF(DataQ!$B:$B,DataA!$A20,DataQ!L:L)</f>
        <v>1106912</v>
      </c>
      <c r="K20" s="7">
        <f>SUMIF(DataQ!$B:$B,DataA!$A20,DataQ!M:M)</f>
        <v>1106912</v>
      </c>
      <c r="L20" s="7">
        <f>SUMIF(DataQ!$B:$B,DataA!$A20,DataQ!N:N)</f>
        <v>1106912</v>
      </c>
      <c r="M20" s="7">
        <f>SUMIF(DataQ!$B:$B,DataA!$A20,DataQ!O:O)</f>
        <v>1106912</v>
      </c>
      <c r="N20" s="7">
        <f>SUMIF(DataQ!$B:$B,DataA!$A20,DataQ!P:P)</f>
        <v>1106912</v>
      </c>
      <c r="O20" s="7">
        <f>SUMIF(DataQ!$B:$B,DataA!$A20,DataQ!Q:Q)</f>
        <v>1106912</v>
      </c>
      <c r="P20" s="7">
        <f>SUMIF(DataQ!$B:$B,DataA!$A20,DataQ!R:R)</f>
        <v>1106912</v>
      </c>
      <c r="Q20" s="7">
        <f>SUMIF(DataQ!$B:$B,DataA!$A20,DataQ!S:S)</f>
        <v>1106912</v>
      </c>
      <c r="R20" s="7">
        <f>SUMIF(DataQ!$B:$B,DataA!$A20,DataQ!T:T)</f>
        <v>1106912</v>
      </c>
      <c r="S20" s="7">
        <f>AVERAGEIF(DataQ!$B:$B,DataA!$A20,DataQ!U:U)</f>
        <v>116.20814999999999</v>
      </c>
      <c r="T20" s="7">
        <f>AVERAGEIF(DataQ!$B:$B,DataA!$A20,DataQ!V:V)</f>
        <v>46.363832499999994</v>
      </c>
      <c r="U20" s="7">
        <f>AVERAGEIF(DataQ!$B:$B,DataA!$A20,DataQ!W:W)</f>
        <v>1E-3</v>
      </c>
      <c r="V20" s="7">
        <f>AVERAGEIF(DataQ!$B:$B,DataA!$A20,DataQ!X:X)</f>
        <v>1E-3</v>
      </c>
      <c r="W20" s="7">
        <f>AVERAGEIF(DataQ!$B:$B,DataA!$A20,DataQ!Y:Y)</f>
        <v>1E-3</v>
      </c>
      <c r="X20" s="7">
        <f>AVERAGEIF(DataQ!$B:$B,DataA!$A20,DataQ!Z:Z)</f>
        <v>1E-3</v>
      </c>
      <c r="Y20" s="7">
        <f>SUMIF(DataQ!$B:$B,DataA!$A20,DataQ!AA:AA)</f>
        <v>609143</v>
      </c>
      <c r="Z20" s="7">
        <f>SUMIF(DataQ!$B:$B,DataA!$A20,DataQ!AB:AB)</f>
        <v>195184</v>
      </c>
      <c r="AA20" s="7">
        <f>SUMIF(DataQ!$B:$B,DataA!$A20,DataQ!AC:AC)</f>
        <v>240454</v>
      </c>
      <c r="AB20" s="7">
        <f>SUMIF(DataQ!$B:$B,DataA!$A20,DataQ!AD:AD)</f>
        <v>191160</v>
      </c>
      <c r="AC20" s="7">
        <f>SUMIF(DataQ!$B:$B,DataA!$A20,DataQ!AE:AE)</f>
        <v>166220</v>
      </c>
      <c r="AD20" s="7">
        <f>AVERAGEIF(DataQ!$B:$B,DataA!$A20,DataQ!AF:AF)</f>
        <v>1E-3</v>
      </c>
      <c r="AE20" s="7">
        <f>AVERAGEIF(DataQ!$B:$B,DataA!$A20,DataQ!AG:AG)</f>
        <v>1E-3</v>
      </c>
    </row>
    <row r="21" spans="1:31" x14ac:dyDescent="0.25">
      <c r="A21" s="4">
        <f t="shared" si="0"/>
        <v>1987</v>
      </c>
      <c r="B21" s="7">
        <f>SUMIF(DataQ!$B:$B,DataA!$A21,DataQ!D:D)</f>
        <v>1166905</v>
      </c>
      <c r="C21" s="7">
        <f>SUMIF(DataQ!$B:$B,DataA!$A21,DataQ!E:E)</f>
        <v>1166905</v>
      </c>
      <c r="D21" s="7">
        <f>SUMIF(DataQ!$B:$B,DataA!$A21,DataQ!F:F)</f>
        <v>1166905</v>
      </c>
      <c r="E21" s="7">
        <f>SUMIF(DataQ!$B:$B,DataA!$A21,DataQ!G:G)</f>
        <v>1166905</v>
      </c>
      <c r="F21" s="7">
        <f>SUMIF(DataQ!$B:$B,DataA!$A21,DataQ!H:H)</f>
        <v>1166905</v>
      </c>
      <c r="G21" s="7">
        <f>SUMIF(DataQ!$B:$B,DataA!$A21,DataQ!I:I)</f>
        <v>1166905</v>
      </c>
      <c r="H21" s="7">
        <f>SUMIF(DataQ!$B:$B,DataA!$A21,DataQ!J:J)</f>
        <v>1166905</v>
      </c>
      <c r="I21" s="7">
        <f>SUMIF(DataQ!$B:$B,DataA!$A21,DataQ!K:K)</f>
        <v>1166905</v>
      </c>
      <c r="J21" s="7">
        <f>SUMIF(DataQ!$B:$B,DataA!$A21,DataQ!L:L)</f>
        <v>1166905</v>
      </c>
      <c r="K21" s="7">
        <f>SUMIF(DataQ!$B:$B,DataA!$A21,DataQ!M:M)</f>
        <v>1166905</v>
      </c>
      <c r="L21" s="7">
        <f>SUMIF(DataQ!$B:$B,DataA!$A21,DataQ!N:N)</f>
        <v>1166905</v>
      </c>
      <c r="M21" s="7">
        <f>SUMIF(DataQ!$B:$B,DataA!$A21,DataQ!O:O)</f>
        <v>1166905</v>
      </c>
      <c r="N21" s="7">
        <f>SUMIF(DataQ!$B:$B,DataA!$A21,DataQ!P:P)</f>
        <v>1166905</v>
      </c>
      <c r="O21" s="7">
        <f>SUMIF(DataQ!$B:$B,DataA!$A21,DataQ!Q:Q)</f>
        <v>1166905</v>
      </c>
      <c r="P21" s="7">
        <f>SUMIF(DataQ!$B:$B,DataA!$A21,DataQ!R:R)</f>
        <v>1166905</v>
      </c>
      <c r="Q21" s="7">
        <f>SUMIF(DataQ!$B:$B,DataA!$A21,DataQ!S:S)</f>
        <v>1166905</v>
      </c>
      <c r="R21" s="7">
        <f>SUMIF(DataQ!$B:$B,DataA!$A21,DataQ!T:T)</f>
        <v>1166905</v>
      </c>
      <c r="S21" s="7">
        <f>AVERAGEIF(DataQ!$B:$B,DataA!$A21,DataQ!U:U)</f>
        <v>127.492625</v>
      </c>
      <c r="T21" s="7">
        <f>AVERAGEIF(DataQ!$B:$B,DataA!$A21,DataQ!V:V)</f>
        <v>47.849764999999998</v>
      </c>
      <c r="U21" s="7">
        <f>AVERAGEIF(DataQ!$B:$B,DataA!$A21,DataQ!W:W)</f>
        <v>1E-3</v>
      </c>
      <c r="V21" s="7">
        <f>AVERAGEIF(DataQ!$B:$B,DataA!$A21,DataQ!X:X)</f>
        <v>1E-3</v>
      </c>
      <c r="W21" s="7">
        <f>AVERAGEIF(DataQ!$B:$B,DataA!$A21,DataQ!Y:Y)</f>
        <v>1E-3</v>
      </c>
      <c r="X21" s="7">
        <f>AVERAGEIF(DataQ!$B:$B,DataA!$A21,DataQ!Z:Z)</f>
        <v>1E-3</v>
      </c>
      <c r="Y21" s="7">
        <f>SUMIF(DataQ!$B:$B,DataA!$A21,DataQ!AA:AA)</f>
        <v>641086</v>
      </c>
      <c r="Z21" s="7">
        <f>SUMIF(DataQ!$B:$B,DataA!$A21,DataQ!AB:AB)</f>
        <v>219401</v>
      </c>
      <c r="AA21" s="7">
        <f>SUMIF(DataQ!$B:$B,DataA!$A21,DataQ!AC:AC)</f>
        <v>240338</v>
      </c>
      <c r="AB21" s="7">
        <f>SUMIF(DataQ!$B:$B,DataA!$A21,DataQ!AD:AD)</f>
        <v>203315</v>
      </c>
      <c r="AC21" s="7">
        <f>SUMIF(DataQ!$B:$B,DataA!$A21,DataQ!AE:AE)</f>
        <v>179144</v>
      </c>
      <c r="AD21" s="7">
        <f>AVERAGEIF(DataQ!$B:$B,DataA!$A21,DataQ!AF:AF)</f>
        <v>1E-3</v>
      </c>
      <c r="AE21" s="7">
        <f>AVERAGEIF(DataQ!$B:$B,DataA!$A21,DataQ!AG:AG)</f>
        <v>1E-3</v>
      </c>
    </row>
    <row r="22" spans="1:31" x14ac:dyDescent="0.25">
      <c r="A22" s="4">
        <f t="shared" si="0"/>
        <v>1988</v>
      </c>
      <c r="B22" s="7">
        <f>SUMIF(DataQ!$B:$B,DataA!$A22,DataQ!D:D)</f>
        <v>1229650</v>
      </c>
      <c r="C22" s="7">
        <f>SUMIF(DataQ!$B:$B,DataA!$A22,DataQ!E:E)</f>
        <v>1229650</v>
      </c>
      <c r="D22" s="7">
        <f>SUMIF(DataQ!$B:$B,DataA!$A22,DataQ!F:F)</f>
        <v>1229650</v>
      </c>
      <c r="E22" s="7">
        <f>SUMIF(DataQ!$B:$B,DataA!$A22,DataQ!G:G)</f>
        <v>1229650</v>
      </c>
      <c r="F22" s="7">
        <f>SUMIF(DataQ!$B:$B,DataA!$A22,DataQ!H:H)</f>
        <v>1229650</v>
      </c>
      <c r="G22" s="7">
        <f>SUMIF(DataQ!$B:$B,DataA!$A22,DataQ!I:I)</f>
        <v>1229650</v>
      </c>
      <c r="H22" s="7">
        <f>SUMIF(DataQ!$B:$B,DataA!$A22,DataQ!J:J)</f>
        <v>1229650</v>
      </c>
      <c r="I22" s="7">
        <f>SUMIF(DataQ!$B:$B,DataA!$A22,DataQ!K:K)</f>
        <v>1229650</v>
      </c>
      <c r="J22" s="7">
        <f>SUMIF(DataQ!$B:$B,DataA!$A22,DataQ!L:L)</f>
        <v>1229650</v>
      </c>
      <c r="K22" s="7">
        <f>SUMIF(DataQ!$B:$B,DataA!$A22,DataQ!M:M)</f>
        <v>1229650</v>
      </c>
      <c r="L22" s="7">
        <f>SUMIF(DataQ!$B:$B,DataA!$A22,DataQ!N:N)</f>
        <v>1229650</v>
      </c>
      <c r="M22" s="7">
        <f>SUMIF(DataQ!$B:$B,DataA!$A22,DataQ!O:O)</f>
        <v>1229650</v>
      </c>
      <c r="N22" s="7">
        <f>SUMIF(DataQ!$B:$B,DataA!$A22,DataQ!P:P)</f>
        <v>1229650</v>
      </c>
      <c r="O22" s="7">
        <f>SUMIF(DataQ!$B:$B,DataA!$A22,DataQ!Q:Q)</f>
        <v>1229650</v>
      </c>
      <c r="P22" s="7">
        <f>SUMIF(DataQ!$B:$B,DataA!$A22,DataQ!R:R)</f>
        <v>1229650</v>
      </c>
      <c r="Q22" s="7">
        <f>SUMIF(DataQ!$B:$B,DataA!$A22,DataQ!S:S)</f>
        <v>1229650</v>
      </c>
      <c r="R22" s="7">
        <f>SUMIF(DataQ!$B:$B,DataA!$A22,DataQ!T:T)</f>
        <v>1229650</v>
      </c>
      <c r="S22" s="7">
        <f>AVERAGEIF(DataQ!$B:$B,DataA!$A22,DataQ!U:U)</f>
        <v>141.43197499999999</v>
      </c>
      <c r="T22" s="7">
        <f>AVERAGEIF(DataQ!$B:$B,DataA!$A22,DataQ!V:V)</f>
        <v>49.608334999999997</v>
      </c>
      <c r="U22" s="7">
        <f>AVERAGEIF(DataQ!$B:$B,DataA!$A22,DataQ!W:W)</f>
        <v>41.158335000000001</v>
      </c>
      <c r="V22" s="7">
        <f>AVERAGEIF(DataQ!$B:$B,DataA!$A22,DataQ!X:X)</f>
        <v>30.674999999999997</v>
      </c>
      <c r="W22" s="7">
        <f>AVERAGEIF(DataQ!$B:$B,DataA!$A22,DataQ!Y:Y)</f>
        <v>30.233332499999999</v>
      </c>
      <c r="X22" s="7">
        <f>AVERAGEIF(DataQ!$B:$B,DataA!$A22,DataQ!Z:Z)</f>
        <v>54.450002499999997</v>
      </c>
      <c r="Y22" s="7">
        <f>SUMIF(DataQ!$B:$B,DataA!$A22,DataQ!AA:AA)</f>
        <v>686594</v>
      </c>
      <c r="Z22" s="7">
        <f>SUMIF(DataQ!$B:$B,DataA!$A22,DataQ!AB:AB)</f>
        <v>253390</v>
      </c>
      <c r="AA22" s="7">
        <f>SUMIF(DataQ!$B:$B,DataA!$A22,DataQ!AC:AC)</f>
        <v>240721</v>
      </c>
      <c r="AB22" s="7">
        <f>SUMIF(DataQ!$B:$B,DataA!$A22,DataQ!AD:AD)</f>
        <v>205128</v>
      </c>
      <c r="AC22" s="7">
        <f>SUMIF(DataQ!$B:$B,DataA!$A22,DataQ!AE:AE)</f>
        <v>201280</v>
      </c>
      <c r="AD22" s="7">
        <f>AVERAGEIF(DataQ!$B:$B,DataA!$A22,DataQ!AF:AF)</f>
        <v>1E-3</v>
      </c>
      <c r="AE22" s="7">
        <f>AVERAGEIF(DataQ!$B:$B,DataA!$A22,DataQ!AG:AG)</f>
        <v>1E-3</v>
      </c>
    </row>
    <row r="23" spans="1:31" x14ac:dyDescent="0.25">
      <c r="A23" s="4">
        <f t="shared" si="0"/>
        <v>1989</v>
      </c>
      <c r="B23" s="7">
        <f>SUMIF(DataQ!$B:$B,DataA!$A23,DataQ!D:D)</f>
        <v>1259191</v>
      </c>
      <c r="C23" s="7">
        <f>SUMIF(DataQ!$B:$B,DataA!$A23,DataQ!E:E)</f>
        <v>1259191</v>
      </c>
      <c r="D23" s="7">
        <f>SUMIF(DataQ!$B:$B,DataA!$A23,DataQ!F:F)</f>
        <v>1259191</v>
      </c>
      <c r="E23" s="7">
        <f>SUMIF(DataQ!$B:$B,DataA!$A23,DataQ!G:G)</f>
        <v>1259191</v>
      </c>
      <c r="F23" s="7">
        <f>SUMIF(DataQ!$B:$B,DataA!$A23,DataQ!H:H)</f>
        <v>1259191</v>
      </c>
      <c r="G23" s="7">
        <f>SUMIF(DataQ!$B:$B,DataA!$A23,DataQ!I:I)</f>
        <v>1259191</v>
      </c>
      <c r="H23" s="7">
        <f>SUMIF(DataQ!$B:$B,DataA!$A23,DataQ!J:J)</f>
        <v>1259191</v>
      </c>
      <c r="I23" s="7">
        <f>SUMIF(DataQ!$B:$B,DataA!$A23,DataQ!K:K)</f>
        <v>1259191</v>
      </c>
      <c r="J23" s="7">
        <f>SUMIF(DataQ!$B:$B,DataA!$A23,DataQ!L:L)</f>
        <v>1259191</v>
      </c>
      <c r="K23" s="7">
        <f>SUMIF(DataQ!$B:$B,DataA!$A23,DataQ!M:M)</f>
        <v>1259191</v>
      </c>
      <c r="L23" s="7">
        <f>SUMIF(DataQ!$B:$B,DataA!$A23,DataQ!N:N)</f>
        <v>1259191</v>
      </c>
      <c r="M23" s="7">
        <f>SUMIF(DataQ!$B:$B,DataA!$A23,DataQ!O:O)</f>
        <v>1259191</v>
      </c>
      <c r="N23" s="7">
        <f>SUMIF(DataQ!$B:$B,DataA!$A23,DataQ!P:P)</f>
        <v>1259191</v>
      </c>
      <c r="O23" s="7">
        <f>SUMIF(DataQ!$B:$B,DataA!$A23,DataQ!Q:Q)</f>
        <v>1259191</v>
      </c>
      <c r="P23" s="7">
        <f>SUMIF(DataQ!$B:$B,DataA!$A23,DataQ!R:R)</f>
        <v>1259191</v>
      </c>
      <c r="Q23" s="7">
        <f>SUMIF(DataQ!$B:$B,DataA!$A23,DataQ!S:S)</f>
        <v>1259191</v>
      </c>
      <c r="R23" s="7">
        <f>SUMIF(DataQ!$B:$B,DataA!$A23,DataQ!T:T)</f>
        <v>1259191</v>
      </c>
      <c r="S23" s="7">
        <f>AVERAGEIF(DataQ!$B:$B,DataA!$A23,DataQ!U:U)</f>
        <v>158.04954999999998</v>
      </c>
      <c r="T23" s="7">
        <f>AVERAGEIF(DataQ!$B:$B,DataA!$A23,DataQ!V:V)</f>
        <v>52.216670000000001</v>
      </c>
      <c r="U23" s="7">
        <f>AVERAGEIF(DataQ!$B:$B,DataA!$A23,DataQ!W:W)</f>
        <v>43.241667499999998</v>
      </c>
      <c r="V23" s="7">
        <f>AVERAGEIF(DataQ!$B:$B,DataA!$A23,DataQ!X:X)</f>
        <v>32.891670000000005</v>
      </c>
      <c r="W23" s="7">
        <f>AVERAGEIF(DataQ!$B:$B,DataA!$A23,DataQ!Y:Y)</f>
        <v>31.883332500000002</v>
      </c>
      <c r="X23" s="7">
        <f>AVERAGEIF(DataQ!$B:$B,DataA!$A23,DataQ!Z:Z)</f>
        <v>57.25</v>
      </c>
      <c r="Y23" s="7">
        <f>SUMIF(DataQ!$B:$B,DataA!$A23,DataQ!AA:AA)</f>
        <v>712618</v>
      </c>
      <c r="Z23" s="7">
        <f>SUMIF(DataQ!$B:$B,DataA!$A23,DataQ!AB:AB)</f>
        <v>265759</v>
      </c>
      <c r="AA23" s="7">
        <f>SUMIF(DataQ!$B:$B,DataA!$A23,DataQ!AC:AC)</f>
        <v>242747</v>
      </c>
      <c r="AB23" s="7">
        <f>SUMIF(DataQ!$B:$B,DataA!$A23,DataQ!AD:AD)</f>
        <v>214532</v>
      </c>
      <c r="AC23" s="7">
        <f>SUMIF(DataQ!$B:$B,DataA!$A23,DataQ!AE:AE)</f>
        <v>215605</v>
      </c>
      <c r="AD23" s="7">
        <f>AVERAGEIF(DataQ!$B:$B,DataA!$A23,DataQ!AF:AF)</f>
        <v>1E-3</v>
      </c>
      <c r="AE23" s="7">
        <f>AVERAGEIF(DataQ!$B:$B,DataA!$A23,DataQ!AG:AG)</f>
        <v>1E-3</v>
      </c>
    </row>
    <row r="24" spans="1:31" x14ac:dyDescent="0.25">
      <c r="A24" s="4">
        <f t="shared" si="0"/>
        <v>1990</v>
      </c>
      <c r="B24" s="7">
        <f>SUMIF(DataQ!$B:$B,DataA!$A24,DataQ!D:D)</f>
        <v>1266248</v>
      </c>
      <c r="C24" s="7">
        <f>SUMIF(DataQ!$B:$B,DataA!$A24,DataQ!E:E)</f>
        <v>1266248</v>
      </c>
      <c r="D24" s="7">
        <f>SUMIF(DataQ!$B:$B,DataA!$A24,DataQ!F:F)</f>
        <v>1266248</v>
      </c>
      <c r="E24" s="7">
        <f>SUMIF(DataQ!$B:$B,DataA!$A24,DataQ!G:G)</f>
        <v>1266248</v>
      </c>
      <c r="F24" s="7">
        <f>SUMIF(DataQ!$B:$B,DataA!$A24,DataQ!H:H)</f>
        <v>1266248</v>
      </c>
      <c r="G24" s="7">
        <f>SUMIF(DataQ!$B:$B,DataA!$A24,DataQ!I:I)</f>
        <v>1266248</v>
      </c>
      <c r="H24" s="7">
        <f>SUMIF(DataQ!$B:$B,DataA!$A24,DataQ!J:J)</f>
        <v>1266248</v>
      </c>
      <c r="I24" s="7">
        <f>SUMIF(DataQ!$B:$B,DataA!$A24,DataQ!K:K)</f>
        <v>1266248</v>
      </c>
      <c r="J24" s="7">
        <f>SUMIF(DataQ!$B:$B,DataA!$A24,DataQ!L:L)</f>
        <v>1266248</v>
      </c>
      <c r="K24" s="7">
        <f>SUMIF(DataQ!$B:$B,DataA!$A24,DataQ!M:M)</f>
        <v>1266248</v>
      </c>
      <c r="L24" s="7">
        <f>SUMIF(DataQ!$B:$B,DataA!$A24,DataQ!N:N)</f>
        <v>1266248</v>
      </c>
      <c r="M24" s="7">
        <f>SUMIF(DataQ!$B:$B,DataA!$A24,DataQ!O:O)</f>
        <v>1266248</v>
      </c>
      <c r="N24" s="7">
        <f>SUMIF(DataQ!$B:$B,DataA!$A24,DataQ!P:P)</f>
        <v>1266248</v>
      </c>
      <c r="O24" s="7">
        <f>SUMIF(DataQ!$B:$B,DataA!$A24,DataQ!Q:Q)</f>
        <v>1266248</v>
      </c>
      <c r="P24" s="7">
        <f>SUMIF(DataQ!$B:$B,DataA!$A24,DataQ!R:R)</f>
        <v>1266248</v>
      </c>
      <c r="Q24" s="7">
        <f>SUMIF(DataQ!$B:$B,DataA!$A24,DataQ!S:S)</f>
        <v>1266248</v>
      </c>
      <c r="R24" s="7">
        <f>SUMIF(DataQ!$B:$B,DataA!$A24,DataQ!T:T)</f>
        <v>1266248</v>
      </c>
      <c r="S24" s="7">
        <f>AVERAGEIF(DataQ!$B:$B,DataA!$A24,DataQ!U:U)</f>
        <v>177.16129999999998</v>
      </c>
      <c r="T24" s="7">
        <f>AVERAGEIF(DataQ!$B:$B,DataA!$A24,DataQ!V:V)</f>
        <v>55.85</v>
      </c>
      <c r="U24" s="7">
        <f>AVERAGEIF(DataQ!$B:$B,DataA!$A24,DataQ!W:W)</f>
        <v>46.641667499999997</v>
      </c>
      <c r="V24" s="7">
        <f>AVERAGEIF(DataQ!$B:$B,DataA!$A24,DataQ!X:X)</f>
        <v>36.691667500000001</v>
      </c>
      <c r="W24" s="7">
        <f>AVERAGEIF(DataQ!$B:$B,DataA!$A24,DataQ!Y:Y)</f>
        <v>34.5</v>
      </c>
      <c r="X24" s="7">
        <f>AVERAGEIF(DataQ!$B:$B,DataA!$A24,DataQ!Z:Z)</f>
        <v>60.849997500000001</v>
      </c>
      <c r="Y24" s="7">
        <f>SUMIF(DataQ!$B:$B,DataA!$A24,DataQ!AA:AA)</f>
        <v>722670</v>
      </c>
      <c r="Z24" s="7">
        <f>SUMIF(DataQ!$B:$B,DataA!$A24,DataQ!AB:AB)</f>
        <v>258917</v>
      </c>
      <c r="AA24" s="7">
        <f>SUMIF(DataQ!$B:$B,DataA!$A24,DataQ!AC:AC)</f>
        <v>248442</v>
      </c>
      <c r="AB24" s="7">
        <f>SUMIF(DataQ!$B:$B,DataA!$A24,DataQ!AD:AD)</f>
        <v>225613</v>
      </c>
      <c r="AC24" s="7">
        <f>SUMIF(DataQ!$B:$B,DataA!$A24,DataQ!AE:AE)</f>
        <v>216480</v>
      </c>
      <c r="AD24" s="7">
        <f>AVERAGEIF(DataQ!$B:$B,DataA!$A24,DataQ!AF:AF)</f>
        <v>1E-3</v>
      </c>
      <c r="AE24" s="7">
        <f>AVERAGEIF(DataQ!$B:$B,DataA!$A24,DataQ!AG:AG)</f>
        <v>1E-3</v>
      </c>
    </row>
    <row r="25" spans="1:31" x14ac:dyDescent="0.25">
      <c r="A25" s="4">
        <f t="shared" si="0"/>
        <v>1991</v>
      </c>
      <c r="B25" s="7">
        <f>SUMIF(DataQ!$B:$B,DataA!$A25,DataQ!D:D)</f>
        <v>1248461</v>
      </c>
      <c r="C25" s="7">
        <f>SUMIF(DataQ!$B:$B,DataA!$A25,DataQ!E:E)</f>
        <v>1248461</v>
      </c>
      <c r="D25" s="7">
        <f>SUMIF(DataQ!$B:$B,DataA!$A25,DataQ!F:F)</f>
        <v>1248461</v>
      </c>
      <c r="E25" s="7">
        <f>SUMIF(DataQ!$B:$B,DataA!$A25,DataQ!G:G)</f>
        <v>1248461</v>
      </c>
      <c r="F25" s="7">
        <f>SUMIF(DataQ!$B:$B,DataA!$A25,DataQ!H:H)</f>
        <v>1248461</v>
      </c>
      <c r="G25" s="7">
        <f>SUMIF(DataQ!$B:$B,DataA!$A25,DataQ!I:I)</f>
        <v>1248461</v>
      </c>
      <c r="H25" s="7">
        <f>SUMIF(DataQ!$B:$B,DataA!$A25,DataQ!J:J)</f>
        <v>1248461</v>
      </c>
      <c r="I25" s="7">
        <f>SUMIF(DataQ!$B:$B,DataA!$A25,DataQ!K:K)</f>
        <v>1248461</v>
      </c>
      <c r="J25" s="7">
        <f>SUMIF(DataQ!$B:$B,DataA!$A25,DataQ!L:L)</f>
        <v>1248461</v>
      </c>
      <c r="K25" s="7">
        <f>SUMIF(DataQ!$B:$B,DataA!$A25,DataQ!M:M)</f>
        <v>1248461</v>
      </c>
      <c r="L25" s="7">
        <f>SUMIF(DataQ!$B:$B,DataA!$A25,DataQ!N:N)</f>
        <v>1248461</v>
      </c>
      <c r="M25" s="7">
        <f>SUMIF(DataQ!$B:$B,DataA!$A25,DataQ!O:O)</f>
        <v>1248461</v>
      </c>
      <c r="N25" s="7">
        <f>SUMIF(DataQ!$B:$B,DataA!$A25,DataQ!P:P)</f>
        <v>1248461</v>
      </c>
      <c r="O25" s="7">
        <f>SUMIF(DataQ!$B:$B,DataA!$A25,DataQ!Q:Q)</f>
        <v>1248461</v>
      </c>
      <c r="P25" s="7">
        <f>SUMIF(DataQ!$B:$B,DataA!$A25,DataQ!R:R)</f>
        <v>1248461</v>
      </c>
      <c r="Q25" s="7">
        <f>SUMIF(DataQ!$B:$B,DataA!$A25,DataQ!S:S)</f>
        <v>1248461</v>
      </c>
      <c r="R25" s="7">
        <f>SUMIF(DataQ!$B:$B,DataA!$A25,DataQ!T:T)</f>
        <v>1248461</v>
      </c>
      <c r="S25" s="7">
        <f>AVERAGEIF(DataQ!$B:$B,DataA!$A25,DataQ!U:U)</f>
        <v>195.23477500000001</v>
      </c>
      <c r="T25" s="7">
        <f>AVERAGEIF(DataQ!$B:$B,DataA!$A25,DataQ!V:V)</f>
        <v>60.058335</v>
      </c>
      <c r="U25" s="7">
        <f>AVERAGEIF(DataQ!$B:$B,DataA!$A25,DataQ!W:W)</f>
        <v>50.050002499999998</v>
      </c>
      <c r="V25" s="7">
        <f>AVERAGEIF(DataQ!$B:$B,DataA!$A25,DataQ!X:X)</f>
        <v>39.424999999999997</v>
      </c>
      <c r="W25" s="7">
        <f>AVERAGEIF(DataQ!$B:$B,DataA!$A25,DataQ!Y:Y)</f>
        <v>37.241669999999999</v>
      </c>
      <c r="X25" s="7">
        <f>AVERAGEIF(DataQ!$B:$B,DataA!$A25,DataQ!Z:Z)</f>
        <v>65.474997500000001</v>
      </c>
      <c r="Y25" s="7">
        <f>SUMIF(DataQ!$B:$B,DataA!$A25,DataQ!AA:AA)</f>
        <v>716404</v>
      </c>
      <c r="Z25" s="7">
        <f>SUMIF(DataQ!$B:$B,DataA!$A25,DataQ!AB:AB)</f>
        <v>238356</v>
      </c>
      <c r="AA25" s="7">
        <f>SUMIF(DataQ!$B:$B,DataA!$A25,DataQ!AC:AC)</f>
        <v>255729</v>
      </c>
      <c r="AB25" s="7">
        <f>SUMIF(DataQ!$B:$B,DataA!$A25,DataQ!AD:AD)</f>
        <v>225135</v>
      </c>
      <c r="AC25" s="7">
        <f>SUMIF(DataQ!$B:$B,DataA!$A25,DataQ!AE:AE)</f>
        <v>206720</v>
      </c>
      <c r="AD25" s="7">
        <f>AVERAGEIF(DataQ!$B:$B,DataA!$A25,DataQ!AF:AF)</f>
        <v>1E-3</v>
      </c>
      <c r="AE25" s="7">
        <f>AVERAGEIF(DataQ!$B:$B,DataA!$A25,DataQ!AG:AG)</f>
        <v>1E-3</v>
      </c>
    </row>
    <row r="26" spans="1:31" x14ac:dyDescent="0.25">
      <c r="A26" s="4">
        <f t="shared" si="0"/>
        <v>1992</v>
      </c>
      <c r="B26" s="7">
        <f>SUMIF(DataQ!$B:$B,DataA!$A26,DataQ!D:D)</f>
        <v>1251525</v>
      </c>
      <c r="C26" s="7">
        <f>SUMIF(DataQ!$B:$B,DataA!$A26,DataQ!E:E)</f>
        <v>1251525</v>
      </c>
      <c r="D26" s="7">
        <f>SUMIF(DataQ!$B:$B,DataA!$A26,DataQ!F:F)</f>
        <v>1251525</v>
      </c>
      <c r="E26" s="7">
        <f>SUMIF(DataQ!$B:$B,DataA!$A26,DataQ!G:G)</f>
        <v>1251525</v>
      </c>
      <c r="F26" s="7">
        <f>SUMIF(DataQ!$B:$B,DataA!$A26,DataQ!H:H)</f>
        <v>1251525</v>
      </c>
      <c r="G26" s="7">
        <f>SUMIF(DataQ!$B:$B,DataA!$A26,DataQ!I:I)</f>
        <v>1251525</v>
      </c>
      <c r="H26" s="7">
        <f>SUMIF(DataQ!$B:$B,DataA!$A26,DataQ!J:J)</f>
        <v>1251525</v>
      </c>
      <c r="I26" s="7">
        <f>SUMIF(DataQ!$B:$B,DataA!$A26,DataQ!K:K)</f>
        <v>1251525</v>
      </c>
      <c r="J26" s="7">
        <f>SUMIF(DataQ!$B:$B,DataA!$A26,DataQ!L:L)</f>
        <v>1251525</v>
      </c>
      <c r="K26" s="7">
        <f>SUMIF(DataQ!$B:$B,DataA!$A26,DataQ!M:M)</f>
        <v>1251525</v>
      </c>
      <c r="L26" s="7">
        <f>SUMIF(DataQ!$B:$B,DataA!$A26,DataQ!N:N)</f>
        <v>1251525</v>
      </c>
      <c r="M26" s="7">
        <f>SUMIF(DataQ!$B:$B,DataA!$A26,DataQ!O:O)</f>
        <v>1251525</v>
      </c>
      <c r="N26" s="7">
        <f>SUMIF(DataQ!$B:$B,DataA!$A26,DataQ!P:P)</f>
        <v>1251525</v>
      </c>
      <c r="O26" s="7">
        <f>SUMIF(DataQ!$B:$B,DataA!$A26,DataQ!Q:Q)</f>
        <v>1251525</v>
      </c>
      <c r="P26" s="7">
        <f>SUMIF(DataQ!$B:$B,DataA!$A26,DataQ!R:R)</f>
        <v>1251525</v>
      </c>
      <c r="Q26" s="7">
        <f>SUMIF(DataQ!$B:$B,DataA!$A26,DataQ!S:S)</f>
        <v>1251525</v>
      </c>
      <c r="R26" s="7">
        <f>SUMIF(DataQ!$B:$B,DataA!$A26,DataQ!T:T)</f>
        <v>1251525</v>
      </c>
      <c r="S26" s="7">
        <f>AVERAGEIF(DataQ!$B:$B,DataA!$A26,DataQ!U:U)</f>
        <v>210.38567499999999</v>
      </c>
      <c r="T26" s="7">
        <f>AVERAGEIF(DataQ!$B:$B,DataA!$A26,DataQ!V:V)</f>
        <v>62.6</v>
      </c>
      <c r="U26" s="7">
        <f>AVERAGEIF(DataQ!$B:$B,DataA!$A26,DataQ!W:W)</f>
        <v>52.050002500000005</v>
      </c>
      <c r="V26" s="7">
        <f>AVERAGEIF(DataQ!$B:$B,DataA!$A26,DataQ!X:X)</f>
        <v>40.566667500000001</v>
      </c>
      <c r="W26" s="7">
        <f>AVERAGEIF(DataQ!$B:$B,DataA!$A26,DataQ!Y:Y)</f>
        <v>38.083334999999998</v>
      </c>
      <c r="X26" s="7">
        <f>AVERAGEIF(DataQ!$B:$B,DataA!$A26,DataQ!Z:Z)</f>
        <v>68.408334999999994</v>
      </c>
      <c r="Y26" s="7">
        <f>SUMIF(DataQ!$B:$B,DataA!$A26,DataQ!AA:AA)</f>
        <v>723261</v>
      </c>
      <c r="Z26" s="7">
        <f>SUMIF(DataQ!$B:$B,DataA!$A26,DataQ!AB:AB)</f>
        <v>234519</v>
      </c>
      <c r="AA26" s="7">
        <f>SUMIF(DataQ!$B:$B,DataA!$A26,DataQ!AC:AC)</f>
        <v>258104</v>
      </c>
      <c r="AB26" s="7">
        <f>SUMIF(DataQ!$B:$B,DataA!$A26,DataQ!AD:AD)</f>
        <v>234854</v>
      </c>
      <c r="AC26" s="7">
        <f>SUMIF(DataQ!$B:$B,DataA!$A26,DataQ!AE:AE)</f>
        <v>220254</v>
      </c>
      <c r="AD26" s="7">
        <f>AVERAGEIF(DataQ!$B:$B,DataA!$A26,DataQ!AF:AF)</f>
        <v>1E-3</v>
      </c>
      <c r="AE26" s="7">
        <f>AVERAGEIF(DataQ!$B:$B,DataA!$A26,DataQ!AG:AG)</f>
        <v>1E-3</v>
      </c>
    </row>
    <row r="27" spans="1:31" x14ac:dyDescent="0.25">
      <c r="A27" s="4">
        <f t="shared" si="0"/>
        <v>1993</v>
      </c>
      <c r="B27" s="7">
        <f>SUMIF(DataQ!$B:$B,DataA!$A27,DataQ!D:D)</f>
        <v>1279802</v>
      </c>
      <c r="C27" s="7">
        <f>SUMIF(DataQ!$B:$B,DataA!$A27,DataQ!E:E)</f>
        <v>1279802</v>
      </c>
      <c r="D27" s="7">
        <f>SUMIF(DataQ!$B:$B,DataA!$A27,DataQ!F:F)</f>
        <v>1279802</v>
      </c>
      <c r="E27" s="7">
        <f>SUMIF(DataQ!$B:$B,DataA!$A27,DataQ!G:G)</f>
        <v>1279802</v>
      </c>
      <c r="F27" s="7">
        <f>SUMIF(DataQ!$B:$B,DataA!$A27,DataQ!H:H)</f>
        <v>1279802</v>
      </c>
      <c r="G27" s="7">
        <f>SUMIF(DataQ!$B:$B,DataA!$A27,DataQ!I:I)</f>
        <v>1279802</v>
      </c>
      <c r="H27" s="7">
        <f>SUMIF(DataQ!$B:$B,DataA!$A27,DataQ!J:J)</f>
        <v>1279802</v>
      </c>
      <c r="I27" s="7">
        <f>SUMIF(DataQ!$B:$B,DataA!$A27,DataQ!K:K)</f>
        <v>1279802</v>
      </c>
      <c r="J27" s="7">
        <f>SUMIF(DataQ!$B:$B,DataA!$A27,DataQ!L:L)</f>
        <v>1279802</v>
      </c>
      <c r="K27" s="7">
        <f>SUMIF(DataQ!$B:$B,DataA!$A27,DataQ!M:M)</f>
        <v>1279802</v>
      </c>
      <c r="L27" s="7">
        <f>SUMIF(DataQ!$B:$B,DataA!$A27,DataQ!N:N)</f>
        <v>1279802</v>
      </c>
      <c r="M27" s="7">
        <f>SUMIF(DataQ!$B:$B,DataA!$A27,DataQ!O:O)</f>
        <v>1279802</v>
      </c>
      <c r="N27" s="7">
        <f>SUMIF(DataQ!$B:$B,DataA!$A27,DataQ!P:P)</f>
        <v>1279802</v>
      </c>
      <c r="O27" s="7">
        <f>SUMIF(DataQ!$B:$B,DataA!$A27,DataQ!Q:Q)</f>
        <v>1279802</v>
      </c>
      <c r="P27" s="7">
        <f>SUMIF(DataQ!$B:$B,DataA!$A27,DataQ!R:R)</f>
        <v>1279802</v>
      </c>
      <c r="Q27" s="7">
        <f>SUMIF(DataQ!$B:$B,DataA!$A27,DataQ!S:S)</f>
        <v>1279802</v>
      </c>
      <c r="R27" s="7">
        <f>SUMIF(DataQ!$B:$B,DataA!$A27,DataQ!T:T)</f>
        <v>1279802</v>
      </c>
      <c r="S27" s="7">
        <f>AVERAGEIF(DataQ!$B:$B,DataA!$A27,DataQ!U:U)</f>
        <v>219.05895000000001</v>
      </c>
      <c r="T27" s="7">
        <f>AVERAGEIF(DataQ!$B:$B,DataA!$A27,DataQ!V:V)</f>
        <v>64.199997499999995</v>
      </c>
      <c r="U27" s="7">
        <f>AVERAGEIF(DataQ!$B:$B,DataA!$A27,DataQ!W:W)</f>
        <v>53.616667499999998</v>
      </c>
      <c r="V27" s="7">
        <f>AVERAGEIF(DataQ!$B:$B,DataA!$A27,DataQ!X:X)</f>
        <v>43.775002499999999</v>
      </c>
      <c r="W27" s="7">
        <f>AVERAGEIF(DataQ!$B:$B,DataA!$A27,DataQ!Y:Y)</f>
        <v>37.583332499999997</v>
      </c>
      <c r="X27" s="7">
        <f>AVERAGEIF(DataQ!$B:$B,DataA!$A27,DataQ!Z:Z)</f>
        <v>70.058335000000014</v>
      </c>
      <c r="Y27" s="7">
        <f>SUMIF(DataQ!$B:$B,DataA!$A27,DataQ!AA:AA)</f>
        <v>743665</v>
      </c>
      <c r="Z27" s="7">
        <f>SUMIF(DataQ!$B:$B,DataA!$A27,DataQ!AB:AB)</f>
        <v>236313</v>
      </c>
      <c r="AA27" s="7">
        <f>SUMIF(DataQ!$B:$B,DataA!$A27,DataQ!AC:AC)</f>
        <v>256753</v>
      </c>
      <c r="AB27" s="7">
        <f>SUMIF(DataQ!$B:$B,DataA!$A27,DataQ!AD:AD)</f>
        <v>244944</v>
      </c>
      <c r="AC27" s="7">
        <f>SUMIF(DataQ!$B:$B,DataA!$A27,DataQ!AE:AE)</f>
        <v>227114</v>
      </c>
      <c r="AD27" s="7">
        <f>AVERAGEIF(DataQ!$B:$B,DataA!$A27,DataQ!AF:AF)</f>
        <v>1E-3</v>
      </c>
      <c r="AE27" s="7">
        <f>AVERAGEIF(DataQ!$B:$B,DataA!$A27,DataQ!AG:AG)</f>
        <v>1E-3</v>
      </c>
    </row>
    <row r="28" spans="1:31" x14ac:dyDescent="0.25">
      <c r="A28" s="4">
        <f t="shared" si="0"/>
        <v>1994</v>
      </c>
      <c r="B28" s="7">
        <f>SUMIF(DataQ!$B:$B,DataA!$A28,DataQ!D:D)</f>
        <v>1323443</v>
      </c>
      <c r="C28" s="7">
        <f>SUMIF(DataQ!$B:$B,DataA!$A28,DataQ!E:E)</f>
        <v>1323443</v>
      </c>
      <c r="D28" s="7">
        <f>SUMIF(DataQ!$B:$B,DataA!$A28,DataQ!F:F)</f>
        <v>1323443</v>
      </c>
      <c r="E28" s="7">
        <f>SUMIF(DataQ!$B:$B,DataA!$A28,DataQ!G:G)</f>
        <v>1323443</v>
      </c>
      <c r="F28" s="7">
        <f>SUMIF(DataQ!$B:$B,DataA!$A28,DataQ!H:H)</f>
        <v>1323443</v>
      </c>
      <c r="G28" s="7">
        <f>SUMIF(DataQ!$B:$B,DataA!$A28,DataQ!I:I)</f>
        <v>1323443</v>
      </c>
      <c r="H28" s="7">
        <f>SUMIF(DataQ!$B:$B,DataA!$A28,DataQ!J:J)</f>
        <v>1323443</v>
      </c>
      <c r="I28" s="7">
        <f>SUMIF(DataQ!$B:$B,DataA!$A28,DataQ!K:K)</f>
        <v>1323443</v>
      </c>
      <c r="J28" s="7">
        <f>SUMIF(DataQ!$B:$B,DataA!$A28,DataQ!L:L)</f>
        <v>1323443</v>
      </c>
      <c r="K28" s="7">
        <f>SUMIF(DataQ!$B:$B,DataA!$A28,DataQ!M:M)</f>
        <v>1323443</v>
      </c>
      <c r="L28" s="7">
        <f>SUMIF(DataQ!$B:$B,DataA!$A28,DataQ!N:N)</f>
        <v>1323443</v>
      </c>
      <c r="M28" s="7">
        <f>SUMIF(DataQ!$B:$B,DataA!$A28,DataQ!O:O)</f>
        <v>1323443</v>
      </c>
      <c r="N28" s="7">
        <f>SUMIF(DataQ!$B:$B,DataA!$A28,DataQ!P:P)</f>
        <v>1323443</v>
      </c>
      <c r="O28" s="7">
        <f>SUMIF(DataQ!$B:$B,DataA!$A28,DataQ!Q:Q)</f>
        <v>1323443</v>
      </c>
      <c r="P28" s="7">
        <f>SUMIF(DataQ!$B:$B,DataA!$A28,DataQ!R:R)</f>
        <v>1323443</v>
      </c>
      <c r="Q28" s="7">
        <f>SUMIF(DataQ!$B:$B,DataA!$A28,DataQ!S:S)</f>
        <v>1323443</v>
      </c>
      <c r="R28" s="7">
        <f>SUMIF(DataQ!$B:$B,DataA!$A28,DataQ!T:T)</f>
        <v>1323443</v>
      </c>
      <c r="S28" s="7">
        <f>AVERAGEIF(DataQ!$B:$B,DataA!$A28,DataQ!U:U)</f>
        <v>228.90707499999999</v>
      </c>
      <c r="T28" s="7">
        <f>AVERAGEIF(DataQ!$B:$B,DataA!$A28,DataQ!V:V)</f>
        <v>65.475000000000009</v>
      </c>
      <c r="U28" s="7">
        <f>AVERAGEIF(DataQ!$B:$B,DataA!$A28,DataQ!W:W)</f>
        <v>54.641667499999997</v>
      </c>
      <c r="V28" s="7">
        <f>AVERAGEIF(DataQ!$B:$B,DataA!$A28,DataQ!X:X)</f>
        <v>45.775002499999999</v>
      </c>
      <c r="W28" s="7">
        <f>AVERAGEIF(DataQ!$B:$B,DataA!$A28,DataQ!Y:Y)</f>
        <v>39.208330000000004</v>
      </c>
      <c r="X28" s="7">
        <f>AVERAGEIF(DataQ!$B:$B,DataA!$A28,DataQ!Z:Z)</f>
        <v>71.233335000000011</v>
      </c>
      <c r="Y28" s="7">
        <f>SUMIF(DataQ!$B:$B,DataA!$A28,DataQ!AA:AA)</f>
        <v>767829</v>
      </c>
      <c r="Z28" s="7">
        <f>SUMIF(DataQ!$B:$B,DataA!$A28,DataQ!AB:AB)</f>
        <v>240176</v>
      </c>
      <c r="AA28" s="7">
        <f>SUMIF(DataQ!$B:$B,DataA!$A28,DataQ!AC:AC)</f>
        <v>259812</v>
      </c>
      <c r="AB28" s="7">
        <f>SUMIF(DataQ!$B:$B,DataA!$A28,DataQ!AD:AD)</f>
        <v>266842</v>
      </c>
      <c r="AC28" s="7">
        <f>SUMIF(DataQ!$B:$B,DataA!$A28,DataQ!AE:AE)</f>
        <v>240145</v>
      </c>
      <c r="AD28" s="7">
        <f>AVERAGEIF(DataQ!$B:$B,DataA!$A28,DataQ!AF:AF)</f>
        <v>1E-3</v>
      </c>
      <c r="AE28" s="7">
        <f>AVERAGEIF(DataQ!$B:$B,DataA!$A28,DataQ!AG:AG)</f>
        <v>1E-3</v>
      </c>
    </row>
    <row r="29" spans="1:31" x14ac:dyDescent="0.25">
      <c r="A29" s="4">
        <f t="shared" si="0"/>
        <v>1995</v>
      </c>
      <c r="B29" s="7">
        <f>SUMIF(DataQ!$B:$B,DataA!$A29,DataQ!D:D)</f>
        <v>1355023</v>
      </c>
      <c r="C29" s="7">
        <f>SUMIF(DataQ!$B:$B,DataA!$A29,DataQ!E:E)</f>
        <v>1355023</v>
      </c>
      <c r="D29" s="7">
        <f>SUMIF(DataQ!$B:$B,DataA!$A29,DataQ!F:F)</f>
        <v>1355023</v>
      </c>
      <c r="E29" s="7">
        <f>SUMIF(DataQ!$B:$B,DataA!$A29,DataQ!G:G)</f>
        <v>1355023</v>
      </c>
      <c r="F29" s="7">
        <f>SUMIF(DataQ!$B:$B,DataA!$A29,DataQ!H:H)</f>
        <v>1355023</v>
      </c>
      <c r="G29" s="7">
        <f>SUMIF(DataQ!$B:$B,DataA!$A29,DataQ!I:I)</f>
        <v>1355023</v>
      </c>
      <c r="H29" s="7">
        <f>SUMIF(DataQ!$B:$B,DataA!$A29,DataQ!J:J)</f>
        <v>1355023</v>
      </c>
      <c r="I29" s="7">
        <f>SUMIF(DataQ!$B:$B,DataA!$A29,DataQ!K:K)</f>
        <v>1355023</v>
      </c>
      <c r="J29" s="7">
        <f>SUMIF(DataQ!$B:$B,DataA!$A29,DataQ!L:L)</f>
        <v>1355023</v>
      </c>
      <c r="K29" s="7">
        <f>SUMIF(DataQ!$B:$B,DataA!$A29,DataQ!M:M)</f>
        <v>1355023</v>
      </c>
      <c r="L29" s="7">
        <f>SUMIF(DataQ!$B:$B,DataA!$A29,DataQ!N:N)</f>
        <v>1355023</v>
      </c>
      <c r="M29" s="7">
        <f>SUMIF(DataQ!$B:$B,DataA!$A29,DataQ!O:O)</f>
        <v>1355023</v>
      </c>
      <c r="N29" s="7">
        <f>SUMIF(DataQ!$B:$B,DataA!$A29,DataQ!P:P)</f>
        <v>1355023</v>
      </c>
      <c r="O29" s="7">
        <f>SUMIF(DataQ!$B:$B,DataA!$A29,DataQ!Q:Q)</f>
        <v>1355023</v>
      </c>
      <c r="P29" s="7">
        <f>SUMIF(DataQ!$B:$B,DataA!$A29,DataQ!R:R)</f>
        <v>1355023</v>
      </c>
      <c r="Q29" s="7">
        <f>SUMIF(DataQ!$B:$B,DataA!$A29,DataQ!S:S)</f>
        <v>1355023</v>
      </c>
      <c r="R29" s="7">
        <f>SUMIF(DataQ!$B:$B,DataA!$A29,DataQ!T:T)</f>
        <v>1355023</v>
      </c>
      <c r="S29" s="7">
        <f>AVERAGEIF(DataQ!$B:$B,DataA!$A29,DataQ!U:U)</f>
        <v>238.136</v>
      </c>
      <c r="T29" s="7">
        <f>AVERAGEIF(DataQ!$B:$B,DataA!$A29,DataQ!V:V)</f>
        <v>67.183335</v>
      </c>
      <c r="U29" s="7">
        <f>AVERAGEIF(DataQ!$B:$B,DataA!$A29,DataQ!W:W)</f>
        <v>56.875002500000001</v>
      </c>
      <c r="V29" s="7">
        <f>AVERAGEIF(DataQ!$B:$B,DataA!$A29,DataQ!X:X)</f>
        <v>48.150002499999999</v>
      </c>
      <c r="W29" s="7">
        <f>AVERAGEIF(DataQ!$B:$B,DataA!$A29,DataQ!Y:Y)</f>
        <v>40.041667500000003</v>
      </c>
      <c r="X29" s="7">
        <f>AVERAGEIF(DataQ!$B:$B,DataA!$A29,DataQ!Z:Z)</f>
        <v>72.691667499999994</v>
      </c>
      <c r="Y29" s="7">
        <f>SUMIF(DataQ!$B:$B,DataA!$A29,DataQ!AA:AA)</f>
        <v>783954</v>
      </c>
      <c r="Z29" s="7">
        <f>SUMIF(DataQ!$B:$B,DataA!$A29,DataQ!AB:AB)</f>
        <v>238994</v>
      </c>
      <c r="AA29" s="7">
        <f>SUMIF(DataQ!$B:$B,DataA!$A29,DataQ!AC:AC)</f>
        <v>263437</v>
      </c>
      <c r="AB29" s="7">
        <f>SUMIF(DataQ!$B:$B,DataA!$A29,DataQ!AD:AD)</f>
        <v>290883</v>
      </c>
      <c r="AC29" s="7">
        <f>SUMIF(DataQ!$B:$B,DataA!$A29,DataQ!AE:AE)</f>
        <v>252941</v>
      </c>
      <c r="AD29" s="7">
        <f>AVERAGEIF(DataQ!$B:$B,DataA!$A29,DataQ!AF:AF)</f>
        <v>1E-3</v>
      </c>
      <c r="AE29" s="7">
        <f>AVERAGEIF(DataQ!$B:$B,DataA!$A29,DataQ!AG:AG)</f>
        <v>1E-3</v>
      </c>
    </row>
    <row r="30" spans="1:31" x14ac:dyDescent="0.25">
      <c r="A30" s="4">
        <f t="shared" si="0"/>
        <v>1996</v>
      </c>
      <c r="B30" s="7">
        <f>SUMIF(DataQ!$B:$B,DataA!$A30,DataQ!D:D)</f>
        <v>1390010</v>
      </c>
      <c r="C30" s="7">
        <f>SUMIF(DataQ!$B:$B,DataA!$A30,DataQ!E:E)</f>
        <v>1390010</v>
      </c>
      <c r="D30" s="7">
        <f>SUMIF(DataQ!$B:$B,DataA!$A30,DataQ!F:F)</f>
        <v>1390010</v>
      </c>
      <c r="E30" s="7">
        <f>SUMIF(DataQ!$B:$B,DataA!$A30,DataQ!G:G)</f>
        <v>1390010</v>
      </c>
      <c r="F30" s="7">
        <f>SUMIF(DataQ!$B:$B,DataA!$A30,DataQ!H:H)</f>
        <v>1390010</v>
      </c>
      <c r="G30" s="7">
        <f>SUMIF(DataQ!$B:$B,DataA!$A30,DataQ!I:I)</f>
        <v>1390010</v>
      </c>
      <c r="H30" s="7">
        <f>SUMIF(DataQ!$B:$B,DataA!$A30,DataQ!J:J)</f>
        <v>1390010</v>
      </c>
      <c r="I30" s="7">
        <f>SUMIF(DataQ!$B:$B,DataA!$A30,DataQ!K:K)</f>
        <v>1390010</v>
      </c>
      <c r="J30" s="7">
        <f>SUMIF(DataQ!$B:$B,DataA!$A30,DataQ!L:L)</f>
        <v>1390010</v>
      </c>
      <c r="K30" s="7">
        <f>SUMIF(DataQ!$B:$B,DataA!$A30,DataQ!M:M)</f>
        <v>1390010</v>
      </c>
      <c r="L30" s="7">
        <f>SUMIF(DataQ!$B:$B,DataA!$A30,DataQ!N:N)</f>
        <v>1390010</v>
      </c>
      <c r="M30" s="7">
        <f>SUMIF(DataQ!$B:$B,DataA!$A30,DataQ!O:O)</f>
        <v>1390010</v>
      </c>
      <c r="N30" s="7">
        <f>SUMIF(DataQ!$B:$B,DataA!$A30,DataQ!P:P)</f>
        <v>1390010</v>
      </c>
      <c r="O30" s="7">
        <f>SUMIF(DataQ!$B:$B,DataA!$A30,DataQ!Q:Q)</f>
        <v>1390010</v>
      </c>
      <c r="P30" s="7">
        <f>SUMIF(DataQ!$B:$B,DataA!$A30,DataQ!R:R)</f>
        <v>1390010</v>
      </c>
      <c r="Q30" s="7">
        <f>SUMIF(DataQ!$B:$B,DataA!$A30,DataQ!S:S)</f>
        <v>1390010</v>
      </c>
      <c r="R30" s="7">
        <f>SUMIF(DataQ!$B:$B,DataA!$A30,DataQ!T:T)</f>
        <v>1390010</v>
      </c>
      <c r="S30" s="7">
        <f>AVERAGEIF(DataQ!$B:$B,DataA!$A30,DataQ!U:U)</f>
        <v>248.54797500000001</v>
      </c>
      <c r="T30" s="7">
        <f>AVERAGEIF(DataQ!$B:$B,DataA!$A30,DataQ!V:V)</f>
        <v>68.816667499999994</v>
      </c>
      <c r="U30" s="7">
        <f>AVERAGEIF(DataQ!$B:$B,DataA!$A30,DataQ!W:W)</f>
        <v>58.9083325</v>
      </c>
      <c r="V30" s="7">
        <f>AVERAGEIF(DataQ!$B:$B,DataA!$A30,DataQ!X:X)</f>
        <v>50.4666675</v>
      </c>
      <c r="W30" s="7">
        <f>AVERAGEIF(DataQ!$B:$B,DataA!$A30,DataQ!Y:Y)</f>
        <v>40.200002499999997</v>
      </c>
      <c r="X30" s="7">
        <f>AVERAGEIF(DataQ!$B:$B,DataA!$A30,DataQ!Z:Z)</f>
        <v>74.1583325</v>
      </c>
      <c r="Y30" s="7">
        <f>SUMIF(DataQ!$B:$B,DataA!$A30,DataQ!AA:AA)</f>
        <v>813173</v>
      </c>
      <c r="Z30" s="7">
        <f>SUMIF(DataQ!$B:$B,DataA!$A30,DataQ!AB:AB)</f>
        <v>250146</v>
      </c>
      <c r="AA30" s="7">
        <f>SUMIF(DataQ!$B:$B,DataA!$A30,DataQ!AC:AC)</f>
        <v>265275</v>
      </c>
      <c r="AB30" s="7">
        <f>SUMIF(DataQ!$B:$B,DataA!$A30,DataQ!AD:AD)</f>
        <v>311540</v>
      </c>
      <c r="AC30" s="7">
        <f>SUMIF(DataQ!$B:$B,DataA!$A30,DataQ!AE:AE)</f>
        <v>276206</v>
      </c>
      <c r="AD30" s="7">
        <f>AVERAGEIF(DataQ!$B:$B,DataA!$A30,DataQ!AF:AF)</f>
        <v>1E-3</v>
      </c>
      <c r="AE30" s="7">
        <f>AVERAGEIF(DataQ!$B:$B,DataA!$A30,DataQ!AG:AG)</f>
        <v>1E-3</v>
      </c>
    </row>
    <row r="31" spans="1:31" x14ac:dyDescent="0.25">
      <c r="A31" s="4">
        <f t="shared" si="0"/>
        <v>1997</v>
      </c>
      <c r="B31" s="7">
        <f>SUMIF(DataQ!$B:$B,DataA!$A31,DataQ!D:D)</f>
        <v>1458467</v>
      </c>
      <c r="C31" s="7">
        <f>SUMIF(DataQ!$B:$B,DataA!$A31,DataQ!E:E)</f>
        <v>1458467</v>
      </c>
      <c r="D31" s="7">
        <f>SUMIF(DataQ!$B:$B,DataA!$A31,DataQ!F:F)</f>
        <v>1458467</v>
      </c>
      <c r="E31" s="7">
        <f>SUMIF(DataQ!$B:$B,DataA!$A31,DataQ!G:G)</f>
        <v>1458467</v>
      </c>
      <c r="F31" s="7">
        <f>SUMIF(DataQ!$B:$B,DataA!$A31,DataQ!H:H)</f>
        <v>1458467</v>
      </c>
      <c r="G31" s="7">
        <f>SUMIF(DataQ!$B:$B,DataA!$A31,DataQ!I:I)</f>
        <v>1458467</v>
      </c>
      <c r="H31" s="7">
        <f>SUMIF(DataQ!$B:$B,DataA!$A31,DataQ!J:J)</f>
        <v>1458467</v>
      </c>
      <c r="I31" s="7">
        <f>SUMIF(DataQ!$B:$B,DataA!$A31,DataQ!K:K)</f>
        <v>1458467</v>
      </c>
      <c r="J31" s="7">
        <f>SUMIF(DataQ!$B:$B,DataA!$A31,DataQ!L:L)</f>
        <v>1458467</v>
      </c>
      <c r="K31" s="7">
        <f>SUMIF(DataQ!$B:$B,DataA!$A31,DataQ!M:M)</f>
        <v>1458467</v>
      </c>
      <c r="L31" s="7">
        <f>SUMIF(DataQ!$B:$B,DataA!$A31,DataQ!N:N)</f>
        <v>1458467</v>
      </c>
      <c r="M31" s="7">
        <f>SUMIF(DataQ!$B:$B,DataA!$A31,DataQ!O:O)</f>
        <v>1458467</v>
      </c>
      <c r="N31" s="7">
        <f>SUMIF(DataQ!$B:$B,DataA!$A31,DataQ!P:P)</f>
        <v>1458467</v>
      </c>
      <c r="O31" s="7">
        <f>SUMIF(DataQ!$B:$B,DataA!$A31,DataQ!Q:Q)</f>
        <v>1458467</v>
      </c>
      <c r="P31" s="7">
        <f>SUMIF(DataQ!$B:$B,DataA!$A31,DataQ!R:R)</f>
        <v>1458467</v>
      </c>
      <c r="Q31" s="7">
        <f>SUMIF(DataQ!$B:$B,DataA!$A31,DataQ!S:S)</f>
        <v>1458467</v>
      </c>
      <c r="R31" s="7">
        <f>SUMIF(DataQ!$B:$B,DataA!$A31,DataQ!T:T)</f>
        <v>1458467</v>
      </c>
      <c r="S31" s="7">
        <f>AVERAGEIF(DataQ!$B:$B,DataA!$A31,DataQ!U:U)</f>
        <v>261.8193</v>
      </c>
      <c r="T31" s="7">
        <f>AVERAGEIF(DataQ!$B:$B,DataA!$A31,DataQ!V:V)</f>
        <v>70.066667499999994</v>
      </c>
      <c r="U31" s="7">
        <f>AVERAGEIF(DataQ!$B:$B,DataA!$A31,DataQ!W:W)</f>
        <v>59.608332500000003</v>
      </c>
      <c r="V31" s="7">
        <f>AVERAGEIF(DataQ!$B:$B,DataA!$A31,DataQ!X:X)</f>
        <v>55.483335000000004</v>
      </c>
      <c r="W31" s="7">
        <f>AVERAGEIF(DataQ!$B:$B,DataA!$A31,DataQ!Y:Y)</f>
        <v>39.016667499999997</v>
      </c>
      <c r="X31" s="7">
        <f>AVERAGEIF(DataQ!$B:$B,DataA!$A31,DataQ!Z:Z)</f>
        <v>75.55</v>
      </c>
      <c r="Y31" s="7">
        <f>SUMIF(DataQ!$B:$B,DataA!$A31,DataQ!AA:AA)</f>
        <v>853341</v>
      </c>
      <c r="Z31" s="7">
        <f>SUMIF(DataQ!$B:$B,DataA!$A31,DataQ!AB:AB)</f>
        <v>246458</v>
      </c>
      <c r="AA31" s="7">
        <f>SUMIF(DataQ!$B:$B,DataA!$A31,DataQ!AC:AC)</f>
        <v>263680</v>
      </c>
      <c r="AB31" s="7">
        <f>SUMIF(DataQ!$B:$B,DataA!$A31,DataQ!AD:AD)</f>
        <v>349896</v>
      </c>
      <c r="AC31" s="7">
        <f>SUMIF(DataQ!$B:$B,DataA!$A31,DataQ!AE:AE)</f>
        <v>303374</v>
      </c>
      <c r="AD31" s="7">
        <f>AVERAGEIF(DataQ!$B:$B,DataA!$A31,DataQ!AF:AF)</f>
        <v>1E-3</v>
      </c>
      <c r="AE31" s="7">
        <f>AVERAGEIF(DataQ!$B:$B,DataA!$A31,DataQ!AG:AG)</f>
        <v>1E-3</v>
      </c>
    </row>
    <row r="32" spans="1:31" x14ac:dyDescent="0.25">
      <c r="A32" s="4">
        <f t="shared" si="0"/>
        <v>1998</v>
      </c>
      <c r="B32" s="7">
        <f>SUMIF(DataQ!$B:$B,DataA!$A32,DataQ!D:D)</f>
        <v>1508263</v>
      </c>
      <c r="C32" s="7">
        <f>SUMIF(DataQ!$B:$B,DataA!$A32,DataQ!E:E)</f>
        <v>1508263</v>
      </c>
      <c r="D32" s="7">
        <f>SUMIF(DataQ!$B:$B,DataA!$A32,DataQ!F:F)</f>
        <v>1508263</v>
      </c>
      <c r="E32" s="7">
        <f>SUMIF(DataQ!$B:$B,DataA!$A32,DataQ!G:G)</f>
        <v>1508263</v>
      </c>
      <c r="F32" s="7">
        <f>SUMIF(DataQ!$B:$B,DataA!$A32,DataQ!H:H)</f>
        <v>1508263</v>
      </c>
      <c r="G32" s="7">
        <f>SUMIF(DataQ!$B:$B,DataA!$A32,DataQ!I:I)</f>
        <v>1508263</v>
      </c>
      <c r="H32" s="7">
        <f>SUMIF(DataQ!$B:$B,DataA!$A32,DataQ!J:J)</f>
        <v>1508263</v>
      </c>
      <c r="I32" s="7">
        <f>SUMIF(DataQ!$B:$B,DataA!$A32,DataQ!K:K)</f>
        <v>1508263</v>
      </c>
      <c r="J32" s="7">
        <f>SUMIF(DataQ!$B:$B,DataA!$A32,DataQ!L:L)</f>
        <v>1508263</v>
      </c>
      <c r="K32" s="7">
        <f>SUMIF(DataQ!$B:$B,DataA!$A32,DataQ!M:M)</f>
        <v>1508263</v>
      </c>
      <c r="L32" s="7">
        <f>SUMIF(DataQ!$B:$B,DataA!$A32,DataQ!N:N)</f>
        <v>1508263</v>
      </c>
      <c r="M32" s="7">
        <f>SUMIF(DataQ!$B:$B,DataA!$A32,DataQ!O:O)</f>
        <v>1508263</v>
      </c>
      <c r="N32" s="7">
        <f>SUMIF(DataQ!$B:$B,DataA!$A32,DataQ!P:P)</f>
        <v>1508263</v>
      </c>
      <c r="O32" s="7">
        <f>SUMIF(DataQ!$B:$B,DataA!$A32,DataQ!Q:Q)</f>
        <v>1508263</v>
      </c>
      <c r="P32" s="7">
        <f>SUMIF(DataQ!$B:$B,DataA!$A32,DataQ!R:R)</f>
        <v>1508263</v>
      </c>
      <c r="Q32" s="7">
        <f>SUMIF(DataQ!$B:$B,DataA!$A32,DataQ!S:S)</f>
        <v>1508263</v>
      </c>
      <c r="R32" s="7">
        <f>SUMIF(DataQ!$B:$B,DataA!$A32,DataQ!T:T)</f>
        <v>1508263</v>
      </c>
      <c r="S32" s="7">
        <f>AVERAGEIF(DataQ!$B:$B,DataA!$A32,DataQ!U:U)</f>
        <v>278.90902499999999</v>
      </c>
      <c r="T32" s="7">
        <f>AVERAGEIF(DataQ!$B:$B,DataA!$A32,DataQ!V:V)</f>
        <v>71.1583325</v>
      </c>
      <c r="U32" s="7">
        <f>AVERAGEIF(DataQ!$B:$B,DataA!$A32,DataQ!W:W)</f>
        <v>61.066665</v>
      </c>
      <c r="V32" s="7">
        <f>AVERAGEIF(DataQ!$B:$B,DataA!$A32,DataQ!X:X)</f>
        <v>58.258335000000002</v>
      </c>
      <c r="W32" s="7">
        <f>AVERAGEIF(DataQ!$B:$B,DataA!$A32,DataQ!Y:Y)</f>
        <v>37.383335000000002</v>
      </c>
      <c r="X32" s="7">
        <f>AVERAGEIF(DataQ!$B:$B,DataA!$A32,DataQ!Z:Z)</f>
        <v>76.641667499999997</v>
      </c>
      <c r="Y32" s="7">
        <f>SUMIF(DataQ!$B:$B,DataA!$A32,DataQ!AA:AA)</f>
        <v>889254</v>
      </c>
      <c r="Z32" s="7">
        <f>SUMIF(DataQ!$B:$B,DataA!$A32,DataQ!AB:AB)</f>
        <v>260643</v>
      </c>
      <c r="AA32" s="7">
        <f>SUMIF(DataQ!$B:$B,DataA!$A32,DataQ!AC:AC)</f>
        <v>272768</v>
      </c>
      <c r="AB32" s="7">
        <f>SUMIF(DataQ!$B:$B,DataA!$A32,DataQ!AD:AD)</f>
        <v>360452</v>
      </c>
      <c r="AC32" s="7">
        <f>SUMIF(DataQ!$B:$B,DataA!$A32,DataQ!AE:AE)</f>
        <v>326006</v>
      </c>
      <c r="AD32" s="7">
        <f>AVERAGEIF(DataQ!$B:$B,DataA!$A32,DataQ!AF:AF)</f>
        <v>1E-3</v>
      </c>
      <c r="AE32" s="7">
        <f>AVERAGEIF(DataQ!$B:$B,DataA!$A32,DataQ!AG:AG)</f>
        <v>1E-3</v>
      </c>
    </row>
    <row r="33" spans="1:31" x14ac:dyDescent="0.25">
      <c r="A33" s="4">
        <f t="shared" si="0"/>
        <v>1999</v>
      </c>
      <c r="B33" s="7">
        <f>SUMIF(DataQ!$B:$B,DataA!$A33,DataQ!D:D)</f>
        <v>1554509</v>
      </c>
      <c r="C33" s="7">
        <f>SUMIF(DataQ!$B:$B,DataA!$A33,DataQ!E:E)</f>
        <v>1554509</v>
      </c>
      <c r="D33" s="7">
        <f>SUMIF(DataQ!$B:$B,DataA!$A33,DataQ!F:F)</f>
        <v>1554509</v>
      </c>
      <c r="E33" s="7">
        <f>SUMIF(DataQ!$B:$B,DataA!$A33,DataQ!G:G)</f>
        <v>1554509</v>
      </c>
      <c r="F33" s="7">
        <f>SUMIF(DataQ!$B:$B,DataA!$A33,DataQ!H:H)</f>
        <v>1554509</v>
      </c>
      <c r="G33" s="7">
        <f>SUMIF(DataQ!$B:$B,DataA!$A33,DataQ!I:I)</f>
        <v>1554509</v>
      </c>
      <c r="H33" s="7">
        <f>SUMIF(DataQ!$B:$B,DataA!$A33,DataQ!J:J)</f>
        <v>1554509</v>
      </c>
      <c r="I33" s="7">
        <f>SUMIF(DataQ!$B:$B,DataA!$A33,DataQ!K:K)</f>
        <v>1554509</v>
      </c>
      <c r="J33" s="7">
        <f>SUMIF(DataQ!$B:$B,DataA!$A33,DataQ!L:L)</f>
        <v>1554509</v>
      </c>
      <c r="K33" s="7">
        <f>SUMIF(DataQ!$B:$B,DataA!$A33,DataQ!M:M)</f>
        <v>1554509</v>
      </c>
      <c r="L33" s="7">
        <f>SUMIF(DataQ!$B:$B,DataA!$A33,DataQ!N:N)</f>
        <v>1554509</v>
      </c>
      <c r="M33" s="7">
        <f>SUMIF(DataQ!$B:$B,DataA!$A33,DataQ!O:O)</f>
        <v>1554509</v>
      </c>
      <c r="N33" s="7">
        <f>SUMIF(DataQ!$B:$B,DataA!$A33,DataQ!P:P)</f>
        <v>1554509</v>
      </c>
      <c r="O33" s="7">
        <f>SUMIF(DataQ!$B:$B,DataA!$A33,DataQ!Q:Q)</f>
        <v>1554509</v>
      </c>
      <c r="P33" s="7">
        <f>SUMIF(DataQ!$B:$B,DataA!$A33,DataQ!R:R)</f>
        <v>1554509</v>
      </c>
      <c r="Q33" s="7">
        <f>SUMIF(DataQ!$B:$B,DataA!$A33,DataQ!S:S)</f>
        <v>1554509</v>
      </c>
      <c r="R33" s="7">
        <f>SUMIF(DataQ!$B:$B,DataA!$A33,DataQ!T:T)</f>
        <v>1554509</v>
      </c>
      <c r="S33" s="7">
        <f>AVERAGEIF(DataQ!$B:$B,DataA!$A33,DataQ!U:U)</f>
        <v>295.42552499999999</v>
      </c>
      <c r="T33" s="7">
        <f>AVERAGEIF(DataQ!$B:$B,DataA!$A33,DataQ!V:V)</f>
        <v>72.116664999999998</v>
      </c>
      <c r="U33" s="7">
        <f>AVERAGEIF(DataQ!$B:$B,DataA!$A33,DataQ!W:W)</f>
        <v>62.375002500000001</v>
      </c>
      <c r="V33" s="7">
        <f>AVERAGEIF(DataQ!$B:$B,DataA!$A33,DataQ!X:X)</f>
        <v>63.166667500000003</v>
      </c>
      <c r="W33" s="7">
        <f>AVERAGEIF(DataQ!$B:$B,DataA!$A33,DataQ!Y:Y)</f>
        <v>37.366664999999998</v>
      </c>
      <c r="X33" s="7">
        <f>AVERAGEIF(DataQ!$B:$B,DataA!$A33,DataQ!Z:Z)</f>
        <v>77.208332499999997</v>
      </c>
      <c r="Y33" s="7">
        <f>SUMIF(DataQ!$B:$B,DataA!$A33,DataQ!AA:AA)</f>
        <v>927454</v>
      </c>
      <c r="Z33" s="7">
        <f>SUMIF(DataQ!$B:$B,DataA!$A33,DataQ!AB:AB)</f>
        <v>265133</v>
      </c>
      <c r="AA33" s="7">
        <f>SUMIF(DataQ!$B:$B,DataA!$A33,DataQ!AC:AC)</f>
        <v>282565</v>
      </c>
      <c r="AB33" s="7">
        <f>SUMIF(DataQ!$B:$B,DataA!$A33,DataQ!AD:AD)</f>
        <v>373055</v>
      </c>
      <c r="AC33" s="7">
        <f>SUMIF(DataQ!$B:$B,DataA!$A33,DataQ!AE:AE)</f>
        <v>350120</v>
      </c>
      <c r="AD33" s="7">
        <f>AVERAGEIF(DataQ!$B:$B,DataA!$A33,DataQ!AF:AF)</f>
        <v>1E-3</v>
      </c>
      <c r="AE33" s="7">
        <f>AVERAGEIF(DataQ!$B:$B,DataA!$A33,DataQ!AG:AG)</f>
        <v>1E-3</v>
      </c>
    </row>
    <row r="34" spans="1:31" x14ac:dyDescent="0.25">
      <c r="A34" s="4">
        <f t="shared" si="0"/>
        <v>2000</v>
      </c>
      <c r="B34" s="7">
        <f>SUMIF(DataQ!$B:$B,DataA!$A34,DataQ!D:D)</f>
        <v>1621644</v>
      </c>
      <c r="C34" s="7">
        <f>SUMIF(DataQ!$B:$B,DataA!$A34,DataQ!E:E)</f>
        <v>1621644</v>
      </c>
      <c r="D34" s="7">
        <f>SUMIF(DataQ!$B:$B,DataA!$A34,DataQ!F:F)</f>
        <v>1621644</v>
      </c>
      <c r="E34" s="7">
        <f>SUMIF(DataQ!$B:$B,DataA!$A34,DataQ!G:G)</f>
        <v>1621644</v>
      </c>
      <c r="F34" s="7">
        <f>SUMIF(DataQ!$B:$B,DataA!$A34,DataQ!H:H)</f>
        <v>1621644</v>
      </c>
      <c r="G34" s="7">
        <f>SUMIF(DataQ!$B:$B,DataA!$A34,DataQ!I:I)</f>
        <v>1621644</v>
      </c>
      <c r="H34" s="7">
        <f>SUMIF(DataQ!$B:$B,DataA!$A34,DataQ!J:J)</f>
        <v>1621644</v>
      </c>
      <c r="I34" s="7">
        <f>SUMIF(DataQ!$B:$B,DataA!$A34,DataQ!K:K)</f>
        <v>1621644</v>
      </c>
      <c r="J34" s="7">
        <f>SUMIF(DataQ!$B:$B,DataA!$A34,DataQ!L:L)</f>
        <v>1621644</v>
      </c>
      <c r="K34" s="7">
        <f>SUMIF(DataQ!$B:$B,DataA!$A34,DataQ!M:M)</f>
        <v>1621644</v>
      </c>
      <c r="L34" s="7">
        <f>SUMIF(DataQ!$B:$B,DataA!$A34,DataQ!N:N)</f>
        <v>1621644</v>
      </c>
      <c r="M34" s="7">
        <f>SUMIF(DataQ!$B:$B,DataA!$A34,DataQ!O:O)</f>
        <v>1621644</v>
      </c>
      <c r="N34" s="7">
        <f>SUMIF(DataQ!$B:$B,DataA!$A34,DataQ!P:P)</f>
        <v>1621644</v>
      </c>
      <c r="O34" s="7">
        <f>SUMIF(DataQ!$B:$B,DataA!$A34,DataQ!Q:Q)</f>
        <v>1621644</v>
      </c>
      <c r="P34" s="7">
        <f>SUMIF(DataQ!$B:$B,DataA!$A34,DataQ!R:R)</f>
        <v>1621644</v>
      </c>
      <c r="Q34" s="7">
        <f>SUMIF(DataQ!$B:$B,DataA!$A34,DataQ!S:S)</f>
        <v>1621644</v>
      </c>
      <c r="R34" s="7">
        <f>SUMIF(DataQ!$B:$B,DataA!$A34,DataQ!T:T)</f>
        <v>1621644</v>
      </c>
      <c r="S34" s="7">
        <f>AVERAGEIF(DataQ!$B:$B,DataA!$A34,DataQ!U:U)</f>
        <v>312.74997500000001</v>
      </c>
      <c r="T34" s="7">
        <f>AVERAGEIF(DataQ!$B:$B,DataA!$A34,DataQ!V:V)</f>
        <v>72.691665</v>
      </c>
      <c r="U34" s="7">
        <f>AVERAGEIF(DataQ!$B:$B,DataA!$A34,DataQ!W:W)</f>
        <v>63.075002500000004</v>
      </c>
      <c r="V34" s="7">
        <f>AVERAGEIF(DataQ!$B:$B,DataA!$A34,DataQ!X:X)</f>
        <v>71.474999999999994</v>
      </c>
      <c r="W34" s="7">
        <f>AVERAGEIF(DataQ!$B:$B,DataA!$A34,DataQ!Y:Y)</f>
        <v>37.391667500000004</v>
      </c>
      <c r="X34" s="7">
        <f>AVERAGEIF(DataQ!$B:$B,DataA!$A34,DataQ!Z:Z)</f>
        <v>77.266667499999997</v>
      </c>
      <c r="Y34" s="7">
        <f>SUMIF(DataQ!$B:$B,DataA!$A34,DataQ!AA:AA)</f>
        <v>971050</v>
      </c>
      <c r="Z34" s="7">
        <f>SUMIF(DataQ!$B:$B,DataA!$A34,DataQ!AB:AB)</f>
        <v>280314</v>
      </c>
      <c r="AA34" s="7">
        <f>SUMIF(DataQ!$B:$B,DataA!$A34,DataQ!AC:AC)</f>
        <v>292546</v>
      </c>
      <c r="AB34" s="7">
        <f>SUMIF(DataQ!$B:$B,DataA!$A34,DataQ!AD:AD)</f>
        <v>409458</v>
      </c>
      <c r="AC34" s="7">
        <f>SUMIF(DataQ!$B:$B,DataA!$A34,DataQ!AE:AE)</f>
        <v>383149</v>
      </c>
      <c r="AD34" s="7">
        <f>AVERAGEIF(DataQ!$B:$B,DataA!$A34,DataQ!AF:AF)</f>
        <v>1E-3</v>
      </c>
      <c r="AE34" s="7">
        <f>AVERAGEIF(DataQ!$B:$B,DataA!$A34,DataQ!AG:AG)</f>
        <v>1E-3</v>
      </c>
    </row>
    <row r="35" spans="1:31" x14ac:dyDescent="0.25">
      <c r="A35" s="4">
        <f t="shared" si="0"/>
        <v>2001</v>
      </c>
      <c r="B35" s="7">
        <f>SUMIF(DataQ!$B:$B,DataA!$A35,DataQ!D:D)</f>
        <v>1663462</v>
      </c>
      <c r="C35" s="7">
        <f>SUMIF(DataQ!$B:$B,DataA!$A35,DataQ!E:E)</f>
        <v>1663462</v>
      </c>
      <c r="D35" s="7">
        <f>SUMIF(DataQ!$B:$B,DataA!$A35,DataQ!F:F)</f>
        <v>1663462</v>
      </c>
      <c r="E35" s="7">
        <f>SUMIF(DataQ!$B:$B,DataA!$A35,DataQ!G:G)</f>
        <v>1663462</v>
      </c>
      <c r="F35" s="7">
        <f>SUMIF(DataQ!$B:$B,DataA!$A35,DataQ!H:H)</f>
        <v>1663462</v>
      </c>
      <c r="G35" s="7">
        <f>SUMIF(DataQ!$B:$B,DataA!$A35,DataQ!I:I)</f>
        <v>1663462</v>
      </c>
      <c r="H35" s="7">
        <f>SUMIF(DataQ!$B:$B,DataA!$A35,DataQ!J:J)</f>
        <v>1663462</v>
      </c>
      <c r="I35" s="7">
        <f>SUMIF(DataQ!$B:$B,DataA!$A35,DataQ!K:K)</f>
        <v>1663462</v>
      </c>
      <c r="J35" s="7">
        <f>SUMIF(DataQ!$B:$B,DataA!$A35,DataQ!L:L)</f>
        <v>1663462</v>
      </c>
      <c r="K35" s="7">
        <f>SUMIF(DataQ!$B:$B,DataA!$A35,DataQ!M:M)</f>
        <v>1663462</v>
      </c>
      <c r="L35" s="7">
        <f>SUMIF(DataQ!$B:$B,DataA!$A35,DataQ!N:N)</f>
        <v>1663462</v>
      </c>
      <c r="M35" s="7">
        <f>SUMIF(DataQ!$B:$B,DataA!$A35,DataQ!O:O)</f>
        <v>1663462</v>
      </c>
      <c r="N35" s="7">
        <f>SUMIF(DataQ!$B:$B,DataA!$A35,DataQ!P:P)</f>
        <v>1663462</v>
      </c>
      <c r="O35" s="7">
        <f>SUMIF(DataQ!$B:$B,DataA!$A35,DataQ!Q:Q)</f>
        <v>1663462</v>
      </c>
      <c r="P35" s="7">
        <f>SUMIF(DataQ!$B:$B,DataA!$A35,DataQ!R:R)</f>
        <v>1663462</v>
      </c>
      <c r="Q35" s="7">
        <f>SUMIF(DataQ!$B:$B,DataA!$A35,DataQ!S:S)</f>
        <v>1663462</v>
      </c>
      <c r="R35" s="7">
        <f>SUMIF(DataQ!$B:$B,DataA!$A35,DataQ!T:T)</f>
        <v>1663462</v>
      </c>
      <c r="S35" s="7">
        <f>AVERAGEIF(DataQ!$B:$B,DataA!$A35,DataQ!U:U)</f>
        <v>328.666675</v>
      </c>
      <c r="T35" s="7">
        <f>AVERAGEIF(DataQ!$B:$B,DataA!$A35,DataQ!V:V)</f>
        <v>73.591669999999993</v>
      </c>
      <c r="U35" s="7">
        <f>AVERAGEIF(DataQ!$B:$B,DataA!$A35,DataQ!W:W)</f>
        <v>65.366667499999991</v>
      </c>
      <c r="V35" s="7">
        <f>AVERAGEIF(DataQ!$B:$B,DataA!$A35,DataQ!X:X)</f>
        <v>67.808335</v>
      </c>
      <c r="W35" s="7">
        <f>AVERAGEIF(DataQ!$B:$B,DataA!$A35,DataQ!Y:Y)</f>
        <v>37.583330000000004</v>
      </c>
      <c r="X35" s="7">
        <f>AVERAGEIF(DataQ!$B:$B,DataA!$A35,DataQ!Z:Z)</f>
        <v>78.091665000000006</v>
      </c>
      <c r="Y35" s="7">
        <f>SUMIF(DataQ!$B:$B,DataA!$A35,DataQ!AA:AA)</f>
        <v>1002536</v>
      </c>
      <c r="Z35" s="7">
        <f>SUMIF(DataQ!$B:$B,DataA!$A35,DataQ!AB:AB)</f>
        <v>285884</v>
      </c>
      <c r="AA35" s="7">
        <f>SUMIF(DataQ!$B:$B,DataA!$A35,DataQ!AC:AC)</f>
        <v>306670</v>
      </c>
      <c r="AB35" s="7">
        <f>SUMIF(DataQ!$B:$B,DataA!$A35,DataQ!AD:AD)</f>
        <v>421285</v>
      </c>
      <c r="AC35" s="7">
        <f>SUMIF(DataQ!$B:$B,DataA!$A35,DataQ!AE:AE)</f>
        <v>406829</v>
      </c>
      <c r="AD35" s="7">
        <f>AVERAGEIF(DataQ!$B:$B,DataA!$A35,DataQ!AF:AF)</f>
        <v>1E-3</v>
      </c>
      <c r="AE35" s="7">
        <f>AVERAGEIF(DataQ!$B:$B,DataA!$A35,DataQ!AG:AG)</f>
        <v>1E-3</v>
      </c>
    </row>
    <row r="36" spans="1:31" x14ac:dyDescent="0.25">
      <c r="A36" s="4">
        <f t="shared" si="0"/>
        <v>2002</v>
      </c>
      <c r="B36" s="7">
        <f>SUMIF(DataQ!$B:$B,DataA!$A36,DataQ!D:D)</f>
        <v>1693271</v>
      </c>
      <c r="C36" s="7">
        <f>SUMIF(DataQ!$B:$B,DataA!$A36,DataQ!E:E)</f>
        <v>1693271</v>
      </c>
      <c r="D36" s="7">
        <f>SUMIF(DataQ!$B:$B,DataA!$A36,DataQ!F:F)</f>
        <v>1693271</v>
      </c>
      <c r="E36" s="7">
        <f>SUMIF(DataQ!$B:$B,DataA!$A36,DataQ!G:G)</f>
        <v>1693271</v>
      </c>
      <c r="F36" s="7">
        <f>SUMIF(DataQ!$B:$B,DataA!$A36,DataQ!H:H)</f>
        <v>1693271</v>
      </c>
      <c r="G36" s="7">
        <f>SUMIF(DataQ!$B:$B,DataA!$A36,DataQ!I:I)</f>
        <v>1693271</v>
      </c>
      <c r="H36" s="7">
        <f>SUMIF(DataQ!$B:$B,DataA!$A36,DataQ!J:J)</f>
        <v>1693271</v>
      </c>
      <c r="I36" s="7">
        <f>SUMIF(DataQ!$B:$B,DataA!$A36,DataQ!K:K)</f>
        <v>1693271</v>
      </c>
      <c r="J36" s="7">
        <f>SUMIF(DataQ!$B:$B,DataA!$A36,DataQ!L:L)</f>
        <v>1693271</v>
      </c>
      <c r="K36" s="7">
        <f>SUMIF(DataQ!$B:$B,DataA!$A36,DataQ!M:M)</f>
        <v>1693271</v>
      </c>
      <c r="L36" s="7">
        <f>SUMIF(DataQ!$B:$B,DataA!$A36,DataQ!N:N)</f>
        <v>1693271</v>
      </c>
      <c r="M36" s="7">
        <f>SUMIF(DataQ!$B:$B,DataA!$A36,DataQ!O:O)</f>
        <v>1693271</v>
      </c>
      <c r="N36" s="7">
        <f>SUMIF(DataQ!$B:$B,DataA!$A36,DataQ!P:P)</f>
        <v>1693271</v>
      </c>
      <c r="O36" s="7">
        <f>SUMIF(DataQ!$B:$B,DataA!$A36,DataQ!Q:Q)</f>
        <v>1693271</v>
      </c>
      <c r="P36" s="7">
        <f>SUMIF(DataQ!$B:$B,DataA!$A36,DataQ!R:R)</f>
        <v>1693271</v>
      </c>
      <c r="Q36" s="7">
        <f>SUMIF(DataQ!$B:$B,DataA!$A36,DataQ!S:S)</f>
        <v>1693271</v>
      </c>
      <c r="R36" s="7">
        <f>SUMIF(DataQ!$B:$B,DataA!$A36,DataQ!T:T)</f>
        <v>1693271</v>
      </c>
      <c r="S36" s="7">
        <f>AVERAGEIF(DataQ!$B:$B,DataA!$A36,DataQ!U:U)</f>
        <v>339.166675</v>
      </c>
      <c r="T36" s="7">
        <f>AVERAGEIF(DataQ!$B:$B,DataA!$A36,DataQ!V:V)</f>
        <v>74.5</v>
      </c>
      <c r="U36" s="7">
        <f>AVERAGEIF(DataQ!$B:$B,DataA!$A36,DataQ!W:W)</f>
        <v>66.091665000000006</v>
      </c>
      <c r="V36" s="7">
        <f>AVERAGEIF(DataQ!$B:$B,DataA!$A36,DataQ!X:X)</f>
        <v>65.675002500000005</v>
      </c>
      <c r="W36" s="7">
        <f>AVERAGEIF(DataQ!$B:$B,DataA!$A36,DataQ!Y:Y)</f>
        <v>38.425002499999998</v>
      </c>
      <c r="X36" s="7">
        <f>AVERAGEIF(DataQ!$B:$B,DataA!$A36,DataQ!Z:Z)</f>
        <v>79.25</v>
      </c>
      <c r="Y36" s="7">
        <f>SUMIF(DataQ!$B:$B,DataA!$A36,DataQ!AA:AA)</f>
        <v>1028983</v>
      </c>
      <c r="Z36" s="7">
        <f>SUMIF(DataQ!$B:$B,DataA!$A36,DataQ!AB:AB)</f>
        <v>291584</v>
      </c>
      <c r="AA36" s="7">
        <f>SUMIF(DataQ!$B:$B,DataA!$A36,DataQ!AC:AC)</f>
        <v>319047</v>
      </c>
      <c r="AB36" s="7">
        <f>SUMIF(DataQ!$B:$B,DataA!$A36,DataQ!AD:AD)</f>
        <v>425164</v>
      </c>
      <c r="AC36" s="7">
        <f>SUMIF(DataQ!$B:$B,DataA!$A36,DataQ!AE:AE)</f>
        <v>426028</v>
      </c>
      <c r="AD36" s="7">
        <f>AVERAGEIF(DataQ!$B:$B,DataA!$A36,DataQ!AF:AF)</f>
        <v>1E-3</v>
      </c>
      <c r="AE36" s="7">
        <f>AVERAGEIF(DataQ!$B:$B,DataA!$A36,DataQ!AG:AG)</f>
        <v>1E-3</v>
      </c>
    </row>
    <row r="37" spans="1:31" x14ac:dyDescent="0.25">
      <c r="A37" s="4">
        <f t="shared" si="0"/>
        <v>2003</v>
      </c>
      <c r="B37" s="7">
        <f>SUMIF(DataQ!$B:$B,DataA!$A37,DataQ!D:D)</f>
        <v>1746551</v>
      </c>
      <c r="C37" s="7">
        <f>SUMIF(DataQ!$B:$B,DataA!$A37,DataQ!E:E)</f>
        <v>1746551</v>
      </c>
      <c r="D37" s="7">
        <f>SUMIF(DataQ!$B:$B,DataA!$A37,DataQ!F:F)</f>
        <v>1746551</v>
      </c>
      <c r="E37" s="7">
        <f>SUMIF(DataQ!$B:$B,DataA!$A37,DataQ!G:G)</f>
        <v>1746551</v>
      </c>
      <c r="F37" s="7">
        <f>SUMIF(DataQ!$B:$B,DataA!$A37,DataQ!H:H)</f>
        <v>1746551</v>
      </c>
      <c r="G37" s="7">
        <f>SUMIF(DataQ!$B:$B,DataA!$A37,DataQ!I:I)</f>
        <v>1746551</v>
      </c>
      <c r="H37" s="7">
        <f>SUMIF(DataQ!$B:$B,DataA!$A37,DataQ!J:J)</f>
        <v>1746551</v>
      </c>
      <c r="I37" s="7">
        <f>SUMIF(DataQ!$B:$B,DataA!$A37,DataQ!K:K)</f>
        <v>1746551</v>
      </c>
      <c r="J37" s="7">
        <f>SUMIF(DataQ!$B:$B,DataA!$A37,DataQ!L:L)</f>
        <v>1746551</v>
      </c>
      <c r="K37" s="7">
        <f>SUMIF(DataQ!$B:$B,DataA!$A37,DataQ!M:M)</f>
        <v>1746551</v>
      </c>
      <c r="L37" s="7">
        <f>SUMIF(DataQ!$B:$B,DataA!$A37,DataQ!N:N)</f>
        <v>1746551</v>
      </c>
      <c r="M37" s="7">
        <f>SUMIF(DataQ!$B:$B,DataA!$A37,DataQ!O:O)</f>
        <v>1746551</v>
      </c>
      <c r="N37" s="7">
        <f>SUMIF(DataQ!$B:$B,DataA!$A37,DataQ!P:P)</f>
        <v>1746551</v>
      </c>
      <c r="O37" s="7">
        <f>SUMIF(DataQ!$B:$B,DataA!$A37,DataQ!Q:Q)</f>
        <v>1746551</v>
      </c>
      <c r="P37" s="7">
        <f>SUMIF(DataQ!$B:$B,DataA!$A37,DataQ!R:R)</f>
        <v>1746551</v>
      </c>
      <c r="Q37" s="7">
        <f>SUMIF(DataQ!$B:$B,DataA!$A37,DataQ!S:S)</f>
        <v>1746551</v>
      </c>
      <c r="R37" s="7">
        <f>SUMIF(DataQ!$B:$B,DataA!$A37,DataQ!T:T)</f>
        <v>1746551</v>
      </c>
      <c r="S37" s="7">
        <f>AVERAGEIF(DataQ!$B:$B,DataA!$A37,DataQ!U:U)</f>
        <v>350.166675</v>
      </c>
      <c r="T37" s="7">
        <f>AVERAGEIF(DataQ!$B:$B,DataA!$A37,DataQ!V:V)</f>
        <v>75.525000000000006</v>
      </c>
      <c r="U37" s="7">
        <f>AVERAGEIF(DataQ!$B:$B,DataA!$A37,DataQ!W:W)</f>
        <v>67.016664999999989</v>
      </c>
      <c r="V37" s="7">
        <f>AVERAGEIF(DataQ!$B:$B,DataA!$A37,DataQ!X:X)</f>
        <v>68.050000000000011</v>
      </c>
      <c r="W37" s="7">
        <f>AVERAGEIF(DataQ!$B:$B,DataA!$A37,DataQ!Y:Y)</f>
        <v>39.125002500000008</v>
      </c>
      <c r="X37" s="7">
        <f>AVERAGEIF(DataQ!$B:$B,DataA!$A37,DataQ!Z:Z)</f>
        <v>80.266667500000011</v>
      </c>
      <c r="Y37" s="7">
        <f>SUMIF(DataQ!$B:$B,DataA!$A37,DataQ!AA:AA)</f>
        <v>1063424</v>
      </c>
      <c r="Z37" s="7">
        <f>SUMIF(DataQ!$B:$B,DataA!$A37,DataQ!AB:AB)</f>
        <v>298917</v>
      </c>
      <c r="AA37" s="7">
        <f>SUMIF(DataQ!$B:$B,DataA!$A37,DataQ!AC:AC)</f>
        <v>333404</v>
      </c>
      <c r="AB37" s="7">
        <f>SUMIF(DataQ!$B:$B,DataA!$A37,DataQ!AD:AD)</f>
        <v>432421</v>
      </c>
      <c r="AC37" s="7">
        <f>SUMIF(DataQ!$B:$B,DataA!$A37,DataQ!AE:AE)</f>
        <v>433044</v>
      </c>
      <c r="AD37" s="7">
        <f>AVERAGEIF(DataQ!$B:$B,DataA!$A37,DataQ!AF:AF)</f>
        <v>1E-3</v>
      </c>
      <c r="AE37" s="7">
        <f>AVERAGEIF(DataQ!$B:$B,DataA!$A37,DataQ!AG:AG)</f>
        <v>1E-3</v>
      </c>
    </row>
    <row r="38" spans="1:31" x14ac:dyDescent="0.25">
      <c r="A38" s="4">
        <f t="shared" si="0"/>
        <v>2004</v>
      </c>
      <c r="B38" s="7">
        <f>SUMIF(DataQ!$B:$B,DataA!$A38,DataQ!D:D)</f>
        <v>1788931</v>
      </c>
      <c r="C38" s="7">
        <f>SUMIF(DataQ!$B:$B,DataA!$A38,DataQ!E:E)</f>
        <v>1788931</v>
      </c>
      <c r="D38" s="7">
        <f>SUMIF(DataQ!$B:$B,DataA!$A38,DataQ!F:F)</f>
        <v>1788931</v>
      </c>
      <c r="E38" s="7">
        <f>SUMIF(DataQ!$B:$B,DataA!$A38,DataQ!G:G)</f>
        <v>1788931</v>
      </c>
      <c r="F38" s="7">
        <f>SUMIF(DataQ!$B:$B,DataA!$A38,DataQ!H:H)</f>
        <v>1788931</v>
      </c>
      <c r="G38" s="7">
        <f>SUMIF(DataQ!$B:$B,DataA!$A38,DataQ!I:I)</f>
        <v>1788931</v>
      </c>
      <c r="H38" s="7">
        <f>SUMIF(DataQ!$B:$B,DataA!$A38,DataQ!J:J)</f>
        <v>1788931</v>
      </c>
      <c r="I38" s="7">
        <f>SUMIF(DataQ!$B:$B,DataA!$A38,DataQ!K:K)</f>
        <v>1788931</v>
      </c>
      <c r="J38" s="7">
        <f>SUMIF(DataQ!$B:$B,DataA!$A38,DataQ!L:L)</f>
        <v>1788931</v>
      </c>
      <c r="K38" s="7">
        <f>SUMIF(DataQ!$B:$B,DataA!$A38,DataQ!M:M)</f>
        <v>1788931</v>
      </c>
      <c r="L38" s="7">
        <f>SUMIF(DataQ!$B:$B,DataA!$A38,DataQ!N:N)</f>
        <v>1788931</v>
      </c>
      <c r="M38" s="7">
        <f>SUMIF(DataQ!$B:$B,DataA!$A38,DataQ!O:O)</f>
        <v>1788931</v>
      </c>
      <c r="N38" s="7">
        <f>SUMIF(DataQ!$B:$B,DataA!$A38,DataQ!P:P)</f>
        <v>1788931</v>
      </c>
      <c r="O38" s="7">
        <f>SUMIF(DataQ!$B:$B,DataA!$A38,DataQ!Q:Q)</f>
        <v>1788931</v>
      </c>
      <c r="P38" s="7">
        <f>SUMIF(DataQ!$B:$B,DataA!$A38,DataQ!R:R)</f>
        <v>1788931</v>
      </c>
      <c r="Q38" s="7">
        <f>SUMIF(DataQ!$B:$B,DataA!$A38,DataQ!S:S)</f>
        <v>1788931</v>
      </c>
      <c r="R38" s="7">
        <f>SUMIF(DataQ!$B:$B,DataA!$A38,DataQ!T:T)</f>
        <v>1788931</v>
      </c>
      <c r="S38" s="7">
        <f>AVERAGEIF(DataQ!$B:$B,DataA!$A38,DataQ!U:U)</f>
        <v>365.333325</v>
      </c>
      <c r="T38" s="7">
        <f>AVERAGEIF(DataQ!$B:$B,DataA!$A38,DataQ!V:V)</f>
        <v>76.541667499999988</v>
      </c>
      <c r="U38" s="7">
        <f>AVERAGEIF(DataQ!$B:$B,DataA!$A38,DataQ!W:W)</f>
        <v>67.733335000000011</v>
      </c>
      <c r="V38" s="7">
        <f>AVERAGEIF(DataQ!$B:$B,DataA!$A38,DataQ!X:X)</f>
        <v>71.849999999999994</v>
      </c>
      <c r="W38" s="7">
        <f>AVERAGEIF(DataQ!$B:$B,DataA!$A38,DataQ!Y:Y)</f>
        <v>41.791665000000002</v>
      </c>
      <c r="X38" s="7">
        <f>AVERAGEIF(DataQ!$B:$B,DataA!$A38,DataQ!Z:Z)</f>
        <v>81.124997499999992</v>
      </c>
      <c r="Y38" s="7">
        <f>SUMIF(DataQ!$B:$B,DataA!$A38,DataQ!AA:AA)</f>
        <v>1092834</v>
      </c>
      <c r="Z38" s="7">
        <f>SUMIF(DataQ!$B:$B,DataA!$A38,DataQ!AB:AB)</f>
        <v>306870</v>
      </c>
      <c r="AA38" s="7">
        <f>SUMIF(DataQ!$B:$B,DataA!$A38,DataQ!AC:AC)</f>
        <v>347181</v>
      </c>
      <c r="AB38" s="7">
        <f>SUMIF(DataQ!$B:$B,DataA!$A38,DataQ!AD:AD)</f>
        <v>454205</v>
      </c>
      <c r="AC38" s="7">
        <f>SUMIF(DataQ!$B:$B,DataA!$A38,DataQ!AE:AE)</f>
        <v>462120</v>
      </c>
      <c r="AD38" s="7">
        <f>AVERAGEIF(DataQ!$B:$B,DataA!$A38,DataQ!AF:AF)</f>
        <v>1E-3</v>
      </c>
      <c r="AE38" s="7">
        <f>AVERAGEIF(DataQ!$B:$B,DataA!$A38,DataQ!AG:AG)</f>
        <v>1E-3</v>
      </c>
    </row>
    <row r="39" spans="1:31" x14ac:dyDescent="0.25">
      <c r="A39" s="4">
        <f t="shared" si="0"/>
        <v>2005</v>
      </c>
      <c r="B39" s="7">
        <f>SUMIF(DataQ!$B:$B,DataA!$A39,DataQ!D:D)</f>
        <v>1837927</v>
      </c>
      <c r="C39" s="7">
        <f>SUMIF(DataQ!$B:$B,DataA!$A39,DataQ!E:E)</f>
        <v>1837927</v>
      </c>
      <c r="D39" s="7">
        <f>SUMIF(DataQ!$B:$B,DataA!$A39,DataQ!F:F)</f>
        <v>1837927</v>
      </c>
      <c r="E39" s="7">
        <f>SUMIF(DataQ!$B:$B,DataA!$A39,DataQ!G:G)</f>
        <v>1837927</v>
      </c>
      <c r="F39" s="7">
        <f>SUMIF(DataQ!$B:$B,DataA!$A39,DataQ!H:H)</f>
        <v>1837927</v>
      </c>
      <c r="G39" s="7">
        <f>SUMIF(DataQ!$B:$B,DataA!$A39,DataQ!I:I)</f>
        <v>1837927</v>
      </c>
      <c r="H39" s="7">
        <f>SUMIF(DataQ!$B:$B,DataA!$A39,DataQ!J:J)</f>
        <v>1837927</v>
      </c>
      <c r="I39" s="7">
        <f>SUMIF(DataQ!$B:$B,DataA!$A39,DataQ!K:K)</f>
        <v>1837927</v>
      </c>
      <c r="J39" s="7">
        <f>SUMIF(DataQ!$B:$B,DataA!$A39,DataQ!L:L)</f>
        <v>1837927</v>
      </c>
      <c r="K39" s="7">
        <f>SUMIF(DataQ!$B:$B,DataA!$A39,DataQ!M:M)</f>
        <v>1837927</v>
      </c>
      <c r="L39" s="7">
        <f>SUMIF(DataQ!$B:$B,DataA!$A39,DataQ!N:N)</f>
        <v>1837927</v>
      </c>
      <c r="M39" s="7">
        <f>SUMIF(DataQ!$B:$B,DataA!$A39,DataQ!O:O)</f>
        <v>1837927</v>
      </c>
      <c r="N39" s="7">
        <f>SUMIF(DataQ!$B:$B,DataA!$A39,DataQ!P:P)</f>
        <v>1837927</v>
      </c>
      <c r="O39" s="7">
        <f>SUMIF(DataQ!$B:$B,DataA!$A39,DataQ!Q:Q)</f>
        <v>1837927</v>
      </c>
      <c r="P39" s="7">
        <f>SUMIF(DataQ!$B:$B,DataA!$A39,DataQ!R:R)</f>
        <v>1837927</v>
      </c>
      <c r="Q39" s="7">
        <f>SUMIF(DataQ!$B:$B,DataA!$A39,DataQ!S:S)</f>
        <v>1837927</v>
      </c>
      <c r="R39" s="7">
        <f>SUMIF(DataQ!$B:$B,DataA!$A39,DataQ!T:T)</f>
        <v>1837927</v>
      </c>
      <c r="S39" s="7">
        <f>AVERAGEIF(DataQ!$B:$B,DataA!$A39,DataQ!U:U)</f>
        <v>382.41665</v>
      </c>
      <c r="T39" s="7">
        <f>AVERAGEIF(DataQ!$B:$B,DataA!$A39,DataQ!V:V)</f>
        <v>78.099999999999994</v>
      </c>
      <c r="U39" s="7">
        <f>AVERAGEIF(DataQ!$B:$B,DataA!$A39,DataQ!W:W)</f>
        <v>68.900000000000006</v>
      </c>
      <c r="V39" s="7">
        <f>AVERAGEIF(DataQ!$B:$B,DataA!$A39,DataQ!X:X)</f>
        <v>78.141665000000003</v>
      </c>
      <c r="W39" s="7">
        <f>AVERAGEIF(DataQ!$B:$B,DataA!$A39,DataQ!Y:Y)</f>
        <v>47.283334999999994</v>
      </c>
      <c r="X39" s="7">
        <f>AVERAGEIF(DataQ!$B:$B,DataA!$A39,DataQ!Z:Z)</f>
        <v>82.35</v>
      </c>
      <c r="Y39" s="7">
        <f>SUMIF(DataQ!$B:$B,DataA!$A39,DataQ!AA:AA)</f>
        <v>1123830</v>
      </c>
      <c r="Z39" s="7">
        <f>SUMIF(DataQ!$B:$B,DataA!$A39,DataQ!AB:AB)</f>
        <v>319499</v>
      </c>
      <c r="AA39" s="7">
        <f>SUMIF(DataQ!$B:$B,DataA!$A39,DataQ!AC:AC)</f>
        <v>355493</v>
      </c>
      <c r="AB39" s="7">
        <f>SUMIF(DataQ!$B:$B,DataA!$A39,DataQ!AD:AD)</f>
        <v>488523</v>
      </c>
      <c r="AC39" s="7">
        <f>SUMIF(DataQ!$B:$B,DataA!$A39,DataQ!AE:AE)</f>
        <v>494604</v>
      </c>
      <c r="AD39" s="7">
        <f>AVERAGEIF(DataQ!$B:$B,DataA!$A39,DataQ!AF:AF)</f>
        <v>1E-3</v>
      </c>
      <c r="AE39" s="7">
        <f>AVERAGEIF(DataQ!$B:$B,DataA!$A39,DataQ!AG:AG)</f>
        <v>1E-3</v>
      </c>
    </row>
    <row r="40" spans="1:31" x14ac:dyDescent="0.25">
      <c r="A40" s="4">
        <f t="shared" si="0"/>
        <v>2006</v>
      </c>
      <c r="B40" s="7">
        <f>SUMIF(DataQ!$B:$B,DataA!$A40,DataQ!D:D)</f>
        <v>1881785</v>
      </c>
      <c r="C40" s="7">
        <f>SUMIF(DataQ!$B:$B,DataA!$A40,DataQ!E:E)</f>
        <v>1881785</v>
      </c>
      <c r="D40" s="7">
        <f>SUMIF(DataQ!$B:$B,DataA!$A40,DataQ!F:F)</f>
        <v>1881785</v>
      </c>
      <c r="E40" s="7">
        <f>SUMIF(DataQ!$B:$B,DataA!$A40,DataQ!G:G)</f>
        <v>1881785</v>
      </c>
      <c r="F40" s="7">
        <f>SUMIF(DataQ!$B:$B,DataA!$A40,DataQ!H:H)</f>
        <v>1881785</v>
      </c>
      <c r="G40" s="7">
        <f>SUMIF(DataQ!$B:$B,DataA!$A40,DataQ!I:I)</f>
        <v>1881785</v>
      </c>
      <c r="H40" s="7">
        <f>SUMIF(DataQ!$B:$B,DataA!$A40,DataQ!J:J)</f>
        <v>1881785</v>
      </c>
      <c r="I40" s="7">
        <f>SUMIF(DataQ!$B:$B,DataA!$A40,DataQ!K:K)</f>
        <v>1881785</v>
      </c>
      <c r="J40" s="7">
        <f>SUMIF(DataQ!$B:$B,DataA!$A40,DataQ!L:L)</f>
        <v>1881785</v>
      </c>
      <c r="K40" s="7">
        <f>SUMIF(DataQ!$B:$B,DataA!$A40,DataQ!M:M)</f>
        <v>1881785</v>
      </c>
      <c r="L40" s="7">
        <f>SUMIF(DataQ!$B:$B,DataA!$A40,DataQ!N:N)</f>
        <v>1881785</v>
      </c>
      <c r="M40" s="7">
        <f>SUMIF(DataQ!$B:$B,DataA!$A40,DataQ!O:O)</f>
        <v>1881785</v>
      </c>
      <c r="N40" s="7">
        <f>SUMIF(DataQ!$B:$B,DataA!$A40,DataQ!P:P)</f>
        <v>1881785</v>
      </c>
      <c r="O40" s="7">
        <f>SUMIF(DataQ!$B:$B,DataA!$A40,DataQ!Q:Q)</f>
        <v>1881785</v>
      </c>
      <c r="P40" s="7">
        <f>SUMIF(DataQ!$B:$B,DataA!$A40,DataQ!R:R)</f>
        <v>1881785</v>
      </c>
      <c r="Q40" s="7">
        <f>SUMIF(DataQ!$B:$B,DataA!$A40,DataQ!S:S)</f>
        <v>1881785</v>
      </c>
      <c r="R40" s="7">
        <f>SUMIF(DataQ!$B:$B,DataA!$A40,DataQ!T:T)</f>
        <v>1881785</v>
      </c>
      <c r="S40" s="7">
        <f>AVERAGEIF(DataQ!$B:$B,DataA!$A40,DataQ!U:U)</f>
        <v>400.166675</v>
      </c>
      <c r="T40" s="7">
        <f>AVERAGEIF(DataQ!$B:$B,DataA!$A40,DataQ!V:V)</f>
        <v>79.933332500000006</v>
      </c>
      <c r="U40" s="7">
        <f>AVERAGEIF(DataQ!$B:$B,DataA!$A40,DataQ!W:W)</f>
        <v>70.666664999999995</v>
      </c>
      <c r="V40" s="7">
        <f>AVERAGEIF(DataQ!$B:$B,DataA!$A40,DataQ!X:X)</f>
        <v>82.441665</v>
      </c>
      <c r="W40" s="7">
        <f>AVERAGEIF(DataQ!$B:$B,DataA!$A40,DataQ!Y:Y)</f>
        <v>58.966664999999999</v>
      </c>
      <c r="X40" s="7">
        <f>AVERAGEIF(DataQ!$B:$B,DataA!$A40,DataQ!Z:Z)</f>
        <v>83.441665</v>
      </c>
      <c r="Y40" s="7">
        <f>SUMIF(DataQ!$B:$B,DataA!$A40,DataQ!AA:AA)</f>
        <v>1133245</v>
      </c>
      <c r="Z40" s="7">
        <f>SUMIF(DataQ!$B:$B,DataA!$A40,DataQ!AB:AB)</f>
        <v>328697</v>
      </c>
      <c r="AA40" s="7">
        <f>SUMIF(DataQ!$B:$B,DataA!$A40,DataQ!AC:AC)</f>
        <v>363178</v>
      </c>
      <c r="AB40" s="7">
        <f>SUMIF(DataQ!$B:$B,DataA!$A40,DataQ!AD:AD)</f>
        <v>550668</v>
      </c>
      <c r="AC40" s="7">
        <f>SUMIF(DataQ!$B:$B,DataA!$A40,DataQ!AE:AE)</f>
        <v>546851</v>
      </c>
      <c r="AD40" s="7">
        <f>AVERAGEIF(DataQ!$B:$B,DataA!$A40,DataQ!AF:AF)</f>
        <v>1E-3</v>
      </c>
      <c r="AE40" s="7">
        <f>AVERAGEIF(DataQ!$B:$B,DataA!$A40,DataQ!AG:AG)</f>
        <v>1E-3</v>
      </c>
    </row>
    <row r="41" spans="1:31" x14ac:dyDescent="0.25">
      <c r="A41" s="4">
        <f t="shared" si="0"/>
        <v>2007</v>
      </c>
      <c r="B41" s="7">
        <f>SUMIF(DataQ!$B:$B,DataA!$A41,DataQ!D:D)</f>
        <v>1931094</v>
      </c>
      <c r="C41" s="7">
        <f>SUMIF(DataQ!$B:$B,DataA!$A41,DataQ!E:E)</f>
        <v>1931094</v>
      </c>
      <c r="D41" s="7">
        <f>SUMIF(DataQ!$B:$B,DataA!$A41,DataQ!F:F)</f>
        <v>1931094</v>
      </c>
      <c r="E41" s="7">
        <f>SUMIF(DataQ!$B:$B,DataA!$A41,DataQ!G:G)</f>
        <v>1931094</v>
      </c>
      <c r="F41" s="7">
        <f>SUMIF(DataQ!$B:$B,DataA!$A41,DataQ!H:H)</f>
        <v>1931094</v>
      </c>
      <c r="G41" s="7">
        <f>SUMIF(DataQ!$B:$B,DataA!$A41,DataQ!I:I)</f>
        <v>1931094</v>
      </c>
      <c r="H41" s="7">
        <f>SUMIF(DataQ!$B:$B,DataA!$A41,DataQ!J:J)</f>
        <v>1931094</v>
      </c>
      <c r="I41" s="7">
        <f>SUMIF(DataQ!$B:$B,DataA!$A41,DataQ!K:K)</f>
        <v>1931094</v>
      </c>
      <c r="J41" s="7">
        <f>SUMIF(DataQ!$B:$B,DataA!$A41,DataQ!L:L)</f>
        <v>1931094</v>
      </c>
      <c r="K41" s="7">
        <f>SUMIF(DataQ!$B:$B,DataA!$A41,DataQ!M:M)</f>
        <v>1931094</v>
      </c>
      <c r="L41" s="7">
        <f>SUMIF(DataQ!$B:$B,DataA!$A41,DataQ!N:N)</f>
        <v>1931094</v>
      </c>
      <c r="M41" s="7">
        <f>SUMIF(DataQ!$B:$B,DataA!$A41,DataQ!O:O)</f>
        <v>1931094</v>
      </c>
      <c r="N41" s="7">
        <f>SUMIF(DataQ!$B:$B,DataA!$A41,DataQ!P:P)</f>
        <v>1931094</v>
      </c>
      <c r="O41" s="7">
        <f>SUMIF(DataQ!$B:$B,DataA!$A41,DataQ!Q:Q)</f>
        <v>1931094</v>
      </c>
      <c r="P41" s="7">
        <f>SUMIF(DataQ!$B:$B,DataA!$A41,DataQ!R:R)</f>
        <v>1931094</v>
      </c>
      <c r="Q41" s="7">
        <f>SUMIF(DataQ!$B:$B,DataA!$A41,DataQ!S:S)</f>
        <v>1931094</v>
      </c>
      <c r="R41" s="7">
        <f>SUMIF(DataQ!$B:$B,DataA!$A41,DataQ!T:T)</f>
        <v>1931094</v>
      </c>
      <c r="S41" s="7">
        <f>AVERAGEIF(DataQ!$B:$B,DataA!$A41,DataQ!U:U)</f>
        <v>419.833325</v>
      </c>
      <c r="T41" s="7">
        <f>AVERAGEIF(DataQ!$B:$B,DataA!$A41,DataQ!V:V)</f>
        <v>81.7833325</v>
      </c>
      <c r="U41" s="7">
        <f>AVERAGEIF(DataQ!$B:$B,DataA!$A41,DataQ!W:W)</f>
        <v>73.6583325</v>
      </c>
      <c r="V41" s="7">
        <f>AVERAGEIF(DataQ!$B:$B,DataA!$A41,DataQ!X:X)</f>
        <v>84.833334999999991</v>
      </c>
      <c r="W41" s="7">
        <f>AVERAGEIF(DataQ!$B:$B,DataA!$A41,DataQ!Y:Y)</f>
        <v>63.233332499999996</v>
      </c>
      <c r="X41" s="7">
        <f>AVERAGEIF(DataQ!$B:$B,DataA!$A41,DataQ!Z:Z)</f>
        <v>84.85</v>
      </c>
      <c r="Y41" s="7">
        <f>SUMIF(DataQ!$B:$B,DataA!$A41,DataQ!AA:AA)</f>
        <v>1171806</v>
      </c>
      <c r="Z41" s="7">
        <f>SUMIF(DataQ!$B:$B,DataA!$A41,DataQ!AB:AB)</f>
        <v>343028</v>
      </c>
      <c r="AA41" s="7">
        <f>SUMIF(DataQ!$B:$B,DataA!$A41,DataQ!AC:AC)</f>
        <v>368332</v>
      </c>
      <c r="AB41" s="7">
        <f>SUMIF(DataQ!$B:$B,DataA!$A41,DataQ!AD:AD)</f>
        <v>542045</v>
      </c>
      <c r="AC41" s="7">
        <f>SUMIF(DataQ!$B:$B,DataA!$A41,DataQ!AE:AE)</f>
        <v>539332</v>
      </c>
      <c r="AD41" s="7">
        <f>AVERAGEIF(DataQ!$B:$B,DataA!$A41,DataQ!AF:AF)</f>
        <v>2.778645</v>
      </c>
      <c r="AE41" s="7">
        <f>AVERAGEIF(DataQ!$B:$B,DataA!$A41,DataQ!AG:AG)</f>
        <v>1E-3</v>
      </c>
    </row>
    <row r="42" spans="1:31" x14ac:dyDescent="0.25">
      <c r="A42" s="4">
        <f t="shared" si="0"/>
        <v>2008</v>
      </c>
      <c r="B42" s="7">
        <f>SUMIF(DataQ!$B:$B,DataA!$A42,DataQ!D:D)</f>
        <v>1926735</v>
      </c>
      <c r="C42" s="7">
        <f>SUMIF(DataQ!$B:$B,DataA!$A42,DataQ!E:E)</f>
        <v>1926735</v>
      </c>
      <c r="D42" s="7">
        <f>SUMIF(DataQ!$B:$B,DataA!$A42,DataQ!F:F)</f>
        <v>1926735</v>
      </c>
      <c r="E42" s="7">
        <f>SUMIF(DataQ!$B:$B,DataA!$A42,DataQ!G:G)</f>
        <v>1926735</v>
      </c>
      <c r="F42" s="7">
        <f>SUMIF(DataQ!$B:$B,DataA!$A42,DataQ!H:H)</f>
        <v>1926735</v>
      </c>
      <c r="G42" s="7">
        <f>SUMIF(DataQ!$B:$B,DataA!$A42,DataQ!I:I)</f>
        <v>1926735</v>
      </c>
      <c r="H42" s="7">
        <f>SUMIF(DataQ!$B:$B,DataA!$A42,DataQ!J:J)</f>
        <v>1926735</v>
      </c>
      <c r="I42" s="7">
        <f>SUMIF(DataQ!$B:$B,DataA!$A42,DataQ!K:K)</f>
        <v>1926735</v>
      </c>
      <c r="J42" s="7">
        <f>SUMIF(DataQ!$B:$B,DataA!$A42,DataQ!L:L)</f>
        <v>1926735</v>
      </c>
      <c r="K42" s="7">
        <f>SUMIF(DataQ!$B:$B,DataA!$A42,DataQ!M:M)</f>
        <v>1926735</v>
      </c>
      <c r="L42" s="7">
        <f>SUMIF(DataQ!$B:$B,DataA!$A42,DataQ!N:N)</f>
        <v>1926735</v>
      </c>
      <c r="M42" s="7">
        <f>SUMIF(DataQ!$B:$B,DataA!$A42,DataQ!O:O)</f>
        <v>1926735</v>
      </c>
      <c r="N42" s="7">
        <f>SUMIF(DataQ!$B:$B,DataA!$A42,DataQ!P:P)</f>
        <v>1926735</v>
      </c>
      <c r="O42" s="7">
        <f>SUMIF(DataQ!$B:$B,DataA!$A42,DataQ!Q:Q)</f>
        <v>1926735</v>
      </c>
      <c r="P42" s="7">
        <f>SUMIF(DataQ!$B:$B,DataA!$A42,DataQ!R:R)</f>
        <v>1926735</v>
      </c>
      <c r="Q42" s="7">
        <f>SUMIF(DataQ!$B:$B,DataA!$A42,DataQ!S:S)</f>
        <v>1926735</v>
      </c>
      <c r="R42" s="7">
        <f>SUMIF(DataQ!$B:$B,DataA!$A42,DataQ!T:T)</f>
        <v>1926735</v>
      </c>
      <c r="S42" s="7">
        <f>AVERAGEIF(DataQ!$B:$B,DataA!$A42,DataQ!U:U)</f>
        <v>434.416675</v>
      </c>
      <c r="T42" s="7">
        <f>AVERAGEIF(DataQ!$B:$B,DataA!$A42,DataQ!V:V)</f>
        <v>84.724997500000001</v>
      </c>
      <c r="U42" s="7">
        <f>AVERAGEIF(DataQ!$B:$B,DataA!$A42,DataQ!W:W)</f>
        <v>79.224997500000001</v>
      </c>
      <c r="V42" s="7">
        <f>AVERAGEIF(DataQ!$B:$B,DataA!$A42,DataQ!X:X)</f>
        <v>97.424985000000007</v>
      </c>
      <c r="W42" s="7">
        <f>AVERAGEIF(DataQ!$B:$B,DataA!$A42,DataQ!Y:Y)</f>
        <v>74.933335</v>
      </c>
      <c r="X42" s="7">
        <f>AVERAGEIF(DataQ!$B:$B,DataA!$A42,DataQ!Z:Z)</f>
        <v>86.224997500000001</v>
      </c>
      <c r="Y42" s="7">
        <f>SUMIF(DataQ!$B:$B,DataA!$A42,DataQ!AA:AA)</f>
        <v>1162090</v>
      </c>
      <c r="Z42" s="7">
        <f>SUMIF(DataQ!$B:$B,DataA!$A42,DataQ!AB:AB)</f>
        <v>331947</v>
      </c>
      <c r="AA42" s="7">
        <f>SUMIF(DataQ!$B:$B,DataA!$A42,DataQ!AC:AC)</f>
        <v>375860</v>
      </c>
      <c r="AB42" s="7">
        <f>SUMIF(DataQ!$B:$B,DataA!$A42,DataQ!AD:AD)</f>
        <v>556861</v>
      </c>
      <c r="AC42" s="7">
        <f>SUMIF(DataQ!$B:$B,DataA!$A42,DataQ!AE:AE)</f>
        <v>533891</v>
      </c>
      <c r="AD42" s="7">
        <f>AVERAGEIF(DataQ!$B:$B,DataA!$A42,DataQ!AF:AF)</f>
        <v>4.2577699999999998</v>
      </c>
      <c r="AE42" s="7">
        <f>AVERAGEIF(DataQ!$B:$B,DataA!$A42,DataQ!AG:AG)</f>
        <v>1E-3</v>
      </c>
    </row>
    <row r="43" spans="1:31" x14ac:dyDescent="0.25">
      <c r="A43" s="4">
        <f t="shared" si="0"/>
        <v>2009</v>
      </c>
      <c r="B43" s="7">
        <f>SUMIF(DataQ!$B:$B,DataA!$A43,DataQ!D:D)</f>
        <v>1837817</v>
      </c>
      <c r="C43" s="7">
        <f>SUMIF(DataQ!$B:$B,DataA!$A43,DataQ!E:E)</f>
        <v>1837817</v>
      </c>
      <c r="D43" s="7">
        <f>SUMIF(DataQ!$B:$B,DataA!$A43,DataQ!F:F)</f>
        <v>1837817</v>
      </c>
      <c r="E43" s="7">
        <f>SUMIF(DataQ!$B:$B,DataA!$A43,DataQ!G:G)</f>
        <v>1837817</v>
      </c>
      <c r="F43" s="7">
        <f>SUMIF(DataQ!$B:$B,DataA!$A43,DataQ!H:H)</f>
        <v>1837817</v>
      </c>
      <c r="G43" s="7">
        <f>SUMIF(DataQ!$B:$B,DataA!$A43,DataQ!I:I)</f>
        <v>1837817</v>
      </c>
      <c r="H43" s="7">
        <f>SUMIF(DataQ!$B:$B,DataA!$A43,DataQ!J:J)</f>
        <v>1837817</v>
      </c>
      <c r="I43" s="7">
        <f>SUMIF(DataQ!$B:$B,DataA!$A43,DataQ!K:K)</f>
        <v>1837817</v>
      </c>
      <c r="J43" s="7">
        <f>SUMIF(DataQ!$B:$B,DataA!$A43,DataQ!L:L)</f>
        <v>1837817</v>
      </c>
      <c r="K43" s="7">
        <f>SUMIF(DataQ!$B:$B,DataA!$A43,DataQ!M:M)</f>
        <v>1837817</v>
      </c>
      <c r="L43" s="7">
        <f>SUMIF(DataQ!$B:$B,DataA!$A43,DataQ!N:N)</f>
        <v>1837817</v>
      </c>
      <c r="M43" s="7">
        <f>SUMIF(DataQ!$B:$B,DataA!$A43,DataQ!O:O)</f>
        <v>1837817</v>
      </c>
      <c r="N43" s="7">
        <f>SUMIF(DataQ!$B:$B,DataA!$A43,DataQ!P:P)</f>
        <v>1837817</v>
      </c>
      <c r="O43" s="7">
        <f>SUMIF(DataQ!$B:$B,DataA!$A43,DataQ!Q:Q)</f>
        <v>1837817</v>
      </c>
      <c r="P43" s="7">
        <f>SUMIF(DataQ!$B:$B,DataA!$A43,DataQ!R:R)</f>
        <v>1837817</v>
      </c>
      <c r="Q43" s="7">
        <f>SUMIF(DataQ!$B:$B,DataA!$A43,DataQ!S:S)</f>
        <v>1837817</v>
      </c>
      <c r="R43" s="7">
        <f>SUMIF(DataQ!$B:$B,DataA!$A43,DataQ!T:T)</f>
        <v>1837817</v>
      </c>
      <c r="S43" s="7">
        <f>AVERAGEIF(DataQ!$B:$B,DataA!$A43,DataQ!U:U)</f>
        <v>434.08335</v>
      </c>
      <c r="T43" s="7">
        <f>AVERAGEIF(DataQ!$B:$B,DataA!$A43,DataQ!V:V)</f>
        <v>86.575000000000003</v>
      </c>
      <c r="U43" s="7">
        <f>AVERAGEIF(DataQ!$B:$B,DataA!$A43,DataQ!W:W)</f>
        <v>83.324999999999989</v>
      </c>
      <c r="V43" s="7">
        <f>AVERAGEIF(DataQ!$B:$B,DataA!$A43,DataQ!X:X)</f>
        <v>89.791669999999996</v>
      </c>
      <c r="W43" s="7">
        <f>AVERAGEIF(DataQ!$B:$B,DataA!$A43,DataQ!Y:Y)</f>
        <v>80.141670000000005</v>
      </c>
      <c r="X43" s="7">
        <f>AVERAGEIF(DataQ!$B:$B,DataA!$A43,DataQ!Z:Z)</f>
        <v>87.741665000000012</v>
      </c>
      <c r="Y43" s="7">
        <f>SUMIF(DataQ!$B:$B,DataA!$A43,DataQ!AA:AA)</f>
        <v>1124339</v>
      </c>
      <c r="Z43" s="7">
        <f>SUMIF(DataQ!$B:$B,DataA!$A43,DataQ!AB:AB)</f>
        <v>291210</v>
      </c>
      <c r="AA43" s="7">
        <f>SUMIF(DataQ!$B:$B,DataA!$A43,DataQ!AC:AC)</f>
        <v>380838</v>
      </c>
      <c r="AB43" s="7">
        <f>SUMIF(DataQ!$B:$B,DataA!$A43,DataQ!AD:AD)</f>
        <v>507634</v>
      </c>
      <c r="AC43" s="7">
        <f>SUMIF(DataQ!$B:$B,DataA!$A43,DataQ!AE:AE)</f>
        <v>496388</v>
      </c>
      <c r="AD43" s="7">
        <f>AVERAGEIF(DataQ!$B:$B,DataA!$A43,DataQ!AF:AF)</f>
        <v>1.3518250000000001</v>
      </c>
      <c r="AE43" s="7">
        <f>AVERAGEIF(DataQ!$B:$B,DataA!$A43,DataQ!AG:AG)</f>
        <v>1E-3</v>
      </c>
    </row>
    <row r="44" spans="1:31" x14ac:dyDescent="0.25">
      <c r="A44" s="4">
        <f t="shared" si="0"/>
        <v>2010</v>
      </c>
      <c r="B44" s="7">
        <f>SUMIF(DataQ!$B:$B,DataA!$A44,DataQ!D:D)</f>
        <v>1878960</v>
      </c>
      <c r="C44" s="7">
        <f>SUMIF(DataQ!$B:$B,DataA!$A44,DataQ!E:E)</f>
        <v>1878960</v>
      </c>
      <c r="D44" s="7">
        <f>SUMIF(DataQ!$B:$B,DataA!$A44,DataQ!F:F)</f>
        <v>1878960</v>
      </c>
      <c r="E44" s="7">
        <f>SUMIF(DataQ!$B:$B,DataA!$A44,DataQ!G:G)</f>
        <v>1878960</v>
      </c>
      <c r="F44" s="7">
        <f>SUMIF(DataQ!$B:$B,DataA!$A44,DataQ!H:H)</f>
        <v>1878960</v>
      </c>
      <c r="G44" s="7">
        <f>SUMIF(DataQ!$B:$B,DataA!$A44,DataQ!I:I)</f>
        <v>1878960</v>
      </c>
      <c r="H44" s="7">
        <f>SUMIF(DataQ!$B:$B,DataA!$A44,DataQ!J:J)</f>
        <v>1878960</v>
      </c>
      <c r="I44" s="7">
        <f>SUMIF(DataQ!$B:$B,DataA!$A44,DataQ!K:K)</f>
        <v>1878960</v>
      </c>
      <c r="J44" s="7">
        <f>SUMIF(DataQ!$B:$B,DataA!$A44,DataQ!L:L)</f>
        <v>1878960</v>
      </c>
      <c r="K44" s="7">
        <f>SUMIF(DataQ!$B:$B,DataA!$A44,DataQ!M:M)</f>
        <v>1878960</v>
      </c>
      <c r="L44" s="7">
        <f>SUMIF(DataQ!$B:$B,DataA!$A44,DataQ!N:N)</f>
        <v>1878960</v>
      </c>
      <c r="M44" s="7">
        <f>SUMIF(DataQ!$B:$B,DataA!$A44,DataQ!O:O)</f>
        <v>1878960</v>
      </c>
      <c r="N44" s="7">
        <f>SUMIF(DataQ!$B:$B,DataA!$A44,DataQ!P:P)</f>
        <v>1878960</v>
      </c>
      <c r="O44" s="7">
        <f>SUMIF(DataQ!$B:$B,DataA!$A44,DataQ!Q:Q)</f>
        <v>1878960</v>
      </c>
      <c r="P44" s="7">
        <f>SUMIF(DataQ!$B:$B,DataA!$A44,DataQ!R:R)</f>
        <v>1878960</v>
      </c>
      <c r="Q44" s="7">
        <f>SUMIF(DataQ!$B:$B,DataA!$A44,DataQ!S:S)</f>
        <v>1878960</v>
      </c>
      <c r="R44" s="7">
        <f>SUMIF(DataQ!$B:$B,DataA!$A44,DataQ!T:T)</f>
        <v>1878960</v>
      </c>
      <c r="S44" s="7">
        <f>AVERAGEIF(DataQ!$B:$B,DataA!$A44,DataQ!U:U)</f>
        <v>444.166675</v>
      </c>
      <c r="T44" s="7">
        <f>AVERAGEIF(DataQ!$B:$B,DataA!$A44,DataQ!V:V)</f>
        <v>89.433332500000006</v>
      </c>
      <c r="U44" s="7">
        <f>AVERAGEIF(DataQ!$B:$B,DataA!$A44,DataQ!W:W)</f>
        <v>86.625</v>
      </c>
      <c r="V44" s="7">
        <f>AVERAGEIF(DataQ!$B:$B,DataA!$A44,DataQ!X:X)</f>
        <v>104.81665</v>
      </c>
      <c r="W44" s="7">
        <f>AVERAGEIF(DataQ!$B:$B,DataA!$A44,DataQ!Y:Y)</f>
        <v>77.908334999999994</v>
      </c>
      <c r="X44" s="7">
        <f>AVERAGEIF(DataQ!$B:$B,DataA!$A44,DataQ!Z:Z)</f>
        <v>90.266667500000011</v>
      </c>
      <c r="Y44" s="7">
        <f>SUMIF(DataQ!$B:$B,DataA!$A44,DataQ!AA:AA)</f>
        <v>1148808</v>
      </c>
      <c r="Z44" s="7">
        <f>SUMIF(DataQ!$B:$B,DataA!$A44,DataQ!AB:AB)</f>
        <v>305032</v>
      </c>
      <c r="AA44" s="7">
        <f>SUMIF(DataQ!$B:$B,DataA!$A44,DataQ!AC:AC)</f>
        <v>380761</v>
      </c>
      <c r="AB44" s="7">
        <f>SUMIF(DataQ!$B:$B,DataA!$A44,DataQ!AD:AD)</f>
        <v>540861</v>
      </c>
      <c r="AC44" s="7">
        <f>SUMIF(DataQ!$B:$B,DataA!$A44,DataQ!AE:AE)</f>
        <v>540884</v>
      </c>
      <c r="AD44" s="7">
        <f>AVERAGEIF(DataQ!$B:$B,DataA!$A44,DataQ!AF:AF)</f>
        <v>0.97123000000000004</v>
      </c>
      <c r="AE44" s="7">
        <f>AVERAGEIF(DataQ!$B:$B,DataA!$A44,DataQ!AG:AG)</f>
        <v>1E-3</v>
      </c>
    </row>
    <row r="45" spans="1:31" x14ac:dyDescent="0.25">
      <c r="A45" s="4">
        <f t="shared" si="0"/>
        <v>2011</v>
      </c>
      <c r="B45" s="7">
        <f>SUMIF(DataQ!$B:$B,DataA!$A45,DataQ!D:D)</f>
        <v>1900476</v>
      </c>
      <c r="C45" s="7">
        <f>SUMIF(DataQ!$B:$B,DataA!$A45,DataQ!E:E)</f>
        <v>1900476</v>
      </c>
      <c r="D45" s="7">
        <f>SUMIF(DataQ!$B:$B,DataA!$A45,DataQ!F:F)</f>
        <v>1900476</v>
      </c>
      <c r="E45" s="7">
        <f>SUMIF(DataQ!$B:$B,DataA!$A45,DataQ!G:G)</f>
        <v>1900476</v>
      </c>
      <c r="F45" s="7">
        <f>SUMIF(DataQ!$B:$B,DataA!$A45,DataQ!H:H)</f>
        <v>1900476</v>
      </c>
      <c r="G45" s="7">
        <f>SUMIF(DataQ!$B:$B,DataA!$A45,DataQ!I:I)</f>
        <v>1900476</v>
      </c>
      <c r="H45" s="7">
        <f>SUMIF(DataQ!$B:$B,DataA!$A45,DataQ!J:J)</f>
        <v>1900476</v>
      </c>
      <c r="I45" s="7">
        <f>SUMIF(DataQ!$B:$B,DataA!$A45,DataQ!K:K)</f>
        <v>1900476</v>
      </c>
      <c r="J45" s="7">
        <f>SUMIF(DataQ!$B:$B,DataA!$A45,DataQ!L:L)</f>
        <v>1900476</v>
      </c>
      <c r="K45" s="7">
        <f>SUMIF(DataQ!$B:$B,DataA!$A45,DataQ!M:M)</f>
        <v>1900476</v>
      </c>
      <c r="L45" s="7">
        <f>SUMIF(DataQ!$B:$B,DataA!$A45,DataQ!N:N)</f>
        <v>1900476</v>
      </c>
      <c r="M45" s="7">
        <f>SUMIF(DataQ!$B:$B,DataA!$A45,DataQ!O:O)</f>
        <v>1900476</v>
      </c>
      <c r="N45" s="7">
        <f>SUMIF(DataQ!$B:$B,DataA!$A45,DataQ!P:P)</f>
        <v>1900476</v>
      </c>
      <c r="O45" s="7">
        <f>SUMIF(DataQ!$B:$B,DataA!$A45,DataQ!Q:Q)</f>
        <v>1900476</v>
      </c>
      <c r="P45" s="7">
        <f>SUMIF(DataQ!$B:$B,DataA!$A45,DataQ!R:R)</f>
        <v>1900476</v>
      </c>
      <c r="Q45" s="7">
        <f>SUMIF(DataQ!$B:$B,DataA!$A45,DataQ!S:S)</f>
        <v>1900476</v>
      </c>
      <c r="R45" s="7">
        <f>SUMIF(DataQ!$B:$B,DataA!$A45,DataQ!T:T)</f>
        <v>1900476</v>
      </c>
      <c r="S45" s="7">
        <f>AVERAGEIF(DataQ!$B:$B,DataA!$A45,DataQ!U:U)</f>
        <v>454.83335</v>
      </c>
      <c r="T45" s="7">
        <f>AVERAGEIF(DataQ!$B:$B,DataA!$A45,DataQ!V:V)</f>
        <v>93.425002500000005</v>
      </c>
      <c r="U45" s="7">
        <f>AVERAGEIF(DataQ!$B:$B,DataA!$A45,DataQ!W:W)</f>
        <v>92.1</v>
      </c>
      <c r="V45" s="7">
        <f>AVERAGEIF(DataQ!$B:$B,DataA!$A45,DataQ!X:X)</f>
        <v>120.191675</v>
      </c>
      <c r="W45" s="7">
        <f>AVERAGEIF(DataQ!$B:$B,DataA!$A45,DataQ!Y:Y)</f>
        <v>85.666664999999995</v>
      </c>
      <c r="X45" s="7">
        <f>AVERAGEIF(DataQ!$B:$B,DataA!$A45,DataQ!Z:Z)</f>
        <v>93.166664999999995</v>
      </c>
      <c r="Y45" s="7">
        <f>SUMIF(DataQ!$B:$B,DataA!$A45,DataQ!AA:AA)</f>
        <v>1144605</v>
      </c>
      <c r="Z45" s="7">
        <f>SUMIF(DataQ!$B:$B,DataA!$A45,DataQ!AB:AB)</f>
        <v>305354</v>
      </c>
      <c r="AA45" s="7">
        <f>SUMIF(DataQ!$B:$B,DataA!$A45,DataQ!AC:AC)</f>
        <v>380515</v>
      </c>
      <c r="AB45" s="7">
        <f>SUMIF(DataQ!$B:$B,DataA!$A45,DataQ!AD:AD)</f>
        <v>578333</v>
      </c>
      <c r="AC45" s="7">
        <f>SUMIF(DataQ!$B:$B,DataA!$A45,DataQ!AE:AE)</f>
        <v>556723</v>
      </c>
      <c r="AD45" s="7">
        <f>AVERAGEIF(DataQ!$B:$B,DataA!$A45,DataQ!AF:AF)</f>
        <v>0.86176500000000011</v>
      </c>
      <c r="AE45" s="7">
        <f>AVERAGEIF(DataQ!$B:$B,DataA!$A45,DataQ!AG:AG)</f>
        <v>1E-3</v>
      </c>
    </row>
    <row r="46" spans="1:31" x14ac:dyDescent="0.25">
      <c r="A46" s="4">
        <f t="shared" si="0"/>
        <v>2012</v>
      </c>
      <c r="B46" s="7">
        <f>SUMIF(DataQ!$B:$B,DataA!$A46,DataQ!D:D)</f>
        <v>1929229</v>
      </c>
      <c r="C46" s="7">
        <f>SUMIF(DataQ!$B:$B,DataA!$A46,DataQ!E:E)</f>
        <v>1929229</v>
      </c>
      <c r="D46" s="7">
        <f>SUMIF(DataQ!$B:$B,DataA!$A46,DataQ!F:F)</f>
        <v>1929229</v>
      </c>
      <c r="E46" s="7">
        <f>SUMIF(DataQ!$B:$B,DataA!$A46,DataQ!G:G)</f>
        <v>1929229</v>
      </c>
      <c r="F46" s="7">
        <f>SUMIF(DataQ!$B:$B,DataA!$A46,DataQ!H:H)</f>
        <v>1929229</v>
      </c>
      <c r="G46" s="7">
        <f>SUMIF(DataQ!$B:$B,DataA!$A46,DataQ!I:I)</f>
        <v>1929229</v>
      </c>
      <c r="H46" s="7">
        <f>SUMIF(DataQ!$B:$B,DataA!$A46,DataQ!J:J)</f>
        <v>1929229</v>
      </c>
      <c r="I46" s="7">
        <f>SUMIF(DataQ!$B:$B,DataA!$A46,DataQ!K:K)</f>
        <v>1929229</v>
      </c>
      <c r="J46" s="7">
        <f>SUMIF(DataQ!$B:$B,DataA!$A46,DataQ!L:L)</f>
        <v>1929229</v>
      </c>
      <c r="K46" s="7">
        <f>SUMIF(DataQ!$B:$B,DataA!$A46,DataQ!M:M)</f>
        <v>1929229</v>
      </c>
      <c r="L46" s="7">
        <f>SUMIF(DataQ!$B:$B,DataA!$A46,DataQ!N:N)</f>
        <v>1929229</v>
      </c>
      <c r="M46" s="7">
        <f>SUMIF(DataQ!$B:$B,DataA!$A46,DataQ!O:O)</f>
        <v>1929229</v>
      </c>
      <c r="N46" s="7">
        <f>SUMIF(DataQ!$B:$B,DataA!$A46,DataQ!P:P)</f>
        <v>1929229</v>
      </c>
      <c r="O46" s="7">
        <f>SUMIF(DataQ!$B:$B,DataA!$A46,DataQ!Q:Q)</f>
        <v>1929229</v>
      </c>
      <c r="P46" s="7">
        <f>SUMIF(DataQ!$B:$B,DataA!$A46,DataQ!R:R)</f>
        <v>1929229</v>
      </c>
      <c r="Q46" s="7">
        <f>SUMIF(DataQ!$B:$B,DataA!$A46,DataQ!S:S)</f>
        <v>1929229</v>
      </c>
      <c r="R46" s="7">
        <f>SUMIF(DataQ!$B:$B,DataA!$A46,DataQ!T:T)</f>
        <v>1929229</v>
      </c>
      <c r="S46" s="7">
        <f>AVERAGEIF(DataQ!$B:$B,DataA!$A46,DataQ!U:U)</f>
        <v>460.666675</v>
      </c>
      <c r="T46" s="7">
        <f>AVERAGEIF(DataQ!$B:$B,DataA!$A46,DataQ!V:V)</f>
        <v>96.041667499999988</v>
      </c>
      <c r="U46" s="7">
        <f>AVERAGEIF(DataQ!$B:$B,DataA!$A46,DataQ!W:W)</f>
        <v>95.800000000000011</v>
      </c>
      <c r="V46" s="7">
        <f>AVERAGEIF(DataQ!$B:$B,DataA!$A46,DataQ!X:X)</f>
        <v>122.53335</v>
      </c>
      <c r="W46" s="7">
        <f>AVERAGEIF(DataQ!$B:$B,DataA!$A46,DataQ!Y:Y)</f>
        <v>92.483334999999983</v>
      </c>
      <c r="X46" s="7">
        <f>AVERAGEIF(DataQ!$B:$B,DataA!$A46,DataQ!Z:Z)</f>
        <v>95.349997500000001</v>
      </c>
      <c r="Y46" s="7">
        <f>SUMIF(DataQ!$B:$B,DataA!$A46,DataQ!AA:AA)</f>
        <v>1164814</v>
      </c>
      <c r="Z46" s="7">
        <f>SUMIF(DataQ!$B:$B,DataA!$A46,DataQ!AB:AB)</f>
        <v>310222</v>
      </c>
      <c r="AA46" s="7">
        <f>SUMIF(DataQ!$B:$B,DataA!$A46,DataQ!AC:AC)</f>
        <v>386188</v>
      </c>
      <c r="AB46" s="7">
        <f>SUMIF(DataQ!$B:$B,DataA!$A46,DataQ!AD:AD)</f>
        <v>582729</v>
      </c>
      <c r="AC46" s="7">
        <f>SUMIF(DataQ!$B:$B,DataA!$A46,DataQ!AE:AE)</f>
        <v>570385</v>
      </c>
      <c r="AD46" s="7">
        <f>AVERAGEIF(DataQ!$B:$B,DataA!$A46,DataQ!AF:AF)</f>
        <v>0.41817499999999996</v>
      </c>
      <c r="AE46" s="7">
        <f>AVERAGEIF(DataQ!$B:$B,DataA!$A46,DataQ!AG:AG)</f>
        <v>1E-3</v>
      </c>
    </row>
    <row r="47" spans="1:31" x14ac:dyDescent="0.25">
      <c r="A47" s="4">
        <f t="shared" si="0"/>
        <v>2013</v>
      </c>
      <c r="B47" s="7">
        <f>SUMIF(DataQ!$B:$B,DataA!$A47,DataQ!D:D)</f>
        <v>1963807</v>
      </c>
      <c r="C47" s="7">
        <f>SUMIF(DataQ!$B:$B,DataA!$A47,DataQ!E:E)</f>
        <v>1963807</v>
      </c>
      <c r="D47" s="7">
        <f>SUMIF(DataQ!$B:$B,DataA!$A47,DataQ!F:F)</f>
        <v>1963807</v>
      </c>
      <c r="E47" s="7">
        <f>SUMIF(DataQ!$B:$B,DataA!$A47,DataQ!G:G)</f>
        <v>1963807</v>
      </c>
      <c r="F47" s="7">
        <f>SUMIF(DataQ!$B:$B,DataA!$A47,DataQ!H:H)</f>
        <v>1963807</v>
      </c>
      <c r="G47" s="7">
        <f>SUMIF(DataQ!$B:$B,DataA!$A47,DataQ!I:I)</f>
        <v>1963807</v>
      </c>
      <c r="H47" s="7">
        <f>SUMIF(DataQ!$B:$B,DataA!$A47,DataQ!J:J)</f>
        <v>1963807</v>
      </c>
      <c r="I47" s="7">
        <f>SUMIF(DataQ!$B:$B,DataA!$A47,DataQ!K:K)</f>
        <v>1963807</v>
      </c>
      <c r="J47" s="7">
        <f>SUMIF(DataQ!$B:$B,DataA!$A47,DataQ!L:L)</f>
        <v>1963807</v>
      </c>
      <c r="K47" s="7">
        <f>SUMIF(DataQ!$B:$B,DataA!$A47,DataQ!M:M)</f>
        <v>1963807</v>
      </c>
      <c r="L47" s="7">
        <f>SUMIF(DataQ!$B:$B,DataA!$A47,DataQ!N:N)</f>
        <v>1963807</v>
      </c>
      <c r="M47" s="7">
        <f>SUMIF(DataQ!$B:$B,DataA!$A47,DataQ!O:O)</f>
        <v>1963807</v>
      </c>
      <c r="N47" s="7">
        <f>SUMIF(DataQ!$B:$B,DataA!$A47,DataQ!P:P)</f>
        <v>1963807</v>
      </c>
      <c r="O47" s="7">
        <f>SUMIF(DataQ!$B:$B,DataA!$A47,DataQ!Q:Q)</f>
        <v>1963807</v>
      </c>
      <c r="P47" s="7">
        <f>SUMIF(DataQ!$B:$B,DataA!$A47,DataQ!R:R)</f>
        <v>1963807</v>
      </c>
      <c r="Q47" s="7">
        <f>SUMIF(DataQ!$B:$B,DataA!$A47,DataQ!S:S)</f>
        <v>1963807</v>
      </c>
      <c r="R47" s="7">
        <f>SUMIF(DataQ!$B:$B,DataA!$A47,DataQ!T:T)</f>
        <v>1963807</v>
      </c>
      <c r="S47" s="7">
        <f>AVERAGEIF(DataQ!$B:$B,DataA!$A47,DataQ!U:U)</f>
        <v>465.583325</v>
      </c>
      <c r="T47" s="7">
        <f>AVERAGEIF(DataQ!$B:$B,DataA!$A47,DataQ!V:V)</f>
        <v>98.508332499999995</v>
      </c>
      <c r="U47" s="7">
        <f>AVERAGEIF(DataQ!$B:$B,DataA!$A47,DataQ!W:W)</f>
        <v>100.14169</v>
      </c>
      <c r="V47" s="7">
        <f>AVERAGEIF(DataQ!$B:$B,DataA!$A47,DataQ!X:X)</f>
        <v>121.2</v>
      </c>
      <c r="W47" s="7">
        <f>AVERAGEIF(DataQ!$B:$B,DataA!$A47,DataQ!Y:Y)</f>
        <v>99.124989999999997</v>
      </c>
      <c r="X47" s="7">
        <f>AVERAGEIF(DataQ!$B:$B,DataA!$A47,DataQ!Z:Z)</f>
        <v>97.325000000000017</v>
      </c>
      <c r="Y47" s="7">
        <f>SUMIF(DataQ!$B:$B,DataA!$A47,DataQ!AA:AA)</f>
        <v>1197761</v>
      </c>
      <c r="Z47" s="7">
        <f>SUMIF(DataQ!$B:$B,DataA!$A47,DataQ!AB:AB)</f>
        <v>320303</v>
      </c>
      <c r="AA47" s="7">
        <f>SUMIF(DataQ!$B:$B,DataA!$A47,DataQ!AC:AC)</f>
        <v>387050</v>
      </c>
      <c r="AB47" s="7">
        <f>SUMIF(DataQ!$B:$B,DataA!$A47,DataQ!AD:AD)</f>
        <v>584387</v>
      </c>
      <c r="AC47" s="7">
        <f>SUMIF(DataQ!$B:$B,DataA!$A47,DataQ!AE:AE)</f>
        <v>588884</v>
      </c>
      <c r="AD47" s="7">
        <f>AVERAGEIF(DataQ!$B:$B,DataA!$A47,DataQ!AF:AF)</f>
        <v>0.46271999999999996</v>
      </c>
      <c r="AE47" s="7">
        <f>AVERAGEIF(DataQ!$B:$B,DataA!$A47,DataQ!AG:AG)</f>
        <v>1E-3</v>
      </c>
    </row>
    <row r="48" spans="1:31" x14ac:dyDescent="0.25">
      <c r="A48" s="4">
        <f>+A47+1</f>
        <v>2014</v>
      </c>
      <c r="B48" s="7">
        <f>SUMIF(DataQ!$B:$B,DataA!$A48,DataQ!D:D)</f>
        <v>2026566</v>
      </c>
      <c r="C48" s="7">
        <f>SUMIF(DataQ!$B:$B,DataA!$A48,DataQ!E:E)</f>
        <v>2026566</v>
      </c>
      <c r="D48" s="7">
        <f>SUMIF(DataQ!$B:$B,DataA!$A48,DataQ!F:F)</f>
        <v>2026566</v>
      </c>
      <c r="E48" s="7">
        <f>SUMIF(DataQ!$B:$B,DataA!$A48,DataQ!G:G)</f>
        <v>2026566</v>
      </c>
      <c r="F48" s="7">
        <f>SUMIF(DataQ!$B:$B,DataA!$A48,DataQ!H:H)</f>
        <v>2026566</v>
      </c>
      <c r="G48" s="7">
        <f>SUMIF(DataQ!$B:$B,DataA!$A48,DataQ!I:I)</f>
        <v>2026566</v>
      </c>
      <c r="H48" s="7">
        <f>SUMIF(DataQ!$B:$B,DataA!$A48,DataQ!J:J)</f>
        <v>2026566</v>
      </c>
      <c r="I48" s="7">
        <f>SUMIF(DataQ!$B:$B,DataA!$A48,DataQ!K:K)</f>
        <v>2026566</v>
      </c>
      <c r="J48" s="7">
        <f>SUMIF(DataQ!$B:$B,DataA!$A48,DataQ!L:L)</f>
        <v>2026566</v>
      </c>
      <c r="K48" s="7">
        <f>SUMIF(DataQ!$B:$B,DataA!$A48,DataQ!M:M)</f>
        <v>2026566</v>
      </c>
      <c r="L48" s="7">
        <f>SUMIF(DataQ!$B:$B,DataA!$A48,DataQ!N:N)</f>
        <v>2026566</v>
      </c>
      <c r="M48" s="7">
        <f>SUMIF(DataQ!$B:$B,DataA!$A48,DataQ!O:O)</f>
        <v>2026566</v>
      </c>
      <c r="N48" s="7">
        <f>SUMIF(DataQ!$B:$B,DataA!$A48,DataQ!P:P)</f>
        <v>2026566</v>
      </c>
      <c r="O48" s="7">
        <f>SUMIF(DataQ!$B:$B,DataA!$A48,DataQ!Q:Q)</f>
        <v>2026566</v>
      </c>
      <c r="P48" s="7">
        <f>SUMIF(DataQ!$B:$B,DataA!$A48,DataQ!R:R)</f>
        <v>2026566</v>
      </c>
      <c r="Q48" s="7">
        <f>SUMIF(DataQ!$B:$B,DataA!$A48,DataQ!S:S)</f>
        <v>2026566</v>
      </c>
      <c r="R48" s="7">
        <f>SUMIF(DataQ!$B:$B,DataA!$A48,DataQ!T:T)</f>
        <v>2026566</v>
      </c>
      <c r="S48" s="7">
        <f>AVERAGEIF(DataQ!$B:$B,DataA!$A48,DataQ!U:U)</f>
        <v>470.66665</v>
      </c>
      <c r="T48" s="7">
        <f>AVERAGEIF(DataQ!$B:$B,DataA!$A48,DataQ!V:V)</f>
        <v>99.958325000000002</v>
      </c>
      <c r="U48" s="7">
        <f>AVERAGEIF(DataQ!$B:$B,DataA!$A48,DataQ!W:W)</f>
        <v>101.275025</v>
      </c>
      <c r="V48" s="7">
        <f>AVERAGEIF(DataQ!$B:$B,DataA!$A48,DataQ!X:X)</f>
        <v>115.14165</v>
      </c>
      <c r="W48" s="7">
        <f>AVERAGEIF(DataQ!$B:$B,DataA!$A48,DataQ!Y:Y)</f>
        <v>103.441675</v>
      </c>
      <c r="X48" s="7">
        <f>AVERAGEIF(DataQ!$B:$B,DataA!$A48,DataQ!Z:Z)</f>
        <v>98.924997499999989</v>
      </c>
      <c r="Y48" s="7">
        <f>SUMIF(DataQ!$B:$B,DataA!$A48,DataQ!AA:AA)</f>
        <v>1233950</v>
      </c>
      <c r="Z48" s="7">
        <f>SUMIF(DataQ!$B:$B,DataA!$A48,DataQ!AB:AB)</f>
        <v>342840</v>
      </c>
      <c r="AA48" s="7">
        <f>SUMIF(DataQ!$B:$B,DataA!$A48,DataQ!AC:AC)</f>
        <v>397069</v>
      </c>
      <c r="AB48" s="7">
        <f>SUMIF(DataQ!$B:$B,DataA!$A48,DataQ!AD:AD)</f>
        <v>590260</v>
      </c>
      <c r="AC48" s="7">
        <f>SUMIF(DataQ!$B:$B,DataA!$A48,DataQ!AE:AE)</f>
        <v>618888</v>
      </c>
      <c r="AD48" s="7">
        <f>AVERAGEIF(DataQ!$B:$B,DataA!$A48,DataQ!AF:AF)</f>
        <v>0.84703662499999999</v>
      </c>
      <c r="AE48" s="7">
        <f>AVERAGEIF(DataQ!$B:$B,DataA!$A48,DataQ!AG:AG)</f>
        <v>0.74715299999999996</v>
      </c>
    </row>
    <row r="49" spans="1:31" x14ac:dyDescent="0.25">
      <c r="A49" s="4">
        <f t="shared" ref="A49:A84" si="1">+A48+1</f>
        <v>2015</v>
      </c>
      <c r="B49" s="7">
        <f>SUMIF(DataQ!$B:$B,DataA!$A49,DataQ!D:D)</f>
        <v>2071561</v>
      </c>
      <c r="C49" s="7">
        <f>SUMIF(DataQ!$B:$B,DataA!$A49,DataQ!E:E)</f>
        <v>2071561</v>
      </c>
      <c r="D49" s="7">
        <f>SUMIF(DataQ!$B:$B,DataA!$A49,DataQ!F:F)</f>
        <v>2071561</v>
      </c>
      <c r="E49" s="7">
        <f>SUMIF(DataQ!$B:$B,DataA!$A49,DataQ!G:G)</f>
        <v>2071561</v>
      </c>
      <c r="F49" s="7">
        <f>SUMIF(DataQ!$B:$B,DataA!$A49,DataQ!H:H)</f>
        <v>2071561</v>
      </c>
      <c r="G49" s="7">
        <f>SUMIF(DataQ!$B:$B,DataA!$A49,DataQ!I:I)</f>
        <v>2071561</v>
      </c>
      <c r="H49" s="7">
        <f>SUMIF(DataQ!$B:$B,DataA!$A49,DataQ!J:J)</f>
        <v>2071561</v>
      </c>
      <c r="I49" s="7">
        <f>SUMIF(DataQ!$B:$B,DataA!$A49,DataQ!K:K)</f>
        <v>2071561</v>
      </c>
      <c r="J49" s="7">
        <f>SUMIF(DataQ!$B:$B,DataA!$A49,DataQ!L:L)</f>
        <v>2071561</v>
      </c>
      <c r="K49" s="7">
        <f>SUMIF(DataQ!$B:$B,DataA!$A49,DataQ!M:M)</f>
        <v>2071561</v>
      </c>
      <c r="L49" s="7">
        <f>SUMIF(DataQ!$B:$B,DataA!$A49,DataQ!N:N)</f>
        <v>2071561</v>
      </c>
      <c r="M49" s="7">
        <f>SUMIF(DataQ!$B:$B,DataA!$A49,DataQ!O:O)</f>
        <v>2071561</v>
      </c>
      <c r="N49" s="7">
        <f>SUMIF(DataQ!$B:$B,DataA!$A49,DataQ!P:P)</f>
        <v>2071561</v>
      </c>
      <c r="O49" s="7">
        <f>SUMIF(DataQ!$B:$B,DataA!$A49,DataQ!Q:Q)</f>
        <v>2071561</v>
      </c>
      <c r="P49" s="7">
        <f>SUMIF(DataQ!$B:$B,DataA!$A49,DataQ!R:R)</f>
        <v>2071561</v>
      </c>
      <c r="Q49" s="7">
        <f>SUMIF(DataQ!$B:$B,DataA!$A49,DataQ!S:S)</f>
        <v>2071561</v>
      </c>
      <c r="R49" s="7">
        <f>SUMIF(DataQ!$B:$B,DataA!$A49,DataQ!T:T)</f>
        <v>2071561</v>
      </c>
      <c r="S49" s="7">
        <f>AVERAGEIF(DataQ!$B:$B,DataA!$A49,DataQ!U:U)</f>
        <v>482</v>
      </c>
      <c r="T49" s="7">
        <f>AVERAGEIF(DataQ!$B:$B,DataA!$A49,DataQ!V:V)</f>
        <v>100.00835000000001</v>
      </c>
      <c r="U49" s="7">
        <f>AVERAGEIF(DataQ!$B:$B,DataA!$A49,DataQ!W:W)</f>
        <v>99.999982500000002</v>
      </c>
      <c r="V49" s="7">
        <f>AVERAGEIF(DataQ!$B:$B,DataA!$A49,DataQ!X:X)</f>
        <v>100</v>
      </c>
      <c r="W49" s="7">
        <f>AVERAGEIF(DataQ!$B:$B,DataA!$A49,DataQ!Y:Y)</f>
        <v>100</v>
      </c>
      <c r="X49" s="7">
        <f>AVERAGEIF(DataQ!$B:$B,DataA!$A49,DataQ!Z:Z)</f>
        <v>100.008335</v>
      </c>
      <c r="Y49" s="7">
        <f>SUMIF(DataQ!$B:$B,DataA!$A49,DataQ!AA:AA)</f>
        <v>1269559</v>
      </c>
      <c r="Z49" s="7">
        <f>SUMIF(DataQ!$B:$B,DataA!$A49,DataQ!AB:AB)</f>
        <v>367340</v>
      </c>
      <c r="AA49" s="7">
        <f>SUMIF(DataQ!$B:$B,DataA!$A49,DataQ!AC:AC)</f>
        <v>402148</v>
      </c>
      <c r="AB49" s="7">
        <f>SUMIF(DataQ!$B:$B,DataA!$A49,DataQ!AD:AD)</f>
        <v>612533</v>
      </c>
      <c r="AC49" s="7">
        <f>SUMIF(DataQ!$B:$B,DataA!$A49,DataQ!AE:AE)</f>
        <v>649558</v>
      </c>
      <c r="AD49" s="7">
        <f>AVERAGEIF(DataQ!$B:$B,DataA!$A49,DataQ!AF:AF)</f>
        <v>0.71890687499999995</v>
      </c>
      <c r="AE49" s="7">
        <f>AVERAGEIF(DataQ!$B:$B,DataA!$A49,DataQ!AG:AG)</f>
        <v>1.18787025</v>
      </c>
    </row>
    <row r="50" spans="1:31" x14ac:dyDescent="0.25">
      <c r="A50" s="4">
        <f t="shared" si="1"/>
        <v>2016</v>
      </c>
      <c r="B50" s="7">
        <f>SUMIF(DataQ!$B:$B,DataA!$A50,DataQ!D:D)</f>
        <v>2111357</v>
      </c>
      <c r="C50" s="7">
        <f>SUMIF(DataQ!$B:$B,DataA!$A50,DataQ!E:E)</f>
        <v>2111357</v>
      </c>
      <c r="D50" s="7">
        <f>SUMIF(DataQ!$B:$B,DataA!$A50,DataQ!F:F)</f>
        <v>2111357</v>
      </c>
      <c r="E50" s="7">
        <f>SUMIF(DataQ!$B:$B,DataA!$A50,DataQ!G:G)</f>
        <v>2111357</v>
      </c>
      <c r="F50" s="7">
        <f>SUMIF(DataQ!$B:$B,DataA!$A50,DataQ!H:H)</f>
        <v>2111357</v>
      </c>
      <c r="G50" s="7">
        <f>SUMIF(DataQ!$B:$B,DataA!$A50,DataQ!I:I)</f>
        <v>2111357</v>
      </c>
      <c r="H50" s="7">
        <f>SUMIF(DataQ!$B:$B,DataA!$A50,DataQ!J:J)</f>
        <v>2111357</v>
      </c>
      <c r="I50" s="7">
        <f>SUMIF(DataQ!$B:$B,DataA!$A50,DataQ!K:K)</f>
        <v>2111357</v>
      </c>
      <c r="J50" s="7">
        <f>SUMIF(DataQ!$B:$B,DataA!$A50,DataQ!L:L)</f>
        <v>2111357</v>
      </c>
      <c r="K50" s="7">
        <f>SUMIF(DataQ!$B:$B,DataA!$A50,DataQ!M:M)</f>
        <v>2111357</v>
      </c>
      <c r="L50" s="7">
        <f>SUMIF(DataQ!$B:$B,DataA!$A50,DataQ!N:N)</f>
        <v>2111357</v>
      </c>
      <c r="M50" s="7">
        <f>SUMIF(DataQ!$B:$B,DataA!$A50,DataQ!O:O)</f>
        <v>2111357</v>
      </c>
      <c r="N50" s="7">
        <f>SUMIF(DataQ!$B:$B,DataA!$A50,DataQ!P:P)</f>
        <v>2111357</v>
      </c>
      <c r="O50" s="7">
        <f>SUMIF(DataQ!$B:$B,DataA!$A50,DataQ!Q:Q)</f>
        <v>2111357</v>
      </c>
      <c r="P50" s="7">
        <f>SUMIF(DataQ!$B:$B,DataA!$A50,DataQ!R:R)</f>
        <v>2111357</v>
      </c>
      <c r="Q50" s="7">
        <f>SUMIF(DataQ!$B:$B,DataA!$A50,DataQ!S:S)</f>
        <v>2111357</v>
      </c>
      <c r="R50" s="7">
        <f>SUMIF(DataQ!$B:$B,DataA!$A50,DataQ!T:T)</f>
        <v>2111357</v>
      </c>
      <c r="S50" s="7">
        <f>AVERAGEIF(DataQ!$B:$B,DataA!$A50,DataQ!U:U)</f>
        <v>493.5</v>
      </c>
      <c r="T50" s="7">
        <f>AVERAGEIF(DataQ!$B:$B,DataA!$A50,DataQ!V:V)</f>
        <v>100.65000999999999</v>
      </c>
      <c r="U50" s="7">
        <f>AVERAGEIF(DataQ!$B:$B,DataA!$A50,DataQ!W:W)</f>
        <v>98.724997500000001</v>
      </c>
      <c r="V50" s="7">
        <f>AVERAGEIF(DataQ!$B:$B,DataA!$A50,DataQ!X:X)</f>
        <v>97.616659999999996</v>
      </c>
      <c r="W50" s="7">
        <f>AVERAGEIF(DataQ!$B:$B,DataA!$A50,DataQ!Y:Y)</f>
        <v>97.050002500000005</v>
      </c>
      <c r="X50" s="7">
        <f>AVERAGEIF(DataQ!$B:$B,DataA!$A50,DataQ!Z:Z)</f>
        <v>101.33335</v>
      </c>
      <c r="Y50" s="7">
        <f>SUMIF(DataQ!$B:$B,DataA!$A50,DataQ!AA:AA)</f>
        <v>1318358</v>
      </c>
      <c r="Z50" s="7">
        <f>SUMIF(DataQ!$B:$B,DataA!$A50,DataQ!AB:AB)</f>
        <v>386225</v>
      </c>
      <c r="AA50" s="7">
        <f>SUMIF(DataQ!$B:$B,DataA!$A50,DataQ!AC:AC)</f>
        <v>404984</v>
      </c>
      <c r="AB50" s="7">
        <f>SUMIF(DataQ!$B:$B,DataA!$A50,DataQ!AD:AD)</f>
        <v>629527</v>
      </c>
      <c r="AC50" s="7">
        <f>SUMIF(DataQ!$B:$B,DataA!$A50,DataQ!AE:AE)</f>
        <v>675388</v>
      </c>
      <c r="AD50" s="7">
        <f>AVERAGEIF(DataQ!$B:$B,DataA!$A50,DataQ!AF:AF)</f>
        <v>0.32293402500000001</v>
      </c>
      <c r="AE50" s="7">
        <f>AVERAGEIF(DataQ!$B:$B,DataA!$A50,DataQ!AG:AG)</f>
        <v>0.51852884999999993</v>
      </c>
    </row>
    <row r="51" spans="1:31" x14ac:dyDescent="0.25">
      <c r="A51" s="4">
        <f t="shared" si="1"/>
        <v>2017</v>
      </c>
      <c r="B51" s="7">
        <f>SUMIF(DataQ!$B:$B,DataA!$A51,DataQ!D:D)</f>
        <v>2167415</v>
      </c>
      <c r="C51" s="7">
        <f>SUMIF(DataQ!$B:$B,DataA!$A51,DataQ!E:E)</f>
        <v>2167415</v>
      </c>
      <c r="D51" s="7">
        <f>SUMIF(DataQ!$B:$B,DataA!$A51,DataQ!F:F)</f>
        <v>2167415</v>
      </c>
      <c r="E51" s="7">
        <f>SUMIF(DataQ!$B:$B,DataA!$A51,DataQ!G:G)</f>
        <v>2167415</v>
      </c>
      <c r="F51" s="7">
        <f>SUMIF(DataQ!$B:$B,DataA!$A51,DataQ!H:H)</f>
        <v>2167415</v>
      </c>
      <c r="G51" s="7">
        <f>SUMIF(DataQ!$B:$B,DataA!$A51,DataQ!I:I)</f>
        <v>2167415</v>
      </c>
      <c r="H51" s="7">
        <f>SUMIF(DataQ!$B:$B,DataA!$A51,DataQ!J:J)</f>
        <v>2167415</v>
      </c>
      <c r="I51" s="7">
        <f>SUMIF(DataQ!$B:$B,DataA!$A51,DataQ!K:K)</f>
        <v>2167415</v>
      </c>
      <c r="J51" s="7">
        <f>SUMIF(DataQ!$B:$B,DataA!$A51,DataQ!L:L)</f>
        <v>2167415</v>
      </c>
      <c r="K51" s="7">
        <f>SUMIF(DataQ!$B:$B,DataA!$A51,DataQ!M:M)</f>
        <v>2167415</v>
      </c>
      <c r="L51" s="7">
        <f>SUMIF(DataQ!$B:$B,DataA!$A51,DataQ!N:N)</f>
        <v>2167415</v>
      </c>
      <c r="M51" s="7">
        <f>SUMIF(DataQ!$B:$B,DataA!$A51,DataQ!O:O)</f>
        <v>2167415</v>
      </c>
      <c r="N51" s="7">
        <f>SUMIF(DataQ!$B:$B,DataA!$A51,DataQ!P:P)</f>
        <v>2167415</v>
      </c>
      <c r="O51" s="7">
        <f>SUMIF(DataQ!$B:$B,DataA!$A51,DataQ!Q:Q)</f>
        <v>2167415</v>
      </c>
      <c r="P51" s="7">
        <f>SUMIF(DataQ!$B:$B,DataA!$A51,DataQ!R:R)</f>
        <v>2167415</v>
      </c>
      <c r="Q51" s="7">
        <f>SUMIF(DataQ!$B:$B,DataA!$A51,DataQ!S:S)</f>
        <v>2167415</v>
      </c>
      <c r="R51" s="7">
        <f>SUMIF(DataQ!$B:$B,DataA!$A51,DataQ!T:T)</f>
        <v>2167415</v>
      </c>
      <c r="S51" s="7">
        <f>AVERAGEIF(DataQ!$B:$B,DataA!$A51,DataQ!U:U)</f>
        <v>505.083325</v>
      </c>
      <c r="T51" s="7">
        <f>AVERAGEIF(DataQ!$B:$B,DataA!$A51,DataQ!V:V)</f>
        <v>103.35835</v>
      </c>
      <c r="U51" s="7">
        <f>AVERAGEIF(DataQ!$B:$B,DataA!$A51,DataQ!W:W)</f>
        <v>101.53335</v>
      </c>
      <c r="V51" s="7">
        <f>AVERAGEIF(DataQ!$B:$B,DataA!$A51,DataQ!X:X)</f>
        <v>105.6</v>
      </c>
      <c r="W51" s="7">
        <f>AVERAGEIF(DataQ!$B:$B,DataA!$A51,DataQ!Y:Y)</f>
        <v>100.69999999999999</v>
      </c>
      <c r="X51" s="7">
        <f>AVERAGEIF(DataQ!$B:$B,DataA!$A51,DataQ!Z:Z)</f>
        <v>103.75</v>
      </c>
      <c r="Y51" s="7">
        <f>SUMIF(DataQ!$B:$B,DataA!$A51,DataQ!AA:AA)</f>
        <v>1341219</v>
      </c>
      <c r="Z51" s="7">
        <f>SUMIF(DataQ!$B:$B,DataA!$A51,DataQ!AB:AB)</f>
        <v>399752</v>
      </c>
      <c r="AA51" s="7">
        <f>SUMIF(DataQ!$B:$B,DataA!$A51,DataQ!AC:AC)</f>
        <v>407632</v>
      </c>
      <c r="AB51" s="7">
        <f>SUMIF(DataQ!$B:$B,DataA!$A51,DataQ!AD:AD)</f>
        <v>672118</v>
      </c>
      <c r="AC51" s="7">
        <f>SUMIF(DataQ!$B:$B,DataA!$A51,DataQ!AE:AE)</f>
        <v>696761</v>
      </c>
      <c r="AD51" s="7">
        <f>AVERAGEIF(DataQ!$B:$B,DataA!$A51,DataQ!AF:AF)</f>
        <v>0.43823877500000002</v>
      </c>
      <c r="AE51" s="7">
        <f>AVERAGEIF(DataQ!$B:$B,DataA!$A51,DataQ!AG:AG)</f>
        <v>0.66396147500000002</v>
      </c>
    </row>
    <row r="52" spans="1:31" x14ac:dyDescent="0.25">
      <c r="A52" s="4">
        <f t="shared" si="1"/>
        <v>2018</v>
      </c>
      <c r="B52" s="7">
        <f>SUMIF(DataQ!$B:$B,DataA!$A52,DataQ!D:D)</f>
        <v>2197841</v>
      </c>
      <c r="C52" s="7">
        <f>SUMIF(DataQ!$B:$B,DataA!$A52,DataQ!E:E)</f>
        <v>2197841</v>
      </c>
      <c r="D52" s="7">
        <f>SUMIF(DataQ!$B:$B,DataA!$A52,DataQ!F:F)</f>
        <v>2197841</v>
      </c>
      <c r="E52" s="7">
        <f>SUMIF(DataQ!$B:$B,DataA!$A52,DataQ!G:G)</f>
        <v>2197841</v>
      </c>
      <c r="F52" s="7">
        <f>SUMIF(DataQ!$B:$B,DataA!$A52,DataQ!H:H)</f>
        <v>2197841</v>
      </c>
      <c r="G52" s="7">
        <f>SUMIF(DataQ!$B:$B,DataA!$A52,DataQ!I:I)</f>
        <v>2197841</v>
      </c>
      <c r="H52" s="7">
        <f>SUMIF(DataQ!$B:$B,DataA!$A52,DataQ!J:J)</f>
        <v>2197841</v>
      </c>
      <c r="I52" s="7">
        <f>SUMIF(DataQ!$B:$B,DataA!$A52,DataQ!K:K)</f>
        <v>2197841</v>
      </c>
      <c r="J52" s="7">
        <f>SUMIF(DataQ!$B:$B,DataA!$A52,DataQ!L:L)</f>
        <v>2197841</v>
      </c>
      <c r="K52" s="7">
        <f>SUMIF(DataQ!$B:$B,DataA!$A52,DataQ!M:M)</f>
        <v>2197841</v>
      </c>
      <c r="L52" s="7">
        <f>SUMIF(DataQ!$B:$B,DataA!$A52,DataQ!N:N)</f>
        <v>2197841</v>
      </c>
      <c r="M52" s="7">
        <f>SUMIF(DataQ!$B:$B,DataA!$A52,DataQ!O:O)</f>
        <v>2197841</v>
      </c>
      <c r="N52" s="7">
        <f>SUMIF(DataQ!$B:$B,DataA!$A52,DataQ!P:P)</f>
        <v>2197841</v>
      </c>
      <c r="O52" s="7">
        <f>SUMIF(DataQ!$B:$B,DataA!$A52,DataQ!Q:Q)</f>
        <v>2197841</v>
      </c>
      <c r="P52" s="7">
        <f>SUMIF(DataQ!$B:$B,DataA!$A52,DataQ!R:R)</f>
        <v>2197841</v>
      </c>
      <c r="Q52" s="7">
        <f>SUMIF(DataQ!$B:$B,DataA!$A52,DataQ!S:S)</f>
        <v>2197841</v>
      </c>
      <c r="R52" s="7">
        <f>SUMIF(DataQ!$B:$B,DataA!$A52,DataQ!T:T)</f>
        <v>2197841</v>
      </c>
      <c r="S52" s="7">
        <f>AVERAGEIF(DataQ!$B:$B,DataA!$A52,DataQ!U:U)</f>
        <v>519.75</v>
      </c>
      <c r="T52" s="7">
        <f>AVERAGEIF(DataQ!$B:$B,DataA!$A52,DataQ!V:V)</f>
        <v>105.916675</v>
      </c>
      <c r="U52" s="7">
        <f>AVERAGEIF(DataQ!$B:$B,DataA!$A52,DataQ!W:W)</f>
        <v>104.3083</v>
      </c>
      <c r="V52" s="7">
        <f>AVERAGEIF(DataQ!$B:$B,DataA!$A52,DataQ!X:X)</f>
        <v>113.00834999999999</v>
      </c>
      <c r="W52" s="7">
        <f>AVERAGEIF(DataQ!$B:$B,DataA!$A52,DataQ!Y:Y)</f>
        <v>107.53332499999999</v>
      </c>
      <c r="X52" s="7">
        <f>AVERAGEIF(DataQ!$B:$B,DataA!$A52,DataQ!Z:Z)</f>
        <v>105.875</v>
      </c>
      <c r="Y52" s="7">
        <f>SUMIF(DataQ!$B:$B,DataA!$A52,DataQ!AA:AA)</f>
        <v>1363436</v>
      </c>
      <c r="Z52" s="7">
        <f>SUMIF(DataQ!$B:$B,DataA!$A52,DataQ!AB:AB)</f>
        <v>397838</v>
      </c>
      <c r="AA52" s="7">
        <f>SUMIF(DataQ!$B:$B,DataA!$A52,DataQ!AC:AC)</f>
        <v>410171</v>
      </c>
      <c r="AB52" s="7">
        <f>SUMIF(DataQ!$B:$B,DataA!$A52,DataQ!AD:AD)</f>
        <v>692860</v>
      </c>
      <c r="AC52" s="7">
        <f>SUMIF(DataQ!$B:$B,DataA!$A52,DataQ!AE:AE)</f>
        <v>718347</v>
      </c>
      <c r="AD52" s="7">
        <f>AVERAGEIF(DataQ!$B:$B,DataA!$A52,DataQ!AF:AF)</f>
        <v>0.85930907500000009</v>
      </c>
      <c r="AE52" s="7">
        <f>AVERAGEIF(DataQ!$B:$B,DataA!$A52,DataQ!AG:AG)</f>
        <v>1.0877782499999999</v>
      </c>
    </row>
    <row r="53" spans="1:31" x14ac:dyDescent="0.25">
      <c r="A53" s="4">
        <f t="shared" si="1"/>
        <v>2019</v>
      </c>
      <c r="B53" s="7">
        <f>SUMIF(DataQ!$B:$B,DataA!$A53,DataQ!D:D)</f>
        <v>2233921</v>
      </c>
      <c r="C53" s="7">
        <f>SUMIF(DataQ!$B:$B,DataA!$A53,DataQ!E:E)</f>
        <v>2233921</v>
      </c>
      <c r="D53" s="7">
        <f>SUMIF(DataQ!$B:$B,DataA!$A53,DataQ!F:F)</f>
        <v>2233921</v>
      </c>
      <c r="E53" s="7">
        <f>SUMIF(DataQ!$B:$B,DataA!$A53,DataQ!G:G)</f>
        <v>2233921</v>
      </c>
      <c r="F53" s="7">
        <f>SUMIF(DataQ!$B:$B,DataA!$A53,DataQ!H:H)</f>
        <v>2233921</v>
      </c>
      <c r="G53" s="7">
        <f>SUMIF(DataQ!$B:$B,DataA!$A53,DataQ!I:I)</f>
        <v>2233921</v>
      </c>
      <c r="H53" s="7">
        <f>SUMIF(DataQ!$B:$B,DataA!$A53,DataQ!J:J)</f>
        <v>2233921</v>
      </c>
      <c r="I53" s="7">
        <f>SUMIF(DataQ!$B:$B,DataA!$A53,DataQ!K:K)</f>
        <v>2233921</v>
      </c>
      <c r="J53" s="7">
        <f>SUMIF(DataQ!$B:$B,DataA!$A53,DataQ!L:L)</f>
        <v>2233921</v>
      </c>
      <c r="K53" s="7">
        <f>SUMIF(DataQ!$B:$B,DataA!$A53,DataQ!M:M)</f>
        <v>2233921</v>
      </c>
      <c r="L53" s="7">
        <f>SUMIF(DataQ!$B:$B,DataA!$A53,DataQ!N:N)</f>
        <v>2233921</v>
      </c>
      <c r="M53" s="7">
        <f>SUMIF(DataQ!$B:$B,DataA!$A53,DataQ!O:O)</f>
        <v>2233921</v>
      </c>
      <c r="N53" s="7">
        <f>SUMIF(DataQ!$B:$B,DataA!$A53,DataQ!P:P)</f>
        <v>2233921</v>
      </c>
      <c r="O53" s="7">
        <f>SUMIF(DataQ!$B:$B,DataA!$A53,DataQ!Q:Q)</f>
        <v>2233921</v>
      </c>
      <c r="P53" s="7">
        <f>SUMIF(DataQ!$B:$B,DataA!$A53,DataQ!R:R)</f>
        <v>2233921</v>
      </c>
      <c r="Q53" s="7">
        <f>SUMIF(DataQ!$B:$B,DataA!$A53,DataQ!S:S)</f>
        <v>2233921</v>
      </c>
      <c r="R53" s="7">
        <f>SUMIF(DataQ!$B:$B,DataA!$A53,DataQ!T:T)</f>
        <v>2233921</v>
      </c>
      <c r="S53" s="7">
        <f>AVERAGEIF(DataQ!$B:$B,DataA!$A53,DataQ!U:U)</f>
        <v>537.58332500000006</v>
      </c>
      <c r="T53" s="7">
        <f>AVERAGEIF(DataQ!$B:$B,DataA!$A53,DataQ!V:V)</f>
        <v>107.80000000000001</v>
      </c>
      <c r="U53" s="7">
        <f>AVERAGEIF(DataQ!$B:$B,DataA!$A53,DataQ!W:W)</f>
        <v>106.36667500000001</v>
      </c>
      <c r="V53" s="7">
        <f>AVERAGEIF(DataQ!$B:$B,DataA!$A53,DataQ!X:X)</f>
        <v>113.43334999999999</v>
      </c>
      <c r="W53" s="7">
        <f>AVERAGEIF(DataQ!$B:$B,DataA!$A53,DataQ!Y:Y)</f>
        <v>111.60832499999999</v>
      </c>
      <c r="X53" s="7">
        <f>AVERAGEIF(DataQ!$B:$B,DataA!$A53,DataQ!Z:Z)</f>
        <v>107.72499999999999</v>
      </c>
      <c r="Y53" s="7">
        <f>SUMIF(DataQ!$B:$B,DataA!$A53,DataQ!AA:AA)</f>
        <v>1378649</v>
      </c>
      <c r="Z53" s="7">
        <f>SUMIF(DataQ!$B:$B,DataA!$A53,DataQ!AB:AB)</f>
        <v>406423</v>
      </c>
      <c r="AA53" s="7">
        <f>SUMIF(DataQ!$B:$B,DataA!$A53,DataQ!AC:AC)</f>
        <v>426592</v>
      </c>
      <c r="AB53" s="7">
        <f>SUMIF(DataQ!$B:$B,DataA!$A53,DataQ!AD:AD)</f>
        <v>706696</v>
      </c>
      <c r="AC53" s="7">
        <f>SUMIF(DataQ!$B:$B,DataA!$A53,DataQ!AE:AE)</f>
        <v>737872</v>
      </c>
      <c r="AD53" s="7">
        <f>AVERAGEIF(DataQ!$B:$B,DataA!$A53,DataQ!AF:AF)</f>
        <v>0.66195424999999997</v>
      </c>
      <c r="AE53" s="7">
        <f>AVERAGEIF(DataQ!$B:$B,DataA!$A53,DataQ!AG:AG)</f>
        <v>0.71878017500000002</v>
      </c>
    </row>
    <row r="54" spans="1:31" x14ac:dyDescent="0.25">
      <c r="A54" s="4">
        <f t="shared" si="1"/>
        <v>2020</v>
      </c>
      <c r="B54" s="7">
        <f>SUMIF(DataQ!$B:$B,DataA!$A54,DataQ!D:D)</f>
        <v>2002489</v>
      </c>
      <c r="C54" s="7">
        <f>SUMIF(DataQ!$B:$B,DataA!$A54,DataQ!E:E)</f>
        <v>2002489</v>
      </c>
      <c r="D54" s="7">
        <f>SUMIF(DataQ!$B:$B,DataA!$A54,DataQ!F:F)</f>
        <v>2002489</v>
      </c>
      <c r="E54" s="7">
        <f>SUMIF(DataQ!$B:$B,DataA!$A54,DataQ!G:G)</f>
        <v>2002489</v>
      </c>
      <c r="F54" s="7">
        <f>SUMIF(DataQ!$B:$B,DataA!$A54,DataQ!H:H)</f>
        <v>2002489</v>
      </c>
      <c r="G54" s="7">
        <f>SUMIF(DataQ!$B:$B,DataA!$A54,DataQ!I:I)</f>
        <v>2002489</v>
      </c>
      <c r="H54" s="7">
        <f>SUMIF(DataQ!$B:$B,DataA!$A54,DataQ!J:J)</f>
        <v>2002489</v>
      </c>
      <c r="I54" s="7">
        <f>SUMIF(DataQ!$B:$B,DataA!$A54,DataQ!K:K)</f>
        <v>2002489</v>
      </c>
      <c r="J54" s="7">
        <f>SUMIF(DataQ!$B:$B,DataA!$A54,DataQ!L:L)</f>
        <v>2002489</v>
      </c>
      <c r="K54" s="7">
        <f>SUMIF(DataQ!$B:$B,DataA!$A54,DataQ!M:M)</f>
        <v>2002489</v>
      </c>
      <c r="L54" s="7">
        <f>SUMIF(DataQ!$B:$B,DataA!$A54,DataQ!N:N)</f>
        <v>2002489</v>
      </c>
      <c r="M54" s="7">
        <f>SUMIF(DataQ!$B:$B,DataA!$A54,DataQ!O:O)</f>
        <v>2002489</v>
      </c>
      <c r="N54" s="7">
        <f>SUMIF(DataQ!$B:$B,DataA!$A54,DataQ!P:P)</f>
        <v>2002489</v>
      </c>
      <c r="O54" s="7">
        <f>SUMIF(DataQ!$B:$B,DataA!$A54,DataQ!Q:Q)</f>
        <v>2002489</v>
      </c>
      <c r="P54" s="7">
        <f>SUMIF(DataQ!$B:$B,DataA!$A54,DataQ!R:R)</f>
        <v>2002489</v>
      </c>
      <c r="Q54" s="7">
        <f>SUMIF(DataQ!$B:$B,DataA!$A54,DataQ!S:S)</f>
        <v>2002489</v>
      </c>
      <c r="R54" s="7">
        <f>SUMIF(DataQ!$B:$B,DataA!$A54,DataQ!T:T)</f>
        <v>2002489</v>
      </c>
      <c r="S54" s="7">
        <f>AVERAGEIF(DataQ!$B:$B,DataA!$A54,DataQ!U:U)</f>
        <v>547.16665</v>
      </c>
      <c r="T54" s="7">
        <f>AVERAGEIF(DataQ!$B:$B,DataA!$A54,DataQ!V:V)</f>
        <v>108.75</v>
      </c>
      <c r="U54" s="7">
        <f>AVERAGEIF(DataQ!$B:$B,DataA!$A54,DataQ!W:W)</f>
        <v>107.50834999999999</v>
      </c>
      <c r="V54" s="7">
        <f>AVERAGEIF(DataQ!$B:$B,DataA!$A54,DataQ!X:X)</f>
        <v>103.57500000000002</v>
      </c>
      <c r="W54" s="7">
        <f>AVERAGEIF(DataQ!$B:$B,DataA!$A54,DataQ!Y:Y)</f>
        <v>106.45</v>
      </c>
      <c r="X54" s="7">
        <f>AVERAGEIF(DataQ!$B:$B,DataA!$A54,DataQ!Z:Z)</f>
        <v>109.22499999999999</v>
      </c>
      <c r="Y54" s="7">
        <f>SUMIF(DataQ!$B:$B,DataA!$A54,DataQ!AA:AA)</f>
        <v>1199896</v>
      </c>
      <c r="Z54" s="7">
        <f>SUMIF(DataQ!$B:$B,DataA!$A54,DataQ!AB:AB)</f>
        <v>362657</v>
      </c>
      <c r="AA54" s="7">
        <f>SUMIF(DataQ!$B:$B,DataA!$A54,DataQ!AC:AC)</f>
        <v>392967</v>
      </c>
      <c r="AB54" s="7">
        <f>SUMIF(DataQ!$B:$B,DataA!$A54,DataQ!AD:AD)</f>
        <v>625640</v>
      </c>
      <c r="AC54" s="7">
        <f>SUMIF(DataQ!$B:$B,DataA!$A54,DataQ!AE:AE)</f>
        <v>619793</v>
      </c>
      <c r="AD54" s="7">
        <f>AVERAGEIF(DataQ!$B:$B,DataA!$A54,DataQ!AF:AF)</f>
        <v>9.2575674999999996E-2</v>
      </c>
      <c r="AE54" s="7">
        <f>AVERAGEIF(DataQ!$B:$B,DataA!$A54,DataQ!AG:AG)</f>
        <v>0.13793620249999999</v>
      </c>
    </row>
    <row r="55" spans="1:31" x14ac:dyDescent="0.25">
      <c r="A55" s="4">
        <f t="shared" si="1"/>
        <v>2021</v>
      </c>
      <c r="B55" s="7">
        <f>SUMIF(DataQ!$B:$B,DataA!$A55,DataQ!D:D)</f>
        <v>2176203</v>
      </c>
      <c r="C55" s="7">
        <f>SUMIF(DataQ!$B:$B,DataA!$A55,DataQ!E:E)</f>
        <v>2176203</v>
      </c>
      <c r="D55" s="7">
        <f>SUMIF(DataQ!$B:$B,DataA!$A55,DataQ!F:F)</f>
        <v>2176203</v>
      </c>
      <c r="E55" s="7">
        <f>SUMIF(DataQ!$B:$B,DataA!$A55,DataQ!G:G)</f>
        <v>2176203</v>
      </c>
      <c r="F55" s="7">
        <f>SUMIF(DataQ!$B:$B,DataA!$A55,DataQ!H:H)</f>
        <v>2176203</v>
      </c>
      <c r="G55" s="7">
        <f>SUMIF(DataQ!$B:$B,DataA!$A55,DataQ!I:I)</f>
        <v>2176203</v>
      </c>
      <c r="H55" s="7">
        <f>SUMIF(DataQ!$B:$B,DataA!$A55,DataQ!J:J)</f>
        <v>2176203</v>
      </c>
      <c r="I55" s="7">
        <f>SUMIF(DataQ!$B:$B,DataA!$A55,DataQ!K:K)</f>
        <v>2176203</v>
      </c>
      <c r="J55" s="7">
        <f>SUMIF(DataQ!$B:$B,DataA!$A55,DataQ!L:L)</f>
        <v>2176203</v>
      </c>
      <c r="K55" s="7">
        <f>SUMIF(DataQ!$B:$B,DataA!$A55,DataQ!M:M)</f>
        <v>2176203</v>
      </c>
      <c r="L55" s="7">
        <f>SUMIF(DataQ!$B:$B,DataA!$A55,DataQ!N:N)</f>
        <v>2176203</v>
      </c>
      <c r="M55" s="7">
        <f>SUMIF(DataQ!$B:$B,DataA!$A55,DataQ!O:O)</f>
        <v>2176203</v>
      </c>
      <c r="N55" s="7">
        <f>SUMIF(DataQ!$B:$B,DataA!$A55,DataQ!P:P)</f>
        <v>2176203</v>
      </c>
      <c r="O55" s="7">
        <f>SUMIF(DataQ!$B:$B,DataA!$A55,DataQ!Q:Q)</f>
        <v>2176203</v>
      </c>
      <c r="P55" s="7">
        <f>SUMIF(DataQ!$B:$B,DataA!$A55,DataQ!R:R)</f>
        <v>2176203</v>
      </c>
      <c r="Q55" s="7">
        <f>SUMIF(DataQ!$B:$B,DataA!$A55,DataQ!S:S)</f>
        <v>2176203</v>
      </c>
      <c r="R55" s="7">
        <f>SUMIF(DataQ!$B:$B,DataA!$A55,DataQ!T:T)</f>
        <v>2176203</v>
      </c>
      <c r="S55" s="7">
        <f>AVERAGEIF(DataQ!$B:$B,DataA!$A55,DataQ!U:U)</f>
        <v>579.33335</v>
      </c>
      <c r="T55" s="7">
        <f>AVERAGEIF(DataQ!$B:$B,DataA!$A55,DataQ!V:V)</f>
        <v>111.558325</v>
      </c>
      <c r="U55" s="7">
        <f>AVERAGEIF(DataQ!$B:$B,DataA!$A55,DataQ!W:W)</f>
        <v>108.52500000000001</v>
      </c>
      <c r="V55" s="7">
        <f>AVERAGEIF(DataQ!$B:$B,DataA!$A55,DataQ!X:X)</f>
        <v>118.1</v>
      </c>
      <c r="W55" s="7">
        <f>AVERAGEIF(DataQ!$B:$B,DataA!$A55,DataQ!Y:Y)</f>
        <v>111.458325</v>
      </c>
      <c r="X55" s="7">
        <f>AVERAGEIF(DataQ!$B:$B,DataA!$A55,DataQ!Z:Z)</f>
        <v>111.84164999999999</v>
      </c>
      <c r="Y55" s="7">
        <f>SUMIF(DataQ!$B:$B,DataA!$A55,DataQ!AA:AA)</f>
        <v>1289290</v>
      </c>
      <c r="Z55" s="7">
        <f>SUMIF(DataQ!$B:$B,DataA!$A55,DataQ!AB:AB)</f>
        <v>389652</v>
      </c>
      <c r="AA55" s="7">
        <f>SUMIF(DataQ!$B:$B,DataA!$A55,DataQ!AC:AC)</f>
        <v>451510</v>
      </c>
      <c r="AB55" s="7">
        <f>SUMIF(DataQ!$B:$B,DataA!$A55,DataQ!AD:AD)</f>
        <v>656554</v>
      </c>
      <c r="AC55" s="7">
        <f>SUMIF(DataQ!$B:$B,DataA!$A55,DataQ!AE:AE)</f>
        <v>657863</v>
      </c>
      <c r="AD55" s="7">
        <f>AVERAGEIF(DataQ!$B:$B,DataA!$A55,DataQ!AF:AF)</f>
        <v>0.32614187</v>
      </c>
      <c r="AE55" s="7">
        <f>AVERAGEIF(DataQ!$B:$B,DataA!$A55,DataQ!AG:AG)</f>
        <v>0.52560327500000004</v>
      </c>
    </row>
    <row r="56" spans="1:31" x14ac:dyDescent="0.25">
      <c r="A56" s="4">
        <f t="shared" si="1"/>
        <v>2022</v>
      </c>
      <c r="B56" s="7">
        <f>SUMIF(DataQ!$B:$B,DataA!$A56,DataQ!D:D)</f>
        <v>2270764</v>
      </c>
      <c r="C56" s="7">
        <f>SUMIF(DataQ!$B:$B,DataA!$A56,DataQ!E:E)</f>
        <v>2270764</v>
      </c>
      <c r="D56" s="7">
        <f>SUMIF(DataQ!$B:$B,DataA!$A56,DataQ!F:F)</f>
        <v>2270764</v>
      </c>
      <c r="E56" s="7">
        <f>SUMIF(DataQ!$B:$B,DataA!$A56,DataQ!G:G)</f>
        <v>2270764</v>
      </c>
      <c r="F56" s="7">
        <f>SUMIF(DataQ!$B:$B,DataA!$A56,DataQ!H:H)</f>
        <v>2270764</v>
      </c>
      <c r="G56" s="7">
        <f>SUMIF(DataQ!$B:$B,DataA!$A56,DataQ!I:I)</f>
        <v>2270764</v>
      </c>
      <c r="H56" s="7">
        <f>SUMIF(DataQ!$B:$B,DataA!$A56,DataQ!J:J)</f>
        <v>2270764</v>
      </c>
      <c r="I56" s="7">
        <f>SUMIF(DataQ!$B:$B,DataA!$A56,DataQ!K:K)</f>
        <v>2270764</v>
      </c>
      <c r="J56" s="7">
        <f>SUMIF(DataQ!$B:$B,DataA!$A56,DataQ!L:L)</f>
        <v>2270764</v>
      </c>
      <c r="K56" s="7">
        <f>SUMIF(DataQ!$B:$B,DataA!$A56,DataQ!M:M)</f>
        <v>2270764</v>
      </c>
      <c r="L56" s="7">
        <f>SUMIF(DataQ!$B:$B,DataA!$A56,DataQ!N:N)</f>
        <v>2270764</v>
      </c>
      <c r="M56" s="7">
        <f>SUMIF(DataQ!$B:$B,DataA!$A56,DataQ!O:O)</f>
        <v>2270764</v>
      </c>
      <c r="N56" s="7">
        <f>SUMIF(DataQ!$B:$B,DataA!$A56,DataQ!P:P)</f>
        <v>2270764</v>
      </c>
      <c r="O56" s="7">
        <f>SUMIF(DataQ!$B:$B,DataA!$A56,DataQ!Q:Q)</f>
        <v>2270764</v>
      </c>
      <c r="P56" s="7">
        <f>SUMIF(DataQ!$B:$B,DataA!$A56,DataQ!R:R)</f>
        <v>2270764</v>
      </c>
      <c r="Q56" s="7">
        <f>SUMIF(DataQ!$B:$B,DataA!$A56,DataQ!S:S)</f>
        <v>2270764</v>
      </c>
      <c r="R56" s="7">
        <f>SUMIF(DataQ!$B:$B,DataA!$A56,DataQ!T:T)</f>
        <v>2270764</v>
      </c>
      <c r="S56" s="7">
        <f>AVERAGEIF(DataQ!$B:$B,DataA!$A56,DataQ!U:U)</f>
        <v>614.58332500000006</v>
      </c>
      <c r="T56" s="7">
        <f>AVERAGEIF(DataQ!$B:$B,DataA!$A56,DataQ!V:V)</f>
        <v>121.658325</v>
      </c>
      <c r="U56" s="7">
        <f>AVERAGEIF(DataQ!$B:$B,DataA!$A56,DataQ!W:W)</f>
        <v>118.291675</v>
      </c>
      <c r="V56" s="7">
        <f>AVERAGEIF(DataQ!$B:$B,DataA!$A56,DataQ!X:X)</f>
        <v>150.916675</v>
      </c>
      <c r="W56" s="7">
        <f>AVERAGEIF(DataQ!$B:$B,DataA!$A56,DataQ!Y:Y)</f>
        <v>183.64167499999999</v>
      </c>
      <c r="X56" s="7">
        <f>AVERAGEIF(DataQ!$B:$B,DataA!$A56,DataQ!Z:Z)</f>
        <v>118.48332500000001</v>
      </c>
      <c r="Y56" s="7">
        <f>SUMIF(DataQ!$B:$B,DataA!$A56,DataQ!AA:AA)</f>
        <v>1350539</v>
      </c>
      <c r="Z56" s="7">
        <f>SUMIF(DataQ!$B:$B,DataA!$A56,DataQ!AB:AB)</f>
        <v>420902</v>
      </c>
      <c r="AA56" s="7">
        <f>SUMIF(DataQ!$B:$B,DataA!$A56,DataQ!AC:AC)</f>
        <v>461684</v>
      </c>
      <c r="AB56" s="7">
        <f>SUMIF(DataQ!$B:$B,DataA!$A56,DataQ!AD:AD)</f>
        <v>715449</v>
      </c>
      <c r="AC56" s="7">
        <f>SUMIF(DataQ!$B:$B,DataA!$A56,DataQ!AE:AE)</f>
        <v>753962</v>
      </c>
      <c r="AD56" s="7">
        <f>AVERAGEIF(DataQ!$B:$B,DataA!$A56,DataQ!AF:AF)</f>
        <v>2.9835444999999998</v>
      </c>
      <c r="AE56" s="7">
        <f>AVERAGEIF(DataQ!$B:$B,DataA!$A56,DataQ!AG:AG)</f>
        <v>2.7572489999999998</v>
      </c>
    </row>
    <row r="57" spans="1:31" x14ac:dyDescent="0.25">
      <c r="A57" s="4">
        <f t="shared" si="1"/>
        <v>2023</v>
      </c>
      <c r="B57" s="7">
        <f>SUMIF(DataQ!$B:$B,DataA!$A57,DataQ!D:D)</f>
        <v>2273126</v>
      </c>
      <c r="C57" s="7">
        <f>SUMIF(DataQ!$B:$B,DataA!$A57,DataQ!E:E)</f>
        <v>2277394.7000000002</v>
      </c>
      <c r="D57" s="7">
        <f>SUMIF(DataQ!$B:$B,DataA!$A57,DataQ!F:F)</f>
        <v>2277057.1</v>
      </c>
      <c r="E57" s="7">
        <f>SUMIF(DataQ!$B:$B,DataA!$A57,DataQ!G:G)</f>
        <v>2277057.1</v>
      </c>
      <c r="F57" s="7">
        <f>SUMIF(DataQ!$B:$B,DataA!$A57,DataQ!H:H)</f>
        <v>2274050</v>
      </c>
      <c r="G57" s="7">
        <f>SUMIF(DataQ!$B:$B,DataA!$A57,DataQ!I:I)</f>
        <v>2274050</v>
      </c>
      <c r="H57" s="7">
        <f>SUMIF(DataQ!$B:$B,DataA!$A57,DataQ!J:J)</f>
        <v>2274050</v>
      </c>
      <c r="I57" s="7">
        <f>SUMIF(DataQ!$B:$B,DataA!$A57,DataQ!K:K)</f>
        <v>2273126</v>
      </c>
      <c r="J57" s="7">
        <f>SUMIF(DataQ!$B:$B,DataA!$A57,DataQ!L:L)</f>
        <v>2273126</v>
      </c>
      <c r="K57" s="7">
        <f>SUMIF(DataQ!$B:$B,DataA!$A57,DataQ!M:M)</f>
        <v>2273126</v>
      </c>
      <c r="L57" s="7">
        <f>SUMIF(DataQ!$B:$B,DataA!$A57,DataQ!N:N)</f>
        <v>2273126</v>
      </c>
      <c r="M57" s="7">
        <f>SUMIF(DataQ!$B:$B,DataA!$A57,DataQ!O:O)</f>
        <v>2273126</v>
      </c>
      <c r="N57" s="7">
        <f>SUMIF(DataQ!$B:$B,DataA!$A57,DataQ!P:P)</f>
        <v>2273126</v>
      </c>
      <c r="O57" s="7">
        <f>SUMIF(DataQ!$B:$B,DataA!$A57,DataQ!Q:Q)</f>
        <v>2273126</v>
      </c>
      <c r="P57" s="7">
        <f>SUMIF(DataQ!$B:$B,DataA!$A57,DataQ!R:R)</f>
        <v>2273126</v>
      </c>
      <c r="Q57" s="7">
        <f>SUMIF(DataQ!$B:$B,DataA!$A57,DataQ!S:S)</f>
        <v>2273126</v>
      </c>
      <c r="R57" s="7">
        <f>SUMIF(DataQ!$B:$B,DataA!$A57,DataQ!T:T)</f>
        <v>2273126</v>
      </c>
      <c r="S57" s="7">
        <f>AVERAGEIF(DataQ!$B:$B,DataA!$A57,DataQ!U:U)</f>
        <v>658.08332500000006</v>
      </c>
      <c r="T57" s="7">
        <f>AVERAGEIF(DataQ!$B:$B,DataA!$A57,DataQ!V:V)</f>
        <v>130.541675</v>
      </c>
      <c r="U57" s="7">
        <f>AVERAGEIF(DataQ!$B:$B,DataA!$A57,DataQ!W:W)</f>
        <v>133.56665000000001</v>
      </c>
      <c r="V57" s="7">
        <f>AVERAGEIF(DataQ!$B:$B,DataA!$A57,DataQ!X:X)</f>
        <v>135.04165</v>
      </c>
      <c r="W57" s="7">
        <f>AVERAGEIF(DataQ!$B:$B,DataA!$A57,DataQ!Y:Y)</f>
        <v>211.96665000000002</v>
      </c>
      <c r="X57" s="7">
        <f>AVERAGEIF(DataQ!$B:$B,DataA!$A57,DataQ!Z:Z)</f>
        <v>125.77497500000001</v>
      </c>
      <c r="Y57" s="7">
        <f>SUMIF(DataQ!$B:$B,DataA!$A57,DataQ!AA:AA)</f>
        <v>1353287</v>
      </c>
      <c r="Z57" s="7">
        <f>SUMIF(DataQ!$B:$B,DataA!$A57,DataQ!AB:AB)</f>
        <v>430107</v>
      </c>
      <c r="AA57" s="7">
        <f>SUMIF(DataQ!$B:$B,DataA!$A57,DataQ!AC:AC)</f>
        <v>464102</v>
      </c>
      <c r="AB57" s="7">
        <f>SUMIF(DataQ!$B:$B,DataA!$A57,DataQ!AD:AD)</f>
        <v>711785</v>
      </c>
      <c r="AC57" s="7">
        <f>SUMIF(DataQ!$B:$B,DataA!$A57,DataQ!AE:AE)</f>
        <v>742724</v>
      </c>
      <c r="AD57" s="7">
        <f>AVERAGEIF(DataQ!$B:$B,DataA!$A57,DataQ!AF:AF)</f>
        <v>4.8579432499999999</v>
      </c>
      <c r="AE57" s="7">
        <f>AVERAGEIF(DataQ!$B:$B,DataA!$A57,DataQ!AG:AG)</f>
        <v>4.2798855000000007</v>
      </c>
    </row>
    <row r="58" spans="1:31" x14ac:dyDescent="0.25">
      <c r="A58" s="4">
        <f t="shared" si="1"/>
        <v>2024</v>
      </c>
      <c r="B58" s="7">
        <f>SUMIF(DataQ!$B:$B,DataA!$A58,DataQ!D:D)</f>
        <v>2299067.2000000002</v>
      </c>
      <c r="C58" s="7">
        <f>SUMIF(DataQ!$B:$B,DataA!$A58,DataQ!E:E)</f>
        <v>2290087.5</v>
      </c>
      <c r="D58" s="7">
        <f>SUMIF(DataQ!$B:$B,DataA!$A58,DataQ!F:F)</f>
        <v>2290893</v>
      </c>
      <c r="E58" s="7">
        <f>SUMIF(DataQ!$B:$B,DataA!$A58,DataQ!G:G)</f>
        <v>2290893</v>
      </c>
      <c r="F58" s="7">
        <f>SUMIF(DataQ!$B:$B,DataA!$A58,DataQ!H:H)</f>
        <v>2282737</v>
      </c>
      <c r="G58" s="7">
        <f>SUMIF(DataQ!$B:$B,DataA!$A58,DataQ!I:I)</f>
        <v>2285910.2000000002</v>
      </c>
      <c r="H58" s="7">
        <f>SUMIF(DataQ!$B:$B,DataA!$A58,DataQ!J:J)</f>
        <v>2285975.7000000002</v>
      </c>
      <c r="I58" s="7">
        <f>SUMIF(DataQ!$B:$B,DataA!$A58,DataQ!K:K)</f>
        <v>2285404.5999999996</v>
      </c>
      <c r="J58" s="7">
        <f>SUMIF(DataQ!$B:$B,DataA!$A58,DataQ!L:L)</f>
        <v>2287116.6</v>
      </c>
      <c r="K58" s="7">
        <f>SUMIF(DataQ!$B:$B,DataA!$A58,DataQ!M:M)</f>
        <v>2287116.6</v>
      </c>
      <c r="L58" s="7">
        <f>SUMIF(DataQ!$B:$B,DataA!$A58,DataQ!N:N)</f>
        <v>2293621.4</v>
      </c>
      <c r="M58" s="7">
        <f>SUMIF(DataQ!$B:$B,DataA!$A58,DataQ!O:O)</f>
        <v>2292669.5</v>
      </c>
      <c r="N58" s="7">
        <f>SUMIF(DataQ!$B:$B,DataA!$A58,DataQ!P:P)</f>
        <v>2294315.4000000004</v>
      </c>
      <c r="O58" s="7">
        <f>SUMIF(DataQ!$B:$B,DataA!$A58,DataQ!Q:Q)</f>
        <v>2297176.2000000002</v>
      </c>
      <c r="P58" s="7">
        <f>SUMIF(DataQ!$B:$B,DataA!$A58,DataQ!R:R)</f>
        <v>2298376.2000000002</v>
      </c>
      <c r="Q58" s="7">
        <f>SUMIF(DataQ!$B:$B,DataA!$A58,DataQ!S:S)</f>
        <v>2297743.2000000002</v>
      </c>
      <c r="R58" s="7">
        <f>SUMIF(DataQ!$B:$B,DataA!$A58,DataQ!T:T)</f>
        <v>2298721.2999999998</v>
      </c>
      <c r="S58" s="7">
        <f>AVERAGEIF(DataQ!$B:$B,DataA!$A58,DataQ!U:U)</f>
        <v>690.84337500000004</v>
      </c>
      <c r="T58" s="7">
        <f>AVERAGEIF(DataQ!$B:$B,DataA!$A58,DataQ!V:V)</f>
        <v>133.89817500000001</v>
      </c>
      <c r="U58" s="7">
        <f>AVERAGEIF(DataQ!$B:$B,DataA!$A58,DataQ!W:W)</f>
        <v>138.541225</v>
      </c>
      <c r="V58" s="7">
        <f>AVERAGEIF(DataQ!$B:$B,DataA!$A58,DataQ!X:X)</f>
        <v>130.310125</v>
      </c>
      <c r="W58" s="7">
        <f>AVERAGEIF(DataQ!$B:$B,DataA!$A58,DataQ!Y:Y)</f>
        <v>172.36362500000001</v>
      </c>
      <c r="X58" s="7">
        <f>AVERAGEIF(DataQ!$B:$B,DataA!$A58,DataQ!Z:Z)</f>
        <v>130.50225</v>
      </c>
      <c r="Y58" s="7">
        <f>SUMIF(DataQ!$B:$B,DataA!$A58,DataQ!AA:AA)</f>
        <v>1360864.3</v>
      </c>
      <c r="Z58" s="7">
        <f>SUMIF(DataQ!$B:$B,DataA!$A58,DataQ!AB:AB)</f>
        <v>431525.1</v>
      </c>
      <c r="AA58" s="7">
        <f>SUMIF(DataQ!$B:$B,DataA!$A58,DataQ!AC:AC)</f>
        <v>476570.6</v>
      </c>
      <c r="AB58" s="7">
        <f>SUMIF(DataQ!$B:$B,DataA!$A58,DataQ!AD:AD)</f>
        <v>706371.6</v>
      </c>
      <c r="AC58" s="7">
        <f>SUMIF(DataQ!$B:$B,DataA!$A58,DataQ!AE:AE)</f>
        <v>748247.39999999991</v>
      </c>
      <c r="AD58" s="7">
        <f>AVERAGEIF(DataQ!$B:$B,DataA!$A58,DataQ!AF:AF)</f>
        <v>4.331533499999999</v>
      </c>
      <c r="AE58" s="7">
        <f>AVERAGEIF(DataQ!$B:$B,DataA!$A58,DataQ!AG:AG)</f>
        <v>3.8486112500000003</v>
      </c>
    </row>
    <row r="59" spans="1:31" x14ac:dyDescent="0.25">
      <c r="A59" s="4">
        <f t="shared" si="1"/>
        <v>2025</v>
      </c>
      <c r="B59" s="7">
        <f>SUMIF(DataQ!$B:$B,DataA!$A59,DataQ!D:D)</f>
        <v>2338189.5</v>
      </c>
      <c r="C59" s="7">
        <f>SUMIF(DataQ!$B:$B,DataA!$A59,DataQ!E:E)</f>
        <v>2327115.6</v>
      </c>
      <c r="D59" s="7">
        <f>SUMIF(DataQ!$B:$B,DataA!$A59,DataQ!F:F)</f>
        <v>2327939.5</v>
      </c>
      <c r="E59" s="7">
        <f>SUMIF(DataQ!$B:$B,DataA!$A59,DataQ!G:G)</f>
        <v>2327939.5</v>
      </c>
      <c r="F59" s="7">
        <f>SUMIF(DataQ!$B:$B,DataA!$A59,DataQ!H:H)</f>
        <v>2324174.2999999998</v>
      </c>
      <c r="G59" s="7">
        <f>SUMIF(DataQ!$B:$B,DataA!$A59,DataQ!I:I)</f>
        <v>2332057.5</v>
      </c>
      <c r="H59" s="7">
        <f>SUMIF(DataQ!$B:$B,DataA!$A59,DataQ!J:J)</f>
        <v>2332047.4000000004</v>
      </c>
      <c r="I59" s="7">
        <f>SUMIF(DataQ!$B:$B,DataA!$A59,DataQ!K:K)</f>
        <v>2331398.2999999998</v>
      </c>
      <c r="J59" s="7">
        <f>SUMIF(DataQ!$B:$B,DataA!$A59,DataQ!L:L)</f>
        <v>2333036.6</v>
      </c>
      <c r="K59" s="7">
        <f>SUMIF(DataQ!$B:$B,DataA!$A59,DataQ!M:M)</f>
        <v>2333036.6</v>
      </c>
      <c r="L59" s="7">
        <f>SUMIF(DataQ!$B:$B,DataA!$A59,DataQ!N:N)</f>
        <v>2339797</v>
      </c>
      <c r="M59" s="7">
        <f>SUMIF(DataQ!$B:$B,DataA!$A59,DataQ!O:O)</f>
        <v>2339099</v>
      </c>
      <c r="N59" s="7">
        <f>SUMIF(DataQ!$B:$B,DataA!$A59,DataQ!P:P)</f>
        <v>2340757.2000000002</v>
      </c>
      <c r="O59" s="7">
        <f>SUMIF(DataQ!$B:$B,DataA!$A59,DataQ!Q:Q)</f>
        <v>2344005.2999999998</v>
      </c>
      <c r="P59" s="7">
        <f>SUMIF(DataQ!$B:$B,DataA!$A59,DataQ!R:R)</f>
        <v>2344862.2000000002</v>
      </c>
      <c r="Q59" s="7">
        <f>SUMIF(DataQ!$B:$B,DataA!$A59,DataQ!S:S)</f>
        <v>2339496.5</v>
      </c>
      <c r="R59" s="7">
        <f>SUMIF(DataQ!$B:$B,DataA!$A59,DataQ!T:T)</f>
        <v>2340769.3000000003</v>
      </c>
      <c r="S59" s="7">
        <f>AVERAGEIF(DataQ!$B:$B,DataA!$A59,DataQ!U:U)</f>
        <v>715.18849999999998</v>
      </c>
      <c r="T59" s="7">
        <f>AVERAGEIF(DataQ!$B:$B,DataA!$A59,DataQ!V:V)</f>
        <v>137.39812500000002</v>
      </c>
      <c r="U59" s="7">
        <f>AVERAGEIF(DataQ!$B:$B,DataA!$A59,DataQ!W:W)</f>
        <v>141.11404999999999</v>
      </c>
      <c r="V59" s="7">
        <f>AVERAGEIF(DataQ!$B:$B,DataA!$A59,DataQ!X:X)</f>
        <v>127.12640000000002</v>
      </c>
      <c r="W59" s="7">
        <f>AVERAGEIF(DataQ!$B:$B,DataA!$A59,DataQ!Y:Y)</f>
        <v>177.36855</v>
      </c>
      <c r="X59" s="7">
        <f>AVERAGEIF(DataQ!$B:$B,DataA!$A59,DataQ!Z:Z)</f>
        <v>134.3408</v>
      </c>
      <c r="Y59" s="7">
        <f>SUMIF(DataQ!$B:$B,DataA!$A59,DataQ!AA:AA)</f>
        <v>1388770.4</v>
      </c>
      <c r="Z59" s="7">
        <f>SUMIF(DataQ!$B:$B,DataA!$A59,DataQ!AB:AB)</f>
        <v>435345.5</v>
      </c>
      <c r="AA59" s="7">
        <f>SUMIF(DataQ!$B:$B,DataA!$A59,DataQ!AC:AC)</f>
        <v>489788.2</v>
      </c>
      <c r="AB59" s="7">
        <f>SUMIF(DataQ!$B:$B,DataA!$A59,DataQ!AD:AD)</f>
        <v>721013.50000000012</v>
      </c>
      <c r="AC59" s="7">
        <f>SUMIF(DataQ!$B:$B,DataA!$A59,DataQ!AE:AE)</f>
        <v>769157.60000000009</v>
      </c>
      <c r="AD59" s="7">
        <f>AVERAGEIF(DataQ!$B:$B,DataA!$A59,DataQ!AF:AF)</f>
        <v>3.8785512500000001</v>
      </c>
      <c r="AE59" s="7">
        <f>AVERAGEIF(DataQ!$B:$B,DataA!$A59,DataQ!AG:AG)</f>
        <v>3.6126054999999999</v>
      </c>
    </row>
    <row r="60" spans="1:31" x14ac:dyDescent="0.25">
      <c r="A60" s="4">
        <f t="shared" si="1"/>
        <v>2026</v>
      </c>
      <c r="B60" s="7">
        <f>SUMIF(DataQ!$B:$B,DataA!$A60,DataQ!D:D)</f>
        <v>2379258.6999999997</v>
      </c>
      <c r="C60" s="7">
        <f>SUMIF(DataQ!$B:$B,DataA!$A60,DataQ!E:E)</f>
        <v>2371389.8000000003</v>
      </c>
      <c r="D60" s="7">
        <f>SUMIF(DataQ!$B:$B,DataA!$A60,DataQ!F:F)</f>
        <v>2372229.2999999998</v>
      </c>
      <c r="E60" s="7">
        <f>SUMIF(DataQ!$B:$B,DataA!$A60,DataQ!G:G)</f>
        <v>2372229.2999999998</v>
      </c>
      <c r="F60" s="7">
        <f>SUMIF(DataQ!$B:$B,DataA!$A60,DataQ!H:H)</f>
        <v>2370811.9</v>
      </c>
      <c r="G60" s="7">
        <f>SUMIF(DataQ!$B:$B,DataA!$A60,DataQ!I:I)</f>
        <v>2377671.6</v>
      </c>
      <c r="H60" s="7">
        <f>SUMIF(DataQ!$B:$B,DataA!$A60,DataQ!J:J)</f>
        <v>2377661.2000000002</v>
      </c>
      <c r="I60" s="7">
        <f>SUMIF(DataQ!$B:$B,DataA!$A60,DataQ!K:K)</f>
        <v>2377117.7999999998</v>
      </c>
      <c r="J60" s="7">
        <f>SUMIF(DataQ!$B:$B,DataA!$A60,DataQ!L:L)</f>
        <v>2378728.7000000002</v>
      </c>
      <c r="K60" s="7">
        <f>SUMIF(DataQ!$B:$B,DataA!$A60,DataQ!M:M)</f>
        <v>2378728.7000000002</v>
      </c>
      <c r="L60" s="7">
        <f>SUMIF(DataQ!$B:$B,DataA!$A60,DataQ!N:N)</f>
        <v>2385356.1000000006</v>
      </c>
      <c r="M60" s="7">
        <f>SUMIF(DataQ!$B:$B,DataA!$A60,DataQ!O:O)</f>
        <v>2384644.4000000004</v>
      </c>
      <c r="N60" s="7">
        <f>SUMIF(DataQ!$B:$B,DataA!$A60,DataQ!P:P)</f>
        <v>2386216.7999999998</v>
      </c>
      <c r="O60" s="7">
        <f>SUMIF(DataQ!$B:$B,DataA!$A60,DataQ!Q:Q)</f>
        <v>2389528</v>
      </c>
      <c r="P60" s="7">
        <f>SUMIF(DataQ!$B:$B,DataA!$A60,DataQ!R:R)</f>
        <v>2390401.6</v>
      </c>
      <c r="Q60" s="7">
        <f>SUMIF(DataQ!$B:$B,DataA!$A60,DataQ!S:S)</f>
        <v>2382775.6999999997</v>
      </c>
      <c r="R60" s="7">
        <f>SUMIF(DataQ!$B:$B,DataA!$A60,DataQ!T:T)</f>
        <v>2383834.6</v>
      </c>
      <c r="S60" s="7">
        <f>AVERAGEIF(DataQ!$B:$B,DataA!$A60,DataQ!U:U)</f>
        <v>734.69512499999996</v>
      </c>
      <c r="T60" s="7">
        <f>AVERAGEIF(DataQ!$B:$B,DataA!$A60,DataQ!V:V)</f>
        <v>140.42047500000001</v>
      </c>
      <c r="U60" s="7">
        <f>AVERAGEIF(DataQ!$B:$B,DataA!$A60,DataQ!W:W)</f>
        <v>144.10014999999999</v>
      </c>
      <c r="V60" s="7">
        <f>AVERAGEIF(DataQ!$B:$B,DataA!$A60,DataQ!X:X)</f>
        <v>126.1146</v>
      </c>
      <c r="W60" s="7">
        <f>AVERAGEIF(DataQ!$B:$B,DataA!$A60,DataQ!Y:Y)</f>
        <v>169.47629999999998</v>
      </c>
      <c r="X60" s="7">
        <f>AVERAGEIF(DataQ!$B:$B,DataA!$A60,DataQ!Z:Z)</f>
        <v>137.958125</v>
      </c>
      <c r="Y60" s="7">
        <f>SUMIF(DataQ!$B:$B,DataA!$A60,DataQ!AA:AA)</f>
        <v>1416391.5</v>
      </c>
      <c r="Z60" s="7">
        <f>SUMIF(DataQ!$B:$B,DataA!$A60,DataQ!AB:AB)</f>
        <v>446209.99999999994</v>
      </c>
      <c r="AA60" s="7">
        <f>SUMIF(DataQ!$B:$B,DataA!$A60,DataQ!AC:AC)</f>
        <v>497428.9</v>
      </c>
      <c r="AB60" s="7">
        <f>SUMIF(DataQ!$B:$B,DataA!$A60,DataQ!AD:AD)</f>
        <v>735723.79999999993</v>
      </c>
      <c r="AC60" s="7">
        <f>SUMIF(DataQ!$B:$B,DataA!$A60,DataQ!AE:AE)</f>
        <v>789828</v>
      </c>
      <c r="AD60" s="7">
        <f>AVERAGEIF(DataQ!$B:$B,DataA!$A60,DataQ!AF:AF)</f>
        <v>3.1990892499999997</v>
      </c>
      <c r="AE60" s="7">
        <f>AVERAGEIF(DataQ!$B:$B,DataA!$A60,DataQ!AG:AG)</f>
        <v>3.2402004999999998</v>
      </c>
    </row>
    <row r="61" spans="1:31" x14ac:dyDescent="0.25">
      <c r="A61" s="4">
        <f t="shared" si="1"/>
        <v>2027</v>
      </c>
      <c r="B61" s="7">
        <f>SUMIF(DataQ!$B:$B,DataA!$A61,DataQ!D:D)</f>
        <v>2418609.2999999998</v>
      </c>
      <c r="C61" s="7">
        <f>SUMIF(DataQ!$B:$B,DataA!$A61,DataQ!E:E)</f>
        <v>2406766.1</v>
      </c>
      <c r="D61" s="7">
        <f>SUMIF(DataQ!$B:$B,DataA!$A61,DataQ!F:F)</f>
        <v>2407738.1</v>
      </c>
      <c r="E61" s="7">
        <f>SUMIF(DataQ!$B:$B,DataA!$A61,DataQ!G:G)</f>
        <v>2407738.1</v>
      </c>
      <c r="F61" s="7">
        <f>SUMIF(DataQ!$B:$B,DataA!$A61,DataQ!H:H)</f>
        <v>2411854.2999999998</v>
      </c>
      <c r="G61" s="7">
        <f>SUMIF(DataQ!$B:$B,DataA!$A61,DataQ!I:I)</f>
        <v>2416603.9000000004</v>
      </c>
      <c r="H61" s="7">
        <f>SUMIF(DataQ!$B:$B,DataA!$A61,DataQ!J:J)</f>
        <v>2416593.2000000002</v>
      </c>
      <c r="I61" s="7">
        <f>SUMIF(DataQ!$B:$B,DataA!$A61,DataQ!K:K)</f>
        <v>2415981</v>
      </c>
      <c r="J61" s="7">
        <f>SUMIF(DataQ!$B:$B,DataA!$A61,DataQ!L:L)</f>
        <v>2417558.2999999998</v>
      </c>
      <c r="K61" s="7">
        <f>SUMIF(DataQ!$B:$B,DataA!$A61,DataQ!M:M)</f>
        <v>2417558.2999999998</v>
      </c>
      <c r="L61" s="7">
        <f>SUMIF(DataQ!$B:$B,DataA!$A61,DataQ!N:N)</f>
        <v>2424565.3000000003</v>
      </c>
      <c r="M61" s="7">
        <f>SUMIF(DataQ!$B:$B,DataA!$A61,DataQ!O:O)</f>
        <v>2423902.6</v>
      </c>
      <c r="N61" s="7">
        <f>SUMIF(DataQ!$B:$B,DataA!$A61,DataQ!P:P)</f>
        <v>2425500.9</v>
      </c>
      <c r="O61" s="7">
        <f>SUMIF(DataQ!$B:$B,DataA!$A61,DataQ!Q:Q)</f>
        <v>2429048.4</v>
      </c>
      <c r="P61" s="7">
        <f>SUMIF(DataQ!$B:$B,DataA!$A61,DataQ!R:R)</f>
        <v>2429936.5</v>
      </c>
      <c r="Q61" s="7">
        <f>SUMIF(DataQ!$B:$B,DataA!$A61,DataQ!S:S)</f>
        <v>2422184.4</v>
      </c>
      <c r="R61" s="7">
        <f>SUMIF(DataQ!$B:$B,DataA!$A61,DataQ!T:T)</f>
        <v>2423260.8999999994</v>
      </c>
      <c r="S61" s="7">
        <f>AVERAGEIF(DataQ!$B:$B,DataA!$A61,DataQ!U:U)</f>
        <v>754.31960000000004</v>
      </c>
      <c r="T61" s="7">
        <f>AVERAGEIF(DataQ!$B:$B,DataA!$A61,DataQ!V:V)</f>
        <v>143.34365</v>
      </c>
      <c r="U61" s="7">
        <f>AVERAGEIF(DataQ!$B:$B,DataA!$A61,DataQ!W:W)</f>
        <v>146.26552499999997</v>
      </c>
      <c r="V61" s="7">
        <f>AVERAGEIF(DataQ!$B:$B,DataA!$A61,DataQ!X:X)</f>
        <v>125.78922500000002</v>
      </c>
      <c r="W61" s="7">
        <f>AVERAGEIF(DataQ!$B:$B,DataA!$A61,DataQ!Y:Y)</f>
        <v>163.23955000000001</v>
      </c>
      <c r="X61" s="7">
        <f>AVERAGEIF(DataQ!$B:$B,DataA!$A61,DataQ!Z:Z)</f>
        <v>141.52907499999998</v>
      </c>
      <c r="Y61" s="7">
        <f>SUMIF(DataQ!$B:$B,DataA!$A61,DataQ!AA:AA)</f>
        <v>1439728.2</v>
      </c>
      <c r="Z61" s="7">
        <f>SUMIF(DataQ!$B:$B,DataA!$A61,DataQ!AB:AB)</f>
        <v>455647.6</v>
      </c>
      <c r="AA61" s="7">
        <f>SUMIF(DataQ!$B:$B,DataA!$A61,DataQ!AC:AC)</f>
        <v>505089.8</v>
      </c>
      <c r="AB61" s="7">
        <f>SUMIF(DataQ!$B:$B,DataA!$A61,DataQ!AD:AD)</f>
        <v>748399.1</v>
      </c>
      <c r="AC61" s="7">
        <f>SUMIF(DataQ!$B:$B,DataA!$A61,DataQ!AE:AE)</f>
        <v>804478.3</v>
      </c>
      <c r="AD61" s="7">
        <f>AVERAGEIF(DataQ!$B:$B,DataA!$A61,DataQ!AF:AF)</f>
        <v>2.336703</v>
      </c>
      <c r="AE61" s="7">
        <f>AVERAGEIF(DataQ!$B:$B,DataA!$A61,DataQ!AG:AG)</f>
        <v>2.6149800000000001</v>
      </c>
    </row>
    <row r="62" spans="1:31" x14ac:dyDescent="0.25">
      <c r="A62" s="4">
        <f t="shared" si="1"/>
        <v>2028</v>
      </c>
      <c r="B62" s="7">
        <f>SUMIF(DataQ!$B:$B,DataA!$A62,DataQ!D:D)</f>
        <v>2458457</v>
      </c>
      <c r="C62" s="7">
        <f>SUMIF(DataQ!$B:$B,DataA!$A62,DataQ!E:E)</f>
        <v>2440727.6</v>
      </c>
      <c r="D62" s="7">
        <f>SUMIF(DataQ!$B:$B,DataA!$A62,DataQ!F:F)</f>
        <v>2441713.4</v>
      </c>
      <c r="E62" s="7">
        <f>SUMIF(DataQ!$B:$B,DataA!$A62,DataQ!G:G)</f>
        <v>2441713.4</v>
      </c>
      <c r="F62" s="7">
        <f>SUMIF(DataQ!$B:$B,DataA!$A62,DataQ!H:H)</f>
        <v>2451771.1</v>
      </c>
      <c r="G62" s="7">
        <f>SUMIF(DataQ!$B:$B,DataA!$A62,DataQ!I:I)</f>
        <v>2455501.1999999997</v>
      </c>
      <c r="H62" s="7">
        <f>SUMIF(DataQ!$B:$B,DataA!$A62,DataQ!J:J)</f>
        <v>2455490.4000000004</v>
      </c>
      <c r="I62" s="7">
        <f>SUMIF(DataQ!$B:$B,DataA!$A62,DataQ!K:K)</f>
        <v>2454929</v>
      </c>
      <c r="J62" s="7">
        <f>SUMIF(DataQ!$B:$B,DataA!$A62,DataQ!L:L)</f>
        <v>2456531.9</v>
      </c>
      <c r="K62" s="7">
        <f>SUMIF(DataQ!$B:$B,DataA!$A62,DataQ!M:M)</f>
        <v>2456531.9</v>
      </c>
      <c r="L62" s="7">
        <f>SUMIF(DataQ!$B:$B,DataA!$A62,DataQ!N:N)</f>
        <v>2463651.7000000002</v>
      </c>
      <c r="M62" s="7">
        <f>SUMIF(DataQ!$B:$B,DataA!$A62,DataQ!O:O)</f>
        <v>2463776.4</v>
      </c>
      <c r="N62" s="7">
        <f>SUMIF(DataQ!$B:$B,DataA!$A62,DataQ!P:P)</f>
        <v>2465401.2000000002</v>
      </c>
      <c r="O62" s="7">
        <f>SUMIF(DataQ!$B:$B,DataA!$A62,DataQ!Q:Q)</f>
        <v>2469591.4</v>
      </c>
      <c r="P62" s="7">
        <f>SUMIF(DataQ!$B:$B,DataA!$A62,DataQ!R:R)</f>
        <v>2470494.2000000002</v>
      </c>
      <c r="Q62" s="7">
        <f>SUMIF(DataQ!$B:$B,DataA!$A62,DataQ!S:S)</f>
        <v>2462612.9000000004</v>
      </c>
      <c r="R62" s="7">
        <f>SUMIF(DataQ!$B:$B,DataA!$A62,DataQ!T:T)</f>
        <v>2463184.7999999998</v>
      </c>
      <c r="S62" s="7">
        <f>AVERAGEIF(DataQ!$B:$B,DataA!$A62,DataQ!U:U)</f>
        <v>775.54729999999995</v>
      </c>
      <c r="T62" s="7">
        <f>AVERAGEIF(DataQ!$B:$B,DataA!$A62,DataQ!V:V)</f>
        <v>146.32750000000001</v>
      </c>
      <c r="U62" s="7">
        <f>AVERAGEIF(DataQ!$B:$B,DataA!$A62,DataQ!W:W)</f>
        <v>148.31757500000001</v>
      </c>
      <c r="V62" s="7">
        <f>AVERAGEIF(DataQ!$B:$B,DataA!$A62,DataQ!X:X)</f>
        <v>125.50082499999999</v>
      </c>
      <c r="W62" s="7">
        <f>AVERAGEIF(DataQ!$B:$B,DataA!$A62,DataQ!Y:Y)</f>
        <v>164.31010000000001</v>
      </c>
      <c r="X62" s="7">
        <f>AVERAGEIF(DataQ!$B:$B,DataA!$A62,DataQ!Z:Z)</f>
        <v>144.89392500000002</v>
      </c>
      <c r="Y62" s="7">
        <f>SUMIF(DataQ!$B:$B,DataA!$A62,DataQ!AA:AA)</f>
        <v>1464543.6</v>
      </c>
      <c r="Z62" s="7">
        <f>SUMIF(DataQ!$B:$B,DataA!$A62,DataQ!AB:AB)</f>
        <v>463383</v>
      </c>
      <c r="AA62" s="7">
        <f>SUMIF(DataQ!$B:$B,DataA!$A62,DataQ!AC:AC)</f>
        <v>513328.4</v>
      </c>
      <c r="AB62" s="7">
        <f>SUMIF(DataQ!$B:$B,DataA!$A62,DataQ!AD:AD)</f>
        <v>760999.6</v>
      </c>
      <c r="AC62" s="7">
        <f>SUMIF(DataQ!$B:$B,DataA!$A62,DataQ!AE:AE)</f>
        <v>818964.4</v>
      </c>
      <c r="AD62" s="7">
        <f>AVERAGEIF(DataQ!$B:$B,DataA!$A62,DataQ!AF:AF)</f>
        <v>2.1064639999999999</v>
      </c>
      <c r="AE62" s="7">
        <f>AVERAGEIF(DataQ!$B:$B,DataA!$A62,DataQ!AG:AG)</f>
        <v>2.4334739999999999</v>
      </c>
    </row>
    <row r="63" spans="1:31" x14ac:dyDescent="0.25">
      <c r="A63" s="4">
        <f t="shared" si="1"/>
        <v>2029</v>
      </c>
      <c r="B63" s="7">
        <f>SUMIF(DataQ!$B:$B,DataA!$A63,DataQ!D:D)</f>
        <v>2497404.4000000004</v>
      </c>
      <c r="C63" s="7">
        <f>SUMIF(DataQ!$B:$B,DataA!$A63,DataQ!E:E)</f>
        <v>2474955.2999999998</v>
      </c>
      <c r="D63" s="7">
        <f>SUMIF(DataQ!$B:$B,DataA!$A63,DataQ!F:F)</f>
        <v>2475955</v>
      </c>
      <c r="E63" s="7">
        <f>SUMIF(DataQ!$B:$B,DataA!$A63,DataQ!G:G)</f>
        <v>2475955</v>
      </c>
      <c r="F63" s="7">
        <f>SUMIF(DataQ!$B:$B,DataA!$A63,DataQ!H:H)</f>
        <v>2490240.7000000002</v>
      </c>
      <c r="G63" s="7">
        <f>SUMIF(DataQ!$B:$B,DataA!$A63,DataQ!I:I)</f>
        <v>2493502.1999999997</v>
      </c>
      <c r="H63" s="7">
        <f>SUMIF(DataQ!$B:$B,DataA!$A63,DataQ!J:J)</f>
        <v>2493491.4</v>
      </c>
      <c r="I63" s="7">
        <f>SUMIF(DataQ!$B:$B,DataA!$A63,DataQ!K:K)</f>
        <v>2492921.4</v>
      </c>
      <c r="J63" s="7">
        <f>SUMIF(DataQ!$B:$B,DataA!$A63,DataQ!L:L)</f>
        <v>2494361.6000000001</v>
      </c>
      <c r="K63" s="7">
        <f>SUMIF(DataQ!$B:$B,DataA!$A63,DataQ!M:M)</f>
        <v>2494361.6000000001</v>
      </c>
      <c r="L63" s="7">
        <f>SUMIF(DataQ!$B:$B,DataA!$A63,DataQ!N:N)</f>
        <v>2501840.5</v>
      </c>
      <c r="M63" s="7">
        <f>SUMIF(DataQ!$B:$B,DataA!$A63,DataQ!O:O)</f>
        <v>2502339.7999999998</v>
      </c>
      <c r="N63" s="7">
        <f>SUMIF(DataQ!$B:$B,DataA!$A63,DataQ!P:P)</f>
        <v>2504052.6</v>
      </c>
      <c r="O63" s="7">
        <f>SUMIF(DataQ!$B:$B,DataA!$A63,DataQ!Q:Q)</f>
        <v>2508933.2000000002</v>
      </c>
      <c r="P63" s="7">
        <f>SUMIF(DataQ!$B:$B,DataA!$A63,DataQ!R:R)</f>
        <v>2509850.2999999998</v>
      </c>
      <c r="Q63" s="7">
        <f>SUMIF(DataQ!$B:$B,DataA!$A63,DataQ!S:S)</f>
        <v>2501905.9</v>
      </c>
      <c r="R63" s="7">
        <f>SUMIF(DataQ!$B:$B,DataA!$A63,DataQ!T:T)</f>
        <v>2502207.2999999998</v>
      </c>
      <c r="S63" s="7">
        <f>AVERAGEIF(DataQ!$B:$B,DataA!$A63,DataQ!U:U)</f>
        <v>797.01802499999997</v>
      </c>
      <c r="T63" s="7">
        <f>AVERAGEIF(DataQ!$B:$B,DataA!$A63,DataQ!V:V)</f>
        <v>149.307975</v>
      </c>
      <c r="U63" s="7">
        <f>AVERAGEIF(DataQ!$B:$B,DataA!$A63,DataQ!W:W)</f>
        <v>150.42685</v>
      </c>
      <c r="V63" s="7">
        <f>AVERAGEIF(DataQ!$B:$B,DataA!$A63,DataQ!X:X)</f>
        <v>125.30117499999999</v>
      </c>
      <c r="W63" s="7">
        <f>AVERAGEIF(DataQ!$B:$B,DataA!$A63,DataQ!Y:Y)</f>
        <v>169.16555</v>
      </c>
      <c r="X63" s="7">
        <f>AVERAGEIF(DataQ!$B:$B,DataA!$A63,DataQ!Z:Z)</f>
        <v>148.07617500000001</v>
      </c>
      <c r="Y63" s="7">
        <f>SUMIF(DataQ!$B:$B,DataA!$A63,DataQ!AA:AA)</f>
        <v>1488669</v>
      </c>
      <c r="Z63" s="7">
        <f>SUMIF(DataQ!$B:$B,DataA!$A63,DataQ!AB:AB)</f>
        <v>471031.60000000003</v>
      </c>
      <c r="AA63" s="7">
        <f>SUMIF(DataQ!$B:$B,DataA!$A63,DataQ!AC:AC)</f>
        <v>521612.9</v>
      </c>
      <c r="AB63" s="7">
        <f>SUMIF(DataQ!$B:$B,DataA!$A63,DataQ!AD:AD)</f>
        <v>774072</v>
      </c>
      <c r="AC63" s="7">
        <f>SUMIF(DataQ!$B:$B,DataA!$A63,DataQ!AE:AE)</f>
        <v>834078.9</v>
      </c>
      <c r="AD63" s="7">
        <f>AVERAGEIF(DataQ!$B:$B,DataA!$A63,DataQ!AF:AF)</f>
        <v>2.1064639999999999</v>
      </c>
      <c r="AE63" s="7">
        <f>AVERAGEIF(DataQ!$B:$B,DataA!$A63,DataQ!AG:AG)</f>
        <v>2.4334739999999999</v>
      </c>
    </row>
    <row r="64" spans="1:31" x14ac:dyDescent="0.25">
      <c r="A64" s="4">
        <f t="shared" si="1"/>
        <v>2030</v>
      </c>
      <c r="B64" s="7">
        <f>SUMIF(DataQ!$B:$B,DataA!$A64,DataQ!D:D)</f>
        <v>2535454.5</v>
      </c>
      <c r="C64" s="7">
        <f>SUMIF(DataQ!$B:$B,DataA!$A64,DataQ!E:E)</f>
        <v>2509974.1</v>
      </c>
      <c r="D64" s="7">
        <f>SUMIF(DataQ!$B:$B,DataA!$A64,DataQ!F:F)</f>
        <v>2510987.9</v>
      </c>
      <c r="E64" s="7">
        <f>SUMIF(DataQ!$B:$B,DataA!$A64,DataQ!G:G)</f>
        <v>2510987.9</v>
      </c>
      <c r="F64" s="7">
        <f>SUMIF(DataQ!$B:$B,DataA!$A64,DataQ!H:H)</f>
        <v>2528308.6</v>
      </c>
      <c r="G64" s="7">
        <f>SUMIF(DataQ!$B:$B,DataA!$A64,DataQ!I:I)</f>
        <v>2531809.2999999998</v>
      </c>
      <c r="H64" s="7">
        <f>SUMIF(DataQ!$B:$B,DataA!$A64,DataQ!J:J)</f>
        <v>2531798.2000000002</v>
      </c>
      <c r="I64" s="7">
        <f>SUMIF(DataQ!$B:$B,DataA!$A64,DataQ!K:K)</f>
        <v>2531219.4</v>
      </c>
      <c r="J64" s="7">
        <f>SUMIF(DataQ!$B:$B,DataA!$A64,DataQ!L:L)</f>
        <v>2532019.5</v>
      </c>
      <c r="K64" s="7">
        <f>SUMIF(DataQ!$B:$B,DataA!$A64,DataQ!M:M)</f>
        <v>2532019.5</v>
      </c>
      <c r="L64" s="7">
        <f>SUMIF(DataQ!$B:$B,DataA!$A64,DataQ!N:N)</f>
        <v>2539674.5999999996</v>
      </c>
      <c r="M64" s="7">
        <f>SUMIF(DataQ!$B:$B,DataA!$A64,DataQ!O:O)</f>
        <v>2540181.5</v>
      </c>
      <c r="N64" s="7">
        <f>SUMIF(DataQ!$B:$B,DataA!$A64,DataQ!P:P)</f>
        <v>2541983.2999999998</v>
      </c>
      <c r="O64" s="7">
        <f>SUMIF(DataQ!$B:$B,DataA!$A64,DataQ!Q:Q)</f>
        <v>2547159</v>
      </c>
      <c r="P64" s="7">
        <f>SUMIF(DataQ!$B:$B,DataA!$A64,DataQ!R:R)</f>
        <v>2548090.2000000002</v>
      </c>
      <c r="Q64" s="7">
        <f>SUMIF(DataQ!$B:$B,DataA!$A64,DataQ!S:S)</f>
        <v>2540087.7999999998</v>
      </c>
      <c r="R64" s="7">
        <f>SUMIF(DataQ!$B:$B,DataA!$A64,DataQ!T:T)</f>
        <v>2540330.6</v>
      </c>
      <c r="S64" s="7">
        <f>AVERAGEIF(DataQ!$B:$B,DataA!$A64,DataQ!U:U)</f>
        <v>818.97855000000004</v>
      </c>
      <c r="T64" s="7">
        <f>AVERAGEIF(DataQ!$B:$B,DataA!$A64,DataQ!V:V)</f>
        <v>152.29134999999999</v>
      </c>
      <c r="U64" s="7">
        <f>AVERAGEIF(DataQ!$B:$B,DataA!$A64,DataQ!W:W)</f>
        <v>152.59712500000001</v>
      </c>
      <c r="V64" s="7">
        <f>AVERAGEIF(DataQ!$B:$B,DataA!$A64,DataQ!X:X)</f>
        <v>125.20375</v>
      </c>
      <c r="W64" s="7">
        <f>AVERAGEIF(DataQ!$B:$B,DataA!$A64,DataQ!Y:Y)</f>
        <v>174.468975</v>
      </c>
      <c r="X64" s="7">
        <f>AVERAGEIF(DataQ!$B:$B,DataA!$A64,DataQ!Z:Z)</f>
        <v>151.22980000000001</v>
      </c>
      <c r="Y64" s="7">
        <f>SUMIF(DataQ!$B:$B,DataA!$A64,DataQ!AA:AA)</f>
        <v>1510681.7999999998</v>
      </c>
      <c r="Z64" s="7">
        <f>SUMIF(DataQ!$B:$B,DataA!$A64,DataQ!AB:AB)</f>
        <v>480564.3</v>
      </c>
      <c r="AA64" s="7">
        <f>SUMIF(DataQ!$B:$B,DataA!$A64,DataQ!AC:AC)</f>
        <v>529335.30000000005</v>
      </c>
      <c r="AB64" s="7">
        <f>SUMIF(DataQ!$B:$B,DataA!$A64,DataQ!AD:AD)</f>
        <v>787899.7</v>
      </c>
      <c r="AC64" s="7">
        <f>SUMIF(DataQ!$B:$B,DataA!$A64,DataQ!AE:AE)</f>
        <v>849949.6</v>
      </c>
      <c r="AD64" s="7">
        <f>AVERAGEIF(DataQ!$B:$B,DataA!$A64,DataQ!AF:AF)</f>
        <v>2.1064639999999999</v>
      </c>
      <c r="AE64" s="7">
        <f>AVERAGEIF(DataQ!$B:$B,DataA!$A64,DataQ!AG:AG)</f>
        <v>2.4334739999999999</v>
      </c>
    </row>
    <row r="65" spans="1:31" x14ac:dyDescent="0.25">
      <c r="A65" s="4">
        <f t="shared" si="1"/>
        <v>2031</v>
      </c>
      <c r="B65" s="7">
        <f>SUMIF(DataQ!$B:$B,DataA!$A65,DataQ!D:D)</f>
        <v>2573701</v>
      </c>
      <c r="C65" s="7">
        <f>SUMIF(DataQ!$B:$B,DataA!$A65,DataQ!E:E)</f>
        <v>2545618</v>
      </c>
      <c r="D65" s="7">
        <f>SUMIF(DataQ!$B:$B,DataA!$A65,DataQ!F:F)</f>
        <v>2546643.7999999998</v>
      </c>
      <c r="E65" s="7">
        <f>SUMIF(DataQ!$B:$B,DataA!$A65,DataQ!G:G)</f>
        <v>2546643.7999999998</v>
      </c>
      <c r="F65" s="7">
        <f>SUMIF(DataQ!$B:$B,DataA!$A65,DataQ!H:H)</f>
        <v>2566958.5</v>
      </c>
      <c r="G65" s="7">
        <f>SUMIF(DataQ!$B:$B,DataA!$A65,DataQ!I:I)</f>
        <v>2570544.5</v>
      </c>
      <c r="H65" s="7">
        <f>SUMIF(DataQ!$B:$B,DataA!$A65,DataQ!J:J)</f>
        <v>2570533.2999999998</v>
      </c>
      <c r="I65" s="7">
        <f>SUMIF(DataQ!$B:$B,DataA!$A65,DataQ!K:K)</f>
        <v>2569817.6</v>
      </c>
      <c r="J65" s="7">
        <f>SUMIF(DataQ!$B:$B,DataA!$A65,DataQ!L:L)</f>
        <v>2570246.2999999998</v>
      </c>
      <c r="K65" s="7">
        <f>SUMIF(DataQ!$B:$B,DataA!$A65,DataQ!M:M)</f>
        <v>2570246.2999999998</v>
      </c>
      <c r="L65" s="7">
        <f>SUMIF(DataQ!$B:$B,DataA!$A65,DataQ!N:N)</f>
        <v>2578145.5</v>
      </c>
      <c r="M65" s="7">
        <f>SUMIF(DataQ!$B:$B,DataA!$A65,DataQ!O:O)</f>
        <v>2578660.1</v>
      </c>
      <c r="N65" s="7">
        <f>SUMIF(DataQ!$B:$B,DataA!$A65,DataQ!P:P)</f>
        <v>2580489.1</v>
      </c>
      <c r="O65" s="7">
        <f>SUMIF(DataQ!$B:$B,DataA!$A65,DataQ!Q:Q)</f>
        <v>2585743.3000000003</v>
      </c>
      <c r="P65" s="7">
        <f>SUMIF(DataQ!$B:$B,DataA!$A65,DataQ!R:R)</f>
        <v>2586688.6</v>
      </c>
      <c r="Q65" s="7">
        <f>SUMIF(DataQ!$B:$B,DataA!$A65,DataQ!S:S)</f>
        <v>2578565</v>
      </c>
      <c r="R65" s="7">
        <f>SUMIF(DataQ!$B:$B,DataA!$A65,DataQ!T:T)</f>
        <v>2578650.5</v>
      </c>
      <c r="S65" s="7">
        <f>AVERAGEIF(DataQ!$B:$B,DataA!$A65,DataQ!U:U)</f>
        <v>842.05120000000011</v>
      </c>
      <c r="T65" s="7">
        <f>AVERAGEIF(DataQ!$B:$B,DataA!$A65,DataQ!V:V)</f>
        <v>155.3372</v>
      </c>
      <c r="U65" s="7">
        <f>AVERAGEIF(DataQ!$B:$B,DataA!$A65,DataQ!W:W)</f>
        <v>154.82782500000002</v>
      </c>
      <c r="V65" s="7">
        <f>AVERAGEIF(DataQ!$B:$B,DataA!$A65,DataQ!X:X)</f>
        <v>125.14464999999998</v>
      </c>
      <c r="W65" s="7">
        <f>AVERAGEIF(DataQ!$B:$B,DataA!$A65,DataQ!Y:Y)</f>
        <v>180.01239999999999</v>
      </c>
      <c r="X65" s="7">
        <f>AVERAGEIF(DataQ!$B:$B,DataA!$A65,DataQ!Z:Z)</f>
        <v>154.4425</v>
      </c>
      <c r="Y65" s="7">
        <f>SUMIF(DataQ!$B:$B,DataA!$A65,DataQ!AA:AA)</f>
        <v>1533078.7999999998</v>
      </c>
      <c r="Z65" s="7">
        <f>SUMIF(DataQ!$B:$B,DataA!$A65,DataQ!AB:AB)</f>
        <v>490799.89999999997</v>
      </c>
      <c r="AA65" s="7">
        <f>SUMIF(DataQ!$B:$B,DataA!$A65,DataQ!AC:AC)</f>
        <v>536932.30000000005</v>
      </c>
      <c r="AB65" s="7">
        <f>SUMIF(DataQ!$B:$B,DataA!$A65,DataQ!AD:AD)</f>
        <v>802569.3</v>
      </c>
      <c r="AC65" s="7">
        <f>SUMIF(DataQ!$B:$B,DataA!$A65,DataQ!AE:AE)</f>
        <v>867313.49999999988</v>
      </c>
      <c r="AD65" s="7">
        <f>AVERAGEIF(DataQ!$B:$B,DataA!$A65,DataQ!AF:AF)</f>
        <v>2.1064639999999999</v>
      </c>
      <c r="AE65" s="7">
        <f>AVERAGEIF(DataQ!$B:$B,DataA!$A65,DataQ!AG:AG)</f>
        <v>2.4334739999999999</v>
      </c>
    </row>
    <row r="66" spans="1:31" x14ac:dyDescent="0.25">
      <c r="A66" s="4">
        <f t="shared" si="1"/>
        <v>2032</v>
      </c>
      <c r="B66" s="7">
        <f>SUMIF(DataQ!$B:$B,DataA!$A66,DataQ!D:D)</f>
        <v>2612197.9</v>
      </c>
      <c r="C66" s="7">
        <f>SUMIF(DataQ!$B:$B,DataA!$A66,DataQ!E:E)</f>
        <v>2582151.6000000006</v>
      </c>
      <c r="D66" s="7">
        <f>SUMIF(DataQ!$B:$B,DataA!$A66,DataQ!F:F)</f>
        <v>2583188.4</v>
      </c>
      <c r="E66" s="7">
        <f>SUMIF(DataQ!$B:$B,DataA!$A66,DataQ!G:G)</f>
        <v>2583188.4</v>
      </c>
      <c r="F66" s="7">
        <f>SUMIF(DataQ!$B:$B,DataA!$A66,DataQ!H:H)</f>
        <v>2605938.2999999998</v>
      </c>
      <c r="G66" s="7">
        <f>SUMIF(DataQ!$B:$B,DataA!$A66,DataQ!I:I)</f>
        <v>2609448.7999999998</v>
      </c>
      <c r="H66" s="7">
        <f>SUMIF(DataQ!$B:$B,DataA!$A66,DataQ!J:J)</f>
        <v>2609437.5</v>
      </c>
      <c r="I66" s="7">
        <f>SUMIF(DataQ!$B:$B,DataA!$A66,DataQ!K:K)</f>
        <v>2608710.9</v>
      </c>
      <c r="J66" s="7">
        <f>SUMIF(DataQ!$B:$B,DataA!$A66,DataQ!L:L)</f>
        <v>2608691.4</v>
      </c>
      <c r="K66" s="7">
        <f>SUMIF(DataQ!$B:$B,DataA!$A66,DataQ!M:M)</f>
        <v>2608691.4</v>
      </c>
      <c r="L66" s="7">
        <f>SUMIF(DataQ!$B:$B,DataA!$A66,DataQ!N:N)</f>
        <v>2616806.2999999998</v>
      </c>
      <c r="M66" s="7">
        <f>SUMIF(DataQ!$B:$B,DataA!$A66,DataQ!O:O)</f>
        <v>2617328.6</v>
      </c>
      <c r="N66" s="7">
        <f>SUMIF(DataQ!$B:$B,DataA!$A66,DataQ!P:P)</f>
        <v>2619185.1</v>
      </c>
      <c r="O66" s="7">
        <f>SUMIF(DataQ!$B:$B,DataA!$A66,DataQ!Q:Q)</f>
        <v>2624518</v>
      </c>
      <c r="P66" s="7">
        <f>SUMIF(DataQ!$B:$B,DataA!$A66,DataQ!R:R)</f>
        <v>2625477.5</v>
      </c>
      <c r="Q66" s="7">
        <f>SUMIF(DataQ!$B:$B,DataA!$A66,DataQ!S:S)</f>
        <v>2617231.9000000004</v>
      </c>
      <c r="R66" s="7">
        <f>SUMIF(DataQ!$B:$B,DataA!$A66,DataQ!T:T)</f>
        <v>2617221.5</v>
      </c>
      <c r="S66" s="7">
        <f>AVERAGEIF(DataQ!$B:$B,DataA!$A66,DataQ!U:U)</f>
        <v>866.4547500000001</v>
      </c>
      <c r="T66" s="7">
        <f>AVERAGEIF(DataQ!$B:$B,DataA!$A66,DataQ!V:V)</f>
        <v>158.44392499999998</v>
      </c>
      <c r="U66" s="7">
        <f>AVERAGEIF(DataQ!$B:$B,DataA!$A66,DataQ!W:W)</f>
        <v>157.11804999999998</v>
      </c>
      <c r="V66" s="7">
        <f>AVERAGEIF(DataQ!$B:$B,DataA!$A66,DataQ!X:X)</f>
        <v>125.09252500000001</v>
      </c>
      <c r="W66" s="7">
        <f>AVERAGEIF(DataQ!$B:$B,DataA!$A66,DataQ!Y:Y)</f>
        <v>185.79872499999999</v>
      </c>
      <c r="X66" s="7">
        <f>AVERAGEIF(DataQ!$B:$B,DataA!$A66,DataQ!Z:Z)</f>
        <v>157.71482499999999</v>
      </c>
      <c r="Y66" s="7">
        <f>SUMIF(DataQ!$B:$B,DataA!$A66,DataQ!AA:AA)</f>
        <v>1555593.7</v>
      </c>
      <c r="Z66" s="7">
        <f>SUMIF(DataQ!$B:$B,DataA!$A66,DataQ!AB:AB)</f>
        <v>501265.7</v>
      </c>
      <c r="AA66" s="7">
        <f>SUMIF(DataQ!$B:$B,DataA!$A66,DataQ!AC:AC)</f>
        <v>544705.89999999991</v>
      </c>
      <c r="AB66" s="7">
        <f>SUMIF(DataQ!$B:$B,DataA!$A66,DataQ!AD:AD)</f>
        <v>818002</v>
      </c>
      <c r="AC66" s="7">
        <f>SUMIF(DataQ!$B:$B,DataA!$A66,DataQ!AE:AE)</f>
        <v>885813.4</v>
      </c>
      <c r="AD66" s="7">
        <f>AVERAGEIF(DataQ!$B:$B,DataA!$A66,DataQ!AF:AF)</f>
        <v>2.1064639999999999</v>
      </c>
      <c r="AE66" s="7">
        <f>AVERAGEIF(DataQ!$B:$B,DataA!$A66,DataQ!AG:AG)</f>
        <v>2.4334739999999999</v>
      </c>
    </row>
    <row r="67" spans="1:31" x14ac:dyDescent="0.25">
      <c r="A67" s="4">
        <f t="shared" si="1"/>
        <v>2033</v>
      </c>
      <c r="B67" s="7">
        <f>SUMIF(DataQ!$B:$B,DataA!$A67,DataQ!D:D)</f>
        <v>2651602.2999999998</v>
      </c>
      <c r="C67" s="7">
        <f>SUMIF(DataQ!$B:$B,DataA!$A67,DataQ!E:E)</f>
        <v>2619421.4</v>
      </c>
      <c r="D67" s="7">
        <f>SUMIF(DataQ!$B:$B,DataA!$A67,DataQ!F:F)</f>
        <v>2620469</v>
      </c>
      <c r="E67" s="7">
        <f>SUMIF(DataQ!$B:$B,DataA!$A67,DataQ!G:G)</f>
        <v>2620469</v>
      </c>
      <c r="F67" s="7">
        <f>SUMIF(DataQ!$B:$B,DataA!$A67,DataQ!H:H)</f>
        <v>2643900.8000000003</v>
      </c>
      <c r="G67" s="7">
        <f>SUMIF(DataQ!$B:$B,DataA!$A67,DataQ!I:I)</f>
        <v>2647451.2000000002</v>
      </c>
      <c r="H67" s="7">
        <f>SUMIF(DataQ!$B:$B,DataA!$A67,DataQ!J:J)</f>
        <v>2647432.9</v>
      </c>
      <c r="I67" s="7">
        <f>SUMIF(DataQ!$B:$B,DataA!$A67,DataQ!K:K)</f>
        <v>2646844.5</v>
      </c>
      <c r="J67" s="7">
        <f>SUMIF(DataQ!$B:$B,DataA!$A67,DataQ!L:L)</f>
        <v>2646824</v>
      </c>
      <c r="K67" s="7">
        <f>SUMIF(DataQ!$B:$B,DataA!$A67,DataQ!M:M)</f>
        <v>2646824</v>
      </c>
      <c r="L67" s="7">
        <f>SUMIF(DataQ!$B:$B,DataA!$A67,DataQ!N:N)</f>
        <v>2655362.9</v>
      </c>
      <c r="M67" s="7">
        <f>SUMIF(DataQ!$B:$B,DataA!$A67,DataQ!O:O)</f>
        <v>2655986.7000000002</v>
      </c>
      <c r="N67" s="7">
        <f>SUMIF(DataQ!$B:$B,DataA!$A67,DataQ!P:P)</f>
        <v>2657337.2000000002</v>
      </c>
      <c r="O67" s="7">
        <f>SUMIF(DataQ!$B:$B,DataA!$A67,DataQ!Q:Q)</f>
        <v>2663220.4000000004</v>
      </c>
      <c r="P67" s="7">
        <f>SUMIF(DataQ!$B:$B,DataA!$A67,DataQ!R:R)</f>
        <v>2664138.6</v>
      </c>
      <c r="Q67" s="7">
        <f>SUMIF(DataQ!$B:$B,DataA!$A67,DataQ!S:S)</f>
        <v>2655651.7000000002</v>
      </c>
      <c r="R67" s="7">
        <f>SUMIF(DataQ!$B:$B,DataA!$A67,DataQ!T:T)</f>
        <v>2656693.9</v>
      </c>
      <c r="S67" s="7">
        <f>AVERAGEIF(DataQ!$B:$B,DataA!$A67,DataQ!U:U)</f>
        <v>892.25827499999991</v>
      </c>
      <c r="T67" s="7">
        <f>AVERAGEIF(DataQ!$B:$B,DataA!$A67,DataQ!V:V)</f>
        <v>161.61279999999999</v>
      </c>
      <c r="U67" s="7">
        <f>AVERAGEIF(DataQ!$B:$B,DataA!$A67,DataQ!W:W)</f>
        <v>159.452575</v>
      </c>
      <c r="V67" s="7">
        <f>AVERAGEIF(DataQ!$B:$B,DataA!$A67,DataQ!X:X)</f>
        <v>125.05125</v>
      </c>
      <c r="W67" s="7">
        <f>AVERAGEIF(DataQ!$B:$B,DataA!$A67,DataQ!Y:Y)</f>
        <v>191.84004999999999</v>
      </c>
      <c r="X67" s="7">
        <f>AVERAGEIF(DataQ!$B:$B,DataA!$A67,DataQ!Z:Z)</f>
        <v>161.050825</v>
      </c>
      <c r="Y67" s="7">
        <f>SUMIF(DataQ!$B:$B,DataA!$A67,DataQ!AA:AA)</f>
        <v>1578695.8</v>
      </c>
      <c r="Z67" s="7">
        <f>SUMIF(DataQ!$B:$B,DataA!$A67,DataQ!AB:AB)</f>
        <v>512204.10000000003</v>
      </c>
      <c r="AA67" s="7">
        <f>SUMIF(DataQ!$B:$B,DataA!$A67,DataQ!AC:AC)</f>
        <v>552785.1</v>
      </c>
      <c r="AB67" s="7">
        <f>SUMIF(DataQ!$B:$B,DataA!$A67,DataQ!AD:AD)</f>
        <v>833367.5</v>
      </c>
      <c r="AC67" s="7">
        <f>SUMIF(DataQ!$B:$B,DataA!$A67,DataQ!AE:AE)</f>
        <v>904815.3</v>
      </c>
      <c r="AD67" s="7">
        <f>AVERAGEIF(DataQ!$B:$B,DataA!$A67,DataQ!AF:AF)</f>
        <v>2.1064639999999999</v>
      </c>
      <c r="AE67" s="7">
        <f>AVERAGEIF(DataQ!$B:$B,DataA!$A67,DataQ!AG:AG)</f>
        <v>2.4334739999999999</v>
      </c>
    </row>
    <row r="68" spans="1:31" x14ac:dyDescent="0.25">
      <c r="A68" s="4">
        <f t="shared" si="1"/>
        <v>2034</v>
      </c>
      <c r="B68" s="7">
        <f>SUMIF(DataQ!$B:$B,DataA!$A68,DataQ!D:D)</f>
        <v>2691359.7</v>
      </c>
      <c r="C68" s="7">
        <f>SUMIF(DataQ!$B:$B,DataA!$A68,DataQ!E:E)</f>
        <v>2657387.0999999996</v>
      </c>
      <c r="D68" s="7">
        <f>SUMIF(DataQ!$B:$B,DataA!$A68,DataQ!F:F)</f>
        <v>2658445.7000000002</v>
      </c>
      <c r="E68" s="7">
        <f>SUMIF(DataQ!$B:$B,DataA!$A68,DataQ!G:G)</f>
        <v>2658445.7000000002</v>
      </c>
      <c r="F68" s="7">
        <f>SUMIF(DataQ!$B:$B,DataA!$A68,DataQ!H:H)</f>
        <v>2681781.8000000003</v>
      </c>
      <c r="G68" s="7">
        <f>SUMIF(DataQ!$B:$B,DataA!$A68,DataQ!I:I)</f>
        <v>2685319.6</v>
      </c>
      <c r="H68" s="7">
        <f>SUMIF(DataQ!$B:$B,DataA!$A68,DataQ!J:J)</f>
        <v>2685251.9000000004</v>
      </c>
      <c r="I68" s="7">
        <f>SUMIF(DataQ!$B:$B,DataA!$A68,DataQ!K:K)</f>
        <v>2684701.6999999997</v>
      </c>
      <c r="J68" s="7">
        <f>SUMIF(DataQ!$B:$B,DataA!$A68,DataQ!L:L)</f>
        <v>2684738</v>
      </c>
      <c r="K68" s="7">
        <f>SUMIF(DataQ!$B:$B,DataA!$A68,DataQ!M:M)</f>
        <v>2684738</v>
      </c>
      <c r="L68" s="7">
        <f>SUMIF(DataQ!$B:$B,DataA!$A68,DataQ!N:N)</f>
        <v>2693685</v>
      </c>
      <c r="M68" s="7">
        <f>SUMIF(DataQ!$B:$B,DataA!$A68,DataQ!O:O)</f>
        <v>2694657.3000000003</v>
      </c>
      <c r="N68" s="7">
        <f>SUMIF(DataQ!$B:$B,DataA!$A68,DataQ!P:P)</f>
        <v>2695683.7</v>
      </c>
      <c r="O68" s="7">
        <f>SUMIF(DataQ!$B:$B,DataA!$A68,DataQ!Q:Q)</f>
        <v>2702262</v>
      </c>
      <c r="P68" s="7">
        <f>SUMIF(DataQ!$B:$B,DataA!$A68,DataQ!R:R)</f>
        <v>2703055.9</v>
      </c>
      <c r="Q68" s="7">
        <f>SUMIF(DataQ!$B:$B,DataA!$A68,DataQ!S:S)</f>
        <v>2694219.1</v>
      </c>
      <c r="R68" s="7">
        <f>SUMIF(DataQ!$B:$B,DataA!$A68,DataQ!T:T)</f>
        <v>2696514.2</v>
      </c>
      <c r="S68" s="7">
        <f>AVERAGEIF(DataQ!$B:$B,DataA!$A68,DataQ!U:U)</f>
        <v>919.39077499999996</v>
      </c>
      <c r="T68" s="7">
        <f>AVERAGEIF(DataQ!$B:$B,DataA!$A68,DataQ!V:V)</f>
        <v>164.84507499999998</v>
      </c>
      <c r="U68" s="7">
        <f>AVERAGEIF(DataQ!$B:$B,DataA!$A68,DataQ!W:W)</f>
        <v>161.81905</v>
      </c>
      <c r="V68" s="7">
        <f>AVERAGEIF(DataQ!$B:$B,DataA!$A68,DataQ!X:X)</f>
        <v>125.085425</v>
      </c>
      <c r="W68" s="7">
        <f>AVERAGEIF(DataQ!$B:$B,DataA!$A68,DataQ!Y:Y)</f>
        <v>198.21605</v>
      </c>
      <c r="X68" s="7">
        <f>AVERAGEIF(DataQ!$B:$B,DataA!$A68,DataQ!Z:Z)</f>
        <v>164.44797500000001</v>
      </c>
      <c r="Y68" s="7">
        <f>SUMIF(DataQ!$B:$B,DataA!$A68,DataQ!AA:AA)</f>
        <v>1602047.2</v>
      </c>
      <c r="Z68" s="7">
        <f>SUMIF(DataQ!$B:$B,DataA!$A68,DataQ!AB:AB)</f>
        <v>523389.4</v>
      </c>
      <c r="AA68" s="7">
        <f>SUMIF(DataQ!$B:$B,DataA!$A68,DataQ!AC:AC)</f>
        <v>560939.19999999995</v>
      </c>
      <c r="AB68" s="7">
        <f>SUMIF(DataQ!$B:$B,DataA!$A68,DataQ!AD:AD)</f>
        <v>848502.4</v>
      </c>
      <c r="AC68" s="7">
        <f>SUMIF(DataQ!$B:$B,DataA!$A68,DataQ!AE:AE)</f>
        <v>923806.1</v>
      </c>
      <c r="AD68" s="7">
        <f>AVERAGEIF(DataQ!$B:$B,DataA!$A68,DataQ!AF:AF)</f>
        <v>2.1064639999999999</v>
      </c>
      <c r="AE68" s="7">
        <f>AVERAGEIF(DataQ!$B:$B,DataA!$A68,DataQ!AG:AG)</f>
        <v>2.4334739999999999</v>
      </c>
    </row>
    <row r="69" spans="1:31" x14ac:dyDescent="0.25">
      <c r="A69" s="4">
        <f t="shared" si="1"/>
        <v>2035</v>
      </c>
      <c r="B69" s="7">
        <f>SUMIF(DataQ!$B:$B,DataA!$A69,DataQ!D:D)</f>
        <v>2731667</v>
      </c>
      <c r="C69" s="7">
        <f>SUMIF(DataQ!$B:$B,DataA!$A69,DataQ!E:E)</f>
        <v>2697183.3</v>
      </c>
      <c r="D69" s="7">
        <f>SUMIF(DataQ!$B:$B,DataA!$A69,DataQ!F:F)</f>
        <v>2698253</v>
      </c>
      <c r="E69" s="7">
        <f>SUMIF(DataQ!$B:$B,DataA!$A69,DataQ!G:G)</f>
        <v>2698253</v>
      </c>
      <c r="F69" s="7">
        <f>SUMIF(DataQ!$B:$B,DataA!$A69,DataQ!H:H)</f>
        <v>2720206.6000000006</v>
      </c>
      <c r="G69" s="7">
        <f>SUMIF(DataQ!$B:$B,DataA!$A69,DataQ!I:I)</f>
        <v>2723843.2</v>
      </c>
      <c r="H69" s="7">
        <f>SUMIF(DataQ!$B:$B,DataA!$A69,DataQ!J:J)</f>
        <v>2723744.5</v>
      </c>
      <c r="I69" s="7">
        <f>SUMIF(DataQ!$B:$B,DataA!$A69,DataQ!K:K)</f>
        <v>2723190.5</v>
      </c>
      <c r="J69" s="7">
        <f>SUMIF(DataQ!$B:$B,DataA!$A69,DataQ!L:L)</f>
        <v>2723286.3</v>
      </c>
      <c r="K69" s="7">
        <f>SUMIF(DataQ!$B:$B,DataA!$A69,DataQ!M:M)</f>
        <v>2723286.3</v>
      </c>
      <c r="L69" s="7">
        <f>SUMIF(DataQ!$B:$B,DataA!$A69,DataQ!N:N)</f>
        <v>2732657.4000000004</v>
      </c>
      <c r="M69" s="7">
        <f>SUMIF(DataQ!$B:$B,DataA!$A69,DataQ!O:O)</f>
        <v>2733897.5</v>
      </c>
      <c r="N69" s="7">
        <f>SUMIF(DataQ!$B:$B,DataA!$A69,DataQ!P:P)</f>
        <v>2735027.9</v>
      </c>
      <c r="O69" s="7">
        <f>SUMIF(DataQ!$B:$B,DataA!$A69,DataQ!Q:Q)</f>
        <v>2742575.3000000003</v>
      </c>
      <c r="P69" s="7">
        <f>SUMIF(DataQ!$B:$B,DataA!$A69,DataQ!R:R)</f>
        <v>2743583.7</v>
      </c>
      <c r="Q69" s="7">
        <f>SUMIF(DataQ!$B:$B,DataA!$A69,DataQ!S:S)</f>
        <v>2734448.3000000003</v>
      </c>
      <c r="R69" s="7">
        <f>SUMIF(DataQ!$B:$B,DataA!$A69,DataQ!T:T)</f>
        <v>2736883.4</v>
      </c>
      <c r="S69" s="7">
        <f>AVERAGEIF(DataQ!$B:$B,DataA!$A69,DataQ!U:U)</f>
        <v>947.77099999999996</v>
      </c>
      <c r="T69" s="7">
        <f>AVERAGEIF(DataQ!$B:$B,DataA!$A69,DataQ!V:V)</f>
        <v>168.14195000000001</v>
      </c>
      <c r="U69" s="7">
        <f>AVERAGEIF(DataQ!$B:$B,DataA!$A69,DataQ!W:W)</f>
        <v>164.22732500000001</v>
      </c>
      <c r="V69" s="7">
        <f>AVERAGEIF(DataQ!$B:$B,DataA!$A69,DataQ!X:X)</f>
        <v>125.22279999999999</v>
      </c>
      <c r="W69" s="7">
        <f>AVERAGEIF(DataQ!$B:$B,DataA!$A69,DataQ!Y:Y)</f>
        <v>205.02167499999999</v>
      </c>
      <c r="X69" s="7">
        <f>AVERAGEIF(DataQ!$B:$B,DataA!$A69,DataQ!Z:Z)</f>
        <v>167.900475</v>
      </c>
      <c r="Y69" s="7">
        <f>SUMIF(DataQ!$B:$B,DataA!$A69,DataQ!AA:AA)</f>
        <v>1625716.2999999998</v>
      </c>
      <c r="Z69" s="7">
        <f>SUMIF(DataQ!$B:$B,DataA!$A69,DataQ!AB:AB)</f>
        <v>534819.5</v>
      </c>
      <c r="AA69" s="7">
        <f>SUMIF(DataQ!$B:$B,DataA!$A69,DataQ!AC:AC)</f>
        <v>569204</v>
      </c>
      <c r="AB69" s="7">
        <f>SUMIF(DataQ!$B:$B,DataA!$A69,DataQ!AD:AD)</f>
        <v>863927.2</v>
      </c>
      <c r="AC69" s="7">
        <f>SUMIF(DataQ!$B:$B,DataA!$A69,DataQ!AE:AE)</f>
        <v>943199</v>
      </c>
      <c r="AD69" s="7">
        <f>AVERAGEIF(DataQ!$B:$B,DataA!$A69,DataQ!AF:AF)</f>
        <v>2.1064639999999999</v>
      </c>
      <c r="AE69" s="7">
        <f>AVERAGEIF(DataQ!$B:$B,DataA!$A69,DataQ!AG:AG)</f>
        <v>2.4334739999999999</v>
      </c>
    </row>
    <row r="70" spans="1:31" x14ac:dyDescent="0.25">
      <c r="A70" s="4">
        <f t="shared" si="1"/>
        <v>2036</v>
      </c>
      <c r="B70" s="7">
        <f>SUMIF(DataQ!$B:$B,DataA!$A70,DataQ!D:D)</f>
        <v>2773629.6</v>
      </c>
      <c r="C70" s="7">
        <f>SUMIF(DataQ!$B:$B,DataA!$A70,DataQ!E:E)</f>
        <v>2738441.6</v>
      </c>
      <c r="D70" s="7">
        <f>SUMIF(DataQ!$B:$B,DataA!$A70,DataQ!F:F)</f>
        <v>2739522.6</v>
      </c>
      <c r="E70" s="7">
        <f>SUMIF(DataQ!$B:$B,DataA!$A70,DataQ!G:G)</f>
        <v>2739522.6</v>
      </c>
      <c r="F70" s="7">
        <f>SUMIF(DataQ!$B:$B,DataA!$A70,DataQ!H:H)</f>
        <v>2760291.9</v>
      </c>
      <c r="G70" s="7">
        <f>SUMIF(DataQ!$B:$B,DataA!$A70,DataQ!I:I)</f>
        <v>2764036.5999999996</v>
      </c>
      <c r="H70" s="7">
        <f>SUMIF(DataQ!$B:$B,DataA!$A70,DataQ!J:J)</f>
        <v>2763934</v>
      </c>
      <c r="I70" s="7">
        <f>SUMIF(DataQ!$B:$B,DataA!$A70,DataQ!K:K)</f>
        <v>2763411.8000000003</v>
      </c>
      <c r="J70" s="7">
        <f>SUMIF(DataQ!$B:$B,DataA!$A70,DataQ!L:L)</f>
        <v>2763516.0999999996</v>
      </c>
      <c r="K70" s="7">
        <f>SUMIF(DataQ!$B:$B,DataA!$A70,DataQ!M:M)</f>
        <v>2763516.0999999996</v>
      </c>
      <c r="L70" s="7">
        <f>SUMIF(DataQ!$B:$B,DataA!$A70,DataQ!N:N)</f>
        <v>2773377.6</v>
      </c>
      <c r="M70" s="7">
        <f>SUMIF(DataQ!$B:$B,DataA!$A70,DataQ!O:O)</f>
        <v>2775009.0999999996</v>
      </c>
      <c r="N70" s="7">
        <f>SUMIF(DataQ!$B:$B,DataA!$A70,DataQ!P:P)</f>
        <v>2776127.4</v>
      </c>
      <c r="O70" s="7">
        <f>SUMIF(DataQ!$B:$B,DataA!$A70,DataQ!Q:Q)</f>
        <v>2784553.1</v>
      </c>
      <c r="P70" s="7">
        <f>SUMIF(DataQ!$B:$B,DataA!$A70,DataQ!R:R)</f>
        <v>2785971.3</v>
      </c>
      <c r="Q70" s="7">
        <f>SUMIF(DataQ!$B:$B,DataA!$A70,DataQ!S:S)</f>
        <v>2776583.6</v>
      </c>
      <c r="R70" s="7">
        <f>SUMIF(DataQ!$B:$B,DataA!$A70,DataQ!T:T)</f>
        <v>2778909.2</v>
      </c>
      <c r="S70" s="7">
        <f>AVERAGEIF(DataQ!$B:$B,DataA!$A70,DataQ!U:U)</f>
        <v>977.37555000000009</v>
      </c>
      <c r="T70" s="7">
        <f>AVERAGEIF(DataQ!$B:$B,DataA!$A70,DataQ!V:V)</f>
        <v>171.50479999999999</v>
      </c>
      <c r="U70" s="7">
        <f>AVERAGEIF(DataQ!$B:$B,DataA!$A70,DataQ!W:W)</f>
        <v>166.67827499999999</v>
      </c>
      <c r="V70" s="7">
        <f>AVERAGEIF(DataQ!$B:$B,DataA!$A70,DataQ!X:X)</f>
        <v>125.41305</v>
      </c>
      <c r="W70" s="7">
        <f>AVERAGEIF(DataQ!$B:$B,DataA!$A70,DataQ!Y:Y)</f>
        <v>212.15970000000002</v>
      </c>
      <c r="X70" s="7">
        <f>AVERAGEIF(DataQ!$B:$B,DataA!$A70,DataQ!Z:Z)</f>
        <v>171.41705000000002</v>
      </c>
      <c r="Y70" s="7">
        <f>SUMIF(DataQ!$B:$B,DataA!$A70,DataQ!AA:AA)</f>
        <v>1650360.9</v>
      </c>
      <c r="Z70" s="7">
        <f>SUMIF(DataQ!$B:$B,DataA!$A70,DataQ!AB:AB)</f>
        <v>546715.19999999995</v>
      </c>
      <c r="AA70" s="7">
        <f>SUMIF(DataQ!$B:$B,DataA!$A70,DataQ!AC:AC)</f>
        <v>577809.69999999995</v>
      </c>
      <c r="AB70" s="7">
        <f>SUMIF(DataQ!$B:$B,DataA!$A70,DataQ!AD:AD)</f>
        <v>879986.89999999991</v>
      </c>
      <c r="AC70" s="7">
        <f>SUMIF(DataQ!$B:$B,DataA!$A70,DataQ!AE:AE)</f>
        <v>963362.6</v>
      </c>
      <c r="AD70" s="7">
        <f>AVERAGEIF(DataQ!$B:$B,DataA!$A70,DataQ!AF:AF)</f>
        <v>2.1064639999999999</v>
      </c>
      <c r="AE70" s="7">
        <f>AVERAGEIF(DataQ!$B:$B,DataA!$A70,DataQ!AG:AG)</f>
        <v>2.4334739999999999</v>
      </c>
    </row>
    <row r="71" spans="1:31" x14ac:dyDescent="0.25">
      <c r="A71" s="4">
        <f t="shared" si="1"/>
        <v>2037</v>
      </c>
      <c r="B71" s="7">
        <f>SUMIF(DataQ!$B:$B,DataA!$A71,DataQ!D:D)</f>
        <v>2816739.6000000006</v>
      </c>
      <c r="C71" s="7">
        <f>SUMIF(DataQ!$B:$B,DataA!$A71,DataQ!E:E)</f>
        <v>2780564.3</v>
      </c>
      <c r="D71" s="7">
        <f>SUMIF(DataQ!$B:$B,DataA!$A71,DataQ!F:F)</f>
        <v>2781656.7</v>
      </c>
      <c r="E71" s="7">
        <f>SUMIF(DataQ!$B:$B,DataA!$A71,DataQ!G:G)</f>
        <v>2781656.7</v>
      </c>
      <c r="F71" s="7">
        <f>SUMIF(DataQ!$B:$B,DataA!$A71,DataQ!H:H)</f>
        <v>2801573.6</v>
      </c>
      <c r="G71" s="7">
        <f>SUMIF(DataQ!$B:$B,DataA!$A71,DataQ!I:I)</f>
        <v>2805380.6</v>
      </c>
      <c r="H71" s="7">
        <f>SUMIF(DataQ!$B:$B,DataA!$A71,DataQ!J:J)</f>
        <v>2805273.7</v>
      </c>
      <c r="I71" s="7">
        <f>SUMIF(DataQ!$B:$B,DataA!$A71,DataQ!K:K)</f>
        <v>2804782.8</v>
      </c>
      <c r="J71" s="7">
        <f>SUMIF(DataQ!$B:$B,DataA!$A71,DataQ!L:L)</f>
        <v>2804895.2</v>
      </c>
      <c r="K71" s="7">
        <f>SUMIF(DataQ!$B:$B,DataA!$A71,DataQ!M:M)</f>
        <v>2804895.2</v>
      </c>
      <c r="L71" s="7">
        <f>SUMIF(DataQ!$B:$B,DataA!$A71,DataQ!N:N)</f>
        <v>2815296.8</v>
      </c>
      <c r="M71" s="7">
        <f>SUMIF(DataQ!$B:$B,DataA!$A71,DataQ!O:O)</f>
        <v>2817342.8</v>
      </c>
      <c r="N71" s="7">
        <f>SUMIF(DataQ!$B:$B,DataA!$A71,DataQ!P:P)</f>
        <v>2818450.0999999996</v>
      </c>
      <c r="O71" s="7">
        <f>SUMIF(DataQ!$B:$B,DataA!$A71,DataQ!Q:Q)</f>
        <v>2827645.0000000005</v>
      </c>
      <c r="P71" s="7">
        <f>SUMIF(DataQ!$B:$B,DataA!$A71,DataQ!R:R)</f>
        <v>2829497.8</v>
      </c>
      <c r="Q71" s="7">
        <f>SUMIF(DataQ!$B:$B,DataA!$A71,DataQ!S:S)</f>
        <v>2819862.6</v>
      </c>
      <c r="R71" s="7">
        <f>SUMIF(DataQ!$B:$B,DataA!$A71,DataQ!T:T)</f>
        <v>2822083.1</v>
      </c>
      <c r="S71" s="7">
        <f>AVERAGEIF(DataQ!$B:$B,DataA!$A71,DataQ!U:U)</f>
        <v>1008.1872</v>
      </c>
      <c r="T71" s="7">
        <f>AVERAGEIF(DataQ!$B:$B,DataA!$A71,DataQ!V:V)</f>
        <v>174.93487500000001</v>
      </c>
      <c r="U71" s="7">
        <f>AVERAGEIF(DataQ!$B:$B,DataA!$A71,DataQ!W:W)</f>
        <v>169.16584999999998</v>
      </c>
      <c r="V71" s="7">
        <f>AVERAGEIF(DataQ!$B:$B,DataA!$A71,DataQ!X:X)</f>
        <v>125.60355</v>
      </c>
      <c r="W71" s="7">
        <f>AVERAGEIF(DataQ!$B:$B,DataA!$A71,DataQ!Y:Y)</f>
        <v>219.54625000000001</v>
      </c>
      <c r="X71" s="7">
        <f>AVERAGEIF(DataQ!$B:$B,DataA!$A71,DataQ!Z:Z)</f>
        <v>175.00727499999999</v>
      </c>
      <c r="Y71" s="7">
        <f>SUMIF(DataQ!$B:$B,DataA!$A71,DataQ!AA:AA)</f>
        <v>1675678.2</v>
      </c>
      <c r="Z71" s="7">
        <f>SUMIF(DataQ!$B:$B,DataA!$A71,DataQ!AB:AB)</f>
        <v>558984.6</v>
      </c>
      <c r="AA71" s="7">
        <f>SUMIF(DataQ!$B:$B,DataA!$A71,DataQ!AC:AC)</f>
        <v>586650.19999999995</v>
      </c>
      <c r="AB71" s="7">
        <f>SUMIF(DataQ!$B:$B,DataA!$A71,DataQ!AD:AD)</f>
        <v>896530.3</v>
      </c>
      <c r="AC71" s="7">
        <f>SUMIF(DataQ!$B:$B,DataA!$A71,DataQ!AE:AE)</f>
        <v>984142.5</v>
      </c>
      <c r="AD71" s="7">
        <f>AVERAGEIF(DataQ!$B:$B,DataA!$A71,DataQ!AF:AF)</f>
        <v>2.1064639999999999</v>
      </c>
      <c r="AE71" s="7">
        <f>AVERAGEIF(DataQ!$B:$B,DataA!$A71,DataQ!AG:AG)</f>
        <v>2.4334739999999999</v>
      </c>
    </row>
    <row r="72" spans="1:31" x14ac:dyDescent="0.25">
      <c r="A72" s="4">
        <f t="shared" si="1"/>
        <v>2038</v>
      </c>
      <c r="B72" s="7">
        <f>SUMIF(DataQ!$B:$B,DataA!$A72,DataQ!D:D)</f>
        <v>2861289.5</v>
      </c>
      <c r="C72" s="7">
        <f>SUMIF(DataQ!$B:$B,DataA!$A72,DataQ!E:E)</f>
        <v>2823563.4000000004</v>
      </c>
      <c r="D72" s="7">
        <f>SUMIF(DataQ!$B:$B,DataA!$A72,DataQ!F:F)</f>
        <v>2824667.6</v>
      </c>
      <c r="E72" s="7">
        <f>SUMIF(DataQ!$B:$B,DataA!$A72,DataQ!G:G)</f>
        <v>2824667.6</v>
      </c>
      <c r="F72" s="7">
        <f>SUMIF(DataQ!$B:$B,DataA!$A72,DataQ!H:H)</f>
        <v>2844333.9000000004</v>
      </c>
      <c r="G72" s="7">
        <f>SUMIF(DataQ!$B:$B,DataA!$A72,DataQ!I:I)</f>
        <v>2848159.4</v>
      </c>
      <c r="H72" s="7">
        <f>SUMIF(DataQ!$B:$B,DataA!$A72,DataQ!J:J)</f>
        <v>2848048.5</v>
      </c>
      <c r="I72" s="7">
        <f>SUMIF(DataQ!$B:$B,DataA!$A72,DataQ!K:K)</f>
        <v>2847587.5</v>
      </c>
      <c r="J72" s="7">
        <f>SUMIF(DataQ!$B:$B,DataA!$A72,DataQ!L:L)</f>
        <v>2847707.9000000004</v>
      </c>
      <c r="K72" s="7">
        <f>SUMIF(DataQ!$B:$B,DataA!$A72,DataQ!M:M)</f>
        <v>2847707.9000000004</v>
      </c>
      <c r="L72" s="7">
        <f>SUMIF(DataQ!$B:$B,DataA!$A72,DataQ!N:N)</f>
        <v>2858699.5</v>
      </c>
      <c r="M72" s="7">
        <f>SUMIF(DataQ!$B:$B,DataA!$A72,DataQ!O:O)</f>
        <v>2861185</v>
      </c>
      <c r="N72" s="7">
        <f>SUMIF(DataQ!$B:$B,DataA!$A72,DataQ!P:P)</f>
        <v>2862282.4000000004</v>
      </c>
      <c r="O72" s="7">
        <f>SUMIF(DataQ!$B:$B,DataA!$A72,DataQ!Q:Q)</f>
        <v>2872144.9</v>
      </c>
      <c r="P72" s="7">
        <f>SUMIF(DataQ!$B:$B,DataA!$A72,DataQ!R:R)</f>
        <v>2874456.9</v>
      </c>
      <c r="Q72" s="7">
        <f>SUMIF(DataQ!$B:$B,DataA!$A72,DataQ!S:S)</f>
        <v>2864578.0999999996</v>
      </c>
      <c r="R72" s="7">
        <f>SUMIF(DataQ!$B:$B,DataA!$A72,DataQ!T:T)</f>
        <v>2866697.8000000003</v>
      </c>
      <c r="S72" s="7">
        <f>AVERAGEIF(DataQ!$B:$B,DataA!$A72,DataQ!U:U)</f>
        <v>1040.1685000000002</v>
      </c>
      <c r="T72" s="7">
        <f>AVERAGEIF(DataQ!$B:$B,DataA!$A72,DataQ!V:V)</f>
        <v>178.43359999999998</v>
      </c>
      <c r="U72" s="7">
        <f>AVERAGEIF(DataQ!$B:$B,DataA!$A72,DataQ!W:W)</f>
        <v>171.69049999999999</v>
      </c>
      <c r="V72" s="7">
        <f>AVERAGEIF(DataQ!$B:$B,DataA!$A72,DataQ!X:X)</f>
        <v>125.794375</v>
      </c>
      <c r="W72" s="7">
        <f>AVERAGEIF(DataQ!$B:$B,DataA!$A72,DataQ!Y:Y)</f>
        <v>227.19</v>
      </c>
      <c r="X72" s="7">
        <f>AVERAGEIF(DataQ!$B:$B,DataA!$A72,DataQ!Z:Z)</f>
        <v>178.67275000000001</v>
      </c>
      <c r="Y72" s="7">
        <f>SUMIF(DataQ!$B:$B,DataA!$A72,DataQ!AA:AA)</f>
        <v>1701841.9</v>
      </c>
      <c r="Z72" s="7">
        <f>SUMIF(DataQ!$B:$B,DataA!$A72,DataQ!AB:AB)</f>
        <v>571692.80000000005</v>
      </c>
      <c r="AA72" s="7">
        <f>SUMIF(DataQ!$B:$B,DataA!$A72,DataQ!AC:AC)</f>
        <v>595786.30000000005</v>
      </c>
      <c r="AB72" s="7">
        <f>SUMIF(DataQ!$B:$B,DataA!$A72,DataQ!AD:AD)</f>
        <v>913653.5</v>
      </c>
      <c r="AC72" s="7">
        <f>SUMIF(DataQ!$B:$B,DataA!$A72,DataQ!AE:AE)</f>
        <v>1005646.5</v>
      </c>
      <c r="AD72" s="7">
        <f>AVERAGEIF(DataQ!$B:$B,DataA!$A72,DataQ!AF:AF)</f>
        <v>2.1064639999999999</v>
      </c>
      <c r="AE72" s="7">
        <f>AVERAGEIF(DataQ!$B:$B,DataA!$A72,DataQ!AG:AG)</f>
        <v>2.4334739999999999</v>
      </c>
    </row>
    <row r="73" spans="1:31" x14ac:dyDescent="0.25">
      <c r="A73" s="4">
        <f t="shared" si="1"/>
        <v>2039</v>
      </c>
      <c r="B73" s="7">
        <f>SUMIF(DataQ!$B:$B,DataA!$A73,DataQ!D:D)</f>
        <v>2907104.9</v>
      </c>
      <c r="C73" s="7">
        <f>SUMIF(DataQ!$B:$B,DataA!$A73,DataQ!E:E)</f>
        <v>2867461.9</v>
      </c>
      <c r="D73" s="7">
        <f>SUMIF(DataQ!$B:$B,DataA!$A73,DataQ!F:F)</f>
        <v>2868577.4</v>
      </c>
      <c r="E73" s="7">
        <f>SUMIF(DataQ!$B:$B,DataA!$A73,DataQ!G:G)</f>
        <v>2868577.4</v>
      </c>
      <c r="F73" s="7">
        <f>SUMIF(DataQ!$B:$B,DataA!$A73,DataQ!H:H)</f>
        <v>2888392.9</v>
      </c>
      <c r="G73" s="7">
        <f>SUMIF(DataQ!$B:$B,DataA!$A73,DataQ!I:I)</f>
        <v>2892194.4999999995</v>
      </c>
      <c r="H73" s="7">
        <f>SUMIF(DataQ!$B:$B,DataA!$A73,DataQ!J:J)</f>
        <v>2892079.5</v>
      </c>
      <c r="I73" s="7">
        <f>SUMIF(DataQ!$B:$B,DataA!$A73,DataQ!K:K)</f>
        <v>2891647.8999999994</v>
      </c>
      <c r="J73" s="7">
        <f>SUMIF(DataQ!$B:$B,DataA!$A73,DataQ!L:L)</f>
        <v>2891776.1</v>
      </c>
      <c r="K73" s="7">
        <f>SUMIF(DataQ!$B:$B,DataA!$A73,DataQ!M:M)</f>
        <v>2891776.1</v>
      </c>
      <c r="L73" s="7">
        <f>SUMIF(DataQ!$B:$B,DataA!$A73,DataQ!N:N)</f>
        <v>2903405.6</v>
      </c>
      <c r="M73" s="7">
        <f>SUMIF(DataQ!$B:$B,DataA!$A73,DataQ!O:O)</f>
        <v>2906358.5999999996</v>
      </c>
      <c r="N73" s="7">
        <f>SUMIF(DataQ!$B:$B,DataA!$A73,DataQ!P:P)</f>
        <v>2907447.5999999996</v>
      </c>
      <c r="O73" s="7">
        <f>SUMIF(DataQ!$B:$B,DataA!$A73,DataQ!Q:Q)</f>
        <v>2917879.1000000006</v>
      </c>
      <c r="P73" s="7">
        <f>SUMIF(DataQ!$B:$B,DataA!$A73,DataQ!R:R)</f>
        <v>2920674.7</v>
      </c>
      <c r="Q73" s="7">
        <f>SUMIF(DataQ!$B:$B,DataA!$A73,DataQ!S:S)</f>
        <v>2910556.1999999997</v>
      </c>
      <c r="R73" s="7">
        <f>SUMIF(DataQ!$B:$B,DataA!$A73,DataQ!T:T)</f>
        <v>2912579.3</v>
      </c>
      <c r="S73" s="7">
        <f>AVERAGEIF(DataQ!$B:$B,DataA!$A73,DataQ!U:U)</f>
        <v>1073.4692500000001</v>
      </c>
      <c r="T73" s="7">
        <f>AVERAGEIF(DataQ!$B:$B,DataA!$A73,DataQ!V:V)</f>
        <v>182.002275</v>
      </c>
      <c r="U73" s="7">
        <f>AVERAGEIF(DataQ!$B:$B,DataA!$A73,DataQ!W:W)</f>
        <v>174.25285</v>
      </c>
      <c r="V73" s="7">
        <f>AVERAGEIF(DataQ!$B:$B,DataA!$A73,DataQ!X:X)</f>
        <v>125.9855</v>
      </c>
      <c r="W73" s="7">
        <f>AVERAGEIF(DataQ!$B:$B,DataA!$A73,DataQ!Y:Y)</f>
        <v>235.099875</v>
      </c>
      <c r="X73" s="7">
        <f>AVERAGEIF(DataQ!$B:$B,DataA!$A73,DataQ!Z:Z)</f>
        <v>182.41499999999999</v>
      </c>
      <c r="Y73" s="7">
        <f>SUMIF(DataQ!$B:$B,DataA!$A73,DataQ!AA:AA)</f>
        <v>1728756.4</v>
      </c>
      <c r="Z73" s="7">
        <f>SUMIF(DataQ!$B:$B,DataA!$A73,DataQ!AB:AB)</f>
        <v>584812.5</v>
      </c>
      <c r="AA73" s="7">
        <f>SUMIF(DataQ!$B:$B,DataA!$A73,DataQ!AC:AC)</f>
        <v>605190.40000000002</v>
      </c>
      <c r="AB73" s="7">
        <f>SUMIF(DataQ!$B:$B,DataA!$A73,DataQ!AD:AD)</f>
        <v>931308.2</v>
      </c>
      <c r="AC73" s="7">
        <f>SUMIF(DataQ!$B:$B,DataA!$A73,DataQ!AE:AE)</f>
        <v>1027828.5</v>
      </c>
      <c r="AD73" s="7">
        <f>AVERAGEIF(DataQ!$B:$B,DataA!$A73,DataQ!AF:AF)</f>
        <v>2.1064639999999999</v>
      </c>
      <c r="AE73" s="7">
        <f>AVERAGEIF(DataQ!$B:$B,DataA!$A73,DataQ!AG:AG)</f>
        <v>2.4334739999999999</v>
      </c>
    </row>
    <row r="74" spans="1:31" x14ac:dyDescent="0.25">
      <c r="A74" s="4">
        <f t="shared" si="1"/>
        <v>2040</v>
      </c>
      <c r="B74" s="7">
        <f>SUMIF(DataQ!$B:$B,DataA!$A74,DataQ!D:D)</f>
        <v>2953791.9</v>
      </c>
      <c r="C74" s="7">
        <f>SUMIF(DataQ!$B:$B,DataA!$A74,DataQ!E:E)</f>
        <v>2912220.2</v>
      </c>
      <c r="D74" s="7">
        <f>SUMIF(DataQ!$B:$B,DataA!$A74,DataQ!F:F)</f>
        <v>2913347.3</v>
      </c>
      <c r="E74" s="7">
        <f>SUMIF(DataQ!$B:$B,DataA!$A74,DataQ!G:G)</f>
        <v>2913347.3</v>
      </c>
      <c r="F74" s="7">
        <f>SUMIF(DataQ!$B:$B,DataA!$A74,DataQ!H:H)</f>
        <v>2933353.2</v>
      </c>
      <c r="G74" s="7">
        <f>SUMIF(DataQ!$B:$B,DataA!$A74,DataQ!I:I)</f>
        <v>2937089.2</v>
      </c>
      <c r="H74" s="7">
        <f>SUMIF(DataQ!$B:$B,DataA!$A74,DataQ!J:J)</f>
        <v>2936970.3</v>
      </c>
      <c r="I74" s="7">
        <f>SUMIF(DataQ!$B:$B,DataA!$A74,DataQ!K:K)</f>
        <v>2936567.2</v>
      </c>
      <c r="J74" s="7">
        <f>SUMIF(DataQ!$B:$B,DataA!$A74,DataQ!L:L)</f>
        <v>2936702.8000000003</v>
      </c>
      <c r="K74" s="7">
        <f>SUMIF(DataQ!$B:$B,DataA!$A74,DataQ!M:M)</f>
        <v>2936702.8000000003</v>
      </c>
      <c r="L74" s="7">
        <f>SUMIF(DataQ!$B:$B,DataA!$A74,DataQ!N:N)</f>
        <v>2949015.1</v>
      </c>
      <c r="M74" s="7">
        <f>SUMIF(DataQ!$B:$B,DataA!$A74,DataQ!O:O)</f>
        <v>2952467.4</v>
      </c>
      <c r="N74" s="7">
        <f>SUMIF(DataQ!$B:$B,DataA!$A74,DataQ!P:P)</f>
        <v>2953548.8</v>
      </c>
      <c r="O74" s="7">
        <f>SUMIF(DataQ!$B:$B,DataA!$A74,DataQ!Q:Q)</f>
        <v>2964453.0999999996</v>
      </c>
      <c r="P74" s="7">
        <f>SUMIF(DataQ!$B:$B,DataA!$A74,DataQ!R:R)</f>
        <v>2967756.3000000003</v>
      </c>
      <c r="Q74" s="7">
        <f>SUMIF(DataQ!$B:$B,DataA!$A74,DataQ!S:S)</f>
        <v>2957402.5</v>
      </c>
      <c r="R74" s="7">
        <f>SUMIF(DataQ!$B:$B,DataA!$A74,DataQ!T:T)</f>
        <v>2959332.5</v>
      </c>
      <c r="S74" s="7">
        <f>AVERAGEIF(DataQ!$B:$B,DataA!$A74,DataQ!U:U)</f>
        <v>1107.9347499999999</v>
      </c>
      <c r="T74" s="7">
        <f>AVERAGEIF(DataQ!$B:$B,DataA!$A74,DataQ!V:V)</f>
        <v>185.642325</v>
      </c>
      <c r="U74" s="7">
        <f>AVERAGEIF(DataQ!$B:$B,DataA!$A74,DataQ!W:W)</f>
        <v>176.85342499999999</v>
      </c>
      <c r="V74" s="7">
        <f>AVERAGEIF(DataQ!$B:$B,DataA!$A74,DataQ!X:X)</f>
        <v>126.17689999999999</v>
      </c>
      <c r="W74" s="7">
        <f>AVERAGEIF(DataQ!$B:$B,DataA!$A74,DataQ!Y:Y)</f>
        <v>243.28507500000001</v>
      </c>
      <c r="X74" s="7">
        <f>AVERAGEIF(DataQ!$B:$B,DataA!$A74,DataQ!Z:Z)</f>
        <v>186.23560000000001</v>
      </c>
      <c r="Y74" s="7">
        <f>SUMIF(DataQ!$B:$B,DataA!$A74,DataQ!AA:AA)</f>
        <v>1756458.7</v>
      </c>
      <c r="Z74" s="7">
        <f>SUMIF(DataQ!$B:$B,DataA!$A74,DataQ!AB:AB)</f>
        <v>597360.80000000005</v>
      </c>
      <c r="AA74" s="7">
        <f>SUMIF(DataQ!$B:$B,DataA!$A74,DataQ!AC:AC)</f>
        <v>614959</v>
      </c>
      <c r="AB74" s="7">
        <f>SUMIF(DataQ!$B:$B,DataA!$A74,DataQ!AD:AD)</f>
        <v>949559.2</v>
      </c>
      <c r="AC74" s="7">
        <f>SUMIF(DataQ!$B:$B,DataA!$A74,DataQ!AE:AE)</f>
        <v>1050466</v>
      </c>
      <c r="AD74" s="7">
        <f>AVERAGEIF(DataQ!$B:$B,DataA!$A74,DataQ!AF:AF)</f>
        <v>2.1064639999999999</v>
      </c>
      <c r="AE74" s="7">
        <f>AVERAGEIF(DataQ!$B:$B,DataA!$A74,DataQ!AG:AG)</f>
        <v>2.4334739999999999</v>
      </c>
    </row>
    <row r="75" spans="1:31" x14ac:dyDescent="0.25">
      <c r="A75" s="4">
        <f t="shared" si="1"/>
        <v>2041</v>
      </c>
      <c r="B75" s="7">
        <f>SUMIF(DataQ!$B:$B,DataA!$A75,DataQ!D:D)</f>
        <v>3000395.5</v>
      </c>
      <c r="C75" s="7">
        <f>SUMIF(DataQ!$B:$B,DataA!$A75,DataQ!E:E)</f>
        <v>2957085.3</v>
      </c>
      <c r="D75" s="7">
        <f>SUMIF(DataQ!$B:$B,DataA!$A75,DataQ!F:F)</f>
        <v>2958223.7</v>
      </c>
      <c r="E75" s="7">
        <f>SUMIF(DataQ!$B:$B,DataA!$A75,DataQ!G:G)</f>
        <v>2958223.7</v>
      </c>
      <c r="F75" s="7">
        <f>SUMIF(DataQ!$B:$B,DataA!$A75,DataQ!H:H)</f>
        <v>2978447.9</v>
      </c>
      <c r="G75" s="7">
        <f>SUMIF(DataQ!$B:$B,DataA!$A75,DataQ!I:I)</f>
        <v>2982078</v>
      </c>
      <c r="H75" s="7">
        <f>SUMIF(DataQ!$B:$B,DataA!$A75,DataQ!J:J)</f>
        <v>2981955.5999999996</v>
      </c>
      <c r="I75" s="7">
        <f>SUMIF(DataQ!$B:$B,DataA!$A75,DataQ!K:K)</f>
        <v>2981582.1999999997</v>
      </c>
      <c r="J75" s="7">
        <f>SUMIF(DataQ!$B:$B,DataA!$A75,DataQ!L:L)</f>
        <v>2981725.3</v>
      </c>
      <c r="K75" s="7">
        <f>SUMIF(DataQ!$B:$B,DataA!$A75,DataQ!M:M)</f>
        <v>2981725.3</v>
      </c>
      <c r="L75" s="7">
        <f>SUMIF(DataQ!$B:$B,DataA!$A75,DataQ!N:N)</f>
        <v>2994757.5</v>
      </c>
      <c r="M75" s="7">
        <f>SUMIF(DataQ!$B:$B,DataA!$A75,DataQ!O:O)</f>
        <v>2998627</v>
      </c>
      <c r="N75" s="7">
        <f>SUMIF(DataQ!$B:$B,DataA!$A75,DataQ!P:P)</f>
        <v>2999701.3999999994</v>
      </c>
      <c r="O75" s="7">
        <f>SUMIF(DataQ!$B:$B,DataA!$A75,DataQ!Q:Q)</f>
        <v>3010988.8</v>
      </c>
      <c r="P75" s="7">
        <f>SUMIF(DataQ!$B:$B,DataA!$A75,DataQ!R:R)</f>
        <v>3014742.5</v>
      </c>
      <c r="Q75" s="7">
        <f>SUMIF(DataQ!$B:$B,DataA!$A75,DataQ!S:S)</f>
        <v>3004159.9</v>
      </c>
      <c r="R75" s="7">
        <f>SUMIF(DataQ!$B:$B,DataA!$A75,DataQ!T:T)</f>
        <v>3006001.2</v>
      </c>
      <c r="S75" s="7">
        <f>AVERAGEIF(DataQ!$B:$B,DataA!$A75,DataQ!U:U)</f>
        <v>1143.5614999999998</v>
      </c>
      <c r="T75" s="7">
        <f>AVERAGEIF(DataQ!$B:$B,DataA!$A75,DataQ!V:V)</f>
        <v>189.35515000000001</v>
      </c>
      <c r="U75" s="7">
        <f>AVERAGEIF(DataQ!$B:$B,DataA!$A75,DataQ!W:W)</f>
        <v>179.49282500000001</v>
      </c>
      <c r="V75" s="7">
        <f>AVERAGEIF(DataQ!$B:$B,DataA!$A75,DataQ!X:X)</f>
        <v>126.3686</v>
      </c>
      <c r="W75" s="7">
        <f>AVERAGEIF(DataQ!$B:$B,DataA!$A75,DataQ!Y:Y)</f>
        <v>251.755325</v>
      </c>
      <c r="X75" s="7">
        <f>AVERAGEIF(DataQ!$B:$B,DataA!$A75,DataQ!Z:Z)</f>
        <v>190.136225</v>
      </c>
      <c r="Y75" s="7">
        <f>SUMIF(DataQ!$B:$B,DataA!$A75,DataQ!AA:AA)</f>
        <v>1784242.4</v>
      </c>
      <c r="Z75" s="7">
        <f>SUMIF(DataQ!$B:$B,DataA!$A75,DataQ!AB:AB)</f>
        <v>609460.89999999991</v>
      </c>
      <c r="AA75" s="7">
        <f>SUMIF(DataQ!$B:$B,DataA!$A75,DataQ!AC:AC)</f>
        <v>624785.80000000005</v>
      </c>
      <c r="AB75" s="7">
        <f>SUMIF(DataQ!$B:$B,DataA!$A75,DataQ!AD:AD)</f>
        <v>968242.7</v>
      </c>
      <c r="AC75" s="7">
        <f>SUMIF(DataQ!$B:$B,DataA!$A75,DataQ!AE:AE)</f>
        <v>1073278</v>
      </c>
      <c r="AD75" s="7">
        <f>AVERAGEIF(DataQ!$B:$B,DataA!$A75,DataQ!AF:AF)</f>
        <v>2.1064639999999999</v>
      </c>
      <c r="AE75" s="7">
        <f>AVERAGEIF(DataQ!$B:$B,DataA!$A75,DataQ!AG:AG)</f>
        <v>2.4334739999999999</v>
      </c>
    </row>
    <row r="76" spans="1:31" x14ac:dyDescent="0.25">
      <c r="A76" s="4">
        <f t="shared" si="1"/>
        <v>2042</v>
      </c>
      <c r="B76" s="7">
        <f>SUMIF(DataQ!$B:$B,DataA!$A76,DataQ!D:D)</f>
        <v>3047095.1</v>
      </c>
      <c r="C76" s="7">
        <f>SUMIF(DataQ!$B:$B,DataA!$A76,DataQ!E:E)</f>
        <v>3002157.4</v>
      </c>
      <c r="D76" s="7">
        <f>SUMIF(DataQ!$B:$B,DataA!$A76,DataQ!F:F)</f>
        <v>3003306.5</v>
      </c>
      <c r="E76" s="7">
        <f>SUMIF(DataQ!$B:$B,DataA!$A76,DataQ!G:G)</f>
        <v>3003306.5</v>
      </c>
      <c r="F76" s="7">
        <f>SUMIF(DataQ!$B:$B,DataA!$A76,DataQ!H:H)</f>
        <v>3023788.3</v>
      </c>
      <c r="G76" s="7">
        <f>SUMIF(DataQ!$B:$B,DataA!$A76,DataQ!I:I)</f>
        <v>3027274.1000000006</v>
      </c>
      <c r="H76" s="7">
        <f>SUMIF(DataQ!$B:$B,DataA!$A76,DataQ!J:J)</f>
        <v>3027148.1</v>
      </c>
      <c r="I76" s="7">
        <f>SUMIF(DataQ!$B:$B,DataA!$A76,DataQ!K:K)</f>
        <v>3026804.3000000003</v>
      </c>
      <c r="J76" s="7">
        <f>SUMIF(DataQ!$B:$B,DataA!$A76,DataQ!L:L)</f>
        <v>3026954.3</v>
      </c>
      <c r="K76" s="7">
        <f>SUMIF(DataQ!$B:$B,DataA!$A76,DataQ!M:M)</f>
        <v>3026954.3</v>
      </c>
      <c r="L76" s="7">
        <f>SUMIF(DataQ!$B:$B,DataA!$A76,DataQ!N:N)</f>
        <v>3040742.2</v>
      </c>
      <c r="M76" s="7">
        <f>SUMIF(DataQ!$B:$B,DataA!$A76,DataQ!O:O)</f>
        <v>3044985.8</v>
      </c>
      <c r="N76" s="7">
        <f>SUMIF(DataQ!$B:$B,DataA!$A76,DataQ!P:P)</f>
        <v>3046053.8</v>
      </c>
      <c r="O76" s="7">
        <f>SUMIF(DataQ!$B:$B,DataA!$A76,DataQ!Q:Q)</f>
        <v>3057640.9000000004</v>
      </c>
      <c r="P76" s="7">
        <f>SUMIF(DataQ!$B:$B,DataA!$A76,DataQ!R:R)</f>
        <v>3061813.7</v>
      </c>
      <c r="Q76" s="7">
        <f>SUMIF(DataQ!$B:$B,DataA!$A76,DataQ!S:S)</f>
        <v>3051008.2</v>
      </c>
      <c r="R76" s="7">
        <f>SUMIF(DataQ!$B:$B,DataA!$A76,DataQ!T:T)</f>
        <v>3052765</v>
      </c>
      <c r="S76" s="7">
        <f>AVERAGEIF(DataQ!$B:$B,DataA!$A76,DataQ!U:U)</f>
        <v>1180.3787500000001</v>
      </c>
      <c r="T76" s="7">
        <f>AVERAGEIF(DataQ!$B:$B,DataA!$A76,DataQ!V:V)</f>
        <v>193.14225000000002</v>
      </c>
      <c r="U76" s="7">
        <f>AVERAGEIF(DataQ!$B:$B,DataA!$A76,DataQ!W:W)</f>
        <v>182.17162500000001</v>
      </c>
      <c r="V76" s="7">
        <f>AVERAGEIF(DataQ!$B:$B,DataA!$A76,DataQ!X:X)</f>
        <v>126.560575</v>
      </c>
      <c r="W76" s="7">
        <f>AVERAGEIF(DataQ!$B:$B,DataA!$A76,DataQ!Y:Y)</f>
        <v>260.52042499999999</v>
      </c>
      <c r="X76" s="7">
        <f>AVERAGEIF(DataQ!$B:$B,DataA!$A76,DataQ!Z:Z)</f>
        <v>194.11860000000001</v>
      </c>
      <c r="Y76" s="7">
        <f>SUMIF(DataQ!$B:$B,DataA!$A76,DataQ!AA:AA)</f>
        <v>1812085.3</v>
      </c>
      <c r="Z76" s="7">
        <f>SUMIF(DataQ!$B:$B,DataA!$A76,DataQ!AB:AB)</f>
        <v>621679.6</v>
      </c>
      <c r="AA76" s="7">
        <f>SUMIF(DataQ!$B:$B,DataA!$A76,DataQ!AC:AC)</f>
        <v>634636.80000000005</v>
      </c>
      <c r="AB76" s="7">
        <f>SUMIF(DataQ!$B:$B,DataA!$A76,DataQ!AD:AD)</f>
        <v>987118.4</v>
      </c>
      <c r="AC76" s="7">
        <f>SUMIF(DataQ!$B:$B,DataA!$A76,DataQ!AE:AE)</f>
        <v>1096388.7000000002</v>
      </c>
      <c r="AD76" s="7">
        <f>AVERAGEIF(DataQ!$B:$B,DataA!$A76,DataQ!AF:AF)</f>
        <v>2.1064639999999999</v>
      </c>
      <c r="AE76" s="7">
        <f>AVERAGEIF(DataQ!$B:$B,DataA!$A76,DataQ!AG:AG)</f>
        <v>2.4334739999999999</v>
      </c>
    </row>
    <row r="77" spans="1:31" x14ac:dyDescent="0.25">
      <c r="A77" s="4">
        <f t="shared" si="1"/>
        <v>2043</v>
      </c>
      <c r="B77" s="7">
        <f>SUMIF(DataQ!$B:$B,DataA!$A77,DataQ!D:D)</f>
        <v>3094296.8</v>
      </c>
      <c r="C77" s="7">
        <f>SUMIF(DataQ!$B:$B,DataA!$A77,DataQ!E:E)</f>
        <v>3047719.1</v>
      </c>
      <c r="D77" s="7">
        <f>SUMIF(DataQ!$B:$B,DataA!$A77,DataQ!F:F)</f>
        <v>3048879.0000000005</v>
      </c>
      <c r="E77" s="7">
        <f>SUMIF(DataQ!$B:$B,DataA!$A77,DataQ!G:G)</f>
        <v>3048879.0000000005</v>
      </c>
      <c r="F77" s="7">
        <f>SUMIF(DataQ!$B:$B,DataA!$A77,DataQ!H:H)</f>
        <v>3069663.6000000006</v>
      </c>
      <c r="G77" s="7">
        <f>SUMIF(DataQ!$B:$B,DataA!$A77,DataQ!I:I)</f>
        <v>3072967.9000000004</v>
      </c>
      <c r="H77" s="7">
        <f>SUMIF(DataQ!$B:$B,DataA!$A77,DataQ!J:J)</f>
        <v>3072838.3000000003</v>
      </c>
      <c r="I77" s="7">
        <f>SUMIF(DataQ!$B:$B,DataA!$A77,DataQ!K:K)</f>
        <v>3072524.4</v>
      </c>
      <c r="J77" s="7">
        <f>SUMIF(DataQ!$B:$B,DataA!$A77,DataQ!L:L)</f>
        <v>3072681.2</v>
      </c>
      <c r="K77" s="7">
        <f>SUMIF(DataQ!$B:$B,DataA!$A77,DataQ!M:M)</f>
        <v>3072681.2</v>
      </c>
      <c r="L77" s="7">
        <f>SUMIF(DataQ!$B:$B,DataA!$A77,DataQ!N:N)</f>
        <v>3087261.1999999997</v>
      </c>
      <c r="M77" s="7">
        <f>SUMIF(DataQ!$B:$B,DataA!$A77,DataQ!O:O)</f>
        <v>3091901.9000000004</v>
      </c>
      <c r="N77" s="7">
        <f>SUMIF(DataQ!$B:$B,DataA!$A77,DataQ!P:P)</f>
        <v>3092964.4000000004</v>
      </c>
      <c r="O77" s="7">
        <f>SUMIF(DataQ!$B:$B,DataA!$A77,DataQ!Q:Q)</f>
        <v>3104772.2</v>
      </c>
      <c r="P77" s="7">
        <f>SUMIF(DataQ!$B:$B,DataA!$A77,DataQ!R:R)</f>
        <v>3109378.5999999996</v>
      </c>
      <c r="Q77" s="7">
        <f>SUMIF(DataQ!$B:$B,DataA!$A77,DataQ!S:S)</f>
        <v>3098354.1999999997</v>
      </c>
      <c r="R77" s="7">
        <f>SUMIF(DataQ!$B:$B,DataA!$A77,DataQ!T:T)</f>
        <v>3100030.8999999994</v>
      </c>
      <c r="S77" s="7">
        <f>AVERAGEIF(DataQ!$B:$B,DataA!$A77,DataQ!U:U)</f>
        <v>1218.3139999999999</v>
      </c>
      <c r="T77" s="7">
        <f>AVERAGEIF(DataQ!$B:$B,DataA!$A77,DataQ!V:V)</f>
        <v>197.0051</v>
      </c>
      <c r="U77" s="7">
        <f>AVERAGEIF(DataQ!$B:$B,DataA!$A77,DataQ!W:W)</f>
        <v>184.8904</v>
      </c>
      <c r="V77" s="7">
        <f>AVERAGEIF(DataQ!$B:$B,DataA!$A77,DataQ!X:X)</f>
        <v>126.75285</v>
      </c>
      <c r="W77" s="7">
        <f>AVERAGEIF(DataQ!$B:$B,DataA!$A77,DataQ!Y:Y)</f>
        <v>269.59072500000002</v>
      </c>
      <c r="X77" s="7">
        <f>AVERAGEIF(DataQ!$B:$B,DataA!$A77,DataQ!Z:Z)</f>
        <v>198.18432499999997</v>
      </c>
      <c r="Y77" s="7">
        <f>SUMIF(DataQ!$B:$B,DataA!$A77,DataQ!AA:AA)</f>
        <v>1840229.1999999997</v>
      </c>
      <c r="Z77" s="7">
        <f>SUMIF(DataQ!$B:$B,DataA!$A77,DataQ!AB:AB)</f>
        <v>634052</v>
      </c>
      <c r="AA77" s="7">
        <f>SUMIF(DataQ!$B:$B,DataA!$A77,DataQ!AC:AC)</f>
        <v>644596.1</v>
      </c>
      <c r="AB77" s="7">
        <f>SUMIF(DataQ!$B:$B,DataA!$A77,DataQ!AD:AD)</f>
        <v>1006317.2999999999</v>
      </c>
      <c r="AC77" s="7">
        <f>SUMIF(DataQ!$B:$B,DataA!$A77,DataQ!AE:AE)</f>
        <v>1119940.5</v>
      </c>
      <c r="AD77" s="7">
        <f>AVERAGEIF(DataQ!$B:$B,DataA!$A77,DataQ!AF:AF)</f>
        <v>2.1064639999999999</v>
      </c>
      <c r="AE77" s="7">
        <f>AVERAGEIF(DataQ!$B:$B,DataA!$A77,DataQ!AG:AG)</f>
        <v>2.4334739999999999</v>
      </c>
    </row>
    <row r="78" spans="1:31" x14ac:dyDescent="0.25">
      <c r="A78" s="4">
        <f t="shared" si="1"/>
        <v>2044</v>
      </c>
      <c r="B78" s="7">
        <f>SUMIF(DataQ!$B:$B,DataA!$A78,DataQ!D:D)</f>
        <v>3141972.8</v>
      </c>
      <c r="C78" s="7">
        <f>SUMIF(DataQ!$B:$B,DataA!$A78,DataQ!E:E)</f>
        <v>3093737.3</v>
      </c>
      <c r="D78" s="7">
        <f>SUMIF(DataQ!$B:$B,DataA!$A78,DataQ!F:F)</f>
        <v>3094907.5999999996</v>
      </c>
      <c r="E78" s="7">
        <f>SUMIF(DataQ!$B:$B,DataA!$A78,DataQ!G:G)</f>
        <v>3094907.5999999996</v>
      </c>
      <c r="F78" s="7">
        <f>SUMIF(DataQ!$B:$B,DataA!$A78,DataQ!H:H)</f>
        <v>3116044.3</v>
      </c>
      <c r="G78" s="7">
        <f>SUMIF(DataQ!$B:$B,DataA!$A78,DataQ!I:I)</f>
        <v>3119131.0999999996</v>
      </c>
      <c r="H78" s="7">
        <f>SUMIF(DataQ!$B:$B,DataA!$A78,DataQ!J:J)</f>
        <v>3118998.1</v>
      </c>
      <c r="I78" s="7">
        <f>SUMIF(DataQ!$B:$B,DataA!$A78,DataQ!K:K)</f>
        <v>3118713.3000000003</v>
      </c>
      <c r="J78" s="7">
        <f>SUMIF(DataQ!$B:$B,DataA!$A78,DataQ!L:L)</f>
        <v>3118876.5</v>
      </c>
      <c r="K78" s="7">
        <f>SUMIF(DataQ!$B:$B,DataA!$A78,DataQ!M:M)</f>
        <v>3118876.5</v>
      </c>
      <c r="L78" s="7">
        <f>SUMIF(DataQ!$B:$B,DataA!$A78,DataQ!N:N)</f>
        <v>3134284.3</v>
      </c>
      <c r="M78" s="7">
        <f>SUMIF(DataQ!$B:$B,DataA!$A78,DataQ!O:O)</f>
        <v>3139345.4</v>
      </c>
      <c r="N78" s="7">
        <f>SUMIF(DataQ!$B:$B,DataA!$A78,DataQ!P:P)</f>
        <v>3140403.1999999997</v>
      </c>
      <c r="O78" s="7">
        <f>SUMIF(DataQ!$B:$B,DataA!$A78,DataQ!Q:Q)</f>
        <v>3152355.0999999996</v>
      </c>
      <c r="P78" s="7">
        <f>SUMIF(DataQ!$B:$B,DataA!$A78,DataQ!R:R)</f>
        <v>3157409.4000000004</v>
      </c>
      <c r="Q78" s="7">
        <f>SUMIF(DataQ!$B:$B,DataA!$A78,DataQ!S:S)</f>
        <v>3146170.3000000003</v>
      </c>
      <c r="R78" s="7">
        <f>SUMIF(DataQ!$B:$B,DataA!$A78,DataQ!T:T)</f>
        <v>3147770.9000000004</v>
      </c>
      <c r="S78" s="7">
        <f>AVERAGEIF(DataQ!$B:$B,DataA!$A78,DataQ!U:U)</f>
        <v>1257.3805</v>
      </c>
      <c r="T78" s="7">
        <f>AVERAGEIF(DataQ!$B:$B,DataA!$A78,DataQ!V:V)</f>
        <v>200.9452</v>
      </c>
      <c r="U78" s="7">
        <f>AVERAGEIF(DataQ!$B:$B,DataA!$A78,DataQ!W:W)</f>
        <v>187.64972499999999</v>
      </c>
      <c r="V78" s="7">
        <f>AVERAGEIF(DataQ!$B:$B,DataA!$A78,DataQ!X:X)</f>
        <v>126.94544999999999</v>
      </c>
      <c r="W78" s="7">
        <f>AVERAGEIF(DataQ!$B:$B,DataA!$A78,DataQ!Y:Y)</f>
        <v>278.97680000000003</v>
      </c>
      <c r="X78" s="7">
        <f>AVERAGEIF(DataQ!$B:$B,DataA!$A78,DataQ!Z:Z)</f>
        <v>202.33525</v>
      </c>
      <c r="Y78" s="7">
        <f>SUMIF(DataQ!$B:$B,DataA!$A78,DataQ!AA:AA)</f>
        <v>1868657.4000000001</v>
      </c>
      <c r="Z78" s="7">
        <f>SUMIF(DataQ!$B:$B,DataA!$A78,DataQ!AB:AB)</f>
        <v>646591.69999999995</v>
      </c>
      <c r="AA78" s="7">
        <f>SUMIF(DataQ!$B:$B,DataA!$A78,DataQ!AC:AC)</f>
        <v>654658.29999999993</v>
      </c>
      <c r="AB78" s="7">
        <f>SUMIF(DataQ!$B:$B,DataA!$A78,DataQ!AD:AD)</f>
        <v>1025833.7000000001</v>
      </c>
      <c r="AC78" s="7">
        <f>SUMIF(DataQ!$B:$B,DataA!$A78,DataQ!AE:AE)</f>
        <v>1143930.1000000001</v>
      </c>
      <c r="AD78" s="7">
        <f>AVERAGEIF(DataQ!$B:$B,DataA!$A78,DataQ!AF:AF)</f>
        <v>2.1064639999999999</v>
      </c>
      <c r="AE78" s="7">
        <f>AVERAGEIF(DataQ!$B:$B,DataA!$A78,DataQ!AG:AG)</f>
        <v>2.4334739999999999</v>
      </c>
    </row>
    <row r="79" spans="1:31" x14ac:dyDescent="0.25">
      <c r="A79" s="4">
        <f t="shared" si="1"/>
        <v>2045</v>
      </c>
      <c r="B79" s="7">
        <f>SUMIF(DataQ!$B:$B,DataA!$A79,DataQ!D:D)</f>
        <v>3190115.0999999996</v>
      </c>
      <c r="C79" s="7">
        <f>SUMIF(DataQ!$B:$B,DataA!$A79,DataQ!E:E)</f>
        <v>3140197</v>
      </c>
      <c r="D79" s="7">
        <f>SUMIF(DataQ!$B:$B,DataA!$A79,DataQ!F:F)</f>
        <v>3141377.8</v>
      </c>
      <c r="E79" s="7">
        <f>SUMIF(DataQ!$B:$B,DataA!$A79,DataQ!G:G)</f>
        <v>3141377.8</v>
      </c>
      <c r="F79" s="7">
        <f>SUMIF(DataQ!$B:$B,DataA!$A79,DataQ!H:H)</f>
        <v>3162919</v>
      </c>
      <c r="G79" s="7">
        <f>SUMIF(DataQ!$B:$B,DataA!$A79,DataQ!I:I)</f>
        <v>3165753.3</v>
      </c>
      <c r="H79" s="7">
        <f>SUMIF(DataQ!$B:$B,DataA!$A79,DataQ!J:J)</f>
        <v>3165617.1</v>
      </c>
      <c r="I79" s="7">
        <f>SUMIF(DataQ!$B:$B,DataA!$A79,DataQ!K:K)</f>
        <v>3165361.3</v>
      </c>
      <c r="J79" s="7">
        <f>SUMIF(DataQ!$B:$B,DataA!$A79,DataQ!L:L)</f>
        <v>3165530.7</v>
      </c>
      <c r="K79" s="7">
        <f>SUMIF(DataQ!$B:$B,DataA!$A79,DataQ!M:M)</f>
        <v>3165530.7</v>
      </c>
      <c r="L79" s="7">
        <f>SUMIF(DataQ!$B:$B,DataA!$A79,DataQ!N:N)</f>
        <v>3181801.5000000005</v>
      </c>
      <c r="M79" s="7">
        <f>SUMIF(DataQ!$B:$B,DataA!$A79,DataQ!O:O)</f>
        <v>3187305.2</v>
      </c>
      <c r="N79" s="7">
        <f>SUMIF(DataQ!$B:$B,DataA!$A79,DataQ!P:P)</f>
        <v>3188358.6999999997</v>
      </c>
      <c r="O79" s="7">
        <f>SUMIF(DataQ!$B:$B,DataA!$A79,DataQ!Q:Q)</f>
        <v>3200381.2</v>
      </c>
      <c r="P79" s="7">
        <f>SUMIF(DataQ!$B:$B,DataA!$A79,DataQ!R:R)</f>
        <v>3205899.1</v>
      </c>
      <c r="Q79" s="7">
        <f>SUMIF(DataQ!$B:$B,DataA!$A79,DataQ!S:S)</f>
        <v>3194448.5999999996</v>
      </c>
      <c r="R79" s="7">
        <f>SUMIF(DataQ!$B:$B,DataA!$A79,DataQ!T:T)</f>
        <v>3195976.9000000004</v>
      </c>
      <c r="S79" s="7">
        <f>AVERAGEIF(DataQ!$B:$B,DataA!$A79,DataQ!U:U)</f>
        <v>1297.59925</v>
      </c>
      <c r="T79" s="7">
        <f>AVERAGEIF(DataQ!$B:$B,DataA!$A79,DataQ!V:V)</f>
        <v>204.96412500000002</v>
      </c>
      <c r="U79" s="7">
        <f>AVERAGEIF(DataQ!$B:$B,DataA!$A79,DataQ!W:W)</f>
        <v>190.450275</v>
      </c>
      <c r="V79" s="7">
        <f>AVERAGEIF(DataQ!$B:$B,DataA!$A79,DataQ!X:X)</f>
        <v>127.13825</v>
      </c>
      <c r="W79" s="7">
        <f>AVERAGEIF(DataQ!$B:$B,DataA!$A79,DataQ!Y:Y)</f>
        <v>288.68964999999997</v>
      </c>
      <c r="X79" s="7">
        <f>AVERAGEIF(DataQ!$B:$B,DataA!$A79,DataQ!Z:Z)</f>
        <v>206.57310000000001</v>
      </c>
      <c r="Y79" s="7">
        <f>SUMIF(DataQ!$B:$B,DataA!$A79,DataQ!AA:AA)</f>
        <v>1897365.2</v>
      </c>
      <c r="Z79" s="7">
        <f>SUMIF(DataQ!$B:$B,DataA!$A79,DataQ!AB:AB)</f>
        <v>659327.30000000005</v>
      </c>
      <c r="AA79" s="7">
        <f>SUMIF(DataQ!$B:$B,DataA!$A79,DataQ!AC:AC)</f>
        <v>664821.6</v>
      </c>
      <c r="AB79" s="7">
        <f>SUMIF(DataQ!$B:$B,DataA!$A79,DataQ!AD:AD)</f>
        <v>1045667.5</v>
      </c>
      <c r="AC79" s="7">
        <f>SUMIF(DataQ!$B:$B,DataA!$A79,DataQ!AE:AE)</f>
        <v>1168361.3</v>
      </c>
      <c r="AD79" s="7">
        <f>AVERAGEIF(DataQ!$B:$B,DataA!$A79,DataQ!AF:AF)</f>
        <v>2.1064639999999999</v>
      </c>
      <c r="AE79" s="7">
        <f>AVERAGEIF(DataQ!$B:$B,DataA!$A79,DataQ!AG:AG)</f>
        <v>2.4334739999999999</v>
      </c>
    </row>
    <row r="80" spans="1:31" x14ac:dyDescent="0.25">
      <c r="A80" s="4">
        <f t="shared" si="1"/>
        <v>2046</v>
      </c>
      <c r="B80" s="7">
        <f>SUMIF(DataQ!$B:$B,DataA!$A80,DataQ!D:D)</f>
        <v>3238729.3000000003</v>
      </c>
      <c r="C80" s="7">
        <f>SUMIF(DataQ!$B:$B,DataA!$A80,DataQ!E:E)</f>
        <v>3187094.6000000006</v>
      </c>
      <c r="D80" s="7">
        <f>SUMIF(DataQ!$B:$B,DataA!$A80,DataQ!F:F)</f>
        <v>3188285.7</v>
      </c>
      <c r="E80" s="7">
        <f>SUMIF(DataQ!$B:$B,DataA!$A80,DataQ!G:G)</f>
        <v>3188285.7</v>
      </c>
      <c r="F80" s="7">
        <f>SUMIF(DataQ!$B:$B,DataA!$A80,DataQ!H:H)</f>
        <v>3210290.3</v>
      </c>
      <c r="G80" s="7">
        <f>SUMIF(DataQ!$B:$B,DataA!$A80,DataQ!I:I)</f>
        <v>3212837.7</v>
      </c>
      <c r="H80" s="7">
        <f>SUMIF(DataQ!$B:$B,DataA!$A80,DataQ!J:J)</f>
        <v>3212698.1</v>
      </c>
      <c r="I80" s="7">
        <f>SUMIF(DataQ!$B:$B,DataA!$A80,DataQ!K:K)</f>
        <v>3212470.5</v>
      </c>
      <c r="J80" s="7">
        <f>SUMIF(DataQ!$B:$B,DataA!$A80,DataQ!L:L)</f>
        <v>3212646.3000000003</v>
      </c>
      <c r="K80" s="7">
        <f>SUMIF(DataQ!$B:$B,DataA!$A80,DataQ!M:M)</f>
        <v>3212646.3000000003</v>
      </c>
      <c r="L80" s="7">
        <f>SUMIF(DataQ!$B:$B,DataA!$A80,DataQ!N:N)</f>
        <v>3229814.9000000004</v>
      </c>
      <c r="M80" s="7">
        <f>SUMIF(DataQ!$B:$B,DataA!$A80,DataQ!O:O)</f>
        <v>3235786.2</v>
      </c>
      <c r="N80" s="7">
        <f>SUMIF(DataQ!$B:$B,DataA!$A80,DataQ!P:P)</f>
        <v>3236836.2</v>
      </c>
      <c r="O80" s="7">
        <f>SUMIF(DataQ!$B:$B,DataA!$A80,DataQ!Q:Q)</f>
        <v>3248857.8</v>
      </c>
      <c r="P80" s="7">
        <f>SUMIF(DataQ!$B:$B,DataA!$A80,DataQ!R:R)</f>
        <v>3254853.4</v>
      </c>
      <c r="Q80" s="7">
        <f>SUMIF(DataQ!$B:$B,DataA!$A80,DataQ!S:S)</f>
        <v>3243195</v>
      </c>
      <c r="R80" s="7">
        <f>SUMIF(DataQ!$B:$B,DataA!$A80,DataQ!T:T)</f>
        <v>3244654.9</v>
      </c>
      <c r="S80" s="7">
        <f>AVERAGEIF(DataQ!$B:$B,DataA!$A80,DataQ!U:U)</f>
        <v>1339.0037499999999</v>
      </c>
      <c r="T80" s="7">
        <f>AVERAGEIF(DataQ!$B:$B,DataA!$A80,DataQ!V:V)</f>
        <v>209.06337500000001</v>
      </c>
      <c r="U80" s="7">
        <f>AVERAGEIF(DataQ!$B:$B,DataA!$A80,DataQ!W:W)</f>
        <v>193.292575</v>
      </c>
      <c r="V80" s="7">
        <f>AVERAGEIF(DataQ!$B:$B,DataA!$A80,DataQ!X:X)</f>
        <v>127.3314</v>
      </c>
      <c r="W80" s="7">
        <f>AVERAGEIF(DataQ!$B:$B,DataA!$A80,DataQ!Y:Y)</f>
        <v>298.74067500000001</v>
      </c>
      <c r="X80" s="7">
        <f>AVERAGEIF(DataQ!$B:$B,DataA!$A80,DataQ!Z:Z)</f>
        <v>210.89960000000002</v>
      </c>
      <c r="Y80" s="7">
        <f>SUMIF(DataQ!$B:$B,DataA!$A80,DataQ!AA:AA)</f>
        <v>1926355.7999999998</v>
      </c>
      <c r="Z80" s="7">
        <f>SUMIF(DataQ!$B:$B,DataA!$A80,DataQ!AB:AB)</f>
        <v>672262.1</v>
      </c>
      <c r="AA80" s="7">
        <f>SUMIF(DataQ!$B:$B,DataA!$A80,DataQ!AC:AC)</f>
        <v>675087.3</v>
      </c>
      <c r="AB80" s="7">
        <f>SUMIF(DataQ!$B:$B,DataA!$A80,DataQ!AD:AD)</f>
        <v>1065824</v>
      </c>
      <c r="AC80" s="7">
        <f>SUMIF(DataQ!$B:$B,DataA!$A80,DataQ!AE:AE)</f>
        <v>1193241.6000000001</v>
      </c>
      <c r="AD80" s="7">
        <f>AVERAGEIF(DataQ!$B:$B,DataA!$A80,DataQ!AF:AF)</f>
        <v>2.1064639999999999</v>
      </c>
      <c r="AE80" s="7">
        <f>AVERAGEIF(DataQ!$B:$B,DataA!$A80,DataQ!AG:AG)</f>
        <v>2.4334739999999999</v>
      </c>
    </row>
    <row r="81" spans="1:31" x14ac:dyDescent="0.25">
      <c r="A81" s="4">
        <f t="shared" si="1"/>
        <v>2047</v>
      </c>
      <c r="B81" s="7">
        <f>SUMIF(DataQ!$B:$B,DataA!$A81,DataQ!D:D)</f>
        <v>3287826</v>
      </c>
      <c r="C81" s="7">
        <f>SUMIF(DataQ!$B:$B,DataA!$A81,DataQ!E:E)</f>
        <v>3234429.5</v>
      </c>
      <c r="D81" s="7">
        <f>SUMIF(DataQ!$B:$B,DataA!$A81,DataQ!F:F)</f>
        <v>3235631</v>
      </c>
      <c r="E81" s="7">
        <f>SUMIF(DataQ!$B:$B,DataA!$A81,DataQ!G:G)</f>
        <v>3235631</v>
      </c>
      <c r="F81" s="7">
        <f>SUMIF(DataQ!$B:$B,DataA!$A81,DataQ!H:H)</f>
        <v>3258163.6999999997</v>
      </c>
      <c r="G81" s="7">
        <f>SUMIF(DataQ!$B:$B,DataA!$A81,DataQ!I:I)</f>
        <v>3260391</v>
      </c>
      <c r="H81" s="7">
        <f>SUMIF(DataQ!$B:$B,DataA!$A81,DataQ!J:J)</f>
        <v>3260248.3000000003</v>
      </c>
      <c r="I81" s="7">
        <f>SUMIF(DataQ!$B:$B,DataA!$A81,DataQ!K:K)</f>
        <v>3260049.1000000006</v>
      </c>
      <c r="J81" s="7">
        <f>SUMIF(DataQ!$B:$B,DataA!$A81,DataQ!L:L)</f>
        <v>3260230.6</v>
      </c>
      <c r="K81" s="7">
        <f>SUMIF(DataQ!$B:$B,DataA!$A81,DataQ!M:M)</f>
        <v>3260230.6</v>
      </c>
      <c r="L81" s="7">
        <f>SUMIF(DataQ!$B:$B,DataA!$A81,DataQ!N:N)</f>
        <v>3278331.5999999996</v>
      </c>
      <c r="M81" s="7">
        <f>SUMIF(DataQ!$B:$B,DataA!$A81,DataQ!O:O)</f>
        <v>3284797.4</v>
      </c>
      <c r="N81" s="7">
        <f>SUMIF(DataQ!$B:$B,DataA!$A81,DataQ!P:P)</f>
        <v>3285844.4</v>
      </c>
      <c r="O81" s="7">
        <f>SUMIF(DataQ!$B:$B,DataA!$A81,DataQ!Q:Q)</f>
        <v>3297795.8</v>
      </c>
      <c r="P81" s="7">
        <f>SUMIF(DataQ!$B:$B,DataA!$A81,DataQ!R:R)</f>
        <v>3304283.3000000003</v>
      </c>
      <c r="Q81" s="7">
        <f>SUMIF(DataQ!$B:$B,DataA!$A81,DataQ!S:S)</f>
        <v>3292420.4000000004</v>
      </c>
      <c r="R81" s="7">
        <f>SUMIF(DataQ!$B:$B,DataA!$A81,DataQ!T:T)</f>
        <v>3293815.3000000003</v>
      </c>
      <c r="S81" s="7">
        <f>AVERAGEIF(DataQ!$B:$B,DataA!$A81,DataQ!U:U)</f>
        <v>1381.63075</v>
      </c>
      <c r="T81" s="7">
        <f>AVERAGEIF(DataQ!$B:$B,DataA!$A81,DataQ!V:V)</f>
        <v>213.244675</v>
      </c>
      <c r="U81" s="7">
        <f>AVERAGEIF(DataQ!$B:$B,DataA!$A81,DataQ!W:W)</f>
        <v>196.177325</v>
      </c>
      <c r="V81" s="7">
        <f>AVERAGEIF(DataQ!$B:$B,DataA!$A81,DataQ!X:X)</f>
        <v>127.5249</v>
      </c>
      <c r="W81" s="7">
        <f>AVERAGEIF(DataQ!$B:$B,DataA!$A81,DataQ!Y:Y)</f>
        <v>309.14162499999998</v>
      </c>
      <c r="X81" s="7">
        <f>AVERAGEIF(DataQ!$B:$B,DataA!$A81,DataQ!Z:Z)</f>
        <v>215.31687499999998</v>
      </c>
      <c r="Y81" s="7">
        <f>SUMIF(DataQ!$B:$B,DataA!$A81,DataQ!AA:AA)</f>
        <v>1955636.0999999999</v>
      </c>
      <c r="Z81" s="7">
        <f>SUMIF(DataQ!$B:$B,DataA!$A81,DataQ!AB:AB)</f>
        <v>685400.20000000007</v>
      </c>
      <c r="AA81" s="7">
        <f>SUMIF(DataQ!$B:$B,DataA!$A81,DataQ!AC:AC)</f>
        <v>685457.8</v>
      </c>
      <c r="AB81" s="7">
        <f>SUMIF(DataQ!$B:$B,DataA!$A81,DataQ!AD:AD)</f>
        <v>1086309.8</v>
      </c>
      <c r="AC81" s="7">
        <f>SUMIF(DataQ!$B:$B,DataA!$A81,DataQ!AE:AE)</f>
        <v>1218581.6000000001</v>
      </c>
      <c r="AD81" s="7">
        <f>AVERAGEIF(DataQ!$B:$B,DataA!$A81,DataQ!AF:AF)</f>
        <v>2.1064639999999999</v>
      </c>
      <c r="AE81" s="7">
        <f>AVERAGEIF(DataQ!$B:$B,DataA!$A81,DataQ!AG:AG)</f>
        <v>2.4334739999999999</v>
      </c>
    </row>
    <row r="82" spans="1:31" x14ac:dyDescent="0.25">
      <c r="A82" s="4">
        <f t="shared" si="1"/>
        <v>2048</v>
      </c>
      <c r="B82" s="7">
        <f>SUMIF(DataQ!$B:$B,DataA!$A82,DataQ!D:D)</f>
        <v>3337418.6999999997</v>
      </c>
      <c r="C82" s="7">
        <f>SUMIF(DataQ!$B:$B,DataA!$A82,DataQ!E:E)</f>
        <v>3282205.6000000006</v>
      </c>
      <c r="D82" s="7">
        <f>SUMIF(DataQ!$B:$B,DataA!$A82,DataQ!F:F)</f>
        <v>3283417.3000000003</v>
      </c>
      <c r="E82" s="7">
        <f>SUMIF(DataQ!$B:$B,DataA!$A82,DataQ!G:G)</f>
        <v>3283417.3000000003</v>
      </c>
      <c r="F82" s="7">
        <f>SUMIF(DataQ!$B:$B,DataA!$A82,DataQ!H:H)</f>
        <v>3306547.6999999997</v>
      </c>
      <c r="G82" s="7">
        <f>SUMIF(DataQ!$B:$B,DataA!$A82,DataQ!I:I)</f>
        <v>3308422.0000000005</v>
      </c>
      <c r="H82" s="7">
        <f>SUMIF(DataQ!$B:$B,DataA!$A82,DataQ!J:J)</f>
        <v>3308276.1</v>
      </c>
      <c r="I82" s="7">
        <f>SUMIF(DataQ!$B:$B,DataA!$A82,DataQ!K:K)</f>
        <v>3308104.8</v>
      </c>
      <c r="J82" s="7">
        <f>SUMIF(DataQ!$B:$B,DataA!$A82,DataQ!L:L)</f>
        <v>3308292.4</v>
      </c>
      <c r="K82" s="7">
        <f>SUMIF(DataQ!$B:$B,DataA!$A82,DataQ!M:M)</f>
        <v>3308292.4</v>
      </c>
      <c r="L82" s="7">
        <f>SUMIF(DataQ!$B:$B,DataA!$A82,DataQ!N:N)</f>
        <v>3327359.9</v>
      </c>
      <c r="M82" s="7">
        <f>SUMIF(DataQ!$B:$B,DataA!$A82,DataQ!O:O)</f>
        <v>3334350.3000000003</v>
      </c>
      <c r="N82" s="7">
        <f>SUMIF(DataQ!$B:$B,DataA!$A82,DataQ!P:P)</f>
        <v>3335394.7</v>
      </c>
      <c r="O82" s="7">
        <f>SUMIF(DataQ!$B:$B,DataA!$A82,DataQ!Q:Q)</f>
        <v>3347208.9</v>
      </c>
      <c r="P82" s="7">
        <f>SUMIF(DataQ!$B:$B,DataA!$A82,DataQ!R:R)</f>
        <v>3354203</v>
      </c>
      <c r="Q82" s="7">
        <f>SUMIF(DataQ!$B:$B,DataA!$A82,DataQ!S:S)</f>
        <v>3342138.4</v>
      </c>
      <c r="R82" s="7">
        <f>SUMIF(DataQ!$B:$B,DataA!$A82,DataQ!T:T)</f>
        <v>3343471.2</v>
      </c>
      <c r="S82" s="7">
        <f>AVERAGEIF(DataQ!$B:$B,DataA!$A82,DataQ!U:U)</f>
        <v>1425.519</v>
      </c>
      <c r="T82" s="7">
        <f>AVERAGEIF(DataQ!$B:$B,DataA!$A82,DataQ!V:V)</f>
        <v>217.50957499999998</v>
      </c>
      <c r="U82" s="7">
        <f>AVERAGEIF(DataQ!$B:$B,DataA!$A82,DataQ!W:W)</f>
        <v>199.10509999999999</v>
      </c>
      <c r="V82" s="7">
        <f>AVERAGEIF(DataQ!$B:$B,DataA!$A82,DataQ!X:X)</f>
        <v>127.7186</v>
      </c>
      <c r="W82" s="7">
        <f>AVERAGEIF(DataQ!$B:$B,DataA!$A82,DataQ!Y:Y)</f>
        <v>319.90472499999998</v>
      </c>
      <c r="X82" s="7">
        <f>AVERAGEIF(DataQ!$B:$B,DataA!$A82,DataQ!Z:Z)</f>
        <v>219.82665</v>
      </c>
      <c r="Y82" s="7">
        <f>SUMIF(DataQ!$B:$B,DataA!$A82,DataQ!AA:AA)</f>
        <v>1985272.8</v>
      </c>
      <c r="Z82" s="7">
        <f>SUMIF(DataQ!$B:$B,DataA!$A82,DataQ!AB:AB)</f>
        <v>698746.8</v>
      </c>
      <c r="AA82" s="7">
        <f>SUMIF(DataQ!$B:$B,DataA!$A82,DataQ!AC:AC)</f>
        <v>695935.7</v>
      </c>
      <c r="AB82" s="7">
        <f>SUMIF(DataQ!$B:$B,DataA!$A82,DataQ!AD:AD)</f>
        <v>1107132.3999999999</v>
      </c>
      <c r="AC82" s="7">
        <f>SUMIF(DataQ!$B:$B,DataA!$A82,DataQ!AE:AE)</f>
        <v>1244392.3</v>
      </c>
      <c r="AD82" s="7">
        <f>AVERAGEIF(DataQ!$B:$B,DataA!$A82,DataQ!AF:AF)</f>
        <v>2.1064639999999999</v>
      </c>
      <c r="AE82" s="7">
        <f>AVERAGEIF(DataQ!$B:$B,DataA!$A82,DataQ!AG:AG)</f>
        <v>2.4334739999999999</v>
      </c>
    </row>
    <row r="83" spans="1:31" x14ac:dyDescent="0.25">
      <c r="A83" s="4">
        <f t="shared" si="1"/>
        <v>2049</v>
      </c>
      <c r="B83" s="7">
        <f>SUMIF(DataQ!$B:$B,DataA!$A83,DataQ!D:D)</f>
        <v>3387512.5</v>
      </c>
      <c r="C83" s="7">
        <f>SUMIF(DataQ!$B:$B,DataA!$A83,DataQ!E:E)</f>
        <v>3330423.5</v>
      </c>
      <c r="D83" s="7">
        <f>SUMIF(DataQ!$B:$B,DataA!$A83,DataQ!F:F)</f>
        <v>3331645.3000000003</v>
      </c>
      <c r="E83" s="7">
        <f>SUMIF(DataQ!$B:$B,DataA!$A83,DataQ!G:G)</f>
        <v>3331645.3000000003</v>
      </c>
      <c r="F83" s="7">
        <f>SUMIF(DataQ!$B:$B,DataA!$A83,DataQ!H:H)</f>
        <v>3355443.5</v>
      </c>
      <c r="G83" s="7">
        <f>SUMIF(DataQ!$B:$B,DataA!$A83,DataQ!I:I)</f>
        <v>3356932.8999999994</v>
      </c>
      <c r="H83" s="7">
        <f>SUMIF(DataQ!$B:$B,DataA!$A83,DataQ!J:J)</f>
        <v>3356783.7</v>
      </c>
      <c r="I83" s="7">
        <f>SUMIF(DataQ!$B:$B,DataA!$A83,DataQ!K:K)</f>
        <v>3356640.6</v>
      </c>
      <c r="J83" s="7">
        <f>SUMIF(DataQ!$B:$B,DataA!$A83,DataQ!L:L)</f>
        <v>3356833.5</v>
      </c>
      <c r="K83" s="7">
        <f>SUMIF(DataQ!$B:$B,DataA!$A83,DataQ!M:M)</f>
        <v>3356833.5</v>
      </c>
      <c r="L83" s="7">
        <f>SUMIF(DataQ!$B:$B,DataA!$A83,DataQ!N:N)</f>
        <v>3376902</v>
      </c>
      <c r="M83" s="7">
        <f>SUMIF(DataQ!$B:$B,DataA!$A83,DataQ!O:O)</f>
        <v>3384448</v>
      </c>
      <c r="N83" s="7">
        <f>SUMIF(DataQ!$B:$B,DataA!$A83,DataQ!P:P)</f>
        <v>3385490.5999999996</v>
      </c>
      <c r="O83" s="7">
        <f>SUMIF(DataQ!$B:$B,DataA!$A83,DataQ!Q:Q)</f>
        <v>3397102.5</v>
      </c>
      <c r="P83" s="7">
        <f>SUMIF(DataQ!$B:$B,DataA!$A83,DataQ!R:R)</f>
        <v>3404617.5</v>
      </c>
      <c r="Q83" s="7">
        <f>SUMIF(DataQ!$B:$B,DataA!$A83,DataQ!S:S)</f>
        <v>3392354</v>
      </c>
      <c r="R83" s="7">
        <f>SUMIF(DataQ!$B:$B,DataA!$A83,DataQ!T:T)</f>
        <v>3393628.4</v>
      </c>
      <c r="S83" s="7">
        <f>AVERAGEIF(DataQ!$B:$B,DataA!$A83,DataQ!U:U)</f>
        <v>1470.7055</v>
      </c>
      <c r="T83" s="7">
        <f>AVERAGEIF(DataQ!$B:$B,DataA!$A83,DataQ!V:V)</f>
        <v>221.85975000000002</v>
      </c>
      <c r="U83" s="7">
        <f>AVERAGEIF(DataQ!$B:$B,DataA!$A83,DataQ!W:W)</f>
        <v>202.07662500000001</v>
      </c>
      <c r="V83" s="7">
        <f>AVERAGEIF(DataQ!$B:$B,DataA!$A83,DataQ!X:X)</f>
        <v>127.91265</v>
      </c>
      <c r="W83" s="7">
        <f>AVERAGEIF(DataQ!$B:$B,DataA!$A83,DataQ!Y:Y)</f>
        <v>331.04252499999996</v>
      </c>
      <c r="X83" s="7">
        <f>AVERAGEIF(DataQ!$B:$B,DataA!$A83,DataQ!Z:Z)</f>
        <v>224.4308</v>
      </c>
      <c r="Y83" s="7">
        <f>SUMIF(DataQ!$B:$B,DataA!$A83,DataQ!AA:AA)</f>
        <v>2015247.8</v>
      </c>
      <c r="Z83" s="7">
        <f>SUMIF(DataQ!$B:$B,DataA!$A83,DataQ!AB:AB)</f>
        <v>712305</v>
      </c>
      <c r="AA83" s="7">
        <f>SUMIF(DataQ!$B:$B,DataA!$A83,DataQ!AC:AC)</f>
        <v>706522.2</v>
      </c>
      <c r="AB83" s="7">
        <f>SUMIF(DataQ!$B:$B,DataA!$A83,DataQ!AD:AD)</f>
        <v>1128296.6000000001</v>
      </c>
      <c r="AC83" s="7">
        <f>SUMIF(DataQ!$B:$B,DataA!$A83,DataQ!AE:AE)</f>
        <v>1270682.0999999999</v>
      </c>
      <c r="AD83" s="7">
        <f>AVERAGEIF(DataQ!$B:$B,DataA!$A83,DataQ!AF:AF)</f>
        <v>2.1064639999999999</v>
      </c>
      <c r="AE83" s="7">
        <f>AVERAGEIF(DataQ!$B:$B,DataA!$A83,DataQ!AG:AG)</f>
        <v>2.4334739999999999</v>
      </c>
    </row>
    <row r="84" spans="1:31" x14ac:dyDescent="0.25">
      <c r="A84" s="4">
        <f t="shared" si="1"/>
        <v>2050</v>
      </c>
      <c r="B84" s="7">
        <f>SUMIF(DataQ!$B:$B,DataA!$A84,DataQ!D:D)</f>
        <v>3438103.8000000003</v>
      </c>
      <c r="C84" s="7">
        <f>SUMIF(DataQ!$B:$B,DataA!$A84,DataQ!E:E)</f>
        <v>3379077.3</v>
      </c>
      <c r="D84" s="7">
        <f>SUMIF(DataQ!$B:$B,DataA!$A84,DataQ!F:F)</f>
        <v>3380308.9000000004</v>
      </c>
      <c r="E84" s="7">
        <f>SUMIF(DataQ!$B:$B,DataA!$A84,DataQ!G:G)</f>
        <v>3380308.9000000004</v>
      </c>
      <c r="F84" s="7">
        <f>SUMIF(DataQ!$B:$B,DataA!$A84,DataQ!H:H)</f>
        <v>3404845.5</v>
      </c>
      <c r="G84" s="7">
        <f>SUMIF(DataQ!$B:$B,DataA!$A84,DataQ!I:I)</f>
        <v>3405918.5</v>
      </c>
      <c r="H84" s="7">
        <f>SUMIF(DataQ!$B:$B,DataA!$A84,DataQ!J:J)</f>
        <v>3405766.6</v>
      </c>
      <c r="I84" s="7">
        <f>SUMIF(DataQ!$B:$B,DataA!$A84,DataQ!K:K)</f>
        <v>3405650.9000000004</v>
      </c>
      <c r="J84" s="7">
        <f>SUMIF(DataQ!$B:$B,DataA!$A84,DataQ!L:L)</f>
        <v>3405849.4</v>
      </c>
      <c r="K84" s="7">
        <f>SUMIF(DataQ!$B:$B,DataA!$A84,DataQ!M:M)</f>
        <v>3405849.4</v>
      </c>
      <c r="L84" s="7">
        <f>SUMIF(DataQ!$B:$B,DataA!$A84,DataQ!N:N)</f>
        <v>3426952.3</v>
      </c>
      <c r="M84" s="7">
        <f>SUMIF(DataQ!$B:$B,DataA!$A84,DataQ!O:O)</f>
        <v>3435087</v>
      </c>
      <c r="N84" s="7">
        <f>SUMIF(DataQ!$B:$B,DataA!$A84,DataQ!P:P)</f>
        <v>3436128.1999999997</v>
      </c>
      <c r="O84" s="7">
        <f>SUMIF(DataQ!$B:$B,DataA!$A84,DataQ!Q:Q)</f>
        <v>3447474.4</v>
      </c>
      <c r="P84" s="7">
        <f>SUMIF(DataQ!$B:$B,DataA!$A84,DataQ!R:R)</f>
        <v>3455524.5000000005</v>
      </c>
      <c r="Q84" s="7">
        <f>SUMIF(DataQ!$B:$B,DataA!$A84,DataQ!S:S)</f>
        <v>3443064.6999999997</v>
      </c>
      <c r="R84" s="7">
        <f>SUMIF(DataQ!$B:$B,DataA!$A84,DataQ!T:T)</f>
        <v>3444283.1</v>
      </c>
      <c r="S84" s="7">
        <f>AVERAGEIF(DataQ!$B:$B,DataA!$A84,DataQ!U:U)</f>
        <v>1517.2275</v>
      </c>
      <c r="T84" s="7">
        <f>AVERAGEIF(DataQ!$B:$B,DataA!$A84,DataQ!V:V)</f>
        <v>226.29695000000001</v>
      </c>
      <c r="U84" s="7">
        <f>AVERAGEIF(DataQ!$B:$B,DataA!$A84,DataQ!W:W)</f>
        <v>205.09245000000001</v>
      </c>
      <c r="V84" s="7">
        <f>AVERAGEIF(DataQ!$B:$B,DataA!$A84,DataQ!X:X)</f>
        <v>128.10697499999998</v>
      </c>
      <c r="W84" s="7">
        <f>AVERAGEIF(DataQ!$B:$B,DataA!$A84,DataQ!Y:Y)</f>
        <v>342.56809999999996</v>
      </c>
      <c r="X84" s="7">
        <f>AVERAGEIF(DataQ!$B:$B,DataA!$A84,DataQ!Z:Z)</f>
        <v>229.13137499999999</v>
      </c>
      <c r="Y84" s="7">
        <f>SUMIF(DataQ!$B:$B,DataA!$A84,DataQ!AA:AA)</f>
        <v>2045524.2</v>
      </c>
      <c r="Z84" s="7">
        <f>SUMIF(DataQ!$B:$B,DataA!$A84,DataQ!AB:AB)</f>
        <v>726076.3</v>
      </c>
      <c r="AA84" s="7">
        <f>SUMIF(DataQ!$B:$B,DataA!$A84,DataQ!AC:AC)</f>
        <v>717216.8</v>
      </c>
      <c r="AB84" s="7">
        <f>SUMIF(DataQ!$B:$B,DataA!$A84,DataQ!AD:AD)</f>
        <v>1149804.8999999999</v>
      </c>
      <c r="AC84" s="7">
        <f>SUMIF(DataQ!$B:$B,DataA!$A84,DataQ!AE:AE)</f>
        <v>1297457.0999999999</v>
      </c>
      <c r="AD84" s="7">
        <f>AVERAGEIF(DataQ!$B:$B,DataA!$A84,DataQ!AF:AF)</f>
        <v>2.1064639999999999</v>
      </c>
      <c r="AE84" s="7">
        <f>AVERAGEIF(DataQ!$B:$B,DataA!$A84,DataQ!AG:AG)</f>
        <v>2.4334739999999999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65F35-EC95-4ABF-AB7A-AAFD93307E25}">
  <dimension ref="A1:AG318"/>
  <sheetViews>
    <sheetView workbookViewId="0">
      <pane xSplit="3" ySplit="6" topLeftCell="D196" activePane="bottomRight" state="frozen"/>
      <selection pane="topRight" activeCell="C1" sqref="C1"/>
      <selection pane="bottomLeft" activeCell="A7" sqref="A7"/>
      <selection pane="bottomRight" activeCell="Z201" sqref="Z201"/>
    </sheetView>
  </sheetViews>
  <sheetFormatPr defaultColWidth="9.140625" defaultRowHeight="15" x14ac:dyDescent="0.25"/>
  <cols>
    <col min="1" max="1" width="5" style="4" bestFit="1" customWidth="1"/>
    <col min="2" max="2" width="5" style="4" customWidth="1"/>
    <col min="3" max="3" width="9.140625" style="4"/>
    <col min="4" max="33" width="11.7109375" style="4" customWidth="1"/>
    <col min="34" max="16384" width="9.140625" style="4"/>
  </cols>
  <sheetData>
    <row r="1" spans="1:33" x14ac:dyDescent="0.25">
      <c r="D1" s="5" t="s">
        <v>1043</v>
      </c>
      <c r="E1" s="5" t="s">
        <v>350</v>
      </c>
      <c r="F1" s="5" t="s">
        <v>352</v>
      </c>
      <c r="G1" s="5" t="s">
        <v>354</v>
      </c>
      <c r="H1" s="5" t="s">
        <v>356</v>
      </c>
      <c r="I1" s="5" t="s">
        <v>358</v>
      </c>
      <c r="J1" s="5" t="s">
        <v>360</v>
      </c>
      <c r="K1" s="5" t="s">
        <v>362</v>
      </c>
      <c r="L1" s="5" t="s">
        <v>364</v>
      </c>
      <c r="M1" s="5" t="s">
        <v>366</v>
      </c>
      <c r="N1" s="5" t="s">
        <v>368</v>
      </c>
      <c r="O1" s="5" t="s">
        <v>370</v>
      </c>
      <c r="P1" s="5" t="s">
        <v>372</v>
      </c>
      <c r="Q1" s="5" t="s">
        <v>374</v>
      </c>
      <c r="R1" s="5" t="s">
        <v>376</v>
      </c>
      <c r="S1" s="5" t="s">
        <v>378</v>
      </c>
      <c r="T1" s="5" t="s">
        <v>397</v>
      </c>
      <c r="U1" s="5" t="s">
        <v>1043</v>
      </c>
      <c r="V1" s="5" t="s">
        <v>1043</v>
      </c>
      <c r="W1" s="5" t="s">
        <v>1043</v>
      </c>
      <c r="X1" s="5" t="s">
        <v>1043</v>
      </c>
      <c r="Y1" s="5" t="s">
        <v>1043</v>
      </c>
      <c r="Z1" s="5" t="s">
        <v>1043</v>
      </c>
      <c r="AA1" s="5" t="s">
        <v>1043</v>
      </c>
      <c r="AB1" s="5" t="s">
        <v>1043</v>
      </c>
      <c r="AC1" s="5" t="s">
        <v>1043</v>
      </c>
      <c r="AD1" s="5" t="s">
        <v>1043</v>
      </c>
      <c r="AE1" s="5" t="s">
        <v>1043</v>
      </c>
      <c r="AF1" s="5" t="s">
        <v>1043</v>
      </c>
      <c r="AG1" s="5" t="s">
        <v>1043</v>
      </c>
    </row>
    <row r="2" spans="1:33" x14ac:dyDescent="0.25">
      <c r="D2" s="4" t="s">
        <v>347</v>
      </c>
      <c r="E2" s="4" t="s">
        <v>347</v>
      </c>
      <c r="F2" s="4" t="s">
        <v>347</v>
      </c>
      <c r="G2" s="4" t="s">
        <v>347</v>
      </c>
      <c r="H2" s="4" t="s">
        <v>347</v>
      </c>
      <c r="I2" s="4" t="s">
        <v>347</v>
      </c>
      <c r="J2" s="4" t="s">
        <v>347</v>
      </c>
      <c r="K2" s="4" t="s">
        <v>347</v>
      </c>
      <c r="L2" s="4" t="s">
        <v>347</v>
      </c>
      <c r="M2" s="4" t="s">
        <v>347</v>
      </c>
      <c r="N2" s="4" t="s">
        <v>347</v>
      </c>
      <c r="O2" s="4" t="s">
        <v>347</v>
      </c>
      <c r="P2" s="4" t="s">
        <v>347</v>
      </c>
      <c r="Q2" s="4" t="s">
        <v>347</v>
      </c>
      <c r="R2" s="4" t="s">
        <v>347</v>
      </c>
      <c r="S2" s="4" t="s">
        <v>347</v>
      </c>
      <c r="T2" s="4" t="s">
        <v>347</v>
      </c>
      <c r="U2" s="4" t="s">
        <v>347</v>
      </c>
      <c r="V2" s="4" t="s">
        <v>347</v>
      </c>
      <c r="W2" s="4" t="s">
        <v>347</v>
      </c>
      <c r="X2" s="4" t="s">
        <v>347</v>
      </c>
      <c r="Y2" s="4" t="s">
        <v>347</v>
      </c>
      <c r="Z2" s="4" t="s">
        <v>347</v>
      </c>
      <c r="AA2" s="4" t="s">
        <v>347</v>
      </c>
      <c r="AB2" s="4" t="s">
        <v>347</v>
      </c>
      <c r="AC2" s="4" t="s">
        <v>347</v>
      </c>
      <c r="AD2" s="4" t="s">
        <v>347</v>
      </c>
      <c r="AE2" s="4" t="s">
        <v>347</v>
      </c>
      <c r="AF2" s="4" t="s">
        <v>347</v>
      </c>
      <c r="AG2" s="4" t="s">
        <v>347</v>
      </c>
    </row>
    <row r="3" spans="1:33" x14ac:dyDescent="0.25">
      <c r="D3" s="4" t="s">
        <v>341</v>
      </c>
      <c r="E3" s="4" t="s">
        <v>341</v>
      </c>
      <c r="F3" s="4" t="s">
        <v>341</v>
      </c>
      <c r="G3" s="4" t="s">
        <v>341</v>
      </c>
      <c r="H3" s="4" t="s">
        <v>341</v>
      </c>
      <c r="I3" s="4" t="s">
        <v>341</v>
      </c>
      <c r="J3" s="4" t="s">
        <v>341</v>
      </c>
      <c r="K3" s="4" t="s">
        <v>341</v>
      </c>
      <c r="L3" s="4" t="s">
        <v>341</v>
      </c>
      <c r="M3" s="4" t="s">
        <v>341</v>
      </c>
      <c r="N3" s="4" t="s">
        <v>341</v>
      </c>
      <c r="O3" s="4" t="s">
        <v>341</v>
      </c>
      <c r="P3" s="4" t="s">
        <v>341</v>
      </c>
      <c r="Q3" s="4" t="s">
        <v>341</v>
      </c>
      <c r="R3" s="4" t="s">
        <v>341</v>
      </c>
      <c r="S3" s="4" t="s">
        <v>341</v>
      </c>
      <c r="T3" s="4" t="s">
        <v>341</v>
      </c>
      <c r="U3" s="4" t="s">
        <v>402</v>
      </c>
      <c r="V3" s="4" t="s">
        <v>346</v>
      </c>
      <c r="W3" s="4" t="s">
        <v>411</v>
      </c>
      <c r="X3" s="4" t="s">
        <v>415</v>
      </c>
      <c r="Y3" s="4" t="s">
        <v>419</v>
      </c>
      <c r="Z3" s="4" t="s">
        <v>423</v>
      </c>
      <c r="AA3" s="4" t="s">
        <v>554</v>
      </c>
      <c r="AB3" s="4" t="s">
        <v>563</v>
      </c>
      <c r="AC3" s="4" t="s">
        <v>567</v>
      </c>
      <c r="AD3" s="4" t="s">
        <v>571</v>
      </c>
      <c r="AE3" s="4" t="s">
        <v>575</v>
      </c>
      <c r="AF3" s="4" t="s">
        <v>1023</v>
      </c>
      <c r="AG3" s="4" t="s">
        <v>1025</v>
      </c>
    </row>
    <row r="4" spans="1:33" x14ac:dyDescent="0.25">
      <c r="D4" s="4" t="s">
        <v>340</v>
      </c>
      <c r="E4" s="4" t="s">
        <v>340</v>
      </c>
      <c r="F4" s="4" t="s">
        <v>340</v>
      </c>
      <c r="G4" s="4" t="s">
        <v>340</v>
      </c>
      <c r="H4" s="4" t="s">
        <v>340</v>
      </c>
      <c r="I4" s="4" t="s">
        <v>340</v>
      </c>
      <c r="J4" s="4" t="s">
        <v>340</v>
      </c>
      <c r="K4" s="4" t="s">
        <v>340</v>
      </c>
      <c r="L4" s="4" t="s">
        <v>340</v>
      </c>
      <c r="M4" s="4" t="s">
        <v>340</v>
      </c>
      <c r="N4" s="4" t="s">
        <v>340</v>
      </c>
      <c r="O4" s="4" t="s">
        <v>340</v>
      </c>
      <c r="P4" s="4" t="s">
        <v>340</v>
      </c>
      <c r="Q4" s="4" t="s">
        <v>340</v>
      </c>
      <c r="R4" s="4" t="s">
        <v>340</v>
      </c>
      <c r="S4" s="4" t="s">
        <v>340</v>
      </c>
      <c r="T4" s="4" t="s">
        <v>340</v>
      </c>
      <c r="U4" s="4" t="s">
        <v>340</v>
      </c>
      <c r="V4" s="4" t="s">
        <v>340</v>
      </c>
      <c r="W4" s="4" t="s">
        <v>340</v>
      </c>
      <c r="X4" s="4" t="s">
        <v>340</v>
      </c>
      <c r="Y4" s="4" t="s">
        <v>340</v>
      </c>
      <c r="Z4" s="4" t="s">
        <v>340</v>
      </c>
      <c r="AA4" s="4" t="s">
        <v>340</v>
      </c>
      <c r="AB4" s="4" t="s">
        <v>340</v>
      </c>
      <c r="AC4" s="4" t="s">
        <v>340</v>
      </c>
      <c r="AD4" s="4" t="s">
        <v>340</v>
      </c>
      <c r="AE4" s="4" t="s">
        <v>340</v>
      </c>
      <c r="AF4" s="4" t="s">
        <v>340</v>
      </c>
      <c r="AG4" s="4" t="s">
        <v>340</v>
      </c>
    </row>
    <row r="5" spans="1:33" x14ac:dyDescent="0.25">
      <c r="D5" s="4" t="s">
        <v>348</v>
      </c>
      <c r="E5" s="4" t="s">
        <v>348</v>
      </c>
      <c r="F5" s="4" t="s">
        <v>348</v>
      </c>
      <c r="G5" s="4" t="s">
        <v>348</v>
      </c>
      <c r="H5" s="4" t="s">
        <v>348</v>
      </c>
      <c r="I5" s="4" t="s">
        <v>348</v>
      </c>
      <c r="J5" s="4" t="s">
        <v>348</v>
      </c>
      <c r="K5" s="4" t="s">
        <v>348</v>
      </c>
      <c r="L5" s="4" t="s">
        <v>348</v>
      </c>
      <c r="M5" s="4" t="s">
        <v>348</v>
      </c>
      <c r="N5" s="4" t="s">
        <v>348</v>
      </c>
      <c r="O5" s="4" t="s">
        <v>348</v>
      </c>
      <c r="P5" s="4" t="s">
        <v>348</v>
      </c>
      <c r="Q5" s="4" t="s">
        <v>348</v>
      </c>
      <c r="R5" s="4" t="s">
        <v>348</v>
      </c>
      <c r="S5" s="4" t="s">
        <v>348</v>
      </c>
      <c r="T5" s="4" t="s">
        <v>348</v>
      </c>
      <c r="U5" s="4" t="s">
        <v>348</v>
      </c>
      <c r="V5" s="4" t="s">
        <v>348</v>
      </c>
      <c r="W5" s="4" t="s">
        <v>348</v>
      </c>
      <c r="X5" s="4" t="s">
        <v>348</v>
      </c>
      <c r="Y5" s="4" t="s">
        <v>348</v>
      </c>
      <c r="Z5" s="4" t="s">
        <v>348</v>
      </c>
      <c r="AA5" s="4" t="s">
        <v>348</v>
      </c>
      <c r="AB5" s="4" t="s">
        <v>348</v>
      </c>
      <c r="AC5" s="4" t="s">
        <v>348</v>
      </c>
      <c r="AD5" s="4" t="s">
        <v>348</v>
      </c>
      <c r="AE5" s="4" t="s">
        <v>348</v>
      </c>
      <c r="AF5" s="4" t="s">
        <v>348</v>
      </c>
      <c r="AG5" s="4" t="s">
        <v>348</v>
      </c>
    </row>
    <row r="6" spans="1:33" x14ac:dyDescent="0.25">
      <c r="C6" s="4">
        <f>C318+5</f>
        <v>2289</v>
      </c>
      <c r="D6" s="6" t="str" cm="1">
        <f t="array" ref="D6">_xlfn.CONCAT(INDEX(GMW!$A$2:$LR$60,MATCH(1,(GMW!$LQ$2:$LQ$60=D$3)*(GMW!$LP$2:$LP$60=D$4)*(GMW!$LR$2:$LR$60=D$1),0),$C6-1966),"0",(INDEX(GMW!$A$2:$LR$60,MATCH(1,(GMW!$LQ$2:$LQ$60=D$3)*(GMW!$LP$2:$LP$60=D$4)*(GMW!$LR$2:$LR$60=D$1),0),$C6-1965)))</f>
        <v>202402</v>
      </c>
      <c r="E6" s="6" t="str" cm="1">
        <f t="array" ref="E6">_xlfn.CONCAT(INDEX(GMW!$A$2:$LR$60,MATCH(1,(GMW!$LQ$2:$LQ$60=E$3)*(GMW!$LP$2:$LP$60=E$4)*(GMW!$LR$2:$LR$60=E$1),0),$C6-1966),"0",(INDEX(GMW!$A$2:$LR$60,MATCH(1,(GMW!$LQ$2:$LQ$60=E$3)*(GMW!$LP$2:$LP$60=E$4)*(GMW!$LR$2:$LR$60=E$1),0),$C6-1965)))</f>
        <v>202303</v>
      </c>
      <c r="F6" s="6" t="str" cm="1">
        <f t="array" ref="F6">_xlfn.CONCAT(INDEX(GMW!$A$2:$LR$60,MATCH(1,(GMW!$LQ$2:$LQ$60=F$3)*(GMW!$LP$2:$LP$60=F$4)*(GMW!$LR$2:$LR$60=F$1),0),$C6-1966),"0",(INDEX(GMW!$A$2:$LR$60,MATCH(1,(GMW!$LQ$2:$LQ$60=F$3)*(GMW!$LP$2:$LP$60=F$4)*(GMW!$LR$2:$LR$60=F$1),0),$C6-1965)))</f>
        <v>202303</v>
      </c>
      <c r="G6" s="6" t="str" cm="1">
        <f t="array" ref="G6">_xlfn.CONCAT(INDEX(GMW!$A$2:$LR$60,MATCH(1,(GMW!$LQ$2:$LQ$60=G$3)*(GMW!$LP$2:$LP$60=G$4)*(GMW!$LR$2:$LR$60=G$1),0),$C6-1966),"0",(INDEX(GMW!$A$2:$LR$60,MATCH(1,(GMW!$LQ$2:$LQ$60=G$3)*(GMW!$LP$2:$LP$60=G$4)*(GMW!$LR$2:$LR$60=G$1),0),$C6-1965)))</f>
        <v>202303</v>
      </c>
      <c r="H6" s="6" t="str" cm="1">
        <f t="array" ref="H6">_xlfn.CONCAT(INDEX(GMW!$A$2:$LR$60,MATCH(1,(GMW!$LQ$2:$LQ$60=H$3)*(GMW!$LP$2:$LP$60=H$4)*(GMW!$LR$2:$LR$60=H$1),0),$C6-1966),"0",(INDEX(GMW!$A$2:$LR$60,MATCH(1,(GMW!$LQ$2:$LQ$60=H$3)*(GMW!$LP$2:$LP$60=H$4)*(GMW!$LR$2:$LR$60=H$1),0),$C6-1965)))</f>
        <v>202304</v>
      </c>
      <c r="I6" s="6" t="str" cm="1">
        <f t="array" ref="I6">_xlfn.CONCAT(INDEX(GMW!$A$2:$LR$60,MATCH(1,(GMW!$LQ$2:$LQ$60=I$3)*(GMW!$LP$2:$LP$60=I$4)*(GMW!$LR$2:$LR$60=I$1),0),$C6-1966),"0",(INDEX(GMW!$A$2:$LR$60,MATCH(1,(GMW!$LQ$2:$LQ$60=I$3)*(GMW!$LP$2:$LP$60=I$4)*(GMW!$LR$2:$LR$60=I$1),0),$C6-1965)))</f>
        <v>202304</v>
      </c>
      <c r="J6" s="6" t="str" cm="1">
        <f t="array" ref="J6">_xlfn.CONCAT(INDEX(GMW!$A$2:$LR$60,MATCH(1,(GMW!$LQ$2:$LQ$60=J$3)*(GMW!$LP$2:$LP$60=J$4)*(GMW!$LR$2:$LR$60=J$1),0),$C6-1966),"0",(INDEX(GMW!$A$2:$LR$60,MATCH(1,(GMW!$LQ$2:$LQ$60=J$3)*(GMW!$LP$2:$LP$60=J$4)*(GMW!$LR$2:$LR$60=J$1),0),$C6-1965)))</f>
        <v>202304</v>
      </c>
      <c r="K6" s="6" t="str" cm="1">
        <f t="array" ref="K6">_xlfn.CONCAT(INDEX(GMW!$A$2:$LR$60,MATCH(1,(GMW!$LQ$2:$LQ$60=K$3)*(GMW!$LP$2:$LP$60=K$4)*(GMW!$LR$2:$LR$60=K$1),0),$C6-1966),"0",(INDEX(GMW!$A$2:$LR$60,MATCH(1,(GMW!$LQ$2:$LQ$60=K$3)*(GMW!$LP$2:$LP$60=K$4)*(GMW!$LR$2:$LR$60=K$1),0),$C6-1965)))</f>
        <v>202304</v>
      </c>
      <c r="L6" s="6" t="str" cm="1">
        <f t="array" ref="L6">_xlfn.CONCAT(INDEX(GMW!$A$2:$LR$60,MATCH(1,(GMW!$LQ$2:$LQ$60=L$3)*(GMW!$LP$2:$LP$60=L$4)*(GMW!$LR$2:$LR$60=L$1),0),$C6-1966),"0",(INDEX(GMW!$A$2:$LR$60,MATCH(1,(GMW!$LQ$2:$LQ$60=L$3)*(GMW!$LP$2:$LP$60=L$4)*(GMW!$LR$2:$LR$60=L$1),0),$C6-1965)))</f>
        <v>202304</v>
      </c>
      <c r="M6" s="6" t="str" cm="1">
        <f t="array" ref="M6">_xlfn.CONCAT(INDEX(GMW!$A$2:$LR$60,MATCH(1,(GMW!$LQ$2:$LQ$60=M$3)*(GMW!$LP$2:$LP$60=M$4)*(GMW!$LR$2:$LR$60=M$1),0),$C6-1966),"0",(INDEX(GMW!$A$2:$LR$60,MATCH(1,(GMW!$LQ$2:$LQ$60=M$3)*(GMW!$LP$2:$LP$60=M$4)*(GMW!$LR$2:$LR$60=M$1),0),$C6-1965)))</f>
        <v>202304</v>
      </c>
      <c r="N6" s="6" t="str" cm="1">
        <f t="array" ref="N6">_xlfn.CONCAT(INDEX(GMW!$A$2:$LR$60,MATCH(1,(GMW!$LQ$2:$LQ$60=N$3)*(GMW!$LP$2:$LP$60=N$4)*(GMW!$LR$2:$LR$60=N$1),0),$C6-1966),"0",(INDEX(GMW!$A$2:$LR$60,MATCH(1,(GMW!$LQ$2:$LQ$60=N$3)*(GMW!$LP$2:$LP$60=N$4)*(GMW!$LR$2:$LR$60=N$1),0),$C6-1965)))</f>
        <v>202401</v>
      </c>
      <c r="O6" s="6" t="str" cm="1">
        <f t="array" ref="O6">_xlfn.CONCAT(INDEX(GMW!$A$2:$LR$60,MATCH(1,(GMW!$LQ$2:$LQ$60=O$3)*(GMW!$LP$2:$LP$60=O$4)*(GMW!$LR$2:$LR$60=O$1),0),$C6-1966),"0",(INDEX(GMW!$A$2:$LR$60,MATCH(1,(GMW!$LQ$2:$LQ$60=O$3)*(GMW!$LP$2:$LP$60=O$4)*(GMW!$LR$2:$LR$60=O$1),0),$C6-1965)))</f>
        <v>202401</v>
      </c>
      <c r="P6" s="6" t="str" cm="1">
        <f t="array" ref="P6">_xlfn.CONCAT(INDEX(GMW!$A$2:$LR$60,MATCH(1,(GMW!$LQ$2:$LQ$60=P$3)*(GMW!$LP$2:$LP$60=P$4)*(GMW!$LR$2:$LR$60=P$1),0),$C6-1966),"0",(INDEX(GMW!$A$2:$LR$60,MATCH(1,(GMW!$LQ$2:$LQ$60=P$3)*(GMW!$LP$2:$LP$60=P$4)*(GMW!$LR$2:$LR$60=P$1),0),$C6-1965)))</f>
        <v>202401</v>
      </c>
      <c r="Q6" s="6" t="str" cm="1">
        <f t="array" ref="Q6">_xlfn.CONCAT(INDEX(GMW!$A$2:$LR$60,MATCH(1,(GMW!$LQ$2:$LQ$60=Q$3)*(GMW!$LP$2:$LP$60=Q$4)*(GMW!$LR$2:$LR$60=Q$1),0),$C6-1966),"0",(INDEX(GMW!$A$2:$LR$60,MATCH(1,(GMW!$LQ$2:$LQ$60=Q$3)*(GMW!$LP$2:$LP$60=Q$4)*(GMW!$LR$2:$LR$60=Q$1),0),$C6-1965)))</f>
        <v>202401</v>
      </c>
      <c r="R6" s="6" t="str" cm="1">
        <f t="array" ref="R6">_xlfn.CONCAT(INDEX(GMW!$A$2:$LR$60,MATCH(1,(GMW!$LQ$2:$LQ$60=R$3)*(GMW!$LP$2:$LP$60=R$4)*(GMW!$LR$2:$LR$60=R$1),0),$C6-1966),"0",(INDEX(GMW!$A$2:$LR$60,MATCH(1,(GMW!$LQ$2:$LQ$60=R$3)*(GMW!$LP$2:$LP$60=R$4)*(GMW!$LR$2:$LR$60=R$1),0),$C6-1965)))</f>
        <v>202401</v>
      </c>
      <c r="S6" s="6" t="str" cm="1">
        <f t="array" ref="S6">_xlfn.CONCAT(INDEX(GMW!$A$2:$LR$60,MATCH(1,(GMW!$LQ$2:$LQ$60=S$3)*(GMW!$LP$2:$LP$60=S$4)*(GMW!$LR$2:$LR$60=S$1),0),$C6-1966),"0",(INDEX(GMW!$A$2:$LR$60,MATCH(1,(GMW!$LQ$2:$LQ$60=S$3)*(GMW!$LP$2:$LP$60=S$4)*(GMW!$LR$2:$LR$60=S$1),0),$C6-1965)))</f>
        <v>202401</v>
      </c>
      <c r="T6" s="6" t="str" cm="1">
        <f t="array" ref="T6">_xlfn.CONCAT(INDEX(GMW!$A$2:$LR$60,MATCH(1,(GMW!$LQ$2:$LQ$60=T$3)*(GMW!$LP$2:$LP$60=T$4)*(GMW!$LR$2:$LR$60=T$1),0),$C6-1966),"0",(INDEX(GMW!$A$2:$LR$60,MATCH(1,(GMW!$LQ$2:$LQ$60=T$3)*(GMW!$LP$2:$LP$60=T$4)*(GMW!$LR$2:$LR$60=T$1),0),$C6-1965)))</f>
        <v>202402</v>
      </c>
      <c r="U6" s="6" t="str" cm="1">
        <f t="array" ref="U6">_xlfn.CONCAT(INDEX(GMW!$A$2:$LR$60,MATCH(1,(GMW!$LQ$2:$LQ$60=U$3)*(GMW!$LP$2:$LP$60=U$4)*(GMW!$LR$2:$LR$60=U$1),0),$C6-1966),"0",(INDEX(GMW!$A$2:$LR$60,MATCH(1,(GMW!$LQ$2:$LQ$60=U$3)*(GMW!$LP$2:$LP$60=U$4)*(GMW!$LR$2:$LR$60=U$1),0),$C6-1965)))</f>
        <v>202402</v>
      </c>
      <c r="V6" s="6" t="str" cm="1">
        <f t="array" ref="V6">_xlfn.CONCAT(INDEX(GMW!$A$2:$LR$60,MATCH(1,(GMW!$LQ$2:$LQ$60=V$3)*(GMW!$LP$2:$LP$60=V$4)*(GMW!$LR$2:$LR$60=V$1),0),$C6-1966),"0",(INDEX(GMW!$A$2:$LR$60,MATCH(1,(GMW!$LQ$2:$LQ$60=V$3)*(GMW!$LP$2:$LP$60=V$4)*(GMW!$LR$2:$LR$60=V$1),0),$C6-1965)))</f>
        <v>202402</v>
      </c>
      <c r="W6" s="6" t="str" cm="1">
        <f t="array" ref="W6">_xlfn.CONCAT(INDEX(GMW!$A$2:$LR$60,MATCH(1,(GMW!$LQ$2:$LQ$60=W$3)*(GMW!$LP$2:$LP$60=W$4)*(GMW!$LR$2:$LR$60=W$1),0),$C6-1966),"0",(INDEX(GMW!$A$2:$LR$60,MATCH(1,(GMW!$LQ$2:$LQ$60=W$3)*(GMW!$LP$2:$LP$60=W$4)*(GMW!$LR$2:$LR$60=W$1),0),$C6-1965)))</f>
        <v>202402</v>
      </c>
      <c r="X6" s="6" t="str" cm="1">
        <f t="array" ref="X6">_xlfn.CONCAT(INDEX(GMW!$A$2:$LR$60,MATCH(1,(GMW!$LQ$2:$LQ$60=X$3)*(GMW!$LP$2:$LP$60=X$4)*(GMW!$LR$2:$LR$60=X$1),0),$C6-1966),"0",(INDEX(GMW!$A$2:$LR$60,MATCH(1,(GMW!$LQ$2:$LQ$60=X$3)*(GMW!$LP$2:$LP$60=X$4)*(GMW!$LR$2:$LR$60=X$1),0),$C6-1965)))</f>
        <v>202402</v>
      </c>
      <c r="Y6" s="6" t="str" cm="1">
        <f t="array" ref="Y6">_xlfn.CONCAT(INDEX(GMW!$A$2:$LR$60,MATCH(1,(GMW!$LQ$2:$LQ$60=Y$3)*(GMW!$LP$2:$LP$60=Y$4)*(GMW!$LR$2:$LR$60=Y$1),0),$C6-1966),"0",(INDEX(GMW!$A$2:$LR$60,MATCH(1,(GMW!$LQ$2:$LQ$60=Y$3)*(GMW!$LP$2:$LP$60=Y$4)*(GMW!$LR$2:$LR$60=Y$1),0),$C6-1965)))</f>
        <v>202402</v>
      </c>
      <c r="Z6" s="6" t="str" cm="1">
        <f t="array" ref="Z6">_xlfn.CONCAT(INDEX(GMW!$A$2:$LR$60,MATCH(1,(GMW!$LQ$2:$LQ$60=Z$3)*(GMW!$LP$2:$LP$60=Z$4)*(GMW!$LR$2:$LR$60=Z$1),0),$C6-1966),"0",(INDEX(GMW!$A$2:$LR$60,MATCH(1,(GMW!$LQ$2:$LQ$60=Z$3)*(GMW!$LP$2:$LP$60=Z$4)*(GMW!$LR$2:$LR$60=Z$1),0),$C6-1965)))</f>
        <v>202402</v>
      </c>
      <c r="AA6" s="6" t="str" cm="1">
        <f t="array" ref="AA6">_xlfn.CONCAT(INDEX(GMW!$A$2:$LR$60,MATCH(1,(GMW!$LQ$2:$LQ$60=AA$3)*(GMW!$LP$2:$LP$60=AA$4)*(GMW!$LR$2:$LR$60=AA$1),0),$C6-1966),"0",(INDEX(GMW!$A$2:$LR$60,MATCH(1,(GMW!$LQ$2:$LQ$60=AA$3)*(GMW!$LP$2:$LP$60=AA$4)*(GMW!$LR$2:$LR$60=AA$1),0),$C6-1965)))</f>
        <v>202402</v>
      </c>
      <c r="AB6" s="6" t="str" cm="1">
        <f t="array" ref="AB6">_xlfn.CONCAT(INDEX(GMW!$A$2:$LR$60,MATCH(1,(GMW!$LQ$2:$LQ$60=AB$3)*(GMW!$LP$2:$LP$60=AB$4)*(GMW!$LR$2:$LR$60=AB$1),0),$C6-1966),"0",(INDEX(GMW!$A$2:$LR$60,MATCH(1,(GMW!$LQ$2:$LQ$60=AB$3)*(GMW!$LP$2:$LP$60=AB$4)*(GMW!$LR$2:$LR$60=AB$1),0),$C6-1965)))</f>
        <v>202402</v>
      </c>
      <c r="AC6" s="6" t="str" cm="1">
        <f t="array" ref="AC6">_xlfn.CONCAT(INDEX(GMW!$A$2:$LR$60,MATCH(1,(GMW!$LQ$2:$LQ$60=AC$3)*(GMW!$LP$2:$LP$60=AC$4)*(GMW!$LR$2:$LR$60=AC$1),0),$C6-1966),"0",(INDEX(GMW!$A$2:$LR$60,MATCH(1,(GMW!$LQ$2:$LQ$60=AC$3)*(GMW!$LP$2:$LP$60=AC$4)*(GMW!$LR$2:$LR$60=AC$1),0),$C6-1965)))</f>
        <v>202402</v>
      </c>
      <c r="AD6" s="6" t="str" cm="1">
        <f t="array" ref="AD6">_xlfn.CONCAT(INDEX(GMW!$A$2:$LR$60,MATCH(1,(GMW!$LQ$2:$LQ$60=AD$3)*(GMW!$LP$2:$LP$60=AD$4)*(GMW!$LR$2:$LR$60=AD$1),0),$C6-1966),"0",(INDEX(GMW!$A$2:$LR$60,MATCH(1,(GMW!$LQ$2:$LQ$60=AD$3)*(GMW!$LP$2:$LP$60=AD$4)*(GMW!$LR$2:$LR$60=AD$1),0),$C6-1965)))</f>
        <v>202402</v>
      </c>
      <c r="AE6" s="6" t="str" cm="1">
        <f t="array" ref="AE6">_xlfn.CONCAT(INDEX(GMW!$A$2:$LR$60,MATCH(1,(GMW!$LQ$2:$LQ$60=AE$3)*(GMW!$LP$2:$LP$60=AE$4)*(GMW!$LR$2:$LR$60=AE$1),0),$C6-1966),"0",(INDEX(GMW!$A$2:$LR$60,MATCH(1,(GMW!$LQ$2:$LQ$60=AE$3)*(GMW!$LP$2:$LP$60=AE$4)*(GMW!$LR$2:$LR$60=AE$1),0),$C6-1965)))</f>
        <v>202402</v>
      </c>
      <c r="AF6" s="6" t="str" cm="1">
        <f t="array" ref="AF6">_xlfn.CONCAT(INDEX(GMW!$A$2:$LR$60,MATCH(1,(GMW!$LQ$2:$LQ$60=AF$3)*(GMW!$LP$2:$LP$60=AF$4)*(GMW!$LR$2:$LR$60=AF$1),0),$C6-1966),"0",(INDEX(GMW!$A$2:$LR$60,MATCH(1,(GMW!$LQ$2:$LQ$60=AF$3)*(GMW!$LP$2:$LP$60=AF$4)*(GMW!$LR$2:$LR$60=AF$1),0),$C6-1965)))</f>
        <v>202402</v>
      </c>
      <c r="AG6" s="6" t="str" cm="1">
        <f t="array" ref="AG6">_xlfn.CONCAT(INDEX(GMW!$A$2:$LR$60,MATCH(1,(GMW!$LQ$2:$LQ$60=AG$3)*(GMW!$LP$2:$LP$60=AG$4)*(GMW!$LR$2:$LR$60=AG$1),0),$C6-1966),"0",(INDEX(GMW!$A$2:$LR$60,MATCH(1,(GMW!$LQ$2:$LQ$60=AG$3)*(GMW!$LP$2:$LP$60=AG$4)*(GMW!$LR$2:$LR$60=AG$1),0),$C6-1965)))</f>
        <v>202402</v>
      </c>
    </row>
    <row r="7" spans="1:33" x14ac:dyDescent="0.25">
      <c r="A7" s="4">
        <v>1973</v>
      </c>
      <c r="B7" s="4">
        <v>1973</v>
      </c>
      <c r="C7" s="4">
        <v>1973</v>
      </c>
      <c r="D7" s="4" cm="1">
        <f t="array" ref="D7">INDEX(GMW!$A$2:$LR$60,MATCH(1,(GMW!$LQ$2:$LQ$60=D$3)*(GMW!$LP$2:$LP$60=D$4)*(GMW!$LR$2:$LR$60=D$1),0),$C7-1966)</f>
        <v>223780</v>
      </c>
      <c r="E7" s="4" cm="1">
        <f t="array" ref="E7">INDEX(GMW!$A$2:$LR$60,MATCH(1,(GMW!$LQ$2:$LQ$60=E$3)*(GMW!$LP$2:$LP$60=E$4)*(GMW!$LR$2:$LR$60=E$1),0),$C7-1966)</f>
        <v>223780</v>
      </c>
      <c r="F7" s="4" cm="1">
        <f t="array" ref="F7">INDEX(GMW!$A$2:$LR$60,MATCH(1,(GMW!$LQ$2:$LQ$60=F$3)*(GMW!$LP$2:$LP$60=F$4)*(GMW!$LR$2:$LR$60=F$1),0),$C7-1966)</f>
        <v>223780</v>
      </c>
      <c r="G7" s="4" cm="1">
        <f t="array" ref="G7">INDEX(GMW!$A$2:$LR$60,MATCH(1,(GMW!$LQ$2:$LQ$60=G$3)*(GMW!$LP$2:$LP$60=G$4)*(GMW!$LR$2:$LR$60=G$1),0),$C7-1966)</f>
        <v>223780</v>
      </c>
      <c r="H7" s="4" cm="1">
        <f t="array" ref="H7">INDEX(GMW!$A$2:$LR$60,MATCH(1,(GMW!$LQ$2:$LQ$60=H$3)*(GMW!$LP$2:$LP$60=H$4)*(GMW!$LR$2:$LR$60=H$1),0),$C7-1966)</f>
        <v>223780</v>
      </c>
      <c r="I7" s="4" cm="1">
        <f t="array" ref="I7">INDEX(GMW!$A$2:$LR$60,MATCH(1,(GMW!$LQ$2:$LQ$60=I$3)*(GMW!$LP$2:$LP$60=I$4)*(GMW!$LR$2:$LR$60=I$1),0),$C7-1966)</f>
        <v>223780</v>
      </c>
      <c r="J7" s="4" cm="1">
        <f t="array" ref="J7">INDEX(GMW!$A$2:$LR$60,MATCH(1,(GMW!$LQ$2:$LQ$60=J$3)*(GMW!$LP$2:$LP$60=J$4)*(GMW!$LR$2:$LR$60=J$1),0),$C7-1966)</f>
        <v>223780</v>
      </c>
      <c r="K7" s="4" cm="1">
        <f t="array" ref="K7">INDEX(GMW!$A$2:$LR$60,MATCH(1,(GMW!$LQ$2:$LQ$60=K$3)*(GMW!$LP$2:$LP$60=K$4)*(GMW!$LR$2:$LR$60=K$1),0),$C7-1966)</f>
        <v>223780</v>
      </c>
      <c r="L7" s="4" cm="1">
        <f t="array" ref="L7">INDEX(GMW!$A$2:$LR$60,MATCH(1,(GMW!$LQ$2:$LQ$60=L$3)*(GMW!$LP$2:$LP$60=L$4)*(GMW!$LR$2:$LR$60=L$1),0),$C7-1966)</f>
        <v>223780</v>
      </c>
      <c r="M7" s="4" cm="1">
        <f t="array" ref="M7">INDEX(GMW!$A$2:$LR$60,MATCH(1,(GMW!$LQ$2:$LQ$60=M$3)*(GMW!$LP$2:$LP$60=M$4)*(GMW!$LR$2:$LR$60=M$1),0),$C7-1966)</f>
        <v>223780</v>
      </c>
      <c r="N7" s="4" cm="1">
        <f t="array" ref="N7">INDEX(GMW!$A$2:$LR$60,MATCH(1,(GMW!$LQ$2:$LQ$60=N$3)*(GMW!$LP$2:$LP$60=N$4)*(GMW!$LR$2:$LR$60=N$1),0),$C7-1966)</f>
        <v>223780</v>
      </c>
      <c r="O7" s="4" cm="1">
        <f t="array" ref="O7">INDEX(GMW!$A$2:$LR$60,MATCH(1,(GMW!$LQ$2:$LQ$60=O$3)*(GMW!$LP$2:$LP$60=O$4)*(GMW!$LR$2:$LR$60=O$1),0),$C7-1966)</f>
        <v>223780</v>
      </c>
      <c r="P7" s="4" cm="1">
        <f t="array" ref="P7">INDEX(GMW!$A$2:$LR$60,MATCH(1,(GMW!$LQ$2:$LQ$60=P$3)*(GMW!$LP$2:$LP$60=P$4)*(GMW!$LR$2:$LR$60=P$1),0),$C7-1966)</f>
        <v>223780</v>
      </c>
      <c r="Q7" s="4" cm="1">
        <f t="array" ref="Q7">INDEX(GMW!$A$2:$LR$60,MATCH(1,(GMW!$LQ$2:$LQ$60=Q$3)*(GMW!$LP$2:$LP$60=Q$4)*(GMW!$LR$2:$LR$60=Q$1),0),$C7-1966)</f>
        <v>223780</v>
      </c>
      <c r="R7" s="4" cm="1">
        <f t="array" ref="R7">INDEX(GMW!$A$2:$LR$60,MATCH(1,(GMW!$LQ$2:$LQ$60=R$3)*(GMW!$LP$2:$LP$60=R$4)*(GMW!$LR$2:$LR$60=R$1),0),$C7-1966)</f>
        <v>223780</v>
      </c>
      <c r="S7" s="4" cm="1">
        <f t="array" ref="S7">INDEX(GMW!$A$2:$LR$60,MATCH(1,(GMW!$LQ$2:$LQ$60=S$3)*(GMW!$LP$2:$LP$60=S$4)*(GMW!$LR$2:$LR$60=S$1),0),$C7-1966)</f>
        <v>223780</v>
      </c>
      <c r="T7" s="4" cm="1">
        <f t="array" ref="T7">INDEX(GMW!$A$2:$LR$60,MATCH(1,(GMW!$LQ$2:$LQ$60=T$3)*(GMW!$LP$2:$LP$60=T$4)*(GMW!$LR$2:$LR$60=T$1),0),$C7-1966)</f>
        <v>223780</v>
      </c>
      <c r="U7" s="4" cm="1">
        <f t="array" ref="U7">INDEX(GMW!$A$2:$LR$60,MATCH(1,(GMW!$LQ$2:$LQ$60=U$3)*(GMW!$LP$2:$LP$60=U$4)*(GMW!$LR$2:$LR$60=U$1),0),$C7-1966)</f>
        <v>14.851150000000001</v>
      </c>
      <c r="V7" s="4" cm="1">
        <f t="array" ref="V7">INDEX(GMW!$A$2:$LR$60,MATCH(1,(GMW!$LQ$2:$LQ$60=V$3)*(GMW!$LP$2:$LP$60=V$4)*(GMW!$LR$2:$LR$60=V$1),0),$C7-1966)</f>
        <v>11.88749</v>
      </c>
      <c r="W7" s="4" cm="1">
        <f t="array" ref="W7">INDEX(GMW!$A$2:$LR$60,MATCH(1,(GMW!$LQ$2:$LQ$60=W$3)*(GMW!$LP$2:$LP$60=W$4)*(GMW!$LR$2:$LR$60=W$1),0),$C7-1966)</f>
        <v>1E-3</v>
      </c>
      <c r="X7" s="4" cm="1">
        <f t="array" ref="X7">INDEX(GMW!$A$2:$LR$60,MATCH(1,(GMW!$LQ$2:$LQ$60=X$3)*(GMW!$LP$2:$LP$60=X$4)*(GMW!$LR$2:$LR$60=X$1),0),$C7-1966)</f>
        <v>1E-3</v>
      </c>
      <c r="Y7" s="4" cm="1">
        <f t="array" ref="Y7">INDEX(GMW!$A$2:$LR$60,MATCH(1,(GMW!$LQ$2:$LQ$60=Y$3)*(GMW!$LP$2:$LP$60=Y$4)*(GMW!$LR$2:$LR$60=Y$1),0),$C7-1966)</f>
        <v>1E-3</v>
      </c>
      <c r="Z7" s="4" cm="1">
        <f t="array" ref="Z7">INDEX(GMW!$A$2:$LR$60,MATCH(1,(GMW!$LQ$2:$LQ$60=Z$3)*(GMW!$LP$2:$LP$60=Z$4)*(GMW!$LR$2:$LR$60=Z$1),0),$C7-1966)</f>
        <v>1E-3</v>
      </c>
      <c r="AA7" s="4" cm="1">
        <f t="array" ref="AA7">INDEX(GMW!$A$2:$LR$60,MATCH(1,(GMW!$LQ$2:$LQ$60=AA$3)*(GMW!$LP$2:$LP$60=AA$4)*(GMW!$LR$2:$LR$60=AA$1),0),$C7-1966)</f>
        <v>115848</v>
      </c>
      <c r="AB7" s="4" cm="1">
        <f t="array" ref="AB7">INDEX(GMW!$A$2:$LR$60,MATCH(1,(GMW!$LQ$2:$LQ$60=AB$3)*(GMW!$LP$2:$LP$60=AB$4)*(GMW!$LR$2:$LR$60=AB$1),0),$C7-1966)</f>
        <v>46185</v>
      </c>
      <c r="AC7" s="4" cm="1">
        <f t="array" ref="AC7">INDEX(GMW!$A$2:$LR$60,MATCH(1,(GMW!$LQ$2:$LQ$60=AC$3)*(GMW!$LP$2:$LP$60=AC$4)*(GMW!$LR$2:$LR$60=AC$1),0),$C7-1966)</f>
        <v>50480</v>
      </c>
      <c r="AD7" s="4" cm="1">
        <f t="array" ref="AD7">INDEX(GMW!$A$2:$LR$60,MATCH(1,(GMW!$LQ$2:$LQ$60=AD$3)*(GMW!$LP$2:$LP$60=AD$4)*(GMW!$LR$2:$LR$60=AD$1),0),$C7-1966)</f>
        <v>30686</v>
      </c>
      <c r="AE7" s="4" cm="1">
        <f t="array" ref="AE7">INDEX(GMW!$A$2:$LR$60,MATCH(1,(GMW!$LQ$2:$LQ$60=AE$3)*(GMW!$LP$2:$LP$60=AE$4)*(GMW!$LR$2:$LR$60=AE$1),0),$C7-1966)</f>
        <v>28723</v>
      </c>
      <c r="AF7" s="4" cm="1">
        <f t="array" ref="AF7">INDEX(GMW!$A$2:$LR$60,MATCH(1,(GMW!$LQ$2:$LQ$60=AF$3)*(GMW!$LP$2:$LP$60=AF$4)*(GMW!$LR$2:$LR$60=AF$1),0),$C7-1966)</f>
        <v>1E-3</v>
      </c>
      <c r="AG7" s="4" cm="1">
        <f t="array" ref="AG7">INDEX(GMW!$A$2:$LR$60,MATCH(1,(GMW!$LQ$2:$LQ$60=AG$3)*(GMW!$LP$2:$LP$60=AG$4)*(GMW!$LR$2:$LR$60=AG$1),0),$C7-1966)</f>
        <v>1E-3</v>
      </c>
    </row>
    <row r="8" spans="1:33" x14ac:dyDescent="0.25">
      <c r="B8" s="4">
        <f>B7</f>
        <v>1973</v>
      </c>
      <c r="C8" s="4">
        <f>+C7+1</f>
        <v>1974</v>
      </c>
      <c r="D8" s="4" cm="1">
        <f t="array" ref="D8">INDEX(GMW!$A$2:$LR$60,MATCH(1,(GMW!$LQ$2:$LQ$60=D$3)*(GMW!$LP$2:$LP$60=D$4)*(GMW!$LR$2:$LR$60=D$1),0),$C8-1966)</f>
        <v>224213</v>
      </c>
      <c r="E8" s="4" cm="1">
        <f t="array" ref="E8">INDEX(GMW!$A$2:$LR$60,MATCH(1,(GMW!$LQ$2:$LQ$60=E$3)*(GMW!$LP$2:$LP$60=E$4)*(GMW!$LR$2:$LR$60=E$1),0),$C8-1966)</f>
        <v>224213</v>
      </c>
      <c r="F8" s="4" cm="1">
        <f t="array" ref="F8">INDEX(GMW!$A$2:$LR$60,MATCH(1,(GMW!$LQ$2:$LQ$60=F$3)*(GMW!$LP$2:$LP$60=F$4)*(GMW!$LR$2:$LR$60=F$1),0),$C8-1966)</f>
        <v>224213</v>
      </c>
      <c r="G8" s="4" cm="1">
        <f t="array" ref="G8">INDEX(GMW!$A$2:$LR$60,MATCH(1,(GMW!$LQ$2:$LQ$60=G$3)*(GMW!$LP$2:$LP$60=G$4)*(GMW!$LR$2:$LR$60=G$1),0),$C8-1966)</f>
        <v>224213</v>
      </c>
      <c r="H8" s="4" cm="1">
        <f t="array" ref="H8">INDEX(GMW!$A$2:$LR$60,MATCH(1,(GMW!$LQ$2:$LQ$60=H$3)*(GMW!$LP$2:$LP$60=H$4)*(GMW!$LR$2:$LR$60=H$1),0),$C8-1966)</f>
        <v>224213</v>
      </c>
      <c r="I8" s="4" cm="1">
        <f t="array" ref="I8">INDEX(GMW!$A$2:$LR$60,MATCH(1,(GMW!$LQ$2:$LQ$60=I$3)*(GMW!$LP$2:$LP$60=I$4)*(GMW!$LR$2:$LR$60=I$1),0),$C8-1966)</f>
        <v>224213</v>
      </c>
      <c r="J8" s="4" cm="1">
        <f t="array" ref="J8">INDEX(GMW!$A$2:$LR$60,MATCH(1,(GMW!$LQ$2:$LQ$60=J$3)*(GMW!$LP$2:$LP$60=J$4)*(GMW!$LR$2:$LR$60=J$1),0),$C8-1966)</f>
        <v>224213</v>
      </c>
      <c r="K8" s="4" cm="1">
        <f t="array" ref="K8">INDEX(GMW!$A$2:$LR$60,MATCH(1,(GMW!$LQ$2:$LQ$60=K$3)*(GMW!$LP$2:$LP$60=K$4)*(GMW!$LR$2:$LR$60=K$1),0),$C8-1966)</f>
        <v>224213</v>
      </c>
      <c r="L8" s="4" cm="1">
        <f t="array" ref="L8">INDEX(GMW!$A$2:$LR$60,MATCH(1,(GMW!$LQ$2:$LQ$60=L$3)*(GMW!$LP$2:$LP$60=L$4)*(GMW!$LR$2:$LR$60=L$1),0),$C8-1966)</f>
        <v>224213</v>
      </c>
      <c r="M8" s="4" cm="1">
        <f t="array" ref="M8">INDEX(GMW!$A$2:$LR$60,MATCH(1,(GMW!$LQ$2:$LQ$60=M$3)*(GMW!$LP$2:$LP$60=M$4)*(GMW!$LR$2:$LR$60=M$1),0),$C8-1966)</f>
        <v>224213</v>
      </c>
      <c r="N8" s="4" cm="1">
        <f t="array" ref="N8">INDEX(GMW!$A$2:$LR$60,MATCH(1,(GMW!$LQ$2:$LQ$60=N$3)*(GMW!$LP$2:$LP$60=N$4)*(GMW!$LR$2:$LR$60=N$1),0),$C8-1966)</f>
        <v>224213</v>
      </c>
      <c r="O8" s="4" cm="1">
        <f t="array" ref="O8">INDEX(GMW!$A$2:$LR$60,MATCH(1,(GMW!$LQ$2:$LQ$60=O$3)*(GMW!$LP$2:$LP$60=O$4)*(GMW!$LR$2:$LR$60=O$1),0),$C8-1966)</f>
        <v>224213</v>
      </c>
      <c r="P8" s="4" cm="1">
        <f t="array" ref="P8">INDEX(GMW!$A$2:$LR$60,MATCH(1,(GMW!$LQ$2:$LQ$60=P$3)*(GMW!$LP$2:$LP$60=P$4)*(GMW!$LR$2:$LR$60=P$1),0),$C8-1966)</f>
        <v>224213</v>
      </c>
      <c r="Q8" s="4" cm="1">
        <f t="array" ref="Q8">INDEX(GMW!$A$2:$LR$60,MATCH(1,(GMW!$LQ$2:$LQ$60=Q$3)*(GMW!$LP$2:$LP$60=Q$4)*(GMW!$LR$2:$LR$60=Q$1),0),$C8-1966)</f>
        <v>224213</v>
      </c>
      <c r="R8" s="4" cm="1">
        <f t="array" ref="R8">INDEX(GMW!$A$2:$LR$60,MATCH(1,(GMW!$LQ$2:$LQ$60=R$3)*(GMW!$LP$2:$LP$60=R$4)*(GMW!$LR$2:$LR$60=R$1),0),$C8-1966)</f>
        <v>224213</v>
      </c>
      <c r="S8" s="4" cm="1">
        <f t="array" ref="S8">INDEX(GMW!$A$2:$LR$60,MATCH(1,(GMW!$LQ$2:$LQ$60=S$3)*(GMW!$LP$2:$LP$60=S$4)*(GMW!$LR$2:$LR$60=S$1),0),$C8-1966)</f>
        <v>224213</v>
      </c>
      <c r="T8" s="4" cm="1">
        <f t="array" ref="T8">INDEX(GMW!$A$2:$LR$60,MATCH(1,(GMW!$LQ$2:$LQ$60=T$3)*(GMW!$LP$2:$LP$60=T$4)*(GMW!$LR$2:$LR$60=T$1),0),$C8-1966)</f>
        <v>224213</v>
      </c>
      <c r="U8" s="4" cm="1">
        <f t="array" ref="U8">INDEX(GMW!$A$2:$LR$60,MATCH(1,(GMW!$LQ$2:$LQ$60=U$3)*(GMW!$LP$2:$LP$60=U$4)*(GMW!$LR$2:$LR$60=U$1),0),$C8-1966)</f>
        <v>15.597429999999999</v>
      </c>
      <c r="V8" s="4" cm="1">
        <f t="array" ref="V8">INDEX(GMW!$A$2:$LR$60,MATCH(1,(GMW!$LQ$2:$LQ$60=V$3)*(GMW!$LP$2:$LP$60=V$4)*(GMW!$LR$2:$LR$60=V$1),0),$C8-1966)</f>
        <v>12.304600000000001</v>
      </c>
      <c r="W8" s="4" cm="1">
        <f t="array" ref="W8">INDEX(GMW!$A$2:$LR$60,MATCH(1,(GMW!$LQ$2:$LQ$60=W$3)*(GMW!$LP$2:$LP$60=W$4)*(GMW!$LR$2:$LR$60=W$1),0),$C8-1966)</f>
        <v>1E-3</v>
      </c>
      <c r="X8" s="4" cm="1">
        <f t="array" ref="X8">INDEX(GMW!$A$2:$LR$60,MATCH(1,(GMW!$LQ$2:$LQ$60=X$3)*(GMW!$LP$2:$LP$60=X$4)*(GMW!$LR$2:$LR$60=X$1),0),$C8-1966)</f>
        <v>1E-3</v>
      </c>
      <c r="Y8" s="4" cm="1">
        <f t="array" ref="Y8">INDEX(GMW!$A$2:$LR$60,MATCH(1,(GMW!$LQ$2:$LQ$60=Y$3)*(GMW!$LP$2:$LP$60=Y$4)*(GMW!$LR$2:$LR$60=Y$1),0),$C8-1966)</f>
        <v>1E-3</v>
      </c>
      <c r="Z8" s="4" cm="1">
        <f t="array" ref="Z8">INDEX(GMW!$A$2:$LR$60,MATCH(1,(GMW!$LQ$2:$LQ$60=Z$3)*(GMW!$LP$2:$LP$60=Z$4)*(GMW!$LR$2:$LR$60=Z$1),0),$C8-1966)</f>
        <v>1E-3</v>
      </c>
      <c r="AA8" s="4" cm="1">
        <f t="array" ref="AA8">INDEX(GMW!$A$2:$LR$60,MATCH(1,(GMW!$LQ$2:$LQ$60=AA$3)*(GMW!$LP$2:$LP$60=AA$4)*(GMW!$LR$2:$LR$60=AA$1),0),$C8-1966)</f>
        <v>115094</v>
      </c>
      <c r="AB8" s="4" cm="1">
        <f t="array" ref="AB8">INDEX(GMW!$A$2:$LR$60,MATCH(1,(GMW!$LQ$2:$LQ$60=AB$3)*(GMW!$LP$2:$LP$60=AB$4)*(GMW!$LR$2:$LR$60=AB$1),0),$C8-1966)</f>
        <v>44670</v>
      </c>
      <c r="AC8" s="4" cm="1">
        <f t="array" ref="AC8">INDEX(GMW!$A$2:$LR$60,MATCH(1,(GMW!$LQ$2:$LQ$60=AC$3)*(GMW!$LP$2:$LP$60=AC$4)*(GMW!$LR$2:$LR$60=AC$1),0),$C8-1966)</f>
        <v>50860</v>
      </c>
      <c r="AD8" s="4" cm="1">
        <f t="array" ref="AD8">INDEX(GMW!$A$2:$LR$60,MATCH(1,(GMW!$LQ$2:$LQ$60=AD$3)*(GMW!$LP$2:$LP$60=AD$4)*(GMW!$LR$2:$LR$60=AD$1),0),$C8-1966)</f>
        <v>31399</v>
      </c>
      <c r="AE8" s="4" cm="1">
        <f t="array" ref="AE8">INDEX(GMW!$A$2:$LR$60,MATCH(1,(GMW!$LQ$2:$LQ$60=AE$3)*(GMW!$LP$2:$LP$60=AE$4)*(GMW!$LR$2:$LR$60=AE$1),0),$C8-1966)</f>
        <v>28883</v>
      </c>
      <c r="AF8" s="4" cm="1">
        <f t="array" ref="AF8">INDEX(GMW!$A$2:$LR$60,MATCH(1,(GMW!$LQ$2:$LQ$60=AF$3)*(GMW!$LP$2:$LP$60=AF$4)*(GMW!$LR$2:$LR$60=AF$1),0),$C8-1966)</f>
        <v>1E-3</v>
      </c>
      <c r="AG8" s="4" cm="1">
        <f t="array" ref="AG8">INDEX(GMW!$A$2:$LR$60,MATCH(1,(GMW!$LQ$2:$LQ$60=AG$3)*(GMW!$LP$2:$LP$60=AG$4)*(GMW!$LR$2:$LR$60=AG$1),0),$C8-1966)</f>
        <v>1E-3</v>
      </c>
    </row>
    <row r="9" spans="1:33" x14ac:dyDescent="0.25">
      <c r="B9" s="4">
        <f>B8</f>
        <v>1973</v>
      </c>
      <c r="C9" s="4">
        <f t="shared" ref="C9:C47" si="0">+C8+1</f>
        <v>1975</v>
      </c>
      <c r="D9" s="4" cm="1">
        <f t="array" ref="D9">INDEX(GMW!$A$2:$LR$60,MATCH(1,(GMW!$LQ$2:$LQ$60=D$3)*(GMW!$LP$2:$LP$60=D$4)*(GMW!$LR$2:$LR$60=D$1),0),$C9-1966)</f>
        <v>222122</v>
      </c>
      <c r="E9" s="4" cm="1">
        <f t="array" ref="E9">INDEX(GMW!$A$2:$LR$60,MATCH(1,(GMW!$LQ$2:$LQ$60=E$3)*(GMW!$LP$2:$LP$60=E$4)*(GMW!$LR$2:$LR$60=E$1),0),$C9-1966)</f>
        <v>222122</v>
      </c>
      <c r="F9" s="4" cm="1">
        <f t="array" ref="F9">INDEX(GMW!$A$2:$LR$60,MATCH(1,(GMW!$LQ$2:$LQ$60=F$3)*(GMW!$LP$2:$LP$60=F$4)*(GMW!$LR$2:$LR$60=F$1),0),$C9-1966)</f>
        <v>222122</v>
      </c>
      <c r="G9" s="4" cm="1">
        <f t="array" ref="G9">INDEX(GMW!$A$2:$LR$60,MATCH(1,(GMW!$LQ$2:$LQ$60=G$3)*(GMW!$LP$2:$LP$60=G$4)*(GMW!$LR$2:$LR$60=G$1),0),$C9-1966)</f>
        <v>222122</v>
      </c>
      <c r="H9" s="4" cm="1">
        <f t="array" ref="H9">INDEX(GMW!$A$2:$LR$60,MATCH(1,(GMW!$LQ$2:$LQ$60=H$3)*(GMW!$LP$2:$LP$60=H$4)*(GMW!$LR$2:$LR$60=H$1),0),$C9-1966)</f>
        <v>222122</v>
      </c>
      <c r="I9" s="4" cm="1">
        <f t="array" ref="I9">INDEX(GMW!$A$2:$LR$60,MATCH(1,(GMW!$LQ$2:$LQ$60=I$3)*(GMW!$LP$2:$LP$60=I$4)*(GMW!$LR$2:$LR$60=I$1),0),$C9-1966)</f>
        <v>222122</v>
      </c>
      <c r="J9" s="4" cm="1">
        <f t="array" ref="J9">INDEX(GMW!$A$2:$LR$60,MATCH(1,(GMW!$LQ$2:$LQ$60=J$3)*(GMW!$LP$2:$LP$60=J$4)*(GMW!$LR$2:$LR$60=J$1),0),$C9-1966)</f>
        <v>222122</v>
      </c>
      <c r="K9" s="4" cm="1">
        <f t="array" ref="K9">INDEX(GMW!$A$2:$LR$60,MATCH(1,(GMW!$LQ$2:$LQ$60=K$3)*(GMW!$LP$2:$LP$60=K$4)*(GMW!$LR$2:$LR$60=K$1),0),$C9-1966)</f>
        <v>222122</v>
      </c>
      <c r="L9" s="4" cm="1">
        <f t="array" ref="L9">INDEX(GMW!$A$2:$LR$60,MATCH(1,(GMW!$LQ$2:$LQ$60=L$3)*(GMW!$LP$2:$LP$60=L$4)*(GMW!$LR$2:$LR$60=L$1),0),$C9-1966)</f>
        <v>222122</v>
      </c>
      <c r="M9" s="4" cm="1">
        <f t="array" ref="M9">INDEX(GMW!$A$2:$LR$60,MATCH(1,(GMW!$LQ$2:$LQ$60=M$3)*(GMW!$LP$2:$LP$60=M$4)*(GMW!$LR$2:$LR$60=M$1),0),$C9-1966)</f>
        <v>222122</v>
      </c>
      <c r="N9" s="4" cm="1">
        <f t="array" ref="N9">INDEX(GMW!$A$2:$LR$60,MATCH(1,(GMW!$LQ$2:$LQ$60=N$3)*(GMW!$LP$2:$LP$60=N$4)*(GMW!$LR$2:$LR$60=N$1),0),$C9-1966)</f>
        <v>222122</v>
      </c>
      <c r="O9" s="4" cm="1">
        <f t="array" ref="O9">INDEX(GMW!$A$2:$LR$60,MATCH(1,(GMW!$LQ$2:$LQ$60=O$3)*(GMW!$LP$2:$LP$60=O$4)*(GMW!$LR$2:$LR$60=O$1),0),$C9-1966)</f>
        <v>222122</v>
      </c>
      <c r="P9" s="4" cm="1">
        <f t="array" ref="P9">INDEX(GMW!$A$2:$LR$60,MATCH(1,(GMW!$LQ$2:$LQ$60=P$3)*(GMW!$LP$2:$LP$60=P$4)*(GMW!$LR$2:$LR$60=P$1),0),$C9-1966)</f>
        <v>222122</v>
      </c>
      <c r="Q9" s="4" cm="1">
        <f t="array" ref="Q9">INDEX(GMW!$A$2:$LR$60,MATCH(1,(GMW!$LQ$2:$LQ$60=Q$3)*(GMW!$LP$2:$LP$60=Q$4)*(GMW!$LR$2:$LR$60=Q$1),0),$C9-1966)</f>
        <v>222122</v>
      </c>
      <c r="R9" s="4" cm="1">
        <f t="array" ref="R9">INDEX(GMW!$A$2:$LR$60,MATCH(1,(GMW!$LQ$2:$LQ$60=R$3)*(GMW!$LP$2:$LP$60=R$4)*(GMW!$LR$2:$LR$60=R$1),0),$C9-1966)</f>
        <v>222122</v>
      </c>
      <c r="S9" s="4" cm="1">
        <f t="array" ref="S9">INDEX(GMW!$A$2:$LR$60,MATCH(1,(GMW!$LQ$2:$LQ$60=S$3)*(GMW!$LP$2:$LP$60=S$4)*(GMW!$LR$2:$LR$60=S$1),0),$C9-1966)</f>
        <v>222122</v>
      </c>
      <c r="T9" s="4" cm="1">
        <f t="array" ref="T9">INDEX(GMW!$A$2:$LR$60,MATCH(1,(GMW!$LQ$2:$LQ$60=T$3)*(GMW!$LP$2:$LP$60=T$4)*(GMW!$LR$2:$LR$60=T$1),0),$C9-1966)</f>
        <v>222122</v>
      </c>
      <c r="U9" s="4" cm="1">
        <f t="array" ref="U9">INDEX(GMW!$A$2:$LR$60,MATCH(1,(GMW!$LQ$2:$LQ$60=U$3)*(GMW!$LP$2:$LP$60=U$4)*(GMW!$LR$2:$LR$60=U$1),0),$C9-1966)</f>
        <v>16.407070000000001</v>
      </c>
      <c r="V9" s="4" cm="1">
        <f t="array" ref="V9">INDEX(GMW!$A$2:$LR$60,MATCH(1,(GMW!$LQ$2:$LQ$60=V$3)*(GMW!$LP$2:$LP$60=V$4)*(GMW!$LR$2:$LR$60=V$1),0),$C9-1966)</f>
        <v>12.51315</v>
      </c>
      <c r="W9" s="4" cm="1">
        <f t="array" ref="W9">INDEX(GMW!$A$2:$LR$60,MATCH(1,(GMW!$LQ$2:$LQ$60=W$3)*(GMW!$LP$2:$LP$60=W$4)*(GMW!$LR$2:$LR$60=W$1),0),$C9-1966)</f>
        <v>1E-3</v>
      </c>
      <c r="X9" s="4" cm="1">
        <f t="array" ref="X9">INDEX(GMW!$A$2:$LR$60,MATCH(1,(GMW!$LQ$2:$LQ$60=X$3)*(GMW!$LP$2:$LP$60=X$4)*(GMW!$LR$2:$LR$60=X$1),0),$C9-1966)</f>
        <v>1E-3</v>
      </c>
      <c r="Y9" s="4" cm="1">
        <f t="array" ref="Y9">INDEX(GMW!$A$2:$LR$60,MATCH(1,(GMW!$LQ$2:$LQ$60=Y$3)*(GMW!$LP$2:$LP$60=Y$4)*(GMW!$LR$2:$LR$60=Y$1),0),$C9-1966)</f>
        <v>1E-3</v>
      </c>
      <c r="Z9" s="4" cm="1">
        <f t="array" ref="Z9">INDEX(GMW!$A$2:$LR$60,MATCH(1,(GMW!$LQ$2:$LQ$60=Z$3)*(GMW!$LP$2:$LP$60=Z$4)*(GMW!$LR$2:$LR$60=Z$1),0),$C9-1966)</f>
        <v>1E-3</v>
      </c>
      <c r="AA9" s="4" cm="1">
        <f t="array" ref="AA9">INDEX(GMW!$A$2:$LR$60,MATCH(1,(GMW!$LQ$2:$LQ$60=AA$3)*(GMW!$LP$2:$LP$60=AA$4)*(GMW!$LR$2:$LR$60=AA$1),0),$C9-1966)</f>
        <v>115937</v>
      </c>
      <c r="AB9" s="4" cm="1">
        <f t="array" ref="AB9">INDEX(GMW!$A$2:$LR$60,MATCH(1,(GMW!$LQ$2:$LQ$60=AB$3)*(GMW!$LP$2:$LP$60=AB$4)*(GMW!$LR$2:$LR$60=AB$1),0),$C9-1966)</f>
        <v>43787</v>
      </c>
      <c r="AC9" s="4" cm="1">
        <f t="array" ref="AC9">INDEX(GMW!$A$2:$LR$60,MATCH(1,(GMW!$LQ$2:$LQ$60=AC$3)*(GMW!$LP$2:$LP$60=AC$4)*(GMW!$LR$2:$LR$60=AC$1),0),$C9-1966)</f>
        <v>51322</v>
      </c>
      <c r="AD9" s="4" cm="1">
        <f t="array" ref="AD9">INDEX(GMW!$A$2:$LR$60,MATCH(1,(GMW!$LQ$2:$LQ$60=AD$3)*(GMW!$LP$2:$LP$60=AD$4)*(GMW!$LR$2:$LR$60=AD$1),0),$C9-1966)</f>
        <v>32184</v>
      </c>
      <c r="AE9" s="4" cm="1">
        <f t="array" ref="AE9">INDEX(GMW!$A$2:$LR$60,MATCH(1,(GMW!$LQ$2:$LQ$60=AE$3)*(GMW!$LP$2:$LP$60=AE$4)*(GMW!$LR$2:$LR$60=AE$1),0),$C9-1966)</f>
        <v>29733</v>
      </c>
      <c r="AF9" s="4" cm="1">
        <f t="array" ref="AF9">INDEX(GMW!$A$2:$LR$60,MATCH(1,(GMW!$LQ$2:$LQ$60=AF$3)*(GMW!$LP$2:$LP$60=AF$4)*(GMW!$LR$2:$LR$60=AF$1),0),$C9-1966)</f>
        <v>1E-3</v>
      </c>
      <c r="AG9" s="4" cm="1">
        <f t="array" ref="AG9">INDEX(GMW!$A$2:$LR$60,MATCH(1,(GMW!$LQ$2:$LQ$60=AG$3)*(GMW!$LP$2:$LP$60=AG$4)*(GMW!$LR$2:$LR$60=AG$1),0),$C9-1966)</f>
        <v>1E-3</v>
      </c>
    </row>
    <row r="10" spans="1:33" x14ac:dyDescent="0.25">
      <c r="B10" s="4">
        <f>B9</f>
        <v>1973</v>
      </c>
      <c r="C10" s="4">
        <f t="shared" si="0"/>
        <v>1976</v>
      </c>
      <c r="D10" s="4" cm="1">
        <f t="array" ref="D10">INDEX(GMW!$A$2:$LR$60,MATCH(1,(GMW!$LQ$2:$LQ$60=D$3)*(GMW!$LP$2:$LP$60=D$4)*(GMW!$LR$2:$LR$60=D$1),0),$C10-1966)</f>
        <v>221266</v>
      </c>
      <c r="E10" s="4" cm="1">
        <f t="array" ref="E10">INDEX(GMW!$A$2:$LR$60,MATCH(1,(GMW!$LQ$2:$LQ$60=E$3)*(GMW!$LP$2:$LP$60=E$4)*(GMW!$LR$2:$LR$60=E$1),0),$C10-1966)</f>
        <v>221266</v>
      </c>
      <c r="F10" s="4" cm="1">
        <f t="array" ref="F10">INDEX(GMW!$A$2:$LR$60,MATCH(1,(GMW!$LQ$2:$LQ$60=F$3)*(GMW!$LP$2:$LP$60=F$4)*(GMW!$LR$2:$LR$60=F$1),0),$C10-1966)</f>
        <v>221266</v>
      </c>
      <c r="G10" s="4" cm="1">
        <f t="array" ref="G10">INDEX(GMW!$A$2:$LR$60,MATCH(1,(GMW!$LQ$2:$LQ$60=G$3)*(GMW!$LP$2:$LP$60=G$4)*(GMW!$LR$2:$LR$60=G$1),0),$C10-1966)</f>
        <v>221266</v>
      </c>
      <c r="H10" s="4" cm="1">
        <f t="array" ref="H10">INDEX(GMW!$A$2:$LR$60,MATCH(1,(GMW!$LQ$2:$LQ$60=H$3)*(GMW!$LP$2:$LP$60=H$4)*(GMW!$LR$2:$LR$60=H$1),0),$C10-1966)</f>
        <v>221266</v>
      </c>
      <c r="I10" s="4" cm="1">
        <f t="array" ref="I10">INDEX(GMW!$A$2:$LR$60,MATCH(1,(GMW!$LQ$2:$LQ$60=I$3)*(GMW!$LP$2:$LP$60=I$4)*(GMW!$LR$2:$LR$60=I$1),0),$C10-1966)</f>
        <v>221266</v>
      </c>
      <c r="J10" s="4" cm="1">
        <f t="array" ref="J10">INDEX(GMW!$A$2:$LR$60,MATCH(1,(GMW!$LQ$2:$LQ$60=J$3)*(GMW!$LP$2:$LP$60=J$4)*(GMW!$LR$2:$LR$60=J$1),0),$C10-1966)</f>
        <v>221266</v>
      </c>
      <c r="K10" s="4" cm="1">
        <f t="array" ref="K10">INDEX(GMW!$A$2:$LR$60,MATCH(1,(GMW!$LQ$2:$LQ$60=K$3)*(GMW!$LP$2:$LP$60=K$4)*(GMW!$LR$2:$LR$60=K$1),0),$C10-1966)</f>
        <v>221266</v>
      </c>
      <c r="L10" s="4" cm="1">
        <f t="array" ref="L10">INDEX(GMW!$A$2:$LR$60,MATCH(1,(GMW!$LQ$2:$LQ$60=L$3)*(GMW!$LP$2:$LP$60=L$4)*(GMW!$LR$2:$LR$60=L$1),0),$C10-1966)</f>
        <v>221266</v>
      </c>
      <c r="M10" s="4" cm="1">
        <f t="array" ref="M10">INDEX(GMW!$A$2:$LR$60,MATCH(1,(GMW!$LQ$2:$LQ$60=M$3)*(GMW!$LP$2:$LP$60=M$4)*(GMW!$LR$2:$LR$60=M$1),0),$C10-1966)</f>
        <v>221266</v>
      </c>
      <c r="N10" s="4" cm="1">
        <f t="array" ref="N10">INDEX(GMW!$A$2:$LR$60,MATCH(1,(GMW!$LQ$2:$LQ$60=N$3)*(GMW!$LP$2:$LP$60=N$4)*(GMW!$LR$2:$LR$60=N$1),0),$C10-1966)</f>
        <v>221266</v>
      </c>
      <c r="O10" s="4" cm="1">
        <f t="array" ref="O10">INDEX(GMW!$A$2:$LR$60,MATCH(1,(GMW!$LQ$2:$LQ$60=O$3)*(GMW!$LP$2:$LP$60=O$4)*(GMW!$LR$2:$LR$60=O$1),0),$C10-1966)</f>
        <v>221266</v>
      </c>
      <c r="P10" s="4" cm="1">
        <f t="array" ref="P10">INDEX(GMW!$A$2:$LR$60,MATCH(1,(GMW!$LQ$2:$LQ$60=P$3)*(GMW!$LP$2:$LP$60=P$4)*(GMW!$LR$2:$LR$60=P$1),0),$C10-1966)</f>
        <v>221266</v>
      </c>
      <c r="Q10" s="4" cm="1">
        <f t="array" ref="Q10">INDEX(GMW!$A$2:$LR$60,MATCH(1,(GMW!$LQ$2:$LQ$60=Q$3)*(GMW!$LP$2:$LP$60=Q$4)*(GMW!$LR$2:$LR$60=Q$1),0),$C10-1966)</f>
        <v>221266</v>
      </c>
      <c r="R10" s="4" cm="1">
        <f t="array" ref="R10">INDEX(GMW!$A$2:$LR$60,MATCH(1,(GMW!$LQ$2:$LQ$60=R$3)*(GMW!$LP$2:$LP$60=R$4)*(GMW!$LR$2:$LR$60=R$1),0),$C10-1966)</f>
        <v>221266</v>
      </c>
      <c r="S10" s="4" cm="1">
        <f t="array" ref="S10">INDEX(GMW!$A$2:$LR$60,MATCH(1,(GMW!$LQ$2:$LQ$60=S$3)*(GMW!$LP$2:$LP$60=S$4)*(GMW!$LR$2:$LR$60=S$1),0),$C10-1966)</f>
        <v>221266</v>
      </c>
      <c r="T10" s="4" cm="1">
        <f t="array" ref="T10">INDEX(GMW!$A$2:$LR$60,MATCH(1,(GMW!$LQ$2:$LQ$60=T$3)*(GMW!$LP$2:$LP$60=T$4)*(GMW!$LR$2:$LR$60=T$1),0),$C10-1966)</f>
        <v>221266</v>
      </c>
      <c r="U10" s="4" cm="1">
        <f t="array" ref="U10">INDEX(GMW!$A$2:$LR$60,MATCH(1,(GMW!$LQ$2:$LQ$60=U$3)*(GMW!$LP$2:$LP$60=U$4)*(GMW!$LR$2:$LR$60=U$1),0),$C10-1966)</f>
        <v>16.907609999999998</v>
      </c>
      <c r="V10" s="4" cm="1">
        <f t="array" ref="V10">INDEX(GMW!$A$2:$LR$60,MATCH(1,(GMW!$LQ$2:$LQ$60=V$3)*(GMW!$LP$2:$LP$60=V$4)*(GMW!$LR$2:$LR$60=V$1),0),$C10-1966)</f>
        <v>13.008459999999999</v>
      </c>
      <c r="W10" s="4" cm="1">
        <f t="array" ref="W10">INDEX(GMW!$A$2:$LR$60,MATCH(1,(GMW!$LQ$2:$LQ$60=W$3)*(GMW!$LP$2:$LP$60=W$4)*(GMW!$LR$2:$LR$60=W$1),0),$C10-1966)</f>
        <v>1E-3</v>
      </c>
      <c r="X10" s="4" cm="1">
        <f t="array" ref="X10">INDEX(GMW!$A$2:$LR$60,MATCH(1,(GMW!$LQ$2:$LQ$60=X$3)*(GMW!$LP$2:$LP$60=X$4)*(GMW!$LR$2:$LR$60=X$1),0),$C10-1966)</f>
        <v>1E-3</v>
      </c>
      <c r="Y10" s="4" cm="1">
        <f t="array" ref="Y10">INDEX(GMW!$A$2:$LR$60,MATCH(1,(GMW!$LQ$2:$LQ$60=Y$3)*(GMW!$LP$2:$LP$60=Y$4)*(GMW!$LR$2:$LR$60=Y$1),0),$C10-1966)</f>
        <v>1E-3</v>
      </c>
      <c r="Z10" s="4" cm="1">
        <f t="array" ref="Z10">INDEX(GMW!$A$2:$LR$60,MATCH(1,(GMW!$LQ$2:$LQ$60=Z$3)*(GMW!$LP$2:$LP$60=Z$4)*(GMW!$LR$2:$LR$60=Z$1),0),$C10-1966)</f>
        <v>1E-3</v>
      </c>
      <c r="AA10" s="4" cm="1">
        <f t="array" ref="AA10">INDEX(GMW!$A$2:$LR$60,MATCH(1,(GMW!$LQ$2:$LQ$60=AA$3)*(GMW!$LP$2:$LP$60=AA$4)*(GMW!$LR$2:$LR$60=AA$1),0),$C10-1966)</f>
        <v>115026</v>
      </c>
      <c r="AB10" s="4" cm="1">
        <f t="array" ref="AB10">INDEX(GMW!$A$2:$LR$60,MATCH(1,(GMW!$LQ$2:$LQ$60=AB$3)*(GMW!$LP$2:$LP$60=AB$4)*(GMW!$LR$2:$LR$60=AB$1),0),$C10-1966)</f>
        <v>43599</v>
      </c>
      <c r="AC10" s="4" cm="1">
        <f t="array" ref="AC10">INDEX(GMW!$A$2:$LR$60,MATCH(1,(GMW!$LQ$2:$LQ$60=AC$3)*(GMW!$LP$2:$LP$60=AC$4)*(GMW!$LR$2:$LR$60=AC$1),0),$C10-1966)</f>
        <v>51388</v>
      </c>
      <c r="AD10" s="4" cm="1">
        <f t="array" ref="AD10">INDEX(GMW!$A$2:$LR$60,MATCH(1,(GMW!$LQ$2:$LQ$60=AD$3)*(GMW!$LP$2:$LP$60=AD$4)*(GMW!$LR$2:$LR$60=AD$1),0),$C10-1966)</f>
        <v>32433</v>
      </c>
      <c r="AE10" s="4" cm="1">
        <f t="array" ref="AE10">INDEX(GMW!$A$2:$LR$60,MATCH(1,(GMW!$LQ$2:$LQ$60=AE$3)*(GMW!$LP$2:$LP$60=AE$4)*(GMW!$LR$2:$LR$60=AE$1),0),$C10-1966)</f>
        <v>30228</v>
      </c>
      <c r="AF10" s="4" cm="1">
        <f t="array" ref="AF10">INDEX(GMW!$A$2:$LR$60,MATCH(1,(GMW!$LQ$2:$LQ$60=AF$3)*(GMW!$LP$2:$LP$60=AF$4)*(GMW!$LR$2:$LR$60=AF$1),0),$C10-1966)</f>
        <v>1E-3</v>
      </c>
      <c r="AG10" s="4" cm="1">
        <f t="array" ref="AG10">INDEX(GMW!$A$2:$LR$60,MATCH(1,(GMW!$LQ$2:$LQ$60=AG$3)*(GMW!$LP$2:$LP$60=AG$4)*(GMW!$LR$2:$LR$60=AG$1),0),$C10-1966)</f>
        <v>1E-3</v>
      </c>
    </row>
    <row r="11" spans="1:33" x14ac:dyDescent="0.25">
      <c r="A11" s="4">
        <v>1974</v>
      </c>
      <c r="B11" s="4">
        <f>B7+1</f>
        <v>1974</v>
      </c>
      <c r="C11" s="4">
        <f t="shared" si="0"/>
        <v>1977</v>
      </c>
      <c r="D11" s="4" cm="1">
        <f t="array" ref="D11">INDEX(GMW!$A$2:$LR$60,MATCH(1,(GMW!$LQ$2:$LQ$60=D$3)*(GMW!$LP$2:$LP$60=D$4)*(GMW!$LR$2:$LR$60=D$1),0),$C11-1966)</f>
        <v>215122</v>
      </c>
      <c r="E11" s="4" cm="1">
        <f t="array" ref="E11">INDEX(GMW!$A$2:$LR$60,MATCH(1,(GMW!$LQ$2:$LQ$60=E$3)*(GMW!$LP$2:$LP$60=E$4)*(GMW!$LR$2:$LR$60=E$1),0),$C11-1966)</f>
        <v>215122</v>
      </c>
      <c r="F11" s="4" cm="1">
        <f t="array" ref="F11">INDEX(GMW!$A$2:$LR$60,MATCH(1,(GMW!$LQ$2:$LQ$60=F$3)*(GMW!$LP$2:$LP$60=F$4)*(GMW!$LR$2:$LR$60=F$1),0),$C11-1966)</f>
        <v>215122</v>
      </c>
      <c r="G11" s="4" cm="1">
        <f t="array" ref="G11">INDEX(GMW!$A$2:$LR$60,MATCH(1,(GMW!$LQ$2:$LQ$60=G$3)*(GMW!$LP$2:$LP$60=G$4)*(GMW!$LR$2:$LR$60=G$1),0),$C11-1966)</f>
        <v>215122</v>
      </c>
      <c r="H11" s="4" cm="1">
        <f t="array" ref="H11">INDEX(GMW!$A$2:$LR$60,MATCH(1,(GMW!$LQ$2:$LQ$60=H$3)*(GMW!$LP$2:$LP$60=H$4)*(GMW!$LR$2:$LR$60=H$1),0),$C11-1966)</f>
        <v>215122</v>
      </c>
      <c r="I11" s="4" cm="1">
        <f t="array" ref="I11">INDEX(GMW!$A$2:$LR$60,MATCH(1,(GMW!$LQ$2:$LQ$60=I$3)*(GMW!$LP$2:$LP$60=I$4)*(GMW!$LR$2:$LR$60=I$1),0),$C11-1966)</f>
        <v>215122</v>
      </c>
      <c r="J11" s="4" cm="1">
        <f t="array" ref="J11">INDEX(GMW!$A$2:$LR$60,MATCH(1,(GMW!$LQ$2:$LQ$60=J$3)*(GMW!$LP$2:$LP$60=J$4)*(GMW!$LR$2:$LR$60=J$1),0),$C11-1966)</f>
        <v>215122</v>
      </c>
      <c r="K11" s="4" cm="1">
        <f t="array" ref="K11">INDEX(GMW!$A$2:$LR$60,MATCH(1,(GMW!$LQ$2:$LQ$60=K$3)*(GMW!$LP$2:$LP$60=K$4)*(GMW!$LR$2:$LR$60=K$1),0),$C11-1966)</f>
        <v>215122</v>
      </c>
      <c r="L11" s="4" cm="1">
        <f t="array" ref="L11">INDEX(GMW!$A$2:$LR$60,MATCH(1,(GMW!$LQ$2:$LQ$60=L$3)*(GMW!$LP$2:$LP$60=L$4)*(GMW!$LR$2:$LR$60=L$1),0),$C11-1966)</f>
        <v>215122</v>
      </c>
      <c r="M11" s="4" cm="1">
        <f t="array" ref="M11">INDEX(GMW!$A$2:$LR$60,MATCH(1,(GMW!$LQ$2:$LQ$60=M$3)*(GMW!$LP$2:$LP$60=M$4)*(GMW!$LR$2:$LR$60=M$1),0),$C11-1966)</f>
        <v>215122</v>
      </c>
      <c r="N11" s="4" cm="1">
        <f t="array" ref="N11">INDEX(GMW!$A$2:$LR$60,MATCH(1,(GMW!$LQ$2:$LQ$60=N$3)*(GMW!$LP$2:$LP$60=N$4)*(GMW!$LR$2:$LR$60=N$1),0),$C11-1966)</f>
        <v>215122</v>
      </c>
      <c r="O11" s="4" cm="1">
        <f t="array" ref="O11">INDEX(GMW!$A$2:$LR$60,MATCH(1,(GMW!$LQ$2:$LQ$60=O$3)*(GMW!$LP$2:$LP$60=O$4)*(GMW!$LR$2:$LR$60=O$1),0),$C11-1966)</f>
        <v>215122</v>
      </c>
      <c r="P11" s="4" cm="1">
        <f t="array" ref="P11">INDEX(GMW!$A$2:$LR$60,MATCH(1,(GMW!$LQ$2:$LQ$60=P$3)*(GMW!$LP$2:$LP$60=P$4)*(GMW!$LR$2:$LR$60=P$1),0),$C11-1966)</f>
        <v>215122</v>
      </c>
      <c r="Q11" s="4" cm="1">
        <f t="array" ref="Q11">INDEX(GMW!$A$2:$LR$60,MATCH(1,(GMW!$LQ$2:$LQ$60=Q$3)*(GMW!$LP$2:$LP$60=Q$4)*(GMW!$LR$2:$LR$60=Q$1),0),$C11-1966)</f>
        <v>215122</v>
      </c>
      <c r="R11" s="4" cm="1">
        <f t="array" ref="R11">INDEX(GMW!$A$2:$LR$60,MATCH(1,(GMW!$LQ$2:$LQ$60=R$3)*(GMW!$LP$2:$LP$60=R$4)*(GMW!$LR$2:$LR$60=R$1),0),$C11-1966)</f>
        <v>215122</v>
      </c>
      <c r="S11" s="4" cm="1">
        <f t="array" ref="S11">INDEX(GMW!$A$2:$LR$60,MATCH(1,(GMW!$LQ$2:$LQ$60=S$3)*(GMW!$LP$2:$LP$60=S$4)*(GMW!$LR$2:$LR$60=S$1),0),$C11-1966)</f>
        <v>215122</v>
      </c>
      <c r="T11" s="4" cm="1">
        <f t="array" ref="T11">INDEX(GMW!$A$2:$LR$60,MATCH(1,(GMW!$LQ$2:$LQ$60=T$3)*(GMW!$LP$2:$LP$60=T$4)*(GMW!$LR$2:$LR$60=T$1),0),$C11-1966)</f>
        <v>215122</v>
      </c>
      <c r="U11" s="4" cm="1">
        <f t="array" ref="U11">INDEX(GMW!$A$2:$LR$60,MATCH(1,(GMW!$LQ$2:$LQ$60=U$3)*(GMW!$LP$2:$LP$60=U$4)*(GMW!$LR$2:$LR$60=U$1),0),$C11-1966)</f>
        <v>16.780860000000001</v>
      </c>
      <c r="V11" s="4" cm="1">
        <f t="array" ref="V11">INDEX(GMW!$A$2:$LR$60,MATCH(1,(GMW!$LQ$2:$LQ$60=V$3)*(GMW!$LP$2:$LP$60=V$4)*(GMW!$LR$2:$LR$60=V$1),0),$C11-1966)</f>
        <v>13.47771</v>
      </c>
      <c r="W11" s="4" cm="1">
        <f t="array" ref="W11">INDEX(GMW!$A$2:$LR$60,MATCH(1,(GMW!$LQ$2:$LQ$60=W$3)*(GMW!$LP$2:$LP$60=W$4)*(GMW!$LR$2:$LR$60=W$1),0),$C11-1966)</f>
        <v>1E-3</v>
      </c>
      <c r="X11" s="4" cm="1">
        <f t="array" ref="X11">INDEX(GMW!$A$2:$LR$60,MATCH(1,(GMW!$LQ$2:$LQ$60=X$3)*(GMW!$LP$2:$LP$60=X$4)*(GMW!$LR$2:$LR$60=X$1),0),$C11-1966)</f>
        <v>1E-3</v>
      </c>
      <c r="Y11" s="4" cm="1">
        <f t="array" ref="Y11">INDEX(GMW!$A$2:$LR$60,MATCH(1,(GMW!$LQ$2:$LQ$60=Y$3)*(GMW!$LP$2:$LP$60=Y$4)*(GMW!$LR$2:$LR$60=Y$1),0),$C11-1966)</f>
        <v>1E-3</v>
      </c>
      <c r="Z11" s="4" cm="1">
        <f t="array" ref="Z11">INDEX(GMW!$A$2:$LR$60,MATCH(1,(GMW!$LQ$2:$LQ$60=Z$3)*(GMW!$LP$2:$LP$60=Z$4)*(GMW!$LR$2:$LR$60=Z$1),0),$C11-1966)</f>
        <v>1E-3</v>
      </c>
      <c r="AA11" s="4" cm="1">
        <f t="array" ref="AA11">INDEX(GMW!$A$2:$LR$60,MATCH(1,(GMW!$LQ$2:$LQ$60=AA$3)*(GMW!$LP$2:$LP$60=AA$4)*(GMW!$LR$2:$LR$60=AA$1),0),$C11-1966)</f>
        <v>112943</v>
      </c>
      <c r="AB11" s="4" cm="1">
        <f t="array" ref="AB11">INDEX(GMW!$A$2:$LR$60,MATCH(1,(GMW!$LQ$2:$LQ$60=AB$3)*(GMW!$LP$2:$LP$60=AB$4)*(GMW!$LR$2:$LR$60=AB$1),0),$C11-1966)</f>
        <v>43200</v>
      </c>
      <c r="AC11" s="4" cm="1">
        <f t="array" ref="AC11">INDEX(GMW!$A$2:$LR$60,MATCH(1,(GMW!$LQ$2:$LQ$60=AC$3)*(GMW!$LP$2:$LP$60=AC$4)*(GMW!$LR$2:$LR$60=AC$1),0),$C11-1966)</f>
        <v>50687</v>
      </c>
      <c r="AD11" s="4" cm="1">
        <f t="array" ref="AD11">INDEX(GMW!$A$2:$LR$60,MATCH(1,(GMW!$LQ$2:$LQ$60=AD$3)*(GMW!$LP$2:$LP$60=AD$4)*(GMW!$LR$2:$LR$60=AD$1),0),$C11-1966)</f>
        <v>33233</v>
      </c>
      <c r="AE11" s="4" cm="1">
        <f t="array" ref="AE11">INDEX(GMW!$A$2:$LR$60,MATCH(1,(GMW!$LQ$2:$LQ$60=AE$3)*(GMW!$LP$2:$LP$60=AE$4)*(GMW!$LR$2:$LR$60=AE$1),0),$C11-1966)</f>
        <v>29334</v>
      </c>
      <c r="AF11" s="4" cm="1">
        <f t="array" ref="AF11">INDEX(GMW!$A$2:$LR$60,MATCH(1,(GMW!$LQ$2:$LQ$60=AF$3)*(GMW!$LP$2:$LP$60=AF$4)*(GMW!$LR$2:$LR$60=AF$1),0),$C11-1966)</f>
        <v>1E-3</v>
      </c>
      <c r="AG11" s="4" cm="1">
        <f t="array" ref="AG11">INDEX(GMW!$A$2:$LR$60,MATCH(1,(GMW!$LQ$2:$LQ$60=AG$3)*(GMW!$LP$2:$LP$60=AG$4)*(GMW!$LR$2:$LR$60=AG$1),0),$C11-1966)</f>
        <v>1E-3</v>
      </c>
    </row>
    <row r="12" spans="1:33" x14ac:dyDescent="0.25">
      <c r="B12" s="4">
        <f t="shared" ref="B12:B75" si="1">B8+1</f>
        <v>1974</v>
      </c>
      <c r="C12" s="4">
        <f t="shared" si="0"/>
        <v>1978</v>
      </c>
      <c r="D12" s="4" cm="1">
        <f t="array" ref="D12">INDEX(GMW!$A$2:$LR$60,MATCH(1,(GMW!$LQ$2:$LQ$60=D$3)*(GMW!$LP$2:$LP$60=D$4)*(GMW!$LR$2:$LR$60=D$1),0),$C12-1966)</f>
        <v>218215</v>
      </c>
      <c r="E12" s="4" cm="1">
        <f t="array" ref="E12">INDEX(GMW!$A$2:$LR$60,MATCH(1,(GMW!$LQ$2:$LQ$60=E$3)*(GMW!$LP$2:$LP$60=E$4)*(GMW!$LR$2:$LR$60=E$1),0),$C12-1966)</f>
        <v>218215</v>
      </c>
      <c r="F12" s="4" cm="1">
        <f t="array" ref="F12">INDEX(GMW!$A$2:$LR$60,MATCH(1,(GMW!$LQ$2:$LQ$60=F$3)*(GMW!$LP$2:$LP$60=F$4)*(GMW!$LR$2:$LR$60=F$1),0),$C12-1966)</f>
        <v>218215</v>
      </c>
      <c r="G12" s="4" cm="1">
        <f t="array" ref="G12">INDEX(GMW!$A$2:$LR$60,MATCH(1,(GMW!$LQ$2:$LQ$60=G$3)*(GMW!$LP$2:$LP$60=G$4)*(GMW!$LR$2:$LR$60=G$1),0),$C12-1966)</f>
        <v>218215</v>
      </c>
      <c r="H12" s="4" cm="1">
        <f t="array" ref="H12">INDEX(GMW!$A$2:$LR$60,MATCH(1,(GMW!$LQ$2:$LQ$60=H$3)*(GMW!$LP$2:$LP$60=H$4)*(GMW!$LR$2:$LR$60=H$1),0),$C12-1966)</f>
        <v>218215</v>
      </c>
      <c r="I12" s="4" cm="1">
        <f t="array" ref="I12">INDEX(GMW!$A$2:$LR$60,MATCH(1,(GMW!$LQ$2:$LQ$60=I$3)*(GMW!$LP$2:$LP$60=I$4)*(GMW!$LR$2:$LR$60=I$1),0),$C12-1966)</f>
        <v>218215</v>
      </c>
      <c r="J12" s="4" cm="1">
        <f t="array" ref="J12">INDEX(GMW!$A$2:$LR$60,MATCH(1,(GMW!$LQ$2:$LQ$60=J$3)*(GMW!$LP$2:$LP$60=J$4)*(GMW!$LR$2:$LR$60=J$1),0),$C12-1966)</f>
        <v>218215</v>
      </c>
      <c r="K12" s="4" cm="1">
        <f t="array" ref="K12">INDEX(GMW!$A$2:$LR$60,MATCH(1,(GMW!$LQ$2:$LQ$60=K$3)*(GMW!$LP$2:$LP$60=K$4)*(GMW!$LR$2:$LR$60=K$1),0),$C12-1966)</f>
        <v>218215</v>
      </c>
      <c r="L12" s="4" cm="1">
        <f t="array" ref="L12">INDEX(GMW!$A$2:$LR$60,MATCH(1,(GMW!$LQ$2:$LQ$60=L$3)*(GMW!$LP$2:$LP$60=L$4)*(GMW!$LR$2:$LR$60=L$1),0),$C12-1966)</f>
        <v>218215</v>
      </c>
      <c r="M12" s="4" cm="1">
        <f t="array" ref="M12">INDEX(GMW!$A$2:$LR$60,MATCH(1,(GMW!$LQ$2:$LQ$60=M$3)*(GMW!$LP$2:$LP$60=M$4)*(GMW!$LR$2:$LR$60=M$1),0),$C12-1966)</f>
        <v>218215</v>
      </c>
      <c r="N12" s="4" cm="1">
        <f t="array" ref="N12">INDEX(GMW!$A$2:$LR$60,MATCH(1,(GMW!$LQ$2:$LQ$60=N$3)*(GMW!$LP$2:$LP$60=N$4)*(GMW!$LR$2:$LR$60=N$1),0),$C12-1966)</f>
        <v>218215</v>
      </c>
      <c r="O12" s="4" cm="1">
        <f t="array" ref="O12">INDEX(GMW!$A$2:$LR$60,MATCH(1,(GMW!$LQ$2:$LQ$60=O$3)*(GMW!$LP$2:$LP$60=O$4)*(GMW!$LR$2:$LR$60=O$1),0),$C12-1966)</f>
        <v>218215</v>
      </c>
      <c r="P12" s="4" cm="1">
        <f t="array" ref="P12">INDEX(GMW!$A$2:$LR$60,MATCH(1,(GMW!$LQ$2:$LQ$60=P$3)*(GMW!$LP$2:$LP$60=P$4)*(GMW!$LR$2:$LR$60=P$1),0),$C12-1966)</f>
        <v>218215</v>
      </c>
      <c r="Q12" s="4" cm="1">
        <f t="array" ref="Q12">INDEX(GMW!$A$2:$LR$60,MATCH(1,(GMW!$LQ$2:$LQ$60=Q$3)*(GMW!$LP$2:$LP$60=Q$4)*(GMW!$LR$2:$LR$60=Q$1),0),$C12-1966)</f>
        <v>218215</v>
      </c>
      <c r="R12" s="4" cm="1">
        <f t="array" ref="R12">INDEX(GMW!$A$2:$LR$60,MATCH(1,(GMW!$LQ$2:$LQ$60=R$3)*(GMW!$LP$2:$LP$60=R$4)*(GMW!$LR$2:$LR$60=R$1),0),$C12-1966)</f>
        <v>218215</v>
      </c>
      <c r="S12" s="4" cm="1">
        <f t="array" ref="S12">INDEX(GMW!$A$2:$LR$60,MATCH(1,(GMW!$LQ$2:$LQ$60=S$3)*(GMW!$LP$2:$LP$60=S$4)*(GMW!$LR$2:$LR$60=S$1),0),$C12-1966)</f>
        <v>218215</v>
      </c>
      <c r="T12" s="4" cm="1">
        <f t="array" ref="T12">INDEX(GMW!$A$2:$LR$60,MATCH(1,(GMW!$LQ$2:$LQ$60=T$3)*(GMW!$LP$2:$LP$60=T$4)*(GMW!$LR$2:$LR$60=T$1),0),$C12-1966)</f>
        <v>218215</v>
      </c>
      <c r="U12" s="4" cm="1">
        <f t="array" ref="U12">INDEX(GMW!$A$2:$LR$60,MATCH(1,(GMW!$LQ$2:$LQ$60=U$3)*(GMW!$LP$2:$LP$60=U$4)*(GMW!$LR$2:$LR$60=U$1),0),$C12-1966)</f>
        <v>18.253409999999999</v>
      </c>
      <c r="V12" s="4" cm="1">
        <f t="array" ref="V12">INDEX(GMW!$A$2:$LR$60,MATCH(1,(GMW!$LQ$2:$LQ$60=V$3)*(GMW!$LP$2:$LP$60=V$4)*(GMW!$LR$2:$LR$60=V$1),0),$C12-1966)</f>
        <v>14.23371</v>
      </c>
      <c r="W12" s="4" cm="1">
        <f t="array" ref="W12">INDEX(GMW!$A$2:$LR$60,MATCH(1,(GMW!$LQ$2:$LQ$60=W$3)*(GMW!$LP$2:$LP$60=W$4)*(GMW!$LR$2:$LR$60=W$1),0),$C12-1966)</f>
        <v>1E-3</v>
      </c>
      <c r="X12" s="4" cm="1">
        <f t="array" ref="X12">INDEX(GMW!$A$2:$LR$60,MATCH(1,(GMW!$LQ$2:$LQ$60=X$3)*(GMW!$LP$2:$LP$60=X$4)*(GMW!$LR$2:$LR$60=X$1),0),$C12-1966)</f>
        <v>1E-3</v>
      </c>
      <c r="Y12" s="4" cm="1">
        <f t="array" ref="Y12">INDEX(GMW!$A$2:$LR$60,MATCH(1,(GMW!$LQ$2:$LQ$60=Y$3)*(GMW!$LP$2:$LP$60=Y$4)*(GMW!$LR$2:$LR$60=Y$1),0),$C12-1966)</f>
        <v>1E-3</v>
      </c>
      <c r="Z12" s="4" cm="1">
        <f t="array" ref="Z12">INDEX(GMW!$A$2:$LR$60,MATCH(1,(GMW!$LQ$2:$LQ$60=Z$3)*(GMW!$LP$2:$LP$60=Z$4)*(GMW!$LR$2:$LR$60=Z$1),0),$C12-1966)</f>
        <v>1E-3</v>
      </c>
      <c r="AA12" s="4" cm="1">
        <f t="array" ref="AA12">INDEX(GMW!$A$2:$LR$60,MATCH(1,(GMW!$LQ$2:$LQ$60=AA$3)*(GMW!$LP$2:$LP$60=AA$4)*(GMW!$LR$2:$LR$60=AA$1),0),$C12-1966)</f>
        <v>113533</v>
      </c>
      <c r="AB12" s="4" cm="1">
        <f t="array" ref="AB12">INDEX(GMW!$A$2:$LR$60,MATCH(1,(GMW!$LQ$2:$LQ$60=AB$3)*(GMW!$LP$2:$LP$60=AB$4)*(GMW!$LR$2:$LR$60=AB$1),0),$C12-1966)</f>
        <v>40821</v>
      </c>
      <c r="AC12" s="4" cm="1">
        <f t="array" ref="AC12">INDEX(GMW!$A$2:$LR$60,MATCH(1,(GMW!$LQ$2:$LQ$60=AC$3)*(GMW!$LP$2:$LP$60=AC$4)*(GMW!$LR$2:$LR$60=AC$1),0),$C12-1966)</f>
        <v>51644</v>
      </c>
      <c r="AD12" s="4" cm="1">
        <f t="array" ref="AD12">INDEX(GMW!$A$2:$LR$60,MATCH(1,(GMW!$LQ$2:$LQ$60=AD$3)*(GMW!$LP$2:$LP$60=AD$4)*(GMW!$LR$2:$LR$60=AD$1),0),$C12-1966)</f>
        <v>34288</v>
      </c>
      <c r="AE12" s="4" cm="1">
        <f t="array" ref="AE12">INDEX(GMW!$A$2:$LR$60,MATCH(1,(GMW!$LQ$2:$LQ$60=AE$3)*(GMW!$LP$2:$LP$60=AE$4)*(GMW!$LR$2:$LR$60=AE$1),0),$C12-1966)</f>
        <v>30071</v>
      </c>
      <c r="AF12" s="4" cm="1">
        <f t="array" ref="AF12">INDEX(GMW!$A$2:$LR$60,MATCH(1,(GMW!$LQ$2:$LQ$60=AF$3)*(GMW!$LP$2:$LP$60=AF$4)*(GMW!$LR$2:$LR$60=AF$1),0),$C12-1966)</f>
        <v>1E-3</v>
      </c>
      <c r="AG12" s="4" cm="1">
        <f t="array" ref="AG12">INDEX(GMW!$A$2:$LR$60,MATCH(1,(GMW!$LQ$2:$LQ$60=AG$3)*(GMW!$LP$2:$LP$60=AG$4)*(GMW!$LR$2:$LR$60=AG$1),0),$C12-1966)</f>
        <v>1E-3</v>
      </c>
    </row>
    <row r="13" spans="1:33" x14ac:dyDescent="0.25">
      <c r="B13" s="4">
        <f t="shared" si="1"/>
        <v>1974</v>
      </c>
      <c r="C13" s="4">
        <f t="shared" si="0"/>
        <v>1979</v>
      </c>
      <c r="D13" s="4" cm="1">
        <f t="array" ref="D13">INDEX(GMW!$A$2:$LR$60,MATCH(1,(GMW!$LQ$2:$LQ$60=D$3)*(GMW!$LP$2:$LP$60=D$4)*(GMW!$LR$2:$LR$60=D$1),0),$C13-1966)</f>
        <v>219517</v>
      </c>
      <c r="E13" s="4" cm="1">
        <f t="array" ref="E13">INDEX(GMW!$A$2:$LR$60,MATCH(1,(GMW!$LQ$2:$LQ$60=E$3)*(GMW!$LP$2:$LP$60=E$4)*(GMW!$LR$2:$LR$60=E$1),0),$C13-1966)</f>
        <v>219517</v>
      </c>
      <c r="F13" s="4" cm="1">
        <f t="array" ref="F13">INDEX(GMW!$A$2:$LR$60,MATCH(1,(GMW!$LQ$2:$LQ$60=F$3)*(GMW!$LP$2:$LP$60=F$4)*(GMW!$LR$2:$LR$60=F$1),0),$C13-1966)</f>
        <v>219517</v>
      </c>
      <c r="G13" s="4" cm="1">
        <f t="array" ref="G13">INDEX(GMW!$A$2:$LR$60,MATCH(1,(GMW!$LQ$2:$LQ$60=G$3)*(GMW!$LP$2:$LP$60=G$4)*(GMW!$LR$2:$LR$60=G$1),0),$C13-1966)</f>
        <v>219517</v>
      </c>
      <c r="H13" s="4" cm="1">
        <f t="array" ref="H13">INDEX(GMW!$A$2:$LR$60,MATCH(1,(GMW!$LQ$2:$LQ$60=H$3)*(GMW!$LP$2:$LP$60=H$4)*(GMW!$LR$2:$LR$60=H$1),0),$C13-1966)</f>
        <v>219517</v>
      </c>
      <c r="I13" s="4" cm="1">
        <f t="array" ref="I13">INDEX(GMW!$A$2:$LR$60,MATCH(1,(GMW!$LQ$2:$LQ$60=I$3)*(GMW!$LP$2:$LP$60=I$4)*(GMW!$LR$2:$LR$60=I$1),0),$C13-1966)</f>
        <v>219517</v>
      </c>
      <c r="J13" s="4" cm="1">
        <f t="array" ref="J13">INDEX(GMW!$A$2:$LR$60,MATCH(1,(GMW!$LQ$2:$LQ$60=J$3)*(GMW!$LP$2:$LP$60=J$4)*(GMW!$LR$2:$LR$60=J$1),0),$C13-1966)</f>
        <v>219517</v>
      </c>
      <c r="K13" s="4" cm="1">
        <f t="array" ref="K13">INDEX(GMW!$A$2:$LR$60,MATCH(1,(GMW!$LQ$2:$LQ$60=K$3)*(GMW!$LP$2:$LP$60=K$4)*(GMW!$LR$2:$LR$60=K$1),0),$C13-1966)</f>
        <v>219517</v>
      </c>
      <c r="L13" s="4" cm="1">
        <f t="array" ref="L13">INDEX(GMW!$A$2:$LR$60,MATCH(1,(GMW!$LQ$2:$LQ$60=L$3)*(GMW!$LP$2:$LP$60=L$4)*(GMW!$LR$2:$LR$60=L$1),0),$C13-1966)</f>
        <v>219517</v>
      </c>
      <c r="M13" s="4" cm="1">
        <f t="array" ref="M13">INDEX(GMW!$A$2:$LR$60,MATCH(1,(GMW!$LQ$2:$LQ$60=M$3)*(GMW!$LP$2:$LP$60=M$4)*(GMW!$LR$2:$LR$60=M$1),0),$C13-1966)</f>
        <v>219517</v>
      </c>
      <c r="N13" s="4" cm="1">
        <f t="array" ref="N13">INDEX(GMW!$A$2:$LR$60,MATCH(1,(GMW!$LQ$2:$LQ$60=N$3)*(GMW!$LP$2:$LP$60=N$4)*(GMW!$LR$2:$LR$60=N$1),0),$C13-1966)</f>
        <v>219517</v>
      </c>
      <c r="O13" s="4" cm="1">
        <f t="array" ref="O13">INDEX(GMW!$A$2:$LR$60,MATCH(1,(GMW!$LQ$2:$LQ$60=O$3)*(GMW!$LP$2:$LP$60=O$4)*(GMW!$LR$2:$LR$60=O$1),0),$C13-1966)</f>
        <v>219517</v>
      </c>
      <c r="P13" s="4" cm="1">
        <f t="array" ref="P13">INDEX(GMW!$A$2:$LR$60,MATCH(1,(GMW!$LQ$2:$LQ$60=P$3)*(GMW!$LP$2:$LP$60=P$4)*(GMW!$LR$2:$LR$60=P$1),0),$C13-1966)</f>
        <v>219517</v>
      </c>
      <c r="Q13" s="4" cm="1">
        <f t="array" ref="Q13">INDEX(GMW!$A$2:$LR$60,MATCH(1,(GMW!$LQ$2:$LQ$60=Q$3)*(GMW!$LP$2:$LP$60=Q$4)*(GMW!$LR$2:$LR$60=Q$1),0),$C13-1966)</f>
        <v>219517</v>
      </c>
      <c r="R13" s="4" cm="1">
        <f t="array" ref="R13">INDEX(GMW!$A$2:$LR$60,MATCH(1,(GMW!$LQ$2:$LQ$60=R$3)*(GMW!$LP$2:$LP$60=R$4)*(GMW!$LR$2:$LR$60=R$1),0),$C13-1966)</f>
        <v>219517</v>
      </c>
      <c r="S13" s="4" cm="1">
        <f t="array" ref="S13">INDEX(GMW!$A$2:$LR$60,MATCH(1,(GMW!$LQ$2:$LQ$60=S$3)*(GMW!$LP$2:$LP$60=S$4)*(GMW!$LR$2:$LR$60=S$1),0),$C13-1966)</f>
        <v>219517</v>
      </c>
      <c r="T13" s="4" cm="1">
        <f t="array" ref="T13">INDEX(GMW!$A$2:$LR$60,MATCH(1,(GMW!$LQ$2:$LQ$60=T$3)*(GMW!$LP$2:$LP$60=T$4)*(GMW!$LR$2:$LR$60=T$1),0),$C13-1966)</f>
        <v>219517</v>
      </c>
      <c r="U13" s="4" cm="1">
        <f t="array" ref="U13">INDEX(GMW!$A$2:$LR$60,MATCH(1,(GMW!$LQ$2:$LQ$60=U$3)*(GMW!$LP$2:$LP$60=U$4)*(GMW!$LR$2:$LR$60=U$1),0),$C13-1966)</f>
        <v>20.242899999999999</v>
      </c>
      <c r="V13" s="4" cm="1">
        <f t="array" ref="V13">INDEX(GMW!$A$2:$LR$60,MATCH(1,(GMW!$LQ$2:$LQ$60=V$3)*(GMW!$LP$2:$LP$60=V$4)*(GMW!$LR$2:$LR$60=V$1),0),$C13-1966)</f>
        <v>14.572609999999999</v>
      </c>
      <c r="W13" s="4" cm="1">
        <f t="array" ref="W13">INDEX(GMW!$A$2:$LR$60,MATCH(1,(GMW!$LQ$2:$LQ$60=W$3)*(GMW!$LP$2:$LP$60=W$4)*(GMW!$LR$2:$LR$60=W$1),0),$C13-1966)</f>
        <v>1E-3</v>
      </c>
      <c r="X13" s="4" cm="1">
        <f t="array" ref="X13">INDEX(GMW!$A$2:$LR$60,MATCH(1,(GMW!$LQ$2:$LQ$60=X$3)*(GMW!$LP$2:$LP$60=X$4)*(GMW!$LR$2:$LR$60=X$1),0),$C13-1966)</f>
        <v>1E-3</v>
      </c>
      <c r="Y13" s="4" cm="1">
        <f t="array" ref="Y13">INDEX(GMW!$A$2:$LR$60,MATCH(1,(GMW!$LQ$2:$LQ$60=Y$3)*(GMW!$LP$2:$LP$60=Y$4)*(GMW!$LR$2:$LR$60=Y$1),0),$C13-1966)</f>
        <v>1E-3</v>
      </c>
      <c r="Z13" s="4" cm="1">
        <f t="array" ref="Z13">INDEX(GMW!$A$2:$LR$60,MATCH(1,(GMW!$LQ$2:$LQ$60=Z$3)*(GMW!$LP$2:$LP$60=Z$4)*(GMW!$LR$2:$LR$60=Z$1),0),$C13-1966)</f>
        <v>1E-3</v>
      </c>
      <c r="AA13" s="4" cm="1">
        <f t="array" ref="AA13">INDEX(GMW!$A$2:$LR$60,MATCH(1,(GMW!$LQ$2:$LQ$60=AA$3)*(GMW!$LP$2:$LP$60=AA$4)*(GMW!$LR$2:$LR$60=AA$1),0),$C13-1966)</f>
        <v>114621</v>
      </c>
      <c r="AB13" s="4" cm="1">
        <f t="array" ref="AB13">INDEX(GMW!$A$2:$LR$60,MATCH(1,(GMW!$LQ$2:$LQ$60=AB$3)*(GMW!$LP$2:$LP$60=AB$4)*(GMW!$LR$2:$LR$60=AB$1),0),$C13-1966)</f>
        <v>40370</v>
      </c>
      <c r="AC13" s="4" cm="1">
        <f t="array" ref="AC13">INDEX(GMW!$A$2:$LR$60,MATCH(1,(GMW!$LQ$2:$LQ$60=AC$3)*(GMW!$LP$2:$LP$60=AC$4)*(GMW!$LR$2:$LR$60=AC$1),0),$C13-1966)</f>
        <v>52227</v>
      </c>
      <c r="AD13" s="4" cm="1">
        <f t="array" ref="AD13">INDEX(GMW!$A$2:$LR$60,MATCH(1,(GMW!$LQ$2:$LQ$60=AD$3)*(GMW!$LP$2:$LP$60=AD$4)*(GMW!$LR$2:$LR$60=AD$1),0),$C13-1966)</f>
        <v>34536</v>
      </c>
      <c r="AE13" s="4" cm="1">
        <f t="array" ref="AE13">INDEX(GMW!$A$2:$LR$60,MATCH(1,(GMW!$LQ$2:$LQ$60=AE$3)*(GMW!$LP$2:$LP$60=AE$4)*(GMW!$LR$2:$LR$60=AE$1),0),$C13-1966)</f>
        <v>29829</v>
      </c>
      <c r="AF13" s="4" cm="1">
        <f t="array" ref="AF13">INDEX(GMW!$A$2:$LR$60,MATCH(1,(GMW!$LQ$2:$LQ$60=AF$3)*(GMW!$LP$2:$LP$60=AF$4)*(GMW!$LR$2:$LR$60=AF$1),0),$C13-1966)</f>
        <v>1E-3</v>
      </c>
      <c r="AG13" s="4" cm="1">
        <f t="array" ref="AG13">INDEX(GMW!$A$2:$LR$60,MATCH(1,(GMW!$LQ$2:$LQ$60=AG$3)*(GMW!$LP$2:$LP$60=AG$4)*(GMW!$LR$2:$LR$60=AG$1),0),$C13-1966)</f>
        <v>1E-3</v>
      </c>
    </row>
    <row r="14" spans="1:33" x14ac:dyDescent="0.25">
      <c r="B14" s="4">
        <f t="shared" si="1"/>
        <v>1974</v>
      </c>
      <c r="C14" s="4">
        <f t="shared" si="0"/>
        <v>1980</v>
      </c>
      <c r="D14" s="4" cm="1">
        <f t="array" ref="D14">INDEX(GMW!$A$2:$LR$60,MATCH(1,(GMW!$LQ$2:$LQ$60=D$3)*(GMW!$LP$2:$LP$60=D$4)*(GMW!$LR$2:$LR$60=D$1),0),$C14-1966)</f>
        <v>216301</v>
      </c>
      <c r="E14" s="4" cm="1">
        <f t="array" ref="E14">INDEX(GMW!$A$2:$LR$60,MATCH(1,(GMW!$LQ$2:$LQ$60=E$3)*(GMW!$LP$2:$LP$60=E$4)*(GMW!$LR$2:$LR$60=E$1),0),$C14-1966)</f>
        <v>216301</v>
      </c>
      <c r="F14" s="4" cm="1">
        <f t="array" ref="F14">INDEX(GMW!$A$2:$LR$60,MATCH(1,(GMW!$LQ$2:$LQ$60=F$3)*(GMW!$LP$2:$LP$60=F$4)*(GMW!$LR$2:$LR$60=F$1),0),$C14-1966)</f>
        <v>216301</v>
      </c>
      <c r="G14" s="4" cm="1">
        <f t="array" ref="G14">INDEX(GMW!$A$2:$LR$60,MATCH(1,(GMW!$LQ$2:$LQ$60=G$3)*(GMW!$LP$2:$LP$60=G$4)*(GMW!$LR$2:$LR$60=G$1),0),$C14-1966)</f>
        <v>216301</v>
      </c>
      <c r="H14" s="4" cm="1">
        <f t="array" ref="H14">INDEX(GMW!$A$2:$LR$60,MATCH(1,(GMW!$LQ$2:$LQ$60=H$3)*(GMW!$LP$2:$LP$60=H$4)*(GMW!$LR$2:$LR$60=H$1),0),$C14-1966)</f>
        <v>216301</v>
      </c>
      <c r="I14" s="4" cm="1">
        <f t="array" ref="I14">INDEX(GMW!$A$2:$LR$60,MATCH(1,(GMW!$LQ$2:$LQ$60=I$3)*(GMW!$LP$2:$LP$60=I$4)*(GMW!$LR$2:$LR$60=I$1),0),$C14-1966)</f>
        <v>216301</v>
      </c>
      <c r="J14" s="4" cm="1">
        <f t="array" ref="J14">INDEX(GMW!$A$2:$LR$60,MATCH(1,(GMW!$LQ$2:$LQ$60=J$3)*(GMW!$LP$2:$LP$60=J$4)*(GMW!$LR$2:$LR$60=J$1),0),$C14-1966)</f>
        <v>216301</v>
      </c>
      <c r="K14" s="4" cm="1">
        <f t="array" ref="K14">INDEX(GMW!$A$2:$LR$60,MATCH(1,(GMW!$LQ$2:$LQ$60=K$3)*(GMW!$LP$2:$LP$60=K$4)*(GMW!$LR$2:$LR$60=K$1),0),$C14-1966)</f>
        <v>216301</v>
      </c>
      <c r="L14" s="4" cm="1">
        <f t="array" ref="L14">INDEX(GMW!$A$2:$LR$60,MATCH(1,(GMW!$LQ$2:$LQ$60=L$3)*(GMW!$LP$2:$LP$60=L$4)*(GMW!$LR$2:$LR$60=L$1),0),$C14-1966)</f>
        <v>216301</v>
      </c>
      <c r="M14" s="4" cm="1">
        <f t="array" ref="M14">INDEX(GMW!$A$2:$LR$60,MATCH(1,(GMW!$LQ$2:$LQ$60=M$3)*(GMW!$LP$2:$LP$60=M$4)*(GMW!$LR$2:$LR$60=M$1),0),$C14-1966)</f>
        <v>216301</v>
      </c>
      <c r="N14" s="4" cm="1">
        <f t="array" ref="N14">INDEX(GMW!$A$2:$LR$60,MATCH(1,(GMW!$LQ$2:$LQ$60=N$3)*(GMW!$LP$2:$LP$60=N$4)*(GMW!$LR$2:$LR$60=N$1),0),$C14-1966)</f>
        <v>216301</v>
      </c>
      <c r="O14" s="4" cm="1">
        <f t="array" ref="O14">INDEX(GMW!$A$2:$LR$60,MATCH(1,(GMW!$LQ$2:$LQ$60=O$3)*(GMW!$LP$2:$LP$60=O$4)*(GMW!$LR$2:$LR$60=O$1),0),$C14-1966)</f>
        <v>216301</v>
      </c>
      <c r="P14" s="4" cm="1">
        <f t="array" ref="P14">INDEX(GMW!$A$2:$LR$60,MATCH(1,(GMW!$LQ$2:$LQ$60=P$3)*(GMW!$LP$2:$LP$60=P$4)*(GMW!$LR$2:$LR$60=P$1),0),$C14-1966)</f>
        <v>216301</v>
      </c>
      <c r="Q14" s="4" cm="1">
        <f t="array" ref="Q14">INDEX(GMW!$A$2:$LR$60,MATCH(1,(GMW!$LQ$2:$LQ$60=Q$3)*(GMW!$LP$2:$LP$60=Q$4)*(GMW!$LR$2:$LR$60=Q$1),0),$C14-1966)</f>
        <v>216301</v>
      </c>
      <c r="R14" s="4" cm="1">
        <f t="array" ref="R14">INDEX(GMW!$A$2:$LR$60,MATCH(1,(GMW!$LQ$2:$LQ$60=R$3)*(GMW!$LP$2:$LP$60=R$4)*(GMW!$LR$2:$LR$60=R$1),0),$C14-1966)</f>
        <v>216301</v>
      </c>
      <c r="S14" s="4" cm="1">
        <f t="array" ref="S14">INDEX(GMW!$A$2:$LR$60,MATCH(1,(GMW!$LQ$2:$LQ$60=S$3)*(GMW!$LP$2:$LP$60=S$4)*(GMW!$LR$2:$LR$60=S$1),0),$C14-1966)</f>
        <v>216301</v>
      </c>
      <c r="T14" s="4" cm="1">
        <f t="array" ref="T14">INDEX(GMW!$A$2:$LR$60,MATCH(1,(GMW!$LQ$2:$LQ$60=T$3)*(GMW!$LP$2:$LP$60=T$4)*(GMW!$LR$2:$LR$60=T$1),0),$C14-1966)</f>
        <v>216301</v>
      </c>
      <c r="U14" s="4" cm="1">
        <f t="array" ref="U14">INDEX(GMW!$A$2:$LR$60,MATCH(1,(GMW!$LQ$2:$LQ$60=U$3)*(GMW!$LP$2:$LP$60=U$4)*(GMW!$LR$2:$LR$60=U$1),0),$C14-1966)</f>
        <v>21.924240000000001</v>
      </c>
      <c r="V14" s="4" cm="1">
        <f t="array" ref="V14">INDEX(GMW!$A$2:$LR$60,MATCH(1,(GMW!$LQ$2:$LQ$60=V$3)*(GMW!$LP$2:$LP$60=V$4)*(GMW!$LR$2:$LR$60=V$1),0),$C14-1966)</f>
        <v>15.250400000000001</v>
      </c>
      <c r="W14" s="4" cm="1">
        <f t="array" ref="W14">INDEX(GMW!$A$2:$LR$60,MATCH(1,(GMW!$LQ$2:$LQ$60=W$3)*(GMW!$LP$2:$LP$60=W$4)*(GMW!$LR$2:$LR$60=W$1),0),$C14-1966)</f>
        <v>1E-3</v>
      </c>
      <c r="X14" s="4" cm="1">
        <f t="array" ref="X14">INDEX(GMW!$A$2:$LR$60,MATCH(1,(GMW!$LQ$2:$LQ$60=X$3)*(GMW!$LP$2:$LP$60=X$4)*(GMW!$LR$2:$LR$60=X$1),0),$C14-1966)</f>
        <v>1E-3</v>
      </c>
      <c r="Y14" s="4" cm="1">
        <f t="array" ref="Y14">INDEX(GMW!$A$2:$LR$60,MATCH(1,(GMW!$LQ$2:$LQ$60=Y$3)*(GMW!$LP$2:$LP$60=Y$4)*(GMW!$LR$2:$LR$60=Y$1),0),$C14-1966)</f>
        <v>1E-3</v>
      </c>
      <c r="Z14" s="4" cm="1">
        <f t="array" ref="Z14">INDEX(GMW!$A$2:$LR$60,MATCH(1,(GMW!$LQ$2:$LQ$60=Z$3)*(GMW!$LP$2:$LP$60=Z$4)*(GMW!$LR$2:$LR$60=Z$1),0),$C14-1966)</f>
        <v>1E-3</v>
      </c>
      <c r="AA14" s="4" cm="1">
        <f t="array" ref="AA14">INDEX(GMW!$A$2:$LR$60,MATCH(1,(GMW!$LQ$2:$LQ$60=AA$3)*(GMW!$LP$2:$LP$60=AA$4)*(GMW!$LR$2:$LR$60=AA$1),0),$C14-1966)</f>
        <v>114910</v>
      </c>
      <c r="AB14" s="4" cm="1">
        <f t="array" ref="AB14">INDEX(GMW!$A$2:$LR$60,MATCH(1,(GMW!$LQ$2:$LQ$60=AB$3)*(GMW!$LP$2:$LP$60=AB$4)*(GMW!$LR$2:$LR$60=AB$1),0),$C14-1966)</f>
        <v>40547</v>
      </c>
      <c r="AC14" s="4" cm="1">
        <f t="array" ref="AC14">INDEX(GMW!$A$2:$LR$60,MATCH(1,(GMW!$LQ$2:$LQ$60=AC$3)*(GMW!$LP$2:$LP$60=AC$4)*(GMW!$LR$2:$LR$60=AC$1),0),$C14-1966)</f>
        <v>52945</v>
      </c>
      <c r="AD14" s="4" cm="1">
        <f t="array" ref="AD14">INDEX(GMW!$A$2:$LR$60,MATCH(1,(GMW!$LQ$2:$LQ$60=AD$3)*(GMW!$LP$2:$LP$60=AD$4)*(GMW!$LR$2:$LR$60=AD$1),0),$C14-1966)</f>
        <v>33838</v>
      </c>
      <c r="AE14" s="4" cm="1">
        <f t="array" ref="AE14">INDEX(GMW!$A$2:$LR$60,MATCH(1,(GMW!$LQ$2:$LQ$60=AE$3)*(GMW!$LP$2:$LP$60=AE$4)*(GMW!$LR$2:$LR$60=AE$1),0),$C14-1966)</f>
        <v>29453</v>
      </c>
      <c r="AF14" s="4" cm="1">
        <f t="array" ref="AF14">INDEX(GMW!$A$2:$LR$60,MATCH(1,(GMW!$LQ$2:$LQ$60=AF$3)*(GMW!$LP$2:$LP$60=AF$4)*(GMW!$LR$2:$LR$60=AF$1),0),$C14-1966)</f>
        <v>1E-3</v>
      </c>
      <c r="AG14" s="4" cm="1">
        <f t="array" ref="AG14">INDEX(GMW!$A$2:$LR$60,MATCH(1,(GMW!$LQ$2:$LQ$60=AG$3)*(GMW!$LP$2:$LP$60=AG$4)*(GMW!$LR$2:$LR$60=AG$1),0),$C14-1966)</f>
        <v>1E-3</v>
      </c>
    </row>
    <row r="15" spans="1:33" x14ac:dyDescent="0.25">
      <c r="A15" s="4">
        <v>1975</v>
      </c>
      <c r="B15" s="4">
        <f t="shared" si="1"/>
        <v>1975</v>
      </c>
      <c r="C15" s="4">
        <f t="shared" si="0"/>
        <v>1981</v>
      </c>
      <c r="D15" s="4" cm="1">
        <f t="array" ref="D15">INDEX(GMW!$A$2:$LR$60,MATCH(1,(GMW!$LQ$2:$LQ$60=D$3)*(GMW!$LP$2:$LP$60=D$4)*(GMW!$LR$2:$LR$60=D$1),0),$C15-1966)</f>
        <v>216390</v>
      </c>
      <c r="E15" s="4" cm="1">
        <f t="array" ref="E15">INDEX(GMW!$A$2:$LR$60,MATCH(1,(GMW!$LQ$2:$LQ$60=E$3)*(GMW!$LP$2:$LP$60=E$4)*(GMW!$LR$2:$LR$60=E$1),0),$C15-1966)</f>
        <v>216390</v>
      </c>
      <c r="F15" s="4" cm="1">
        <f t="array" ref="F15">INDEX(GMW!$A$2:$LR$60,MATCH(1,(GMW!$LQ$2:$LQ$60=F$3)*(GMW!$LP$2:$LP$60=F$4)*(GMW!$LR$2:$LR$60=F$1),0),$C15-1966)</f>
        <v>216390</v>
      </c>
      <c r="G15" s="4" cm="1">
        <f t="array" ref="G15">INDEX(GMW!$A$2:$LR$60,MATCH(1,(GMW!$LQ$2:$LQ$60=G$3)*(GMW!$LP$2:$LP$60=G$4)*(GMW!$LR$2:$LR$60=G$1),0),$C15-1966)</f>
        <v>216390</v>
      </c>
      <c r="H15" s="4" cm="1">
        <f t="array" ref="H15">INDEX(GMW!$A$2:$LR$60,MATCH(1,(GMW!$LQ$2:$LQ$60=H$3)*(GMW!$LP$2:$LP$60=H$4)*(GMW!$LR$2:$LR$60=H$1),0),$C15-1966)</f>
        <v>216390</v>
      </c>
      <c r="I15" s="4" cm="1">
        <f t="array" ref="I15">INDEX(GMW!$A$2:$LR$60,MATCH(1,(GMW!$LQ$2:$LQ$60=I$3)*(GMW!$LP$2:$LP$60=I$4)*(GMW!$LR$2:$LR$60=I$1),0),$C15-1966)</f>
        <v>216390</v>
      </c>
      <c r="J15" s="4" cm="1">
        <f t="array" ref="J15">INDEX(GMW!$A$2:$LR$60,MATCH(1,(GMW!$LQ$2:$LQ$60=J$3)*(GMW!$LP$2:$LP$60=J$4)*(GMW!$LR$2:$LR$60=J$1),0),$C15-1966)</f>
        <v>216390</v>
      </c>
      <c r="K15" s="4" cm="1">
        <f t="array" ref="K15">INDEX(GMW!$A$2:$LR$60,MATCH(1,(GMW!$LQ$2:$LQ$60=K$3)*(GMW!$LP$2:$LP$60=K$4)*(GMW!$LR$2:$LR$60=K$1),0),$C15-1966)</f>
        <v>216390</v>
      </c>
      <c r="L15" s="4" cm="1">
        <f t="array" ref="L15">INDEX(GMW!$A$2:$LR$60,MATCH(1,(GMW!$LQ$2:$LQ$60=L$3)*(GMW!$LP$2:$LP$60=L$4)*(GMW!$LR$2:$LR$60=L$1),0),$C15-1966)</f>
        <v>216390</v>
      </c>
      <c r="M15" s="4" cm="1">
        <f t="array" ref="M15">INDEX(GMW!$A$2:$LR$60,MATCH(1,(GMW!$LQ$2:$LQ$60=M$3)*(GMW!$LP$2:$LP$60=M$4)*(GMW!$LR$2:$LR$60=M$1),0),$C15-1966)</f>
        <v>216390</v>
      </c>
      <c r="N15" s="4" cm="1">
        <f t="array" ref="N15">INDEX(GMW!$A$2:$LR$60,MATCH(1,(GMW!$LQ$2:$LQ$60=N$3)*(GMW!$LP$2:$LP$60=N$4)*(GMW!$LR$2:$LR$60=N$1),0),$C15-1966)</f>
        <v>216390</v>
      </c>
      <c r="O15" s="4" cm="1">
        <f t="array" ref="O15">INDEX(GMW!$A$2:$LR$60,MATCH(1,(GMW!$LQ$2:$LQ$60=O$3)*(GMW!$LP$2:$LP$60=O$4)*(GMW!$LR$2:$LR$60=O$1),0),$C15-1966)</f>
        <v>216390</v>
      </c>
      <c r="P15" s="4" cm="1">
        <f t="array" ref="P15">INDEX(GMW!$A$2:$LR$60,MATCH(1,(GMW!$LQ$2:$LQ$60=P$3)*(GMW!$LP$2:$LP$60=P$4)*(GMW!$LR$2:$LR$60=P$1),0),$C15-1966)</f>
        <v>216390</v>
      </c>
      <c r="Q15" s="4" cm="1">
        <f t="array" ref="Q15">INDEX(GMW!$A$2:$LR$60,MATCH(1,(GMW!$LQ$2:$LQ$60=Q$3)*(GMW!$LP$2:$LP$60=Q$4)*(GMW!$LR$2:$LR$60=Q$1),0),$C15-1966)</f>
        <v>216390</v>
      </c>
      <c r="R15" s="4" cm="1">
        <f t="array" ref="R15">INDEX(GMW!$A$2:$LR$60,MATCH(1,(GMW!$LQ$2:$LQ$60=R$3)*(GMW!$LP$2:$LP$60=R$4)*(GMW!$LR$2:$LR$60=R$1),0),$C15-1966)</f>
        <v>216390</v>
      </c>
      <c r="S15" s="4" cm="1">
        <f t="array" ref="S15">INDEX(GMW!$A$2:$LR$60,MATCH(1,(GMW!$LQ$2:$LQ$60=S$3)*(GMW!$LP$2:$LP$60=S$4)*(GMW!$LR$2:$LR$60=S$1),0),$C15-1966)</f>
        <v>216390</v>
      </c>
      <c r="T15" s="4" cm="1">
        <f t="array" ref="T15">INDEX(GMW!$A$2:$LR$60,MATCH(1,(GMW!$LQ$2:$LQ$60=T$3)*(GMW!$LP$2:$LP$60=T$4)*(GMW!$LR$2:$LR$60=T$1),0),$C15-1966)</f>
        <v>216390</v>
      </c>
      <c r="U15" s="4" cm="1">
        <f t="array" ref="U15">INDEX(GMW!$A$2:$LR$60,MATCH(1,(GMW!$LQ$2:$LQ$60=U$3)*(GMW!$LP$2:$LP$60=U$4)*(GMW!$LR$2:$LR$60=U$1),0),$C15-1966)</f>
        <v>23.39659</v>
      </c>
      <c r="V15" s="4" cm="1">
        <f t="array" ref="V15">INDEX(GMW!$A$2:$LR$60,MATCH(1,(GMW!$LQ$2:$LQ$60=V$3)*(GMW!$LP$2:$LP$60=V$4)*(GMW!$LR$2:$LR$60=V$1),0),$C15-1966)</f>
        <v>16.058540000000001</v>
      </c>
      <c r="W15" s="4" cm="1">
        <f t="array" ref="W15">INDEX(GMW!$A$2:$LR$60,MATCH(1,(GMW!$LQ$2:$LQ$60=W$3)*(GMW!$LP$2:$LP$60=W$4)*(GMW!$LR$2:$LR$60=W$1),0),$C15-1966)</f>
        <v>1E-3</v>
      </c>
      <c r="X15" s="4" cm="1">
        <f t="array" ref="X15">INDEX(GMW!$A$2:$LR$60,MATCH(1,(GMW!$LQ$2:$LQ$60=X$3)*(GMW!$LP$2:$LP$60=X$4)*(GMW!$LR$2:$LR$60=X$1),0),$C15-1966)</f>
        <v>1E-3</v>
      </c>
      <c r="Y15" s="4" cm="1">
        <f t="array" ref="Y15">INDEX(GMW!$A$2:$LR$60,MATCH(1,(GMW!$LQ$2:$LQ$60=Y$3)*(GMW!$LP$2:$LP$60=Y$4)*(GMW!$LR$2:$LR$60=Y$1),0),$C15-1966)</f>
        <v>1E-3</v>
      </c>
      <c r="Z15" s="4" cm="1">
        <f t="array" ref="Z15">INDEX(GMW!$A$2:$LR$60,MATCH(1,(GMW!$LQ$2:$LQ$60=Z$3)*(GMW!$LP$2:$LP$60=Z$4)*(GMW!$LR$2:$LR$60=Z$1),0),$C15-1966)</f>
        <v>1E-3</v>
      </c>
      <c r="AA15" s="4" cm="1">
        <f t="array" ref="AA15">INDEX(GMW!$A$2:$LR$60,MATCH(1,(GMW!$LQ$2:$LQ$60=AA$3)*(GMW!$LP$2:$LP$60=AA$4)*(GMW!$LR$2:$LR$60=AA$1),0),$C15-1966)</f>
        <v>114521</v>
      </c>
      <c r="AB15" s="4" cm="1">
        <f t="array" ref="AB15">INDEX(GMW!$A$2:$LR$60,MATCH(1,(GMW!$LQ$2:$LQ$60=AB$3)*(GMW!$LP$2:$LP$60=AB$4)*(GMW!$LR$2:$LR$60=AB$1),0),$C15-1966)</f>
        <v>39474</v>
      </c>
      <c r="AC15" s="4" cm="1">
        <f t="array" ref="AC15">INDEX(GMW!$A$2:$LR$60,MATCH(1,(GMW!$LQ$2:$LQ$60=AC$3)*(GMW!$LP$2:$LP$60=AC$4)*(GMW!$LR$2:$LR$60=AC$1),0),$C15-1966)</f>
        <v>55074</v>
      </c>
      <c r="AD15" s="4" cm="1">
        <f t="array" ref="AD15">INDEX(GMW!$A$2:$LR$60,MATCH(1,(GMW!$LQ$2:$LQ$60=AD$3)*(GMW!$LP$2:$LP$60=AD$4)*(GMW!$LR$2:$LR$60=AD$1),0),$C15-1966)</f>
        <v>33589</v>
      </c>
      <c r="AE15" s="4" cm="1">
        <f t="array" ref="AE15">INDEX(GMW!$A$2:$LR$60,MATCH(1,(GMW!$LQ$2:$LQ$60=AE$3)*(GMW!$LP$2:$LP$60=AE$4)*(GMW!$LR$2:$LR$60=AE$1),0),$C15-1966)</f>
        <v>28207</v>
      </c>
      <c r="AF15" s="4" cm="1">
        <f t="array" ref="AF15">INDEX(GMW!$A$2:$LR$60,MATCH(1,(GMW!$LQ$2:$LQ$60=AF$3)*(GMW!$LP$2:$LP$60=AF$4)*(GMW!$LR$2:$LR$60=AF$1),0),$C15-1966)</f>
        <v>1E-3</v>
      </c>
      <c r="AG15" s="4" cm="1">
        <f t="array" ref="AG15">INDEX(GMW!$A$2:$LR$60,MATCH(1,(GMW!$LQ$2:$LQ$60=AG$3)*(GMW!$LP$2:$LP$60=AG$4)*(GMW!$LR$2:$LR$60=AG$1),0),$C15-1966)</f>
        <v>1E-3</v>
      </c>
    </row>
    <row r="16" spans="1:33" x14ac:dyDescent="0.25">
      <c r="B16" s="4">
        <f t="shared" si="1"/>
        <v>1975</v>
      </c>
      <c r="C16" s="4">
        <f t="shared" si="0"/>
        <v>1982</v>
      </c>
      <c r="D16" s="4" cm="1">
        <f t="array" ref="D16">INDEX(GMW!$A$2:$LR$60,MATCH(1,(GMW!$LQ$2:$LQ$60=D$3)*(GMW!$LP$2:$LP$60=D$4)*(GMW!$LR$2:$LR$60=D$1),0),$C16-1966)</f>
        <v>212882</v>
      </c>
      <c r="E16" s="4" cm="1">
        <f t="array" ref="E16">INDEX(GMW!$A$2:$LR$60,MATCH(1,(GMW!$LQ$2:$LQ$60=E$3)*(GMW!$LP$2:$LP$60=E$4)*(GMW!$LR$2:$LR$60=E$1),0),$C16-1966)</f>
        <v>212882</v>
      </c>
      <c r="F16" s="4" cm="1">
        <f t="array" ref="F16">INDEX(GMW!$A$2:$LR$60,MATCH(1,(GMW!$LQ$2:$LQ$60=F$3)*(GMW!$LP$2:$LP$60=F$4)*(GMW!$LR$2:$LR$60=F$1),0),$C16-1966)</f>
        <v>212882</v>
      </c>
      <c r="G16" s="4" cm="1">
        <f t="array" ref="G16">INDEX(GMW!$A$2:$LR$60,MATCH(1,(GMW!$LQ$2:$LQ$60=G$3)*(GMW!$LP$2:$LP$60=G$4)*(GMW!$LR$2:$LR$60=G$1),0),$C16-1966)</f>
        <v>212882</v>
      </c>
      <c r="H16" s="4" cm="1">
        <f t="array" ref="H16">INDEX(GMW!$A$2:$LR$60,MATCH(1,(GMW!$LQ$2:$LQ$60=H$3)*(GMW!$LP$2:$LP$60=H$4)*(GMW!$LR$2:$LR$60=H$1),0),$C16-1966)</f>
        <v>212882</v>
      </c>
      <c r="I16" s="4" cm="1">
        <f t="array" ref="I16">INDEX(GMW!$A$2:$LR$60,MATCH(1,(GMW!$LQ$2:$LQ$60=I$3)*(GMW!$LP$2:$LP$60=I$4)*(GMW!$LR$2:$LR$60=I$1),0),$C16-1966)</f>
        <v>212882</v>
      </c>
      <c r="J16" s="4" cm="1">
        <f t="array" ref="J16">INDEX(GMW!$A$2:$LR$60,MATCH(1,(GMW!$LQ$2:$LQ$60=J$3)*(GMW!$LP$2:$LP$60=J$4)*(GMW!$LR$2:$LR$60=J$1),0),$C16-1966)</f>
        <v>212882</v>
      </c>
      <c r="K16" s="4" cm="1">
        <f t="array" ref="K16">INDEX(GMW!$A$2:$LR$60,MATCH(1,(GMW!$LQ$2:$LQ$60=K$3)*(GMW!$LP$2:$LP$60=K$4)*(GMW!$LR$2:$LR$60=K$1),0),$C16-1966)</f>
        <v>212882</v>
      </c>
      <c r="L16" s="4" cm="1">
        <f t="array" ref="L16">INDEX(GMW!$A$2:$LR$60,MATCH(1,(GMW!$LQ$2:$LQ$60=L$3)*(GMW!$LP$2:$LP$60=L$4)*(GMW!$LR$2:$LR$60=L$1),0),$C16-1966)</f>
        <v>212882</v>
      </c>
      <c r="M16" s="4" cm="1">
        <f t="array" ref="M16">INDEX(GMW!$A$2:$LR$60,MATCH(1,(GMW!$LQ$2:$LQ$60=M$3)*(GMW!$LP$2:$LP$60=M$4)*(GMW!$LR$2:$LR$60=M$1),0),$C16-1966)</f>
        <v>212882</v>
      </c>
      <c r="N16" s="4" cm="1">
        <f t="array" ref="N16">INDEX(GMW!$A$2:$LR$60,MATCH(1,(GMW!$LQ$2:$LQ$60=N$3)*(GMW!$LP$2:$LP$60=N$4)*(GMW!$LR$2:$LR$60=N$1),0),$C16-1966)</f>
        <v>212882</v>
      </c>
      <c r="O16" s="4" cm="1">
        <f t="array" ref="O16">INDEX(GMW!$A$2:$LR$60,MATCH(1,(GMW!$LQ$2:$LQ$60=O$3)*(GMW!$LP$2:$LP$60=O$4)*(GMW!$LR$2:$LR$60=O$1),0),$C16-1966)</f>
        <v>212882</v>
      </c>
      <c r="P16" s="4" cm="1">
        <f t="array" ref="P16">INDEX(GMW!$A$2:$LR$60,MATCH(1,(GMW!$LQ$2:$LQ$60=P$3)*(GMW!$LP$2:$LP$60=P$4)*(GMW!$LR$2:$LR$60=P$1),0),$C16-1966)</f>
        <v>212882</v>
      </c>
      <c r="Q16" s="4" cm="1">
        <f t="array" ref="Q16">INDEX(GMW!$A$2:$LR$60,MATCH(1,(GMW!$LQ$2:$LQ$60=Q$3)*(GMW!$LP$2:$LP$60=Q$4)*(GMW!$LR$2:$LR$60=Q$1),0),$C16-1966)</f>
        <v>212882</v>
      </c>
      <c r="R16" s="4" cm="1">
        <f t="array" ref="R16">INDEX(GMW!$A$2:$LR$60,MATCH(1,(GMW!$LQ$2:$LQ$60=R$3)*(GMW!$LP$2:$LP$60=R$4)*(GMW!$LR$2:$LR$60=R$1),0),$C16-1966)</f>
        <v>212882</v>
      </c>
      <c r="S16" s="4" cm="1">
        <f t="array" ref="S16">INDEX(GMW!$A$2:$LR$60,MATCH(1,(GMW!$LQ$2:$LQ$60=S$3)*(GMW!$LP$2:$LP$60=S$4)*(GMW!$LR$2:$LR$60=S$1),0),$C16-1966)</f>
        <v>212882</v>
      </c>
      <c r="T16" s="4" cm="1">
        <f t="array" ref="T16">INDEX(GMW!$A$2:$LR$60,MATCH(1,(GMW!$LQ$2:$LQ$60=T$3)*(GMW!$LP$2:$LP$60=T$4)*(GMW!$LR$2:$LR$60=T$1),0),$C16-1966)</f>
        <v>212882</v>
      </c>
      <c r="U16" s="4" cm="1">
        <f t="array" ref="U16">INDEX(GMW!$A$2:$LR$60,MATCH(1,(GMW!$LQ$2:$LQ$60=U$3)*(GMW!$LP$2:$LP$60=U$4)*(GMW!$LR$2:$LR$60=U$1),0),$C16-1966)</f>
        <v>24.964189999999999</v>
      </c>
      <c r="V16" s="4" cm="1">
        <f t="array" ref="V16">INDEX(GMW!$A$2:$LR$60,MATCH(1,(GMW!$LQ$2:$LQ$60=V$3)*(GMW!$LP$2:$LP$60=V$4)*(GMW!$LR$2:$LR$60=V$1),0),$C16-1966)</f>
        <v>17.466270000000002</v>
      </c>
      <c r="W16" s="4" cm="1">
        <f t="array" ref="W16">INDEX(GMW!$A$2:$LR$60,MATCH(1,(GMW!$LQ$2:$LQ$60=W$3)*(GMW!$LP$2:$LP$60=W$4)*(GMW!$LR$2:$LR$60=W$1),0),$C16-1966)</f>
        <v>1E-3</v>
      </c>
      <c r="X16" s="4" cm="1">
        <f t="array" ref="X16">INDEX(GMW!$A$2:$LR$60,MATCH(1,(GMW!$LQ$2:$LQ$60=X$3)*(GMW!$LP$2:$LP$60=X$4)*(GMW!$LR$2:$LR$60=X$1),0),$C16-1966)</f>
        <v>1E-3</v>
      </c>
      <c r="Y16" s="4" cm="1">
        <f t="array" ref="Y16">INDEX(GMW!$A$2:$LR$60,MATCH(1,(GMW!$LQ$2:$LQ$60=Y$3)*(GMW!$LP$2:$LP$60=Y$4)*(GMW!$LR$2:$LR$60=Y$1),0),$C16-1966)</f>
        <v>1E-3</v>
      </c>
      <c r="Z16" s="4" cm="1">
        <f t="array" ref="Z16">INDEX(GMW!$A$2:$LR$60,MATCH(1,(GMW!$LQ$2:$LQ$60=Z$3)*(GMW!$LP$2:$LP$60=Z$4)*(GMW!$LR$2:$LR$60=Z$1),0),$C16-1966)</f>
        <v>1E-3</v>
      </c>
      <c r="AA16" s="4" cm="1">
        <f t="array" ref="AA16">INDEX(GMW!$A$2:$LR$60,MATCH(1,(GMW!$LQ$2:$LQ$60=AA$3)*(GMW!$LP$2:$LP$60=AA$4)*(GMW!$LR$2:$LR$60=AA$1),0),$C16-1966)</f>
        <v>114760</v>
      </c>
      <c r="AB16" s="4" cm="1">
        <f t="array" ref="AB16">INDEX(GMW!$A$2:$LR$60,MATCH(1,(GMW!$LQ$2:$LQ$60=AB$3)*(GMW!$LP$2:$LP$60=AB$4)*(GMW!$LR$2:$LR$60=AB$1),0),$C16-1966)</f>
        <v>39298</v>
      </c>
      <c r="AC16" s="4" cm="1">
        <f t="array" ref="AC16">INDEX(GMW!$A$2:$LR$60,MATCH(1,(GMW!$LQ$2:$LQ$60=AC$3)*(GMW!$LP$2:$LP$60=AC$4)*(GMW!$LR$2:$LR$60=AC$1),0),$C16-1966)</f>
        <v>54366</v>
      </c>
      <c r="AD16" s="4" cm="1">
        <f t="array" ref="AD16">INDEX(GMW!$A$2:$LR$60,MATCH(1,(GMW!$LQ$2:$LQ$60=AD$3)*(GMW!$LP$2:$LP$60=AD$4)*(GMW!$LR$2:$LR$60=AD$1),0),$C16-1966)</f>
        <v>32264</v>
      </c>
      <c r="AE16" s="4" cm="1">
        <f t="array" ref="AE16">INDEX(GMW!$A$2:$LR$60,MATCH(1,(GMW!$LQ$2:$LQ$60=AE$3)*(GMW!$LP$2:$LP$60=AE$4)*(GMW!$LR$2:$LR$60=AE$1),0),$C16-1966)</f>
        <v>26742</v>
      </c>
      <c r="AF16" s="4" cm="1">
        <f t="array" ref="AF16">INDEX(GMW!$A$2:$LR$60,MATCH(1,(GMW!$LQ$2:$LQ$60=AF$3)*(GMW!$LP$2:$LP$60=AF$4)*(GMW!$LR$2:$LR$60=AF$1),0),$C16-1966)</f>
        <v>1E-3</v>
      </c>
      <c r="AG16" s="4" cm="1">
        <f t="array" ref="AG16">INDEX(GMW!$A$2:$LR$60,MATCH(1,(GMW!$LQ$2:$LQ$60=AG$3)*(GMW!$LP$2:$LP$60=AG$4)*(GMW!$LR$2:$LR$60=AG$1),0),$C16-1966)</f>
        <v>1E-3</v>
      </c>
    </row>
    <row r="17" spans="1:33" x14ac:dyDescent="0.25">
      <c r="B17" s="4">
        <f t="shared" si="1"/>
        <v>1975</v>
      </c>
      <c r="C17" s="4">
        <f t="shared" si="0"/>
        <v>1983</v>
      </c>
      <c r="D17" s="4" cm="1">
        <f t="array" ref="D17">INDEX(GMW!$A$2:$LR$60,MATCH(1,(GMW!$LQ$2:$LQ$60=D$3)*(GMW!$LP$2:$LP$60=D$4)*(GMW!$LR$2:$LR$60=D$1),0),$C17-1966)</f>
        <v>212192</v>
      </c>
      <c r="E17" s="4" cm="1">
        <f t="array" ref="E17">INDEX(GMW!$A$2:$LR$60,MATCH(1,(GMW!$LQ$2:$LQ$60=E$3)*(GMW!$LP$2:$LP$60=E$4)*(GMW!$LR$2:$LR$60=E$1),0),$C17-1966)</f>
        <v>212192</v>
      </c>
      <c r="F17" s="4" cm="1">
        <f t="array" ref="F17">INDEX(GMW!$A$2:$LR$60,MATCH(1,(GMW!$LQ$2:$LQ$60=F$3)*(GMW!$LP$2:$LP$60=F$4)*(GMW!$LR$2:$LR$60=F$1),0),$C17-1966)</f>
        <v>212192</v>
      </c>
      <c r="G17" s="4" cm="1">
        <f t="array" ref="G17">INDEX(GMW!$A$2:$LR$60,MATCH(1,(GMW!$LQ$2:$LQ$60=G$3)*(GMW!$LP$2:$LP$60=G$4)*(GMW!$LR$2:$LR$60=G$1),0),$C17-1966)</f>
        <v>212192</v>
      </c>
      <c r="H17" s="4" cm="1">
        <f t="array" ref="H17">INDEX(GMW!$A$2:$LR$60,MATCH(1,(GMW!$LQ$2:$LQ$60=H$3)*(GMW!$LP$2:$LP$60=H$4)*(GMW!$LR$2:$LR$60=H$1),0),$C17-1966)</f>
        <v>212192</v>
      </c>
      <c r="I17" s="4" cm="1">
        <f t="array" ref="I17">INDEX(GMW!$A$2:$LR$60,MATCH(1,(GMW!$LQ$2:$LQ$60=I$3)*(GMW!$LP$2:$LP$60=I$4)*(GMW!$LR$2:$LR$60=I$1),0),$C17-1966)</f>
        <v>212192</v>
      </c>
      <c r="J17" s="4" cm="1">
        <f t="array" ref="J17">INDEX(GMW!$A$2:$LR$60,MATCH(1,(GMW!$LQ$2:$LQ$60=J$3)*(GMW!$LP$2:$LP$60=J$4)*(GMW!$LR$2:$LR$60=J$1),0),$C17-1966)</f>
        <v>212192</v>
      </c>
      <c r="K17" s="4" cm="1">
        <f t="array" ref="K17">INDEX(GMW!$A$2:$LR$60,MATCH(1,(GMW!$LQ$2:$LQ$60=K$3)*(GMW!$LP$2:$LP$60=K$4)*(GMW!$LR$2:$LR$60=K$1),0),$C17-1966)</f>
        <v>212192</v>
      </c>
      <c r="L17" s="4" cm="1">
        <f t="array" ref="L17">INDEX(GMW!$A$2:$LR$60,MATCH(1,(GMW!$LQ$2:$LQ$60=L$3)*(GMW!$LP$2:$LP$60=L$4)*(GMW!$LR$2:$LR$60=L$1),0),$C17-1966)</f>
        <v>212192</v>
      </c>
      <c r="M17" s="4" cm="1">
        <f t="array" ref="M17">INDEX(GMW!$A$2:$LR$60,MATCH(1,(GMW!$LQ$2:$LQ$60=M$3)*(GMW!$LP$2:$LP$60=M$4)*(GMW!$LR$2:$LR$60=M$1),0),$C17-1966)</f>
        <v>212192</v>
      </c>
      <c r="N17" s="4" cm="1">
        <f t="array" ref="N17">INDEX(GMW!$A$2:$LR$60,MATCH(1,(GMW!$LQ$2:$LQ$60=N$3)*(GMW!$LP$2:$LP$60=N$4)*(GMW!$LR$2:$LR$60=N$1),0),$C17-1966)</f>
        <v>212192</v>
      </c>
      <c r="O17" s="4" cm="1">
        <f t="array" ref="O17">INDEX(GMW!$A$2:$LR$60,MATCH(1,(GMW!$LQ$2:$LQ$60=O$3)*(GMW!$LP$2:$LP$60=O$4)*(GMW!$LR$2:$LR$60=O$1),0),$C17-1966)</f>
        <v>212192</v>
      </c>
      <c r="P17" s="4" cm="1">
        <f t="array" ref="P17">INDEX(GMW!$A$2:$LR$60,MATCH(1,(GMW!$LQ$2:$LQ$60=P$3)*(GMW!$LP$2:$LP$60=P$4)*(GMW!$LR$2:$LR$60=P$1),0),$C17-1966)</f>
        <v>212192</v>
      </c>
      <c r="Q17" s="4" cm="1">
        <f t="array" ref="Q17">INDEX(GMW!$A$2:$LR$60,MATCH(1,(GMW!$LQ$2:$LQ$60=Q$3)*(GMW!$LP$2:$LP$60=Q$4)*(GMW!$LR$2:$LR$60=Q$1),0),$C17-1966)</f>
        <v>212192</v>
      </c>
      <c r="R17" s="4" cm="1">
        <f t="array" ref="R17">INDEX(GMW!$A$2:$LR$60,MATCH(1,(GMW!$LQ$2:$LQ$60=R$3)*(GMW!$LP$2:$LP$60=R$4)*(GMW!$LR$2:$LR$60=R$1),0),$C17-1966)</f>
        <v>212192</v>
      </c>
      <c r="S17" s="4" cm="1">
        <f t="array" ref="S17">INDEX(GMW!$A$2:$LR$60,MATCH(1,(GMW!$LQ$2:$LQ$60=S$3)*(GMW!$LP$2:$LP$60=S$4)*(GMW!$LR$2:$LR$60=S$1),0),$C17-1966)</f>
        <v>212192</v>
      </c>
      <c r="T17" s="4" cm="1">
        <f t="array" ref="T17">INDEX(GMW!$A$2:$LR$60,MATCH(1,(GMW!$LQ$2:$LQ$60=T$3)*(GMW!$LP$2:$LP$60=T$4)*(GMW!$LR$2:$LR$60=T$1),0),$C17-1966)</f>
        <v>212192</v>
      </c>
      <c r="U17" s="4" cm="1">
        <f t="array" ref="U17">INDEX(GMW!$A$2:$LR$60,MATCH(1,(GMW!$LQ$2:$LQ$60=U$3)*(GMW!$LP$2:$LP$60=U$4)*(GMW!$LR$2:$LR$60=U$1),0),$C17-1966)</f>
        <v>27.02938</v>
      </c>
      <c r="V17" s="4" cm="1">
        <f t="array" ref="V17">INDEX(GMW!$A$2:$LR$60,MATCH(1,(GMW!$LQ$2:$LQ$60=V$3)*(GMW!$LP$2:$LP$60=V$4)*(GMW!$LR$2:$LR$60=V$1),0),$C17-1966)</f>
        <v>18.222280000000001</v>
      </c>
      <c r="W17" s="4" cm="1">
        <f t="array" ref="W17">INDEX(GMW!$A$2:$LR$60,MATCH(1,(GMW!$LQ$2:$LQ$60=W$3)*(GMW!$LP$2:$LP$60=W$4)*(GMW!$LR$2:$LR$60=W$1),0),$C17-1966)</f>
        <v>1E-3</v>
      </c>
      <c r="X17" s="4" cm="1">
        <f t="array" ref="X17">INDEX(GMW!$A$2:$LR$60,MATCH(1,(GMW!$LQ$2:$LQ$60=X$3)*(GMW!$LP$2:$LP$60=X$4)*(GMW!$LR$2:$LR$60=X$1),0),$C17-1966)</f>
        <v>1E-3</v>
      </c>
      <c r="Y17" s="4" cm="1">
        <f t="array" ref="Y17">INDEX(GMW!$A$2:$LR$60,MATCH(1,(GMW!$LQ$2:$LQ$60=Y$3)*(GMW!$LP$2:$LP$60=Y$4)*(GMW!$LR$2:$LR$60=Y$1),0),$C17-1966)</f>
        <v>1E-3</v>
      </c>
      <c r="Z17" s="4" cm="1">
        <f t="array" ref="Z17">INDEX(GMW!$A$2:$LR$60,MATCH(1,(GMW!$LQ$2:$LQ$60=Z$3)*(GMW!$LP$2:$LP$60=Z$4)*(GMW!$LR$2:$LR$60=Z$1),0),$C17-1966)</f>
        <v>1E-3</v>
      </c>
      <c r="AA17" s="4" cm="1">
        <f t="array" ref="AA17">INDEX(GMW!$A$2:$LR$60,MATCH(1,(GMW!$LQ$2:$LQ$60=AA$3)*(GMW!$LP$2:$LP$60=AA$4)*(GMW!$LR$2:$LR$60=AA$1),0),$C17-1966)</f>
        <v>113546</v>
      </c>
      <c r="AB17" s="4" cm="1">
        <f t="array" ref="AB17">INDEX(GMW!$A$2:$LR$60,MATCH(1,(GMW!$LQ$2:$LQ$60=AB$3)*(GMW!$LP$2:$LP$60=AB$4)*(GMW!$LR$2:$LR$60=AB$1),0),$C17-1966)</f>
        <v>38711</v>
      </c>
      <c r="AC17" s="4" cm="1">
        <f t="array" ref="AC17">INDEX(GMW!$A$2:$LR$60,MATCH(1,(GMW!$LQ$2:$LQ$60=AC$3)*(GMW!$LP$2:$LP$60=AC$4)*(GMW!$LR$2:$LR$60=AC$1),0),$C17-1966)</f>
        <v>54512</v>
      </c>
      <c r="AD17" s="4" cm="1">
        <f t="array" ref="AD17">INDEX(GMW!$A$2:$LR$60,MATCH(1,(GMW!$LQ$2:$LQ$60=AD$3)*(GMW!$LP$2:$LP$60=AD$4)*(GMW!$LR$2:$LR$60=AD$1),0),$C17-1966)</f>
        <v>32206</v>
      </c>
      <c r="AE17" s="4" cm="1">
        <f t="array" ref="AE17">INDEX(GMW!$A$2:$LR$60,MATCH(1,(GMW!$LQ$2:$LQ$60=AE$3)*(GMW!$LP$2:$LP$60=AE$4)*(GMW!$LR$2:$LR$60=AE$1),0),$C17-1966)</f>
        <v>28223</v>
      </c>
      <c r="AF17" s="4" cm="1">
        <f t="array" ref="AF17">INDEX(GMW!$A$2:$LR$60,MATCH(1,(GMW!$LQ$2:$LQ$60=AF$3)*(GMW!$LP$2:$LP$60=AF$4)*(GMW!$LR$2:$LR$60=AF$1),0),$C17-1966)</f>
        <v>1E-3</v>
      </c>
      <c r="AG17" s="4" cm="1">
        <f t="array" ref="AG17">INDEX(GMW!$A$2:$LR$60,MATCH(1,(GMW!$LQ$2:$LQ$60=AG$3)*(GMW!$LP$2:$LP$60=AG$4)*(GMW!$LR$2:$LR$60=AG$1),0),$C17-1966)</f>
        <v>1E-3</v>
      </c>
    </row>
    <row r="18" spans="1:33" x14ac:dyDescent="0.25">
      <c r="B18" s="4">
        <f t="shared" si="1"/>
        <v>1975</v>
      </c>
      <c r="C18" s="4">
        <f t="shared" si="0"/>
        <v>1984</v>
      </c>
      <c r="D18" s="4" cm="1">
        <f t="array" ref="D18">INDEX(GMW!$A$2:$LR$60,MATCH(1,(GMW!$LQ$2:$LQ$60=D$3)*(GMW!$LP$2:$LP$60=D$4)*(GMW!$LR$2:$LR$60=D$1),0),$C18-1966)</f>
        <v>214585</v>
      </c>
      <c r="E18" s="4" cm="1">
        <f t="array" ref="E18">INDEX(GMW!$A$2:$LR$60,MATCH(1,(GMW!$LQ$2:$LQ$60=E$3)*(GMW!$LP$2:$LP$60=E$4)*(GMW!$LR$2:$LR$60=E$1),0),$C18-1966)</f>
        <v>214585</v>
      </c>
      <c r="F18" s="4" cm="1">
        <f t="array" ref="F18">INDEX(GMW!$A$2:$LR$60,MATCH(1,(GMW!$LQ$2:$LQ$60=F$3)*(GMW!$LP$2:$LP$60=F$4)*(GMW!$LR$2:$LR$60=F$1),0),$C18-1966)</f>
        <v>214585</v>
      </c>
      <c r="G18" s="4" cm="1">
        <f t="array" ref="G18">INDEX(GMW!$A$2:$LR$60,MATCH(1,(GMW!$LQ$2:$LQ$60=G$3)*(GMW!$LP$2:$LP$60=G$4)*(GMW!$LR$2:$LR$60=G$1),0),$C18-1966)</f>
        <v>214585</v>
      </c>
      <c r="H18" s="4" cm="1">
        <f t="array" ref="H18">INDEX(GMW!$A$2:$LR$60,MATCH(1,(GMW!$LQ$2:$LQ$60=H$3)*(GMW!$LP$2:$LP$60=H$4)*(GMW!$LR$2:$LR$60=H$1),0),$C18-1966)</f>
        <v>214585</v>
      </c>
      <c r="I18" s="4" cm="1">
        <f t="array" ref="I18">INDEX(GMW!$A$2:$LR$60,MATCH(1,(GMW!$LQ$2:$LQ$60=I$3)*(GMW!$LP$2:$LP$60=I$4)*(GMW!$LR$2:$LR$60=I$1),0),$C18-1966)</f>
        <v>214585</v>
      </c>
      <c r="J18" s="4" cm="1">
        <f t="array" ref="J18">INDEX(GMW!$A$2:$LR$60,MATCH(1,(GMW!$LQ$2:$LQ$60=J$3)*(GMW!$LP$2:$LP$60=J$4)*(GMW!$LR$2:$LR$60=J$1),0),$C18-1966)</f>
        <v>214585</v>
      </c>
      <c r="K18" s="4" cm="1">
        <f t="array" ref="K18">INDEX(GMW!$A$2:$LR$60,MATCH(1,(GMW!$LQ$2:$LQ$60=K$3)*(GMW!$LP$2:$LP$60=K$4)*(GMW!$LR$2:$LR$60=K$1),0),$C18-1966)</f>
        <v>214585</v>
      </c>
      <c r="L18" s="4" cm="1">
        <f t="array" ref="L18">INDEX(GMW!$A$2:$LR$60,MATCH(1,(GMW!$LQ$2:$LQ$60=L$3)*(GMW!$LP$2:$LP$60=L$4)*(GMW!$LR$2:$LR$60=L$1),0),$C18-1966)</f>
        <v>214585</v>
      </c>
      <c r="M18" s="4" cm="1">
        <f t="array" ref="M18">INDEX(GMW!$A$2:$LR$60,MATCH(1,(GMW!$LQ$2:$LQ$60=M$3)*(GMW!$LP$2:$LP$60=M$4)*(GMW!$LR$2:$LR$60=M$1),0),$C18-1966)</f>
        <v>214585</v>
      </c>
      <c r="N18" s="4" cm="1">
        <f t="array" ref="N18">INDEX(GMW!$A$2:$LR$60,MATCH(1,(GMW!$LQ$2:$LQ$60=N$3)*(GMW!$LP$2:$LP$60=N$4)*(GMW!$LR$2:$LR$60=N$1),0),$C18-1966)</f>
        <v>214585</v>
      </c>
      <c r="O18" s="4" cm="1">
        <f t="array" ref="O18">INDEX(GMW!$A$2:$LR$60,MATCH(1,(GMW!$LQ$2:$LQ$60=O$3)*(GMW!$LP$2:$LP$60=O$4)*(GMW!$LR$2:$LR$60=O$1),0),$C18-1966)</f>
        <v>214585</v>
      </c>
      <c r="P18" s="4" cm="1">
        <f t="array" ref="P18">INDEX(GMW!$A$2:$LR$60,MATCH(1,(GMW!$LQ$2:$LQ$60=P$3)*(GMW!$LP$2:$LP$60=P$4)*(GMW!$LR$2:$LR$60=P$1),0),$C18-1966)</f>
        <v>214585</v>
      </c>
      <c r="Q18" s="4" cm="1">
        <f t="array" ref="Q18">INDEX(GMW!$A$2:$LR$60,MATCH(1,(GMW!$LQ$2:$LQ$60=Q$3)*(GMW!$LP$2:$LP$60=Q$4)*(GMW!$LR$2:$LR$60=Q$1),0),$C18-1966)</f>
        <v>214585</v>
      </c>
      <c r="R18" s="4" cm="1">
        <f t="array" ref="R18">INDEX(GMW!$A$2:$LR$60,MATCH(1,(GMW!$LQ$2:$LQ$60=R$3)*(GMW!$LP$2:$LP$60=R$4)*(GMW!$LR$2:$LR$60=R$1),0),$C18-1966)</f>
        <v>214585</v>
      </c>
      <c r="S18" s="4" cm="1">
        <f t="array" ref="S18">INDEX(GMW!$A$2:$LR$60,MATCH(1,(GMW!$LQ$2:$LQ$60=S$3)*(GMW!$LP$2:$LP$60=S$4)*(GMW!$LR$2:$LR$60=S$1),0),$C18-1966)</f>
        <v>214585</v>
      </c>
      <c r="T18" s="4" cm="1">
        <f t="array" ref="T18">INDEX(GMW!$A$2:$LR$60,MATCH(1,(GMW!$LQ$2:$LQ$60=T$3)*(GMW!$LP$2:$LP$60=T$4)*(GMW!$LR$2:$LR$60=T$1),0),$C18-1966)</f>
        <v>214585</v>
      </c>
      <c r="U18" s="4" cm="1">
        <f t="array" ref="U18">INDEX(GMW!$A$2:$LR$60,MATCH(1,(GMW!$LQ$2:$LQ$60=U$3)*(GMW!$LP$2:$LP$60=U$4)*(GMW!$LR$2:$LR$60=U$1),0),$C18-1966)</f>
        <v>28.37567</v>
      </c>
      <c r="V18" s="4" cm="1">
        <f t="array" ref="V18">INDEX(GMW!$A$2:$LR$60,MATCH(1,(GMW!$LQ$2:$LQ$60=V$3)*(GMW!$LP$2:$LP$60=V$4)*(GMW!$LR$2:$LR$60=V$1),0),$C18-1966)</f>
        <v>18.847930000000002</v>
      </c>
      <c r="W18" s="4" cm="1">
        <f t="array" ref="W18">INDEX(GMW!$A$2:$LR$60,MATCH(1,(GMW!$LQ$2:$LQ$60=W$3)*(GMW!$LP$2:$LP$60=W$4)*(GMW!$LR$2:$LR$60=W$1),0),$C18-1966)</f>
        <v>1E-3</v>
      </c>
      <c r="X18" s="4" cm="1">
        <f t="array" ref="X18">INDEX(GMW!$A$2:$LR$60,MATCH(1,(GMW!$LQ$2:$LQ$60=X$3)*(GMW!$LP$2:$LP$60=X$4)*(GMW!$LR$2:$LR$60=X$1),0),$C18-1966)</f>
        <v>1E-3</v>
      </c>
      <c r="Y18" s="4" cm="1">
        <f t="array" ref="Y18">INDEX(GMW!$A$2:$LR$60,MATCH(1,(GMW!$LQ$2:$LQ$60=Y$3)*(GMW!$LP$2:$LP$60=Y$4)*(GMW!$LR$2:$LR$60=Y$1),0),$C18-1966)</f>
        <v>1E-3</v>
      </c>
      <c r="Z18" s="4" cm="1">
        <f t="array" ref="Z18">INDEX(GMW!$A$2:$LR$60,MATCH(1,(GMW!$LQ$2:$LQ$60=Z$3)*(GMW!$LP$2:$LP$60=Z$4)*(GMW!$LR$2:$LR$60=Z$1),0),$C18-1966)</f>
        <v>1E-3</v>
      </c>
      <c r="AA18" s="4" cm="1">
        <f t="array" ref="AA18">INDEX(GMW!$A$2:$LR$60,MATCH(1,(GMW!$LQ$2:$LQ$60=AA$3)*(GMW!$LP$2:$LP$60=AA$4)*(GMW!$LR$2:$LR$60=AA$1),0),$C18-1966)</f>
        <v>112570</v>
      </c>
      <c r="AB18" s="4" cm="1">
        <f t="array" ref="AB18">INDEX(GMW!$A$2:$LR$60,MATCH(1,(GMW!$LQ$2:$LQ$60=AB$3)*(GMW!$LP$2:$LP$60=AB$4)*(GMW!$LR$2:$LR$60=AB$1),0),$C18-1966)</f>
        <v>37594</v>
      </c>
      <c r="AC18" s="4" cm="1">
        <f t="array" ref="AC18">INDEX(GMW!$A$2:$LR$60,MATCH(1,(GMW!$LQ$2:$LQ$60=AC$3)*(GMW!$LP$2:$LP$60=AC$4)*(GMW!$LR$2:$LR$60=AC$1),0),$C18-1966)</f>
        <v>55622</v>
      </c>
      <c r="AD18" s="4" cm="1">
        <f t="array" ref="AD18">INDEX(GMW!$A$2:$LR$60,MATCH(1,(GMW!$LQ$2:$LQ$60=AD$3)*(GMW!$LP$2:$LP$60=AD$4)*(GMW!$LR$2:$LR$60=AD$1),0),$C18-1966)</f>
        <v>33821</v>
      </c>
      <c r="AE18" s="4" cm="1">
        <f t="array" ref="AE18">INDEX(GMW!$A$2:$LR$60,MATCH(1,(GMW!$LQ$2:$LQ$60=AE$3)*(GMW!$LP$2:$LP$60=AE$4)*(GMW!$LR$2:$LR$60=AE$1),0),$C18-1966)</f>
        <v>27653</v>
      </c>
      <c r="AF18" s="4" cm="1">
        <f t="array" ref="AF18">INDEX(GMW!$A$2:$LR$60,MATCH(1,(GMW!$LQ$2:$LQ$60=AF$3)*(GMW!$LP$2:$LP$60=AF$4)*(GMW!$LR$2:$LR$60=AF$1),0),$C18-1966)</f>
        <v>1E-3</v>
      </c>
      <c r="AG18" s="4" cm="1">
        <f t="array" ref="AG18">INDEX(GMW!$A$2:$LR$60,MATCH(1,(GMW!$LQ$2:$LQ$60=AG$3)*(GMW!$LP$2:$LP$60=AG$4)*(GMW!$LR$2:$LR$60=AG$1),0),$C18-1966)</f>
        <v>1E-3</v>
      </c>
    </row>
    <row r="19" spans="1:33" x14ac:dyDescent="0.25">
      <c r="A19" s="4">
        <v>1976</v>
      </c>
      <c r="B19" s="4">
        <f t="shared" si="1"/>
        <v>1976</v>
      </c>
      <c r="C19" s="4">
        <f t="shared" si="0"/>
        <v>1985</v>
      </c>
      <c r="D19" s="4" cm="1">
        <f t="array" ref="D19">INDEX(GMW!$A$2:$LR$60,MATCH(1,(GMW!$LQ$2:$LQ$60=D$3)*(GMW!$LP$2:$LP$60=D$4)*(GMW!$LR$2:$LR$60=D$1),0),$C19-1966)</f>
        <v>218180</v>
      </c>
      <c r="E19" s="4" cm="1">
        <f t="array" ref="E19">INDEX(GMW!$A$2:$LR$60,MATCH(1,(GMW!$LQ$2:$LQ$60=E$3)*(GMW!$LP$2:$LP$60=E$4)*(GMW!$LR$2:$LR$60=E$1),0),$C19-1966)</f>
        <v>218180</v>
      </c>
      <c r="F19" s="4" cm="1">
        <f t="array" ref="F19">INDEX(GMW!$A$2:$LR$60,MATCH(1,(GMW!$LQ$2:$LQ$60=F$3)*(GMW!$LP$2:$LP$60=F$4)*(GMW!$LR$2:$LR$60=F$1),0),$C19-1966)</f>
        <v>218180</v>
      </c>
      <c r="G19" s="4" cm="1">
        <f t="array" ref="G19">INDEX(GMW!$A$2:$LR$60,MATCH(1,(GMW!$LQ$2:$LQ$60=G$3)*(GMW!$LP$2:$LP$60=G$4)*(GMW!$LR$2:$LR$60=G$1),0),$C19-1966)</f>
        <v>218180</v>
      </c>
      <c r="H19" s="4" cm="1">
        <f t="array" ref="H19">INDEX(GMW!$A$2:$LR$60,MATCH(1,(GMW!$LQ$2:$LQ$60=H$3)*(GMW!$LP$2:$LP$60=H$4)*(GMW!$LR$2:$LR$60=H$1),0),$C19-1966)</f>
        <v>218180</v>
      </c>
      <c r="I19" s="4" cm="1">
        <f t="array" ref="I19">INDEX(GMW!$A$2:$LR$60,MATCH(1,(GMW!$LQ$2:$LQ$60=I$3)*(GMW!$LP$2:$LP$60=I$4)*(GMW!$LR$2:$LR$60=I$1),0),$C19-1966)</f>
        <v>218180</v>
      </c>
      <c r="J19" s="4" cm="1">
        <f t="array" ref="J19">INDEX(GMW!$A$2:$LR$60,MATCH(1,(GMW!$LQ$2:$LQ$60=J$3)*(GMW!$LP$2:$LP$60=J$4)*(GMW!$LR$2:$LR$60=J$1),0),$C19-1966)</f>
        <v>218180</v>
      </c>
      <c r="K19" s="4" cm="1">
        <f t="array" ref="K19">INDEX(GMW!$A$2:$LR$60,MATCH(1,(GMW!$LQ$2:$LQ$60=K$3)*(GMW!$LP$2:$LP$60=K$4)*(GMW!$LR$2:$LR$60=K$1),0),$C19-1966)</f>
        <v>218180</v>
      </c>
      <c r="L19" s="4" cm="1">
        <f t="array" ref="L19">INDEX(GMW!$A$2:$LR$60,MATCH(1,(GMW!$LQ$2:$LQ$60=L$3)*(GMW!$LP$2:$LP$60=L$4)*(GMW!$LR$2:$LR$60=L$1),0),$C19-1966)</f>
        <v>218180</v>
      </c>
      <c r="M19" s="4" cm="1">
        <f t="array" ref="M19">INDEX(GMW!$A$2:$LR$60,MATCH(1,(GMW!$LQ$2:$LQ$60=M$3)*(GMW!$LP$2:$LP$60=M$4)*(GMW!$LR$2:$LR$60=M$1),0),$C19-1966)</f>
        <v>218180</v>
      </c>
      <c r="N19" s="4" cm="1">
        <f t="array" ref="N19">INDEX(GMW!$A$2:$LR$60,MATCH(1,(GMW!$LQ$2:$LQ$60=N$3)*(GMW!$LP$2:$LP$60=N$4)*(GMW!$LR$2:$LR$60=N$1),0),$C19-1966)</f>
        <v>218180</v>
      </c>
      <c r="O19" s="4" cm="1">
        <f t="array" ref="O19">INDEX(GMW!$A$2:$LR$60,MATCH(1,(GMW!$LQ$2:$LQ$60=O$3)*(GMW!$LP$2:$LP$60=O$4)*(GMW!$LR$2:$LR$60=O$1),0),$C19-1966)</f>
        <v>218180</v>
      </c>
      <c r="P19" s="4" cm="1">
        <f t="array" ref="P19">INDEX(GMW!$A$2:$LR$60,MATCH(1,(GMW!$LQ$2:$LQ$60=P$3)*(GMW!$LP$2:$LP$60=P$4)*(GMW!$LR$2:$LR$60=P$1),0),$C19-1966)</f>
        <v>218180</v>
      </c>
      <c r="Q19" s="4" cm="1">
        <f t="array" ref="Q19">INDEX(GMW!$A$2:$LR$60,MATCH(1,(GMW!$LQ$2:$LQ$60=Q$3)*(GMW!$LP$2:$LP$60=Q$4)*(GMW!$LR$2:$LR$60=Q$1),0),$C19-1966)</f>
        <v>218180</v>
      </c>
      <c r="R19" s="4" cm="1">
        <f t="array" ref="R19">INDEX(GMW!$A$2:$LR$60,MATCH(1,(GMW!$LQ$2:$LQ$60=R$3)*(GMW!$LP$2:$LP$60=R$4)*(GMW!$LR$2:$LR$60=R$1),0),$C19-1966)</f>
        <v>218180</v>
      </c>
      <c r="S19" s="4" cm="1">
        <f t="array" ref="S19">INDEX(GMW!$A$2:$LR$60,MATCH(1,(GMW!$LQ$2:$LQ$60=S$3)*(GMW!$LP$2:$LP$60=S$4)*(GMW!$LR$2:$LR$60=S$1),0),$C19-1966)</f>
        <v>218180</v>
      </c>
      <c r="T19" s="4" cm="1">
        <f t="array" ref="T19">INDEX(GMW!$A$2:$LR$60,MATCH(1,(GMW!$LQ$2:$LQ$60=T$3)*(GMW!$LP$2:$LP$60=T$4)*(GMW!$LR$2:$LR$60=T$1),0),$C19-1966)</f>
        <v>218180</v>
      </c>
      <c r="U19" s="4" cm="1">
        <f t="array" ref="U19">INDEX(GMW!$A$2:$LR$60,MATCH(1,(GMW!$LQ$2:$LQ$60=U$3)*(GMW!$LP$2:$LP$60=U$4)*(GMW!$LR$2:$LR$60=U$1),0),$C19-1966)</f>
        <v>29.357140000000001</v>
      </c>
      <c r="V19" s="4" cm="1">
        <f t="array" ref="V19">INDEX(GMW!$A$2:$LR$60,MATCH(1,(GMW!$LQ$2:$LQ$60=V$3)*(GMW!$LP$2:$LP$60=V$4)*(GMW!$LR$2:$LR$60=V$1),0),$C19-1966)</f>
        <v>19.42145</v>
      </c>
      <c r="W19" s="4" cm="1">
        <f t="array" ref="W19">INDEX(GMW!$A$2:$LR$60,MATCH(1,(GMW!$LQ$2:$LQ$60=W$3)*(GMW!$LP$2:$LP$60=W$4)*(GMW!$LR$2:$LR$60=W$1),0),$C19-1966)</f>
        <v>1E-3</v>
      </c>
      <c r="X19" s="4" cm="1">
        <f t="array" ref="X19">INDEX(GMW!$A$2:$LR$60,MATCH(1,(GMW!$LQ$2:$LQ$60=X$3)*(GMW!$LP$2:$LP$60=X$4)*(GMW!$LR$2:$LR$60=X$1),0),$C19-1966)</f>
        <v>1E-3</v>
      </c>
      <c r="Y19" s="4" cm="1">
        <f t="array" ref="Y19">INDEX(GMW!$A$2:$LR$60,MATCH(1,(GMW!$LQ$2:$LQ$60=Y$3)*(GMW!$LP$2:$LP$60=Y$4)*(GMW!$LR$2:$LR$60=Y$1),0),$C19-1966)</f>
        <v>1E-3</v>
      </c>
      <c r="Z19" s="4" cm="1">
        <f t="array" ref="Z19">INDEX(GMW!$A$2:$LR$60,MATCH(1,(GMW!$LQ$2:$LQ$60=Z$3)*(GMW!$LP$2:$LP$60=Z$4)*(GMW!$LR$2:$LR$60=Z$1),0),$C19-1966)</f>
        <v>1E-3</v>
      </c>
      <c r="AA19" s="4" cm="1">
        <f t="array" ref="AA19">INDEX(GMW!$A$2:$LR$60,MATCH(1,(GMW!$LQ$2:$LQ$60=AA$3)*(GMW!$LP$2:$LP$60=AA$4)*(GMW!$LR$2:$LR$60=AA$1),0),$C19-1966)</f>
        <v>113322</v>
      </c>
      <c r="AB19" s="4" cm="1">
        <f t="array" ref="AB19">INDEX(GMW!$A$2:$LR$60,MATCH(1,(GMW!$LQ$2:$LQ$60=AB$3)*(GMW!$LP$2:$LP$60=AB$4)*(GMW!$LR$2:$LR$60=AB$1),0),$C19-1966)</f>
        <v>39478</v>
      </c>
      <c r="AC19" s="4" cm="1">
        <f t="array" ref="AC19">INDEX(GMW!$A$2:$LR$60,MATCH(1,(GMW!$LQ$2:$LQ$60=AC$3)*(GMW!$LP$2:$LP$60=AC$4)*(GMW!$LR$2:$LR$60=AC$1),0),$C19-1966)</f>
        <v>55635</v>
      </c>
      <c r="AD19" s="4" cm="1">
        <f t="array" ref="AD19">INDEX(GMW!$A$2:$LR$60,MATCH(1,(GMW!$LQ$2:$LQ$60=AD$3)*(GMW!$LP$2:$LP$60=AD$4)*(GMW!$LR$2:$LR$60=AD$1),0),$C19-1966)</f>
        <v>34455</v>
      </c>
      <c r="AE19" s="4" cm="1">
        <f t="array" ref="AE19">INDEX(GMW!$A$2:$LR$60,MATCH(1,(GMW!$LQ$2:$LQ$60=AE$3)*(GMW!$LP$2:$LP$60=AE$4)*(GMW!$LR$2:$LR$60=AE$1),0),$C19-1966)</f>
        <v>27224</v>
      </c>
      <c r="AF19" s="4" cm="1">
        <f t="array" ref="AF19">INDEX(GMW!$A$2:$LR$60,MATCH(1,(GMW!$LQ$2:$LQ$60=AF$3)*(GMW!$LP$2:$LP$60=AF$4)*(GMW!$LR$2:$LR$60=AF$1),0),$C19-1966)</f>
        <v>1E-3</v>
      </c>
      <c r="AG19" s="4" cm="1">
        <f t="array" ref="AG19">INDEX(GMW!$A$2:$LR$60,MATCH(1,(GMW!$LQ$2:$LQ$60=AG$3)*(GMW!$LP$2:$LP$60=AG$4)*(GMW!$LR$2:$LR$60=AG$1),0),$C19-1966)</f>
        <v>1E-3</v>
      </c>
    </row>
    <row r="20" spans="1:33" x14ac:dyDescent="0.25">
      <c r="B20" s="4">
        <f t="shared" si="1"/>
        <v>1976</v>
      </c>
      <c r="C20" s="4">
        <f t="shared" si="0"/>
        <v>1986</v>
      </c>
      <c r="D20" s="4" cm="1">
        <f t="array" ref="D20">INDEX(GMW!$A$2:$LR$60,MATCH(1,(GMW!$LQ$2:$LQ$60=D$3)*(GMW!$LP$2:$LP$60=D$4)*(GMW!$LR$2:$LR$60=D$1),0),$C20-1966)</f>
        <v>217883</v>
      </c>
      <c r="E20" s="4" cm="1">
        <f t="array" ref="E20">INDEX(GMW!$A$2:$LR$60,MATCH(1,(GMW!$LQ$2:$LQ$60=E$3)*(GMW!$LP$2:$LP$60=E$4)*(GMW!$LR$2:$LR$60=E$1),0),$C20-1966)</f>
        <v>217883</v>
      </c>
      <c r="F20" s="4" cm="1">
        <f t="array" ref="F20">INDEX(GMW!$A$2:$LR$60,MATCH(1,(GMW!$LQ$2:$LQ$60=F$3)*(GMW!$LP$2:$LP$60=F$4)*(GMW!$LR$2:$LR$60=F$1),0),$C20-1966)</f>
        <v>217883</v>
      </c>
      <c r="G20" s="4" cm="1">
        <f t="array" ref="G20">INDEX(GMW!$A$2:$LR$60,MATCH(1,(GMW!$LQ$2:$LQ$60=G$3)*(GMW!$LP$2:$LP$60=G$4)*(GMW!$LR$2:$LR$60=G$1),0),$C20-1966)</f>
        <v>217883</v>
      </c>
      <c r="H20" s="4" cm="1">
        <f t="array" ref="H20">INDEX(GMW!$A$2:$LR$60,MATCH(1,(GMW!$LQ$2:$LQ$60=H$3)*(GMW!$LP$2:$LP$60=H$4)*(GMW!$LR$2:$LR$60=H$1),0),$C20-1966)</f>
        <v>217883</v>
      </c>
      <c r="I20" s="4" cm="1">
        <f t="array" ref="I20">INDEX(GMW!$A$2:$LR$60,MATCH(1,(GMW!$LQ$2:$LQ$60=I$3)*(GMW!$LP$2:$LP$60=I$4)*(GMW!$LR$2:$LR$60=I$1),0),$C20-1966)</f>
        <v>217883</v>
      </c>
      <c r="J20" s="4" cm="1">
        <f t="array" ref="J20">INDEX(GMW!$A$2:$LR$60,MATCH(1,(GMW!$LQ$2:$LQ$60=J$3)*(GMW!$LP$2:$LP$60=J$4)*(GMW!$LR$2:$LR$60=J$1),0),$C20-1966)</f>
        <v>217883</v>
      </c>
      <c r="K20" s="4" cm="1">
        <f t="array" ref="K20">INDEX(GMW!$A$2:$LR$60,MATCH(1,(GMW!$LQ$2:$LQ$60=K$3)*(GMW!$LP$2:$LP$60=K$4)*(GMW!$LR$2:$LR$60=K$1),0),$C20-1966)</f>
        <v>217883</v>
      </c>
      <c r="L20" s="4" cm="1">
        <f t="array" ref="L20">INDEX(GMW!$A$2:$LR$60,MATCH(1,(GMW!$LQ$2:$LQ$60=L$3)*(GMW!$LP$2:$LP$60=L$4)*(GMW!$LR$2:$LR$60=L$1),0),$C20-1966)</f>
        <v>217883</v>
      </c>
      <c r="M20" s="4" cm="1">
        <f t="array" ref="M20">INDEX(GMW!$A$2:$LR$60,MATCH(1,(GMW!$LQ$2:$LQ$60=M$3)*(GMW!$LP$2:$LP$60=M$4)*(GMW!$LR$2:$LR$60=M$1),0),$C20-1966)</f>
        <v>217883</v>
      </c>
      <c r="N20" s="4" cm="1">
        <f t="array" ref="N20">INDEX(GMW!$A$2:$LR$60,MATCH(1,(GMW!$LQ$2:$LQ$60=N$3)*(GMW!$LP$2:$LP$60=N$4)*(GMW!$LR$2:$LR$60=N$1),0),$C20-1966)</f>
        <v>217883</v>
      </c>
      <c r="O20" s="4" cm="1">
        <f t="array" ref="O20">INDEX(GMW!$A$2:$LR$60,MATCH(1,(GMW!$LQ$2:$LQ$60=O$3)*(GMW!$LP$2:$LP$60=O$4)*(GMW!$LR$2:$LR$60=O$1),0),$C20-1966)</f>
        <v>217883</v>
      </c>
      <c r="P20" s="4" cm="1">
        <f t="array" ref="P20">INDEX(GMW!$A$2:$LR$60,MATCH(1,(GMW!$LQ$2:$LQ$60=P$3)*(GMW!$LP$2:$LP$60=P$4)*(GMW!$LR$2:$LR$60=P$1),0),$C20-1966)</f>
        <v>217883</v>
      </c>
      <c r="Q20" s="4" cm="1">
        <f t="array" ref="Q20">INDEX(GMW!$A$2:$LR$60,MATCH(1,(GMW!$LQ$2:$LQ$60=Q$3)*(GMW!$LP$2:$LP$60=Q$4)*(GMW!$LR$2:$LR$60=Q$1),0),$C20-1966)</f>
        <v>217883</v>
      </c>
      <c r="R20" s="4" cm="1">
        <f t="array" ref="R20">INDEX(GMW!$A$2:$LR$60,MATCH(1,(GMW!$LQ$2:$LQ$60=R$3)*(GMW!$LP$2:$LP$60=R$4)*(GMW!$LR$2:$LR$60=R$1),0),$C20-1966)</f>
        <v>217883</v>
      </c>
      <c r="S20" s="4" cm="1">
        <f t="array" ref="S20">INDEX(GMW!$A$2:$LR$60,MATCH(1,(GMW!$LQ$2:$LQ$60=S$3)*(GMW!$LP$2:$LP$60=S$4)*(GMW!$LR$2:$LR$60=S$1),0),$C20-1966)</f>
        <v>217883</v>
      </c>
      <c r="T20" s="4" cm="1">
        <f t="array" ref="T20">INDEX(GMW!$A$2:$LR$60,MATCH(1,(GMW!$LQ$2:$LQ$60=T$3)*(GMW!$LP$2:$LP$60=T$4)*(GMW!$LR$2:$LR$60=T$1),0),$C20-1966)</f>
        <v>217883</v>
      </c>
      <c r="U20" s="4" cm="1">
        <f t="array" ref="U20">INDEX(GMW!$A$2:$LR$60,MATCH(1,(GMW!$LQ$2:$LQ$60=U$3)*(GMW!$LP$2:$LP$60=U$4)*(GMW!$LR$2:$LR$60=U$1),0),$C20-1966)</f>
        <v>30.793579999999999</v>
      </c>
      <c r="V20" s="4" cm="1">
        <f t="array" ref="V20">INDEX(GMW!$A$2:$LR$60,MATCH(1,(GMW!$LQ$2:$LQ$60=V$3)*(GMW!$LP$2:$LP$60=V$4)*(GMW!$LR$2:$LR$60=V$1),0),$C20-1966)</f>
        <v>20.125319999999999</v>
      </c>
      <c r="W20" s="4" cm="1">
        <f t="array" ref="W20">INDEX(GMW!$A$2:$LR$60,MATCH(1,(GMW!$LQ$2:$LQ$60=W$3)*(GMW!$LP$2:$LP$60=W$4)*(GMW!$LR$2:$LR$60=W$1),0),$C20-1966)</f>
        <v>1E-3</v>
      </c>
      <c r="X20" s="4" cm="1">
        <f t="array" ref="X20">INDEX(GMW!$A$2:$LR$60,MATCH(1,(GMW!$LQ$2:$LQ$60=X$3)*(GMW!$LP$2:$LP$60=X$4)*(GMW!$LR$2:$LR$60=X$1),0),$C20-1966)</f>
        <v>1E-3</v>
      </c>
      <c r="Y20" s="4" cm="1">
        <f t="array" ref="Y20">INDEX(GMW!$A$2:$LR$60,MATCH(1,(GMW!$LQ$2:$LQ$60=Y$3)*(GMW!$LP$2:$LP$60=Y$4)*(GMW!$LR$2:$LR$60=Y$1),0),$C20-1966)</f>
        <v>1E-3</v>
      </c>
      <c r="Z20" s="4" cm="1">
        <f t="array" ref="Z20">INDEX(GMW!$A$2:$LR$60,MATCH(1,(GMW!$LQ$2:$LQ$60=Z$3)*(GMW!$LP$2:$LP$60=Z$4)*(GMW!$LR$2:$LR$60=Z$1),0),$C20-1966)</f>
        <v>1E-3</v>
      </c>
      <c r="AA20" s="4" cm="1">
        <f t="array" ref="AA20">INDEX(GMW!$A$2:$LR$60,MATCH(1,(GMW!$LQ$2:$LQ$60=AA$3)*(GMW!$LP$2:$LP$60=AA$4)*(GMW!$LR$2:$LR$60=AA$1),0),$C20-1966)</f>
        <v>114067</v>
      </c>
      <c r="AB20" s="4" cm="1">
        <f t="array" ref="AB20">INDEX(GMW!$A$2:$LR$60,MATCH(1,(GMW!$LQ$2:$LQ$60=AB$3)*(GMW!$LP$2:$LP$60=AB$4)*(GMW!$LR$2:$LR$60=AB$1),0),$C20-1966)</f>
        <v>39111</v>
      </c>
      <c r="AC20" s="4" cm="1">
        <f t="array" ref="AC20">INDEX(GMW!$A$2:$LR$60,MATCH(1,(GMW!$LQ$2:$LQ$60=AC$3)*(GMW!$LP$2:$LP$60=AC$4)*(GMW!$LR$2:$LR$60=AC$1),0),$C20-1966)</f>
        <v>56110</v>
      </c>
      <c r="AD20" s="4" cm="1">
        <f t="array" ref="AD20">INDEX(GMW!$A$2:$LR$60,MATCH(1,(GMW!$LQ$2:$LQ$60=AD$3)*(GMW!$LP$2:$LP$60=AD$4)*(GMW!$LR$2:$LR$60=AD$1),0),$C20-1966)</f>
        <v>35754</v>
      </c>
      <c r="AE20" s="4" cm="1">
        <f t="array" ref="AE20">INDEX(GMW!$A$2:$LR$60,MATCH(1,(GMW!$LQ$2:$LQ$60=AE$3)*(GMW!$LP$2:$LP$60=AE$4)*(GMW!$LR$2:$LR$60=AE$1),0),$C20-1966)</f>
        <v>29449</v>
      </c>
      <c r="AF20" s="4" cm="1">
        <f t="array" ref="AF20">INDEX(GMW!$A$2:$LR$60,MATCH(1,(GMW!$LQ$2:$LQ$60=AF$3)*(GMW!$LP$2:$LP$60=AF$4)*(GMW!$LR$2:$LR$60=AF$1),0),$C20-1966)</f>
        <v>1E-3</v>
      </c>
      <c r="AG20" s="4" cm="1">
        <f t="array" ref="AG20">INDEX(GMW!$A$2:$LR$60,MATCH(1,(GMW!$LQ$2:$LQ$60=AG$3)*(GMW!$LP$2:$LP$60=AG$4)*(GMW!$LR$2:$LR$60=AG$1),0),$C20-1966)</f>
        <v>1E-3</v>
      </c>
    </row>
    <row r="21" spans="1:33" x14ac:dyDescent="0.25">
      <c r="B21" s="4">
        <f t="shared" si="1"/>
        <v>1976</v>
      </c>
      <c r="C21" s="4">
        <f t="shared" si="0"/>
        <v>1987</v>
      </c>
      <c r="D21" s="4" cm="1">
        <f t="array" ref="D21">INDEX(GMW!$A$2:$LR$60,MATCH(1,(GMW!$LQ$2:$LQ$60=D$3)*(GMW!$LP$2:$LP$60=D$4)*(GMW!$LR$2:$LR$60=D$1),0),$C21-1966)</f>
        <v>220587</v>
      </c>
      <c r="E21" s="4" cm="1">
        <f t="array" ref="E21">INDEX(GMW!$A$2:$LR$60,MATCH(1,(GMW!$LQ$2:$LQ$60=E$3)*(GMW!$LP$2:$LP$60=E$4)*(GMW!$LR$2:$LR$60=E$1),0),$C21-1966)</f>
        <v>220587</v>
      </c>
      <c r="F21" s="4" cm="1">
        <f t="array" ref="F21">INDEX(GMW!$A$2:$LR$60,MATCH(1,(GMW!$LQ$2:$LQ$60=F$3)*(GMW!$LP$2:$LP$60=F$4)*(GMW!$LR$2:$LR$60=F$1),0),$C21-1966)</f>
        <v>220587</v>
      </c>
      <c r="G21" s="4" cm="1">
        <f t="array" ref="G21">INDEX(GMW!$A$2:$LR$60,MATCH(1,(GMW!$LQ$2:$LQ$60=G$3)*(GMW!$LP$2:$LP$60=G$4)*(GMW!$LR$2:$LR$60=G$1),0),$C21-1966)</f>
        <v>220587</v>
      </c>
      <c r="H21" s="4" cm="1">
        <f t="array" ref="H21">INDEX(GMW!$A$2:$LR$60,MATCH(1,(GMW!$LQ$2:$LQ$60=H$3)*(GMW!$LP$2:$LP$60=H$4)*(GMW!$LR$2:$LR$60=H$1),0),$C21-1966)</f>
        <v>220587</v>
      </c>
      <c r="I21" s="4" cm="1">
        <f t="array" ref="I21">INDEX(GMW!$A$2:$LR$60,MATCH(1,(GMW!$LQ$2:$LQ$60=I$3)*(GMW!$LP$2:$LP$60=I$4)*(GMW!$LR$2:$LR$60=I$1),0),$C21-1966)</f>
        <v>220587</v>
      </c>
      <c r="J21" s="4" cm="1">
        <f t="array" ref="J21">INDEX(GMW!$A$2:$LR$60,MATCH(1,(GMW!$LQ$2:$LQ$60=J$3)*(GMW!$LP$2:$LP$60=J$4)*(GMW!$LR$2:$LR$60=J$1),0),$C21-1966)</f>
        <v>220587</v>
      </c>
      <c r="K21" s="4" cm="1">
        <f t="array" ref="K21">INDEX(GMW!$A$2:$LR$60,MATCH(1,(GMW!$LQ$2:$LQ$60=K$3)*(GMW!$LP$2:$LP$60=K$4)*(GMW!$LR$2:$LR$60=K$1),0),$C21-1966)</f>
        <v>220587</v>
      </c>
      <c r="L21" s="4" cm="1">
        <f t="array" ref="L21">INDEX(GMW!$A$2:$LR$60,MATCH(1,(GMW!$LQ$2:$LQ$60=L$3)*(GMW!$LP$2:$LP$60=L$4)*(GMW!$LR$2:$LR$60=L$1),0),$C21-1966)</f>
        <v>220587</v>
      </c>
      <c r="M21" s="4" cm="1">
        <f t="array" ref="M21">INDEX(GMW!$A$2:$LR$60,MATCH(1,(GMW!$LQ$2:$LQ$60=M$3)*(GMW!$LP$2:$LP$60=M$4)*(GMW!$LR$2:$LR$60=M$1),0),$C21-1966)</f>
        <v>220587</v>
      </c>
      <c r="N21" s="4" cm="1">
        <f t="array" ref="N21">INDEX(GMW!$A$2:$LR$60,MATCH(1,(GMW!$LQ$2:$LQ$60=N$3)*(GMW!$LP$2:$LP$60=N$4)*(GMW!$LR$2:$LR$60=N$1),0),$C21-1966)</f>
        <v>220587</v>
      </c>
      <c r="O21" s="4" cm="1">
        <f t="array" ref="O21">INDEX(GMW!$A$2:$LR$60,MATCH(1,(GMW!$LQ$2:$LQ$60=O$3)*(GMW!$LP$2:$LP$60=O$4)*(GMW!$LR$2:$LR$60=O$1),0),$C21-1966)</f>
        <v>220587</v>
      </c>
      <c r="P21" s="4" cm="1">
        <f t="array" ref="P21">INDEX(GMW!$A$2:$LR$60,MATCH(1,(GMW!$LQ$2:$LQ$60=P$3)*(GMW!$LP$2:$LP$60=P$4)*(GMW!$LR$2:$LR$60=P$1),0),$C21-1966)</f>
        <v>220587</v>
      </c>
      <c r="Q21" s="4" cm="1">
        <f t="array" ref="Q21">INDEX(GMW!$A$2:$LR$60,MATCH(1,(GMW!$LQ$2:$LQ$60=Q$3)*(GMW!$LP$2:$LP$60=Q$4)*(GMW!$LR$2:$LR$60=Q$1),0),$C21-1966)</f>
        <v>220587</v>
      </c>
      <c r="R21" s="4" cm="1">
        <f t="array" ref="R21">INDEX(GMW!$A$2:$LR$60,MATCH(1,(GMW!$LQ$2:$LQ$60=R$3)*(GMW!$LP$2:$LP$60=R$4)*(GMW!$LR$2:$LR$60=R$1),0),$C21-1966)</f>
        <v>220587</v>
      </c>
      <c r="S21" s="4" cm="1">
        <f t="array" ref="S21">INDEX(GMW!$A$2:$LR$60,MATCH(1,(GMW!$LQ$2:$LQ$60=S$3)*(GMW!$LP$2:$LP$60=S$4)*(GMW!$LR$2:$LR$60=S$1),0),$C21-1966)</f>
        <v>220587</v>
      </c>
      <c r="T21" s="4" cm="1">
        <f t="array" ref="T21">INDEX(GMW!$A$2:$LR$60,MATCH(1,(GMW!$LQ$2:$LQ$60=T$3)*(GMW!$LP$2:$LP$60=T$4)*(GMW!$LR$2:$LR$60=T$1),0),$C21-1966)</f>
        <v>220587</v>
      </c>
      <c r="U21" s="4" cm="1">
        <f t="array" ref="U21">INDEX(GMW!$A$2:$LR$60,MATCH(1,(GMW!$LQ$2:$LQ$60=U$3)*(GMW!$LP$2:$LP$60=U$4)*(GMW!$LR$2:$LR$60=U$1),0),$C21-1966)</f>
        <v>32.301470000000002</v>
      </c>
      <c r="V21" s="4" cm="1">
        <f t="array" ref="V21">INDEX(GMW!$A$2:$LR$60,MATCH(1,(GMW!$LQ$2:$LQ$60=V$3)*(GMW!$LP$2:$LP$60=V$4)*(GMW!$LR$2:$LR$60=V$1),0),$C21-1966)</f>
        <v>20.594560000000001</v>
      </c>
      <c r="W21" s="4" cm="1">
        <f t="array" ref="W21">INDEX(GMW!$A$2:$LR$60,MATCH(1,(GMW!$LQ$2:$LQ$60=W$3)*(GMW!$LP$2:$LP$60=W$4)*(GMW!$LR$2:$LR$60=W$1),0),$C21-1966)</f>
        <v>1E-3</v>
      </c>
      <c r="X21" s="4" cm="1">
        <f t="array" ref="X21">INDEX(GMW!$A$2:$LR$60,MATCH(1,(GMW!$LQ$2:$LQ$60=X$3)*(GMW!$LP$2:$LP$60=X$4)*(GMW!$LR$2:$LR$60=X$1),0),$C21-1966)</f>
        <v>1E-3</v>
      </c>
      <c r="Y21" s="4" cm="1">
        <f t="array" ref="Y21">INDEX(GMW!$A$2:$LR$60,MATCH(1,(GMW!$LQ$2:$LQ$60=Y$3)*(GMW!$LP$2:$LP$60=Y$4)*(GMW!$LR$2:$LR$60=Y$1),0),$C21-1966)</f>
        <v>1E-3</v>
      </c>
      <c r="Z21" s="4" cm="1">
        <f t="array" ref="Z21">INDEX(GMW!$A$2:$LR$60,MATCH(1,(GMW!$LQ$2:$LQ$60=Z$3)*(GMW!$LP$2:$LP$60=Z$4)*(GMW!$LR$2:$LR$60=Z$1),0),$C21-1966)</f>
        <v>1E-3</v>
      </c>
      <c r="AA21" s="4" cm="1">
        <f t="array" ref="AA21">INDEX(GMW!$A$2:$LR$60,MATCH(1,(GMW!$LQ$2:$LQ$60=AA$3)*(GMW!$LP$2:$LP$60=AA$4)*(GMW!$LR$2:$LR$60=AA$1),0),$C21-1966)</f>
        <v>115146</v>
      </c>
      <c r="AB21" s="4" cm="1">
        <f t="array" ref="AB21">INDEX(GMW!$A$2:$LR$60,MATCH(1,(GMW!$LQ$2:$LQ$60=AB$3)*(GMW!$LP$2:$LP$60=AB$4)*(GMW!$LR$2:$LR$60=AB$1),0),$C21-1966)</f>
        <v>38639</v>
      </c>
      <c r="AC21" s="4" cm="1">
        <f t="array" ref="AC21">INDEX(GMW!$A$2:$LR$60,MATCH(1,(GMW!$LQ$2:$LQ$60=AC$3)*(GMW!$LP$2:$LP$60=AC$4)*(GMW!$LR$2:$LR$60=AC$1),0),$C21-1966)</f>
        <v>55859</v>
      </c>
      <c r="AD21" s="4" cm="1">
        <f t="array" ref="AD21">INDEX(GMW!$A$2:$LR$60,MATCH(1,(GMW!$LQ$2:$LQ$60=AD$3)*(GMW!$LP$2:$LP$60=AD$4)*(GMW!$LR$2:$LR$60=AD$1),0),$C21-1966)</f>
        <v>36029</v>
      </c>
      <c r="AE21" s="4" cm="1">
        <f t="array" ref="AE21">INDEX(GMW!$A$2:$LR$60,MATCH(1,(GMW!$LQ$2:$LQ$60=AE$3)*(GMW!$LP$2:$LP$60=AE$4)*(GMW!$LR$2:$LR$60=AE$1),0),$C21-1966)</f>
        <v>29774</v>
      </c>
      <c r="AF21" s="4" cm="1">
        <f t="array" ref="AF21">INDEX(GMW!$A$2:$LR$60,MATCH(1,(GMW!$LQ$2:$LQ$60=AF$3)*(GMW!$LP$2:$LP$60=AF$4)*(GMW!$LR$2:$LR$60=AF$1),0),$C21-1966)</f>
        <v>1E-3</v>
      </c>
      <c r="AG21" s="4" cm="1">
        <f t="array" ref="AG21">INDEX(GMW!$A$2:$LR$60,MATCH(1,(GMW!$LQ$2:$LQ$60=AG$3)*(GMW!$LP$2:$LP$60=AG$4)*(GMW!$LR$2:$LR$60=AG$1),0),$C21-1966)</f>
        <v>1E-3</v>
      </c>
    </row>
    <row r="22" spans="1:33" x14ac:dyDescent="0.25">
      <c r="B22" s="4">
        <f t="shared" si="1"/>
        <v>1976</v>
      </c>
      <c r="C22" s="4">
        <f t="shared" si="0"/>
        <v>1988</v>
      </c>
      <c r="D22" s="4" cm="1">
        <f t="array" ref="D22">INDEX(GMW!$A$2:$LR$60,MATCH(1,(GMW!$LQ$2:$LQ$60=D$3)*(GMW!$LP$2:$LP$60=D$4)*(GMW!$LR$2:$LR$60=D$1),0),$C22-1966)</f>
        <v>225228</v>
      </c>
      <c r="E22" s="4" cm="1">
        <f t="array" ref="E22">INDEX(GMW!$A$2:$LR$60,MATCH(1,(GMW!$LQ$2:$LQ$60=E$3)*(GMW!$LP$2:$LP$60=E$4)*(GMW!$LR$2:$LR$60=E$1),0),$C22-1966)</f>
        <v>225228</v>
      </c>
      <c r="F22" s="4" cm="1">
        <f t="array" ref="F22">INDEX(GMW!$A$2:$LR$60,MATCH(1,(GMW!$LQ$2:$LQ$60=F$3)*(GMW!$LP$2:$LP$60=F$4)*(GMW!$LR$2:$LR$60=F$1),0),$C22-1966)</f>
        <v>225228</v>
      </c>
      <c r="G22" s="4" cm="1">
        <f t="array" ref="G22">INDEX(GMW!$A$2:$LR$60,MATCH(1,(GMW!$LQ$2:$LQ$60=G$3)*(GMW!$LP$2:$LP$60=G$4)*(GMW!$LR$2:$LR$60=G$1),0),$C22-1966)</f>
        <v>225228</v>
      </c>
      <c r="H22" s="4" cm="1">
        <f t="array" ref="H22">INDEX(GMW!$A$2:$LR$60,MATCH(1,(GMW!$LQ$2:$LQ$60=H$3)*(GMW!$LP$2:$LP$60=H$4)*(GMW!$LR$2:$LR$60=H$1),0),$C22-1966)</f>
        <v>225228</v>
      </c>
      <c r="I22" s="4" cm="1">
        <f t="array" ref="I22">INDEX(GMW!$A$2:$LR$60,MATCH(1,(GMW!$LQ$2:$LQ$60=I$3)*(GMW!$LP$2:$LP$60=I$4)*(GMW!$LR$2:$LR$60=I$1),0),$C22-1966)</f>
        <v>225228</v>
      </c>
      <c r="J22" s="4" cm="1">
        <f t="array" ref="J22">INDEX(GMW!$A$2:$LR$60,MATCH(1,(GMW!$LQ$2:$LQ$60=J$3)*(GMW!$LP$2:$LP$60=J$4)*(GMW!$LR$2:$LR$60=J$1),0),$C22-1966)</f>
        <v>225228</v>
      </c>
      <c r="K22" s="4" cm="1">
        <f t="array" ref="K22">INDEX(GMW!$A$2:$LR$60,MATCH(1,(GMW!$LQ$2:$LQ$60=K$3)*(GMW!$LP$2:$LP$60=K$4)*(GMW!$LR$2:$LR$60=K$1),0),$C22-1966)</f>
        <v>225228</v>
      </c>
      <c r="L22" s="4" cm="1">
        <f t="array" ref="L22">INDEX(GMW!$A$2:$LR$60,MATCH(1,(GMW!$LQ$2:$LQ$60=L$3)*(GMW!$LP$2:$LP$60=L$4)*(GMW!$LR$2:$LR$60=L$1),0),$C22-1966)</f>
        <v>225228</v>
      </c>
      <c r="M22" s="4" cm="1">
        <f t="array" ref="M22">INDEX(GMW!$A$2:$LR$60,MATCH(1,(GMW!$LQ$2:$LQ$60=M$3)*(GMW!$LP$2:$LP$60=M$4)*(GMW!$LR$2:$LR$60=M$1),0),$C22-1966)</f>
        <v>225228</v>
      </c>
      <c r="N22" s="4" cm="1">
        <f t="array" ref="N22">INDEX(GMW!$A$2:$LR$60,MATCH(1,(GMW!$LQ$2:$LQ$60=N$3)*(GMW!$LP$2:$LP$60=N$4)*(GMW!$LR$2:$LR$60=N$1),0),$C22-1966)</f>
        <v>225228</v>
      </c>
      <c r="O22" s="4" cm="1">
        <f t="array" ref="O22">INDEX(GMW!$A$2:$LR$60,MATCH(1,(GMW!$LQ$2:$LQ$60=O$3)*(GMW!$LP$2:$LP$60=O$4)*(GMW!$LR$2:$LR$60=O$1),0),$C22-1966)</f>
        <v>225228</v>
      </c>
      <c r="P22" s="4" cm="1">
        <f t="array" ref="P22">INDEX(GMW!$A$2:$LR$60,MATCH(1,(GMW!$LQ$2:$LQ$60=P$3)*(GMW!$LP$2:$LP$60=P$4)*(GMW!$LR$2:$LR$60=P$1),0),$C22-1966)</f>
        <v>225228</v>
      </c>
      <c r="Q22" s="4" cm="1">
        <f t="array" ref="Q22">INDEX(GMW!$A$2:$LR$60,MATCH(1,(GMW!$LQ$2:$LQ$60=Q$3)*(GMW!$LP$2:$LP$60=Q$4)*(GMW!$LR$2:$LR$60=Q$1),0),$C22-1966)</f>
        <v>225228</v>
      </c>
      <c r="R22" s="4" cm="1">
        <f t="array" ref="R22">INDEX(GMW!$A$2:$LR$60,MATCH(1,(GMW!$LQ$2:$LQ$60=R$3)*(GMW!$LP$2:$LP$60=R$4)*(GMW!$LR$2:$LR$60=R$1),0),$C22-1966)</f>
        <v>225228</v>
      </c>
      <c r="S22" s="4" cm="1">
        <f t="array" ref="S22">INDEX(GMW!$A$2:$LR$60,MATCH(1,(GMW!$LQ$2:$LQ$60=S$3)*(GMW!$LP$2:$LP$60=S$4)*(GMW!$LR$2:$LR$60=S$1),0),$C22-1966)</f>
        <v>225228</v>
      </c>
      <c r="T22" s="4" cm="1">
        <f t="array" ref="T22">INDEX(GMW!$A$2:$LR$60,MATCH(1,(GMW!$LQ$2:$LQ$60=T$3)*(GMW!$LP$2:$LP$60=T$4)*(GMW!$LR$2:$LR$60=T$1),0),$C22-1966)</f>
        <v>225228</v>
      </c>
      <c r="U22" s="4" cm="1">
        <f t="array" ref="U22">INDEX(GMW!$A$2:$LR$60,MATCH(1,(GMW!$LQ$2:$LQ$60=U$3)*(GMW!$LP$2:$LP$60=U$4)*(GMW!$LR$2:$LR$60=U$1),0),$C22-1966)</f>
        <v>33.18535</v>
      </c>
      <c r="V22" s="4" cm="1">
        <f t="array" ref="V22">INDEX(GMW!$A$2:$LR$60,MATCH(1,(GMW!$LQ$2:$LQ$60=V$3)*(GMW!$LP$2:$LP$60=V$4)*(GMW!$LR$2:$LR$60=V$1),0),$C22-1966)</f>
        <v>21.506979999999999</v>
      </c>
      <c r="W22" s="4" cm="1">
        <f t="array" ref="W22">INDEX(GMW!$A$2:$LR$60,MATCH(1,(GMW!$LQ$2:$LQ$60=W$3)*(GMW!$LP$2:$LP$60=W$4)*(GMW!$LR$2:$LR$60=W$1),0),$C22-1966)</f>
        <v>1E-3</v>
      </c>
      <c r="X22" s="4" cm="1">
        <f t="array" ref="X22">INDEX(GMW!$A$2:$LR$60,MATCH(1,(GMW!$LQ$2:$LQ$60=X$3)*(GMW!$LP$2:$LP$60=X$4)*(GMW!$LR$2:$LR$60=X$1),0),$C22-1966)</f>
        <v>1E-3</v>
      </c>
      <c r="Y22" s="4" cm="1">
        <f t="array" ref="Y22">INDEX(GMW!$A$2:$LR$60,MATCH(1,(GMW!$LQ$2:$LQ$60=Y$3)*(GMW!$LP$2:$LP$60=Y$4)*(GMW!$LR$2:$LR$60=Y$1),0),$C22-1966)</f>
        <v>1E-3</v>
      </c>
      <c r="Z22" s="4" cm="1">
        <f t="array" ref="Z22">INDEX(GMW!$A$2:$LR$60,MATCH(1,(GMW!$LQ$2:$LQ$60=Z$3)*(GMW!$LP$2:$LP$60=Z$4)*(GMW!$LR$2:$LR$60=Z$1),0),$C22-1966)</f>
        <v>1E-3</v>
      </c>
      <c r="AA22" s="4" cm="1">
        <f t="array" ref="AA22">INDEX(GMW!$A$2:$LR$60,MATCH(1,(GMW!$LQ$2:$LQ$60=AA$3)*(GMW!$LP$2:$LP$60=AA$4)*(GMW!$LR$2:$LR$60=AA$1),0),$C22-1966)</f>
        <v>115391</v>
      </c>
      <c r="AB22" s="4" cm="1">
        <f t="array" ref="AB22">INDEX(GMW!$A$2:$LR$60,MATCH(1,(GMW!$LQ$2:$LQ$60=AB$3)*(GMW!$LP$2:$LP$60=AB$4)*(GMW!$LR$2:$LR$60=AB$1),0),$C22-1966)</f>
        <v>38902</v>
      </c>
      <c r="AC22" s="4" cm="1">
        <f t="array" ref="AC22">INDEX(GMW!$A$2:$LR$60,MATCH(1,(GMW!$LQ$2:$LQ$60=AC$3)*(GMW!$LP$2:$LP$60=AC$4)*(GMW!$LR$2:$LR$60=AC$1),0),$C22-1966)</f>
        <v>55364</v>
      </c>
      <c r="AD22" s="4" cm="1">
        <f t="array" ref="AD22">INDEX(GMW!$A$2:$LR$60,MATCH(1,(GMW!$LQ$2:$LQ$60=AD$3)*(GMW!$LP$2:$LP$60=AD$4)*(GMW!$LR$2:$LR$60=AD$1),0),$C22-1966)</f>
        <v>37296</v>
      </c>
      <c r="AE22" s="4" cm="1">
        <f t="array" ref="AE22">INDEX(GMW!$A$2:$LR$60,MATCH(1,(GMW!$LQ$2:$LQ$60=AE$3)*(GMW!$LP$2:$LP$60=AE$4)*(GMW!$LR$2:$LR$60=AE$1),0),$C22-1966)</f>
        <v>29806</v>
      </c>
      <c r="AF22" s="4" cm="1">
        <f t="array" ref="AF22">INDEX(GMW!$A$2:$LR$60,MATCH(1,(GMW!$LQ$2:$LQ$60=AF$3)*(GMW!$LP$2:$LP$60=AF$4)*(GMW!$LR$2:$LR$60=AF$1),0),$C22-1966)</f>
        <v>1E-3</v>
      </c>
      <c r="AG22" s="4" cm="1">
        <f t="array" ref="AG22">INDEX(GMW!$A$2:$LR$60,MATCH(1,(GMW!$LQ$2:$LQ$60=AG$3)*(GMW!$LP$2:$LP$60=AG$4)*(GMW!$LR$2:$LR$60=AG$1),0),$C22-1966)</f>
        <v>1E-3</v>
      </c>
    </row>
    <row r="23" spans="1:33" x14ac:dyDescent="0.25">
      <c r="A23" s="4">
        <v>1977</v>
      </c>
      <c r="B23" s="4">
        <f t="shared" si="1"/>
        <v>1977</v>
      </c>
      <c r="C23" s="4">
        <f t="shared" si="0"/>
        <v>1989</v>
      </c>
      <c r="D23" s="4" cm="1">
        <f t="array" ref="D23">INDEX(GMW!$A$2:$LR$60,MATCH(1,(GMW!$LQ$2:$LQ$60=D$3)*(GMW!$LP$2:$LP$60=D$4)*(GMW!$LR$2:$LR$60=D$1),0),$C23-1966)</f>
        <v>225362</v>
      </c>
      <c r="E23" s="4" cm="1">
        <f t="array" ref="E23">INDEX(GMW!$A$2:$LR$60,MATCH(1,(GMW!$LQ$2:$LQ$60=E$3)*(GMW!$LP$2:$LP$60=E$4)*(GMW!$LR$2:$LR$60=E$1),0),$C23-1966)</f>
        <v>225362</v>
      </c>
      <c r="F23" s="4" cm="1">
        <f t="array" ref="F23">INDEX(GMW!$A$2:$LR$60,MATCH(1,(GMW!$LQ$2:$LQ$60=F$3)*(GMW!$LP$2:$LP$60=F$4)*(GMW!$LR$2:$LR$60=F$1),0),$C23-1966)</f>
        <v>225362</v>
      </c>
      <c r="G23" s="4" cm="1">
        <f t="array" ref="G23">INDEX(GMW!$A$2:$LR$60,MATCH(1,(GMW!$LQ$2:$LQ$60=G$3)*(GMW!$LP$2:$LP$60=G$4)*(GMW!$LR$2:$LR$60=G$1),0),$C23-1966)</f>
        <v>225362</v>
      </c>
      <c r="H23" s="4" cm="1">
        <f t="array" ref="H23">INDEX(GMW!$A$2:$LR$60,MATCH(1,(GMW!$LQ$2:$LQ$60=H$3)*(GMW!$LP$2:$LP$60=H$4)*(GMW!$LR$2:$LR$60=H$1),0),$C23-1966)</f>
        <v>225362</v>
      </c>
      <c r="I23" s="4" cm="1">
        <f t="array" ref="I23">INDEX(GMW!$A$2:$LR$60,MATCH(1,(GMW!$LQ$2:$LQ$60=I$3)*(GMW!$LP$2:$LP$60=I$4)*(GMW!$LR$2:$LR$60=I$1),0),$C23-1966)</f>
        <v>225362</v>
      </c>
      <c r="J23" s="4" cm="1">
        <f t="array" ref="J23">INDEX(GMW!$A$2:$LR$60,MATCH(1,(GMW!$LQ$2:$LQ$60=J$3)*(GMW!$LP$2:$LP$60=J$4)*(GMW!$LR$2:$LR$60=J$1),0),$C23-1966)</f>
        <v>225362</v>
      </c>
      <c r="K23" s="4" cm="1">
        <f t="array" ref="K23">INDEX(GMW!$A$2:$LR$60,MATCH(1,(GMW!$LQ$2:$LQ$60=K$3)*(GMW!$LP$2:$LP$60=K$4)*(GMW!$LR$2:$LR$60=K$1),0),$C23-1966)</f>
        <v>225362</v>
      </c>
      <c r="L23" s="4" cm="1">
        <f t="array" ref="L23">INDEX(GMW!$A$2:$LR$60,MATCH(1,(GMW!$LQ$2:$LQ$60=L$3)*(GMW!$LP$2:$LP$60=L$4)*(GMW!$LR$2:$LR$60=L$1),0),$C23-1966)</f>
        <v>225362</v>
      </c>
      <c r="M23" s="4" cm="1">
        <f t="array" ref="M23">INDEX(GMW!$A$2:$LR$60,MATCH(1,(GMW!$LQ$2:$LQ$60=M$3)*(GMW!$LP$2:$LP$60=M$4)*(GMW!$LR$2:$LR$60=M$1),0),$C23-1966)</f>
        <v>225362</v>
      </c>
      <c r="N23" s="4" cm="1">
        <f t="array" ref="N23">INDEX(GMW!$A$2:$LR$60,MATCH(1,(GMW!$LQ$2:$LQ$60=N$3)*(GMW!$LP$2:$LP$60=N$4)*(GMW!$LR$2:$LR$60=N$1),0),$C23-1966)</f>
        <v>225362</v>
      </c>
      <c r="O23" s="4" cm="1">
        <f t="array" ref="O23">INDEX(GMW!$A$2:$LR$60,MATCH(1,(GMW!$LQ$2:$LQ$60=O$3)*(GMW!$LP$2:$LP$60=O$4)*(GMW!$LR$2:$LR$60=O$1),0),$C23-1966)</f>
        <v>225362</v>
      </c>
      <c r="P23" s="4" cm="1">
        <f t="array" ref="P23">INDEX(GMW!$A$2:$LR$60,MATCH(1,(GMW!$LQ$2:$LQ$60=P$3)*(GMW!$LP$2:$LP$60=P$4)*(GMW!$LR$2:$LR$60=P$1),0),$C23-1966)</f>
        <v>225362</v>
      </c>
      <c r="Q23" s="4" cm="1">
        <f t="array" ref="Q23">INDEX(GMW!$A$2:$LR$60,MATCH(1,(GMW!$LQ$2:$LQ$60=Q$3)*(GMW!$LP$2:$LP$60=Q$4)*(GMW!$LR$2:$LR$60=Q$1),0),$C23-1966)</f>
        <v>225362</v>
      </c>
      <c r="R23" s="4" cm="1">
        <f t="array" ref="R23">INDEX(GMW!$A$2:$LR$60,MATCH(1,(GMW!$LQ$2:$LQ$60=R$3)*(GMW!$LP$2:$LP$60=R$4)*(GMW!$LR$2:$LR$60=R$1),0),$C23-1966)</f>
        <v>225362</v>
      </c>
      <c r="S23" s="4" cm="1">
        <f t="array" ref="S23">INDEX(GMW!$A$2:$LR$60,MATCH(1,(GMW!$LQ$2:$LQ$60=S$3)*(GMW!$LP$2:$LP$60=S$4)*(GMW!$LR$2:$LR$60=S$1),0),$C23-1966)</f>
        <v>225362</v>
      </c>
      <c r="T23" s="4" cm="1">
        <f t="array" ref="T23">INDEX(GMW!$A$2:$LR$60,MATCH(1,(GMW!$LQ$2:$LQ$60=T$3)*(GMW!$LP$2:$LP$60=T$4)*(GMW!$LR$2:$LR$60=T$1),0),$C23-1966)</f>
        <v>225362</v>
      </c>
      <c r="U23" s="4" cm="1">
        <f t="array" ref="U23">INDEX(GMW!$A$2:$LR$60,MATCH(1,(GMW!$LQ$2:$LQ$60=U$3)*(GMW!$LP$2:$LP$60=U$4)*(GMW!$LR$2:$LR$60=U$1),0),$C23-1966)</f>
        <v>33.540489999999998</v>
      </c>
      <c r="V23" s="4" cm="1">
        <f t="array" ref="V23">INDEX(GMW!$A$2:$LR$60,MATCH(1,(GMW!$LQ$2:$LQ$60=V$3)*(GMW!$LP$2:$LP$60=V$4)*(GMW!$LR$2:$LR$60=V$1),0),$C23-1966)</f>
        <v>22.471530000000001</v>
      </c>
      <c r="W23" s="4" cm="1">
        <f t="array" ref="W23">INDEX(GMW!$A$2:$LR$60,MATCH(1,(GMW!$LQ$2:$LQ$60=W$3)*(GMW!$LP$2:$LP$60=W$4)*(GMW!$LR$2:$LR$60=W$1),0),$C23-1966)</f>
        <v>1E-3</v>
      </c>
      <c r="X23" s="4" cm="1">
        <f t="array" ref="X23">INDEX(GMW!$A$2:$LR$60,MATCH(1,(GMW!$LQ$2:$LQ$60=X$3)*(GMW!$LP$2:$LP$60=X$4)*(GMW!$LR$2:$LR$60=X$1),0),$C23-1966)</f>
        <v>1E-3</v>
      </c>
      <c r="Y23" s="4" cm="1">
        <f t="array" ref="Y23">INDEX(GMW!$A$2:$LR$60,MATCH(1,(GMW!$LQ$2:$LQ$60=Y$3)*(GMW!$LP$2:$LP$60=Y$4)*(GMW!$LR$2:$LR$60=Y$1),0),$C23-1966)</f>
        <v>1E-3</v>
      </c>
      <c r="Z23" s="4" cm="1">
        <f t="array" ref="Z23">INDEX(GMW!$A$2:$LR$60,MATCH(1,(GMW!$LQ$2:$LQ$60=Z$3)*(GMW!$LP$2:$LP$60=Z$4)*(GMW!$LR$2:$LR$60=Z$1),0),$C23-1966)</f>
        <v>1E-3</v>
      </c>
      <c r="AA23" s="4" cm="1">
        <f t="array" ref="AA23">INDEX(GMW!$A$2:$LR$60,MATCH(1,(GMW!$LQ$2:$LQ$60=AA$3)*(GMW!$LP$2:$LP$60=AA$4)*(GMW!$LR$2:$LR$60=AA$1),0),$C23-1966)</f>
        <v>113050</v>
      </c>
      <c r="AB23" s="4" cm="1">
        <f t="array" ref="AB23">INDEX(GMW!$A$2:$LR$60,MATCH(1,(GMW!$LQ$2:$LQ$60=AB$3)*(GMW!$LP$2:$LP$60=AB$4)*(GMW!$LR$2:$LR$60=AB$1),0),$C23-1966)</f>
        <v>37909</v>
      </c>
      <c r="AC23" s="4" cm="1">
        <f t="array" ref="AC23">INDEX(GMW!$A$2:$LR$60,MATCH(1,(GMW!$LQ$2:$LQ$60=AC$3)*(GMW!$LP$2:$LP$60=AC$4)*(GMW!$LR$2:$LR$60=AC$1),0),$C23-1966)</f>
        <v>54823</v>
      </c>
      <c r="AD23" s="4" cm="1">
        <f t="array" ref="AD23">INDEX(GMW!$A$2:$LR$60,MATCH(1,(GMW!$LQ$2:$LQ$60=AD$3)*(GMW!$LP$2:$LP$60=AD$4)*(GMW!$LR$2:$LR$60=AD$1),0),$C23-1966)</f>
        <v>37327</v>
      </c>
      <c r="AE23" s="4" cm="1">
        <f t="array" ref="AE23">INDEX(GMW!$A$2:$LR$60,MATCH(1,(GMW!$LQ$2:$LQ$60=AE$3)*(GMW!$LP$2:$LP$60=AE$4)*(GMW!$LR$2:$LR$60=AE$1),0),$C23-1966)</f>
        <v>29501</v>
      </c>
      <c r="AF23" s="4" cm="1">
        <f t="array" ref="AF23">INDEX(GMW!$A$2:$LR$60,MATCH(1,(GMW!$LQ$2:$LQ$60=AF$3)*(GMW!$LP$2:$LP$60=AF$4)*(GMW!$LR$2:$LR$60=AF$1),0),$C23-1966)</f>
        <v>1E-3</v>
      </c>
      <c r="AG23" s="4" cm="1">
        <f t="array" ref="AG23">INDEX(GMW!$A$2:$LR$60,MATCH(1,(GMW!$LQ$2:$LQ$60=AG$3)*(GMW!$LP$2:$LP$60=AG$4)*(GMW!$LR$2:$LR$60=AG$1),0),$C23-1966)</f>
        <v>1E-3</v>
      </c>
    </row>
    <row r="24" spans="1:33" x14ac:dyDescent="0.25">
      <c r="B24" s="4">
        <f t="shared" si="1"/>
        <v>1977</v>
      </c>
      <c r="C24" s="4">
        <f t="shared" si="0"/>
        <v>1990</v>
      </c>
      <c r="D24" s="4" cm="1">
        <f t="array" ref="D24">INDEX(GMW!$A$2:$LR$60,MATCH(1,(GMW!$LQ$2:$LQ$60=D$3)*(GMW!$LP$2:$LP$60=D$4)*(GMW!$LR$2:$LR$60=D$1),0),$C24-1966)</f>
        <v>223815</v>
      </c>
      <c r="E24" s="4" cm="1">
        <f t="array" ref="E24">INDEX(GMW!$A$2:$LR$60,MATCH(1,(GMW!$LQ$2:$LQ$60=E$3)*(GMW!$LP$2:$LP$60=E$4)*(GMW!$LR$2:$LR$60=E$1),0),$C24-1966)</f>
        <v>223815</v>
      </c>
      <c r="F24" s="4" cm="1">
        <f t="array" ref="F24">INDEX(GMW!$A$2:$LR$60,MATCH(1,(GMW!$LQ$2:$LQ$60=F$3)*(GMW!$LP$2:$LP$60=F$4)*(GMW!$LR$2:$LR$60=F$1),0),$C24-1966)</f>
        <v>223815</v>
      </c>
      <c r="G24" s="4" cm="1">
        <f t="array" ref="G24">INDEX(GMW!$A$2:$LR$60,MATCH(1,(GMW!$LQ$2:$LQ$60=G$3)*(GMW!$LP$2:$LP$60=G$4)*(GMW!$LR$2:$LR$60=G$1),0),$C24-1966)</f>
        <v>223815</v>
      </c>
      <c r="H24" s="4" cm="1">
        <f t="array" ref="H24">INDEX(GMW!$A$2:$LR$60,MATCH(1,(GMW!$LQ$2:$LQ$60=H$3)*(GMW!$LP$2:$LP$60=H$4)*(GMW!$LR$2:$LR$60=H$1),0),$C24-1966)</f>
        <v>223815</v>
      </c>
      <c r="I24" s="4" cm="1">
        <f t="array" ref="I24">INDEX(GMW!$A$2:$LR$60,MATCH(1,(GMW!$LQ$2:$LQ$60=I$3)*(GMW!$LP$2:$LP$60=I$4)*(GMW!$LR$2:$LR$60=I$1),0),$C24-1966)</f>
        <v>223815</v>
      </c>
      <c r="J24" s="4" cm="1">
        <f t="array" ref="J24">INDEX(GMW!$A$2:$LR$60,MATCH(1,(GMW!$LQ$2:$LQ$60=J$3)*(GMW!$LP$2:$LP$60=J$4)*(GMW!$LR$2:$LR$60=J$1),0),$C24-1966)</f>
        <v>223815</v>
      </c>
      <c r="K24" s="4" cm="1">
        <f t="array" ref="K24">INDEX(GMW!$A$2:$LR$60,MATCH(1,(GMW!$LQ$2:$LQ$60=K$3)*(GMW!$LP$2:$LP$60=K$4)*(GMW!$LR$2:$LR$60=K$1),0),$C24-1966)</f>
        <v>223815</v>
      </c>
      <c r="L24" s="4" cm="1">
        <f t="array" ref="L24">INDEX(GMW!$A$2:$LR$60,MATCH(1,(GMW!$LQ$2:$LQ$60=L$3)*(GMW!$LP$2:$LP$60=L$4)*(GMW!$LR$2:$LR$60=L$1),0),$C24-1966)</f>
        <v>223815</v>
      </c>
      <c r="M24" s="4" cm="1">
        <f t="array" ref="M24">INDEX(GMW!$A$2:$LR$60,MATCH(1,(GMW!$LQ$2:$LQ$60=M$3)*(GMW!$LP$2:$LP$60=M$4)*(GMW!$LR$2:$LR$60=M$1),0),$C24-1966)</f>
        <v>223815</v>
      </c>
      <c r="N24" s="4" cm="1">
        <f t="array" ref="N24">INDEX(GMW!$A$2:$LR$60,MATCH(1,(GMW!$LQ$2:$LQ$60=N$3)*(GMW!$LP$2:$LP$60=N$4)*(GMW!$LR$2:$LR$60=N$1),0),$C24-1966)</f>
        <v>223815</v>
      </c>
      <c r="O24" s="4" cm="1">
        <f t="array" ref="O24">INDEX(GMW!$A$2:$LR$60,MATCH(1,(GMW!$LQ$2:$LQ$60=O$3)*(GMW!$LP$2:$LP$60=O$4)*(GMW!$LR$2:$LR$60=O$1),0),$C24-1966)</f>
        <v>223815</v>
      </c>
      <c r="P24" s="4" cm="1">
        <f t="array" ref="P24">INDEX(GMW!$A$2:$LR$60,MATCH(1,(GMW!$LQ$2:$LQ$60=P$3)*(GMW!$LP$2:$LP$60=P$4)*(GMW!$LR$2:$LR$60=P$1),0),$C24-1966)</f>
        <v>223815</v>
      </c>
      <c r="Q24" s="4" cm="1">
        <f t="array" ref="Q24">INDEX(GMW!$A$2:$LR$60,MATCH(1,(GMW!$LQ$2:$LQ$60=Q$3)*(GMW!$LP$2:$LP$60=Q$4)*(GMW!$LR$2:$LR$60=Q$1),0),$C24-1966)</f>
        <v>223815</v>
      </c>
      <c r="R24" s="4" cm="1">
        <f t="array" ref="R24">INDEX(GMW!$A$2:$LR$60,MATCH(1,(GMW!$LQ$2:$LQ$60=R$3)*(GMW!$LP$2:$LP$60=R$4)*(GMW!$LR$2:$LR$60=R$1),0),$C24-1966)</f>
        <v>223815</v>
      </c>
      <c r="S24" s="4" cm="1">
        <f t="array" ref="S24">INDEX(GMW!$A$2:$LR$60,MATCH(1,(GMW!$LQ$2:$LQ$60=S$3)*(GMW!$LP$2:$LP$60=S$4)*(GMW!$LR$2:$LR$60=S$1),0),$C24-1966)</f>
        <v>223815</v>
      </c>
      <c r="T24" s="4" cm="1">
        <f t="array" ref="T24">INDEX(GMW!$A$2:$LR$60,MATCH(1,(GMW!$LQ$2:$LQ$60=T$3)*(GMW!$LP$2:$LP$60=T$4)*(GMW!$LR$2:$LR$60=T$1),0),$C24-1966)</f>
        <v>223815</v>
      </c>
      <c r="U24" s="4" cm="1">
        <f t="array" ref="U24">INDEX(GMW!$A$2:$LR$60,MATCH(1,(GMW!$LQ$2:$LQ$60=U$3)*(GMW!$LP$2:$LP$60=U$4)*(GMW!$LR$2:$LR$60=U$1),0),$C24-1966)</f>
        <v>34.543460000000003</v>
      </c>
      <c r="V24" s="4" cm="1">
        <f t="array" ref="V24">INDEX(GMW!$A$2:$LR$60,MATCH(1,(GMW!$LQ$2:$LQ$60=V$3)*(GMW!$LP$2:$LP$60=V$4)*(GMW!$LR$2:$LR$60=V$1),0),$C24-1966)</f>
        <v>23.410019999999999</v>
      </c>
      <c r="W24" s="4" cm="1">
        <f t="array" ref="W24">INDEX(GMW!$A$2:$LR$60,MATCH(1,(GMW!$LQ$2:$LQ$60=W$3)*(GMW!$LP$2:$LP$60=W$4)*(GMW!$LR$2:$LR$60=W$1),0),$C24-1966)</f>
        <v>1E-3</v>
      </c>
      <c r="X24" s="4" cm="1">
        <f t="array" ref="X24">INDEX(GMW!$A$2:$LR$60,MATCH(1,(GMW!$LQ$2:$LQ$60=X$3)*(GMW!$LP$2:$LP$60=X$4)*(GMW!$LR$2:$LR$60=X$1),0),$C24-1966)</f>
        <v>1E-3</v>
      </c>
      <c r="Y24" s="4" cm="1">
        <f t="array" ref="Y24">INDEX(GMW!$A$2:$LR$60,MATCH(1,(GMW!$LQ$2:$LQ$60=Y$3)*(GMW!$LP$2:$LP$60=Y$4)*(GMW!$LR$2:$LR$60=Y$1),0),$C24-1966)</f>
        <v>1E-3</v>
      </c>
      <c r="Z24" s="4" cm="1">
        <f t="array" ref="Z24">INDEX(GMW!$A$2:$LR$60,MATCH(1,(GMW!$LQ$2:$LQ$60=Z$3)*(GMW!$LP$2:$LP$60=Z$4)*(GMW!$LR$2:$LR$60=Z$1),0),$C24-1966)</f>
        <v>1E-3</v>
      </c>
      <c r="AA24" s="4" cm="1">
        <f t="array" ref="AA24">INDEX(GMW!$A$2:$LR$60,MATCH(1,(GMW!$LQ$2:$LQ$60=AA$3)*(GMW!$LP$2:$LP$60=AA$4)*(GMW!$LR$2:$LR$60=AA$1),0),$C24-1966)</f>
        <v>112900</v>
      </c>
      <c r="AB24" s="4" cm="1">
        <f t="array" ref="AB24">INDEX(GMW!$A$2:$LR$60,MATCH(1,(GMW!$LQ$2:$LQ$60=AB$3)*(GMW!$LP$2:$LP$60=AB$4)*(GMW!$LR$2:$LR$60=AB$1),0),$C24-1966)</f>
        <v>40017</v>
      </c>
      <c r="AC24" s="4" cm="1">
        <f t="array" ref="AC24">INDEX(GMW!$A$2:$LR$60,MATCH(1,(GMW!$LQ$2:$LQ$60=AC$3)*(GMW!$LP$2:$LP$60=AC$4)*(GMW!$LR$2:$LR$60=AC$1),0),$C24-1966)</f>
        <v>55220</v>
      </c>
      <c r="AD24" s="4" cm="1">
        <f t="array" ref="AD24">INDEX(GMW!$A$2:$LR$60,MATCH(1,(GMW!$LQ$2:$LQ$60=AD$3)*(GMW!$LP$2:$LP$60=AD$4)*(GMW!$LR$2:$LR$60=AD$1),0),$C24-1966)</f>
        <v>38143</v>
      </c>
      <c r="AE24" s="4" cm="1">
        <f t="array" ref="AE24">INDEX(GMW!$A$2:$LR$60,MATCH(1,(GMW!$LQ$2:$LQ$60=AE$3)*(GMW!$LP$2:$LP$60=AE$4)*(GMW!$LR$2:$LR$60=AE$1),0),$C24-1966)</f>
        <v>30214</v>
      </c>
      <c r="AF24" s="4" cm="1">
        <f t="array" ref="AF24">INDEX(GMW!$A$2:$LR$60,MATCH(1,(GMW!$LQ$2:$LQ$60=AF$3)*(GMW!$LP$2:$LP$60=AF$4)*(GMW!$LR$2:$LR$60=AF$1),0),$C24-1966)</f>
        <v>1E-3</v>
      </c>
      <c r="AG24" s="4" cm="1">
        <f t="array" ref="AG24">INDEX(GMW!$A$2:$LR$60,MATCH(1,(GMW!$LQ$2:$LQ$60=AG$3)*(GMW!$LP$2:$LP$60=AG$4)*(GMW!$LR$2:$LR$60=AG$1),0),$C24-1966)</f>
        <v>1E-3</v>
      </c>
    </row>
    <row r="25" spans="1:33" x14ac:dyDescent="0.25">
      <c r="B25" s="4">
        <f t="shared" si="1"/>
        <v>1977</v>
      </c>
      <c r="C25" s="4">
        <f t="shared" si="0"/>
        <v>1991</v>
      </c>
      <c r="D25" s="4" cm="1">
        <f t="array" ref="D25">INDEX(GMW!$A$2:$LR$60,MATCH(1,(GMW!$LQ$2:$LQ$60=D$3)*(GMW!$LP$2:$LP$60=D$4)*(GMW!$LR$2:$LR$60=D$1),0),$C25-1966)</f>
        <v>225295</v>
      </c>
      <c r="E25" s="4" cm="1">
        <f t="array" ref="E25">INDEX(GMW!$A$2:$LR$60,MATCH(1,(GMW!$LQ$2:$LQ$60=E$3)*(GMW!$LP$2:$LP$60=E$4)*(GMW!$LR$2:$LR$60=E$1),0),$C25-1966)</f>
        <v>225295</v>
      </c>
      <c r="F25" s="4" cm="1">
        <f t="array" ref="F25">INDEX(GMW!$A$2:$LR$60,MATCH(1,(GMW!$LQ$2:$LQ$60=F$3)*(GMW!$LP$2:$LP$60=F$4)*(GMW!$LR$2:$LR$60=F$1),0),$C25-1966)</f>
        <v>225295</v>
      </c>
      <c r="G25" s="4" cm="1">
        <f t="array" ref="G25">INDEX(GMW!$A$2:$LR$60,MATCH(1,(GMW!$LQ$2:$LQ$60=G$3)*(GMW!$LP$2:$LP$60=G$4)*(GMW!$LR$2:$LR$60=G$1),0),$C25-1966)</f>
        <v>225295</v>
      </c>
      <c r="H25" s="4" cm="1">
        <f t="array" ref="H25">INDEX(GMW!$A$2:$LR$60,MATCH(1,(GMW!$LQ$2:$LQ$60=H$3)*(GMW!$LP$2:$LP$60=H$4)*(GMW!$LR$2:$LR$60=H$1),0),$C25-1966)</f>
        <v>225295</v>
      </c>
      <c r="I25" s="4" cm="1">
        <f t="array" ref="I25">INDEX(GMW!$A$2:$LR$60,MATCH(1,(GMW!$LQ$2:$LQ$60=I$3)*(GMW!$LP$2:$LP$60=I$4)*(GMW!$LR$2:$LR$60=I$1),0),$C25-1966)</f>
        <v>225295</v>
      </c>
      <c r="J25" s="4" cm="1">
        <f t="array" ref="J25">INDEX(GMW!$A$2:$LR$60,MATCH(1,(GMW!$LQ$2:$LQ$60=J$3)*(GMW!$LP$2:$LP$60=J$4)*(GMW!$LR$2:$LR$60=J$1),0),$C25-1966)</f>
        <v>225295</v>
      </c>
      <c r="K25" s="4" cm="1">
        <f t="array" ref="K25">INDEX(GMW!$A$2:$LR$60,MATCH(1,(GMW!$LQ$2:$LQ$60=K$3)*(GMW!$LP$2:$LP$60=K$4)*(GMW!$LR$2:$LR$60=K$1),0),$C25-1966)</f>
        <v>225295</v>
      </c>
      <c r="L25" s="4" cm="1">
        <f t="array" ref="L25">INDEX(GMW!$A$2:$LR$60,MATCH(1,(GMW!$LQ$2:$LQ$60=L$3)*(GMW!$LP$2:$LP$60=L$4)*(GMW!$LR$2:$LR$60=L$1),0),$C25-1966)</f>
        <v>225295</v>
      </c>
      <c r="M25" s="4" cm="1">
        <f t="array" ref="M25">INDEX(GMW!$A$2:$LR$60,MATCH(1,(GMW!$LQ$2:$LQ$60=M$3)*(GMW!$LP$2:$LP$60=M$4)*(GMW!$LR$2:$LR$60=M$1),0),$C25-1966)</f>
        <v>225295</v>
      </c>
      <c r="N25" s="4" cm="1">
        <f t="array" ref="N25">INDEX(GMW!$A$2:$LR$60,MATCH(1,(GMW!$LQ$2:$LQ$60=N$3)*(GMW!$LP$2:$LP$60=N$4)*(GMW!$LR$2:$LR$60=N$1),0),$C25-1966)</f>
        <v>225295</v>
      </c>
      <c r="O25" s="4" cm="1">
        <f t="array" ref="O25">INDEX(GMW!$A$2:$LR$60,MATCH(1,(GMW!$LQ$2:$LQ$60=O$3)*(GMW!$LP$2:$LP$60=O$4)*(GMW!$LR$2:$LR$60=O$1),0),$C25-1966)</f>
        <v>225295</v>
      </c>
      <c r="P25" s="4" cm="1">
        <f t="array" ref="P25">INDEX(GMW!$A$2:$LR$60,MATCH(1,(GMW!$LQ$2:$LQ$60=P$3)*(GMW!$LP$2:$LP$60=P$4)*(GMW!$LR$2:$LR$60=P$1),0),$C25-1966)</f>
        <v>225295</v>
      </c>
      <c r="Q25" s="4" cm="1">
        <f t="array" ref="Q25">INDEX(GMW!$A$2:$LR$60,MATCH(1,(GMW!$LQ$2:$LQ$60=Q$3)*(GMW!$LP$2:$LP$60=Q$4)*(GMW!$LR$2:$LR$60=Q$1),0),$C25-1966)</f>
        <v>225295</v>
      </c>
      <c r="R25" s="4" cm="1">
        <f t="array" ref="R25">INDEX(GMW!$A$2:$LR$60,MATCH(1,(GMW!$LQ$2:$LQ$60=R$3)*(GMW!$LP$2:$LP$60=R$4)*(GMW!$LR$2:$LR$60=R$1),0),$C25-1966)</f>
        <v>225295</v>
      </c>
      <c r="S25" s="4" cm="1">
        <f t="array" ref="S25">INDEX(GMW!$A$2:$LR$60,MATCH(1,(GMW!$LQ$2:$LQ$60=S$3)*(GMW!$LP$2:$LP$60=S$4)*(GMW!$LR$2:$LR$60=S$1),0),$C25-1966)</f>
        <v>225295</v>
      </c>
      <c r="T25" s="4" cm="1">
        <f t="array" ref="T25">INDEX(GMW!$A$2:$LR$60,MATCH(1,(GMW!$LQ$2:$LQ$60=T$3)*(GMW!$LP$2:$LP$60=T$4)*(GMW!$LR$2:$LR$60=T$1),0),$C25-1966)</f>
        <v>225295</v>
      </c>
      <c r="U25" s="4" cm="1">
        <f t="array" ref="U25">INDEX(GMW!$A$2:$LR$60,MATCH(1,(GMW!$LQ$2:$LQ$60=U$3)*(GMW!$LP$2:$LP$60=U$4)*(GMW!$LR$2:$LR$60=U$1),0),$C25-1966)</f>
        <v>35.597639999999998</v>
      </c>
      <c r="V25" s="4" cm="1">
        <f t="array" ref="V25">INDEX(GMW!$A$2:$LR$60,MATCH(1,(GMW!$LQ$2:$LQ$60=V$3)*(GMW!$LP$2:$LP$60=V$4)*(GMW!$LR$2:$LR$60=V$1),0),$C25-1966)</f>
        <v>23.82713</v>
      </c>
      <c r="W25" s="4" cm="1">
        <f t="array" ref="W25">INDEX(GMW!$A$2:$LR$60,MATCH(1,(GMW!$LQ$2:$LQ$60=W$3)*(GMW!$LP$2:$LP$60=W$4)*(GMW!$LR$2:$LR$60=W$1),0),$C25-1966)</f>
        <v>1E-3</v>
      </c>
      <c r="X25" s="4" cm="1">
        <f t="array" ref="X25">INDEX(GMW!$A$2:$LR$60,MATCH(1,(GMW!$LQ$2:$LQ$60=X$3)*(GMW!$LP$2:$LP$60=X$4)*(GMW!$LR$2:$LR$60=X$1),0),$C25-1966)</f>
        <v>1E-3</v>
      </c>
      <c r="Y25" s="4" cm="1">
        <f t="array" ref="Y25">INDEX(GMW!$A$2:$LR$60,MATCH(1,(GMW!$LQ$2:$LQ$60=Y$3)*(GMW!$LP$2:$LP$60=Y$4)*(GMW!$LR$2:$LR$60=Y$1),0),$C25-1966)</f>
        <v>1E-3</v>
      </c>
      <c r="Z25" s="4" cm="1">
        <f t="array" ref="Z25">INDEX(GMW!$A$2:$LR$60,MATCH(1,(GMW!$LQ$2:$LQ$60=Z$3)*(GMW!$LP$2:$LP$60=Z$4)*(GMW!$LR$2:$LR$60=Z$1),0),$C25-1966)</f>
        <v>1E-3</v>
      </c>
      <c r="AA25" s="4" cm="1">
        <f t="array" ref="AA25">INDEX(GMW!$A$2:$LR$60,MATCH(1,(GMW!$LQ$2:$LQ$60=AA$3)*(GMW!$LP$2:$LP$60=AA$4)*(GMW!$LR$2:$LR$60=AA$1),0),$C25-1966)</f>
        <v>114293</v>
      </c>
      <c r="AB25" s="4" cm="1">
        <f t="array" ref="AB25">INDEX(GMW!$A$2:$LR$60,MATCH(1,(GMW!$LQ$2:$LQ$60=AB$3)*(GMW!$LP$2:$LP$60=AB$4)*(GMW!$LR$2:$LR$60=AB$1),0),$C25-1966)</f>
        <v>39580</v>
      </c>
      <c r="AC25" s="4" cm="1">
        <f t="array" ref="AC25">INDEX(GMW!$A$2:$LR$60,MATCH(1,(GMW!$LQ$2:$LQ$60=AC$3)*(GMW!$LP$2:$LP$60=AC$4)*(GMW!$LR$2:$LR$60=AC$1),0),$C25-1966)</f>
        <v>55107</v>
      </c>
      <c r="AD25" s="4" cm="1">
        <f t="array" ref="AD25">INDEX(GMW!$A$2:$LR$60,MATCH(1,(GMW!$LQ$2:$LQ$60=AD$3)*(GMW!$LP$2:$LP$60=AD$4)*(GMW!$LR$2:$LR$60=AD$1),0),$C25-1966)</f>
        <v>39518</v>
      </c>
      <c r="AE25" s="4" cm="1">
        <f t="array" ref="AE25">INDEX(GMW!$A$2:$LR$60,MATCH(1,(GMW!$LQ$2:$LQ$60=AE$3)*(GMW!$LP$2:$LP$60=AE$4)*(GMW!$LR$2:$LR$60=AE$1),0),$C25-1966)</f>
        <v>29463</v>
      </c>
      <c r="AF25" s="4" cm="1">
        <f t="array" ref="AF25">INDEX(GMW!$A$2:$LR$60,MATCH(1,(GMW!$LQ$2:$LQ$60=AF$3)*(GMW!$LP$2:$LP$60=AF$4)*(GMW!$LR$2:$LR$60=AF$1),0),$C25-1966)</f>
        <v>1E-3</v>
      </c>
      <c r="AG25" s="4" cm="1">
        <f t="array" ref="AG25">INDEX(GMW!$A$2:$LR$60,MATCH(1,(GMW!$LQ$2:$LQ$60=AG$3)*(GMW!$LP$2:$LP$60=AG$4)*(GMW!$LR$2:$LR$60=AG$1),0),$C25-1966)</f>
        <v>1E-3</v>
      </c>
    </row>
    <row r="26" spans="1:33" x14ac:dyDescent="0.25">
      <c r="B26" s="4">
        <f t="shared" si="1"/>
        <v>1977</v>
      </c>
      <c r="C26" s="4">
        <f t="shared" si="0"/>
        <v>1992</v>
      </c>
      <c r="D26" s="4" cm="1">
        <f t="array" ref="D26">INDEX(GMW!$A$2:$LR$60,MATCH(1,(GMW!$LQ$2:$LQ$60=D$3)*(GMW!$LP$2:$LP$60=D$4)*(GMW!$LR$2:$LR$60=D$1),0),$C26-1966)</f>
        <v>229115</v>
      </c>
      <c r="E26" s="4" cm="1">
        <f t="array" ref="E26">INDEX(GMW!$A$2:$LR$60,MATCH(1,(GMW!$LQ$2:$LQ$60=E$3)*(GMW!$LP$2:$LP$60=E$4)*(GMW!$LR$2:$LR$60=E$1),0),$C26-1966)</f>
        <v>229115</v>
      </c>
      <c r="F26" s="4" cm="1">
        <f t="array" ref="F26">INDEX(GMW!$A$2:$LR$60,MATCH(1,(GMW!$LQ$2:$LQ$60=F$3)*(GMW!$LP$2:$LP$60=F$4)*(GMW!$LR$2:$LR$60=F$1),0),$C26-1966)</f>
        <v>229115</v>
      </c>
      <c r="G26" s="4" cm="1">
        <f t="array" ref="G26">INDEX(GMW!$A$2:$LR$60,MATCH(1,(GMW!$LQ$2:$LQ$60=G$3)*(GMW!$LP$2:$LP$60=G$4)*(GMW!$LR$2:$LR$60=G$1),0),$C26-1966)</f>
        <v>229115</v>
      </c>
      <c r="H26" s="4" cm="1">
        <f t="array" ref="H26">INDEX(GMW!$A$2:$LR$60,MATCH(1,(GMW!$LQ$2:$LQ$60=H$3)*(GMW!$LP$2:$LP$60=H$4)*(GMW!$LR$2:$LR$60=H$1),0),$C26-1966)</f>
        <v>229115</v>
      </c>
      <c r="I26" s="4" cm="1">
        <f t="array" ref="I26">INDEX(GMW!$A$2:$LR$60,MATCH(1,(GMW!$LQ$2:$LQ$60=I$3)*(GMW!$LP$2:$LP$60=I$4)*(GMW!$LR$2:$LR$60=I$1),0),$C26-1966)</f>
        <v>229115</v>
      </c>
      <c r="J26" s="4" cm="1">
        <f t="array" ref="J26">INDEX(GMW!$A$2:$LR$60,MATCH(1,(GMW!$LQ$2:$LQ$60=J$3)*(GMW!$LP$2:$LP$60=J$4)*(GMW!$LR$2:$LR$60=J$1),0),$C26-1966)</f>
        <v>229115</v>
      </c>
      <c r="K26" s="4" cm="1">
        <f t="array" ref="K26">INDEX(GMW!$A$2:$LR$60,MATCH(1,(GMW!$LQ$2:$LQ$60=K$3)*(GMW!$LP$2:$LP$60=K$4)*(GMW!$LR$2:$LR$60=K$1),0),$C26-1966)</f>
        <v>229115</v>
      </c>
      <c r="L26" s="4" cm="1">
        <f t="array" ref="L26">INDEX(GMW!$A$2:$LR$60,MATCH(1,(GMW!$LQ$2:$LQ$60=L$3)*(GMW!$LP$2:$LP$60=L$4)*(GMW!$LR$2:$LR$60=L$1),0),$C26-1966)</f>
        <v>229115</v>
      </c>
      <c r="M26" s="4" cm="1">
        <f t="array" ref="M26">INDEX(GMW!$A$2:$LR$60,MATCH(1,(GMW!$LQ$2:$LQ$60=M$3)*(GMW!$LP$2:$LP$60=M$4)*(GMW!$LR$2:$LR$60=M$1),0),$C26-1966)</f>
        <v>229115</v>
      </c>
      <c r="N26" s="4" cm="1">
        <f t="array" ref="N26">INDEX(GMW!$A$2:$LR$60,MATCH(1,(GMW!$LQ$2:$LQ$60=N$3)*(GMW!$LP$2:$LP$60=N$4)*(GMW!$LR$2:$LR$60=N$1),0),$C26-1966)</f>
        <v>229115</v>
      </c>
      <c r="O26" s="4" cm="1">
        <f t="array" ref="O26">INDEX(GMW!$A$2:$LR$60,MATCH(1,(GMW!$LQ$2:$LQ$60=O$3)*(GMW!$LP$2:$LP$60=O$4)*(GMW!$LR$2:$LR$60=O$1),0),$C26-1966)</f>
        <v>229115</v>
      </c>
      <c r="P26" s="4" cm="1">
        <f t="array" ref="P26">INDEX(GMW!$A$2:$LR$60,MATCH(1,(GMW!$LQ$2:$LQ$60=P$3)*(GMW!$LP$2:$LP$60=P$4)*(GMW!$LR$2:$LR$60=P$1),0),$C26-1966)</f>
        <v>229115</v>
      </c>
      <c r="Q26" s="4" cm="1">
        <f t="array" ref="Q26">INDEX(GMW!$A$2:$LR$60,MATCH(1,(GMW!$LQ$2:$LQ$60=Q$3)*(GMW!$LP$2:$LP$60=Q$4)*(GMW!$LR$2:$LR$60=Q$1),0),$C26-1966)</f>
        <v>229115</v>
      </c>
      <c r="R26" s="4" cm="1">
        <f t="array" ref="R26">INDEX(GMW!$A$2:$LR$60,MATCH(1,(GMW!$LQ$2:$LQ$60=R$3)*(GMW!$LP$2:$LP$60=R$4)*(GMW!$LR$2:$LR$60=R$1),0),$C26-1966)</f>
        <v>229115</v>
      </c>
      <c r="S26" s="4" cm="1">
        <f t="array" ref="S26">INDEX(GMW!$A$2:$LR$60,MATCH(1,(GMW!$LQ$2:$LQ$60=S$3)*(GMW!$LP$2:$LP$60=S$4)*(GMW!$LR$2:$LR$60=S$1),0),$C26-1966)</f>
        <v>229115</v>
      </c>
      <c r="T26" s="4" cm="1">
        <f t="array" ref="T26">INDEX(GMW!$A$2:$LR$60,MATCH(1,(GMW!$LQ$2:$LQ$60=T$3)*(GMW!$LP$2:$LP$60=T$4)*(GMW!$LR$2:$LR$60=T$1),0),$C26-1966)</f>
        <v>229115</v>
      </c>
      <c r="U26" s="4" cm="1">
        <f t="array" ref="U26">INDEX(GMW!$A$2:$LR$60,MATCH(1,(GMW!$LQ$2:$LQ$60=U$3)*(GMW!$LP$2:$LP$60=U$4)*(GMW!$LR$2:$LR$60=U$1),0),$C26-1966)</f>
        <v>36.685519999999997</v>
      </c>
      <c r="V26" s="4" cm="1">
        <f t="array" ref="V26">INDEX(GMW!$A$2:$LR$60,MATCH(1,(GMW!$LQ$2:$LQ$60=V$3)*(GMW!$LP$2:$LP$60=V$4)*(GMW!$LR$2:$LR$60=V$1),0),$C26-1966)</f>
        <v>24.139949999999999</v>
      </c>
      <c r="W26" s="4" cm="1">
        <f t="array" ref="W26">INDEX(GMW!$A$2:$LR$60,MATCH(1,(GMW!$LQ$2:$LQ$60=W$3)*(GMW!$LP$2:$LP$60=W$4)*(GMW!$LR$2:$LR$60=W$1),0),$C26-1966)</f>
        <v>1E-3</v>
      </c>
      <c r="X26" s="4" cm="1">
        <f t="array" ref="X26">INDEX(GMW!$A$2:$LR$60,MATCH(1,(GMW!$LQ$2:$LQ$60=X$3)*(GMW!$LP$2:$LP$60=X$4)*(GMW!$LR$2:$LR$60=X$1),0),$C26-1966)</f>
        <v>1E-3</v>
      </c>
      <c r="Y26" s="4" cm="1">
        <f t="array" ref="Y26">INDEX(GMW!$A$2:$LR$60,MATCH(1,(GMW!$LQ$2:$LQ$60=Y$3)*(GMW!$LP$2:$LP$60=Y$4)*(GMW!$LR$2:$LR$60=Y$1),0),$C26-1966)</f>
        <v>1E-3</v>
      </c>
      <c r="Z26" s="4" cm="1">
        <f t="array" ref="Z26">INDEX(GMW!$A$2:$LR$60,MATCH(1,(GMW!$LQ$2:$LQ$60=Z$3)*(GMW!$LP$2:$LP$60=Z$4)*(GMW!$LR$2:$LR$60=Z$1),0),$C26-1966)</f>
        <v>1E-3</v>
      </c>
      <c r="AA26" s="4" cm="1">
        <f t="array" ref="AA26">INDEX(GMW!$A$2:$LR$60,MATCH(1,(GMW!$LQ$2:$LQ$60=AA$3)*(GMW!$LP$2:$LP$60=AA$4)*(GMW!$LR$2:$LR$60=AA$1),0),$C26-1966)</f>
        <v>116663</v>
      </c>
      <c r="AB26" s="4" cm="1">
        <f t="array" ref="AB26">INDEX(GMW!$A$2:$LR$60,MATCH(1,(GMW!$LQ$2:$LQ$60=AB$3)*(GMW!$LP$2:$LP$60=AB$4)*(GMW!$LR$2:$LR$60=AB$1),0),$C26-1966)</f>
        <v>41043</v>
      </c>
      <c r="AC26" s="4" cm="1">
        <f t="array" ref="AC26">INDEX(GMW!$A$2:$LR$60,MATCH(1,(GMW!$LQ$2:$LQ$60=AC$3)*(GMW!$LP$2:$LP$60=AC$4)*(GMW!$LR$2:$LR$60=AC$1),0),$C26-1966)</f>
        <v>54985</v>
      </c>
      <c r="AD26" s="4" cm="1">
        <f t="array" ref="AD26">INDEX(GMW!$A$2:$LR$60,MATCH(1,(GMW!$LQ$2:$LQ$60=AD$3)*(GMW!$LP$2:$LP$60=AD$4)*(GMW!$LR$2:$LR$60=AD$1),0),$C26-1966)</f>
        <v>38015</v>
      </c>
      <c r="AE26" s="4" cm="1">
        <f t="array" ref="AE26">INDEX(GMW!$A$2:$LR$60,MATCH(1,(GMW!$LQ$2:$LQ$60=AE$3)*(GMW!$LP$2:$LP$60=AE$4)*(GMW!$LR$2:$LR$60=AE$1),0),$C26-1966)</f>
        <v>29087</v>
      </c>
      <c r="AF26" s="4" cm="1">
        <f t="array" ref="AF26">INDEX(GMW!$A$2:$LR$60,MATCH(1,(GMW!$LQ$2:$LQ$60=AF$3)*(GMW!$LP$2:$LP$60=AF$4)*(GMW!$LR$2:$LR$60=AF$1),0),$C26-1966)</f>
        <v>1E-3</v>
      </c>
      <c r="AG26" s="4" cm="1">
        <f t="array" ref="AG26">INDEX(GMW!$A$2:$LR$60,MATCH(1,(GMW!$LQ$2:$LQ$60=AG$3)*(GMW!$LP$2:$LP$60=AG$4)*(GMW!$LR$2:$LR$60=AG$1),0),$C26-1966)</f>
        <v>1E-3</v>
      </c>
    </row>
    <row r="27" spans="1:33" x14ac:dyDescent="0.25">
      <c r="A27" s="4">
        <v>1978</v>
      </c>
      <c r="B27" s="4">
        <f t="shared" si="1"/>
        <v>1978</v>
      </c>
      <c r="C27" s="4">
        <f t="shared" si="0"/>
        <v>1993</v>
      </c>
      <c r="D27" s="4" cm="1">
        <f t="array" ref="D27">INDEX(GMW!$A$2:$LR$60,MATCH(1,(GMW!$LQ$2:$LQ$60=D$3)*(GMW!$LP$2:$LP$60=D$4)*(GMW!$LR$2:$LR$60=D$1),0),$C27-1966)</f>
        <v>231258</v>
      </c>
      <c r="E27" s="4" cm="1">
        <f t="array" ref="E27">INDEX(GMW!$A$2:$LR$60,MATCH(1,(GMW!$LQ$2:$LQ$60=E$3)*(GMW!$LP$2:$LP$60=E$4)*(GMW!$LR$2:$LR$60=E$1),0),$C27-1966)</f>
        <v>231258</v>
      </c>
      <c r="F27" s="4" cm="1">
        <f t="array" ref="F27">INDEX(GMW!$A$2:$LR$60,MATCH(1,(GMW!$LQ$2:$LQ$60=F$3)*(GMW!$LP$2:$LP$60=F$4)*(GMW!$LR$2:$LR$60=F$1),0),$C27-1966)</f>
        <v>231258</v>
      </c>
      <c r="G27" s="4" cm="1">
        <f t="array" ref="G27">INDEX(GMW!$A$2:$LR$60,MATCH(1,(GMW!$LQ$2:$LQ$60=G$3)*(GMW!$LP$2:$LP$60=G$4)*(GMW!$LR$2:$LR$60=G$1),0),$C27-1966)</f>
        <v>231258</v>
      </c>
      <c r="H27" s="4" cm="1">
        <f t="array" ref="H27">INDEX(GMW!$A$2:$LR$60,MATCH(1,(GMW!$LQ$2:$LQ$60=H$3)*(GMW!$LP$2:$LP$60=H$4)*(GMW!$LR$2:$LR$60=H$1),0),$C27-1966)</f>
        <v>231258</v>
      </c>
      <c r="I27" s="4" cm="1">
        <f t="array" ref="I27">INDEX(GMW!$A$2:$LR$60,MATCH(1,(GMW!$LQ$2:$LQ$60=I$3)*(GMW!$LP$2:$LP$60=I$4)*(GMW!$LR$2:$LR$60=I$1),0),$C27-1966)</f>
        <v>231258</v>
      </c>
      <c r="J27" s="4" cm="1">
        <f t="array" ref="J27">INDEX(GMW!$A$2:$LR$60,MATCH(1,(GMW!$LQ$2:$LQ$60=J$3)*(GMW!$LP$2:$LP$60=J$4)*(GMW!$LR$2:$LR$60=J$1),0),$C27-1966)</f>
        <v>231258</v>
      </c>
      <c r="K27" s="4" cm="1">
        <f t="array" ref="K27">INDEX(GMW!$A$2:$LR$60,MATCH(1,(GMW!$LQ$2:$LQ$60=K$3)*(GMW!$LP$2:$LP$60=K$4)*(GMW!$LR$2:$LR$60=K$1),0),$C27-1966)</f>
        <v>231258</v>
      </c>
      <c r="L27" s="4" cm="1">
        <f t="array" ref="L27">INDEX(GMW!$A$2:$LR$60,MATCH(1,(GMW!$LQ$2:$LQ$60=L$3)*(GMW!$LP$2:$LP$60=L$4)*(GMW!$LR$2:$LR$60=L$1),0),$C27-1966)</f>
        <v>231258</v>
      </c>
      <c r="M27" s="4" cm="1">
        <f t="array" ref="M27">INDEX(GMW!$A$2:$LR$60,MATCH(1,(GMW!$LQ$2:$LQ$60=M$3)*(GMW!$LP$2:$LP$60=M$4)*(GMW!$LR$2:$LR$60=M$1),0),$C27-1966)</f>
        <v>231258</v>
      </c>
      <c r="N27" s="4" cm="1">
        <f t="array" ref="N27">INDEX(GMW!$A$2:$LR$60,MATCH(1,(GMW!$LQ$2:$LQ$60=N$3)*(GMW!$LP$2:$LP$60=N$4)*(GMW!$LR$2:$LR$60=N$1),0),$C27-1966)</f>
        <v>231258</v>
      </c>
      <c r="O27" s="4" cm="1">
        <f t="array" ref="O27">INDEX(GMW!$A$2:$LR$60,MATCH(1,(GMW!$LQ$2:$LQ$60=O$3)*(GMW!$LP$2:$LP$60=O$4)*(GMW!$LR$2:$LR$60=O$1),0),$C27-1966)</f>
        <v>231258</v>
      </c>
      <c r="P27" s="4" cm="1">
        <f t="array" ref="P27">INDEX(GMW!$A$2:$LR$60,MATCH(1,(GMW!$LQ$2:$LQ$60=P$3)*(GMW!$LP$2:$LP$60=P$4)*(GMW!$LR$2:$LR$60=P$1),0),$C27-1966)</f>
        <v>231258</v>
      </c>
      <c r="Q27" s="4" cm="1">
        <f t="array" ref="Q27">INDEX(GMW!$A$2:$LR$60,MATCH(1,(GMW!$LQ$2:$LQ$60=Q$3)*(GMW!$LP$2:$LP$60=Q$4)*(GMW!$LR$2:$LR$60=Q$1),0),$C27-1966)</f>
        <v>231258</v>
      </c>
      <c r="R27" s="4" cm="1">
        <f t="array" ref="R27">INDEX(GMW!$A$2:$LR$60,MATCH(1,(GMW!$LQ$2:$LQ$60=R$3)*(GMW!$LP$2:$LP$60=R$4)*(GMW!$LR$2:$LR$60=R$1),0),$C27-1966)</f>
        <v>231258</v>
      </c>
      <c r="S27" s="4" cm="1">
        <f t="array" ref="S27">INDEX(GMW!$A$2:$LR$60,MATCH(1,(GMW!$LQ$2:$LQ$60=S$3)*(GMW!$LP$2:$LP$60=S$4)*(GMW!$LR$2:$LR$60=S$1),0),$C27-1966)</f>
        <v>231258</v>
      </c>
      <c r="T27" s="4" cm="1">
        <f t="array" ref="T27">INDEX(GMW!$A$2:$LR$60,MATCH(1,(GMW!$LQ$2:$LQ$60=T$3)*(GMW!$LP$2:$LP$60=T$4)*(GMW!$LR$2:$LR$60=T$1),0),$C27-1966)</f>
        <v>231258</v>
      </c>
      <c r="U27" s="4" cm="1">
        <f t="array" ref="U27">INDEX(GMW!$A$2:$LR$60,MATCH(1,(GMW!$LQ$2:$LQ$60=U$3)*(GMW!$LP$2:$LP$60=U$4)*(GMW!$LR$2:$LR$60=U$1),0),$C27-1966)</f>
        <v>37.643259999999998</v>
      </c>
      <c r="V27" s="4" cm="1">
        <f t="array" ref="V27">INDEX(GMW!$A$2:$LR$60,MATCH(1,(GMW!$LQ$2:$LQ$60=V$3)*(GMW!$LP$2:$LP$60=V$4)*(GMW!$LR$2:$LR$60=V$1),0),$C27-1966)</f>
        <v>24.452780000000001</v>
      </c>
      <c r="W27" s="4" cm="1">
        <f t="array" ref="W27">INDEX(GMW!$A$2:$LR$60,MATCH(1,(GMW!$LQ$2:$LQ$60=W$3)*(GMW!$LP$2:$LP$60=W$4)*(GMW!$LR$2:$LR$60=W$1),0),$C27-1966)</f>
        <v>1E-3</v>
      </c>
      <c r="X27" s="4" cm="1">
        <f t="array" ref="X27">INDEX(GMW!$A$2:$LR$60,MATCH(1,(GMW!$LQ$2:$LQ$60=X$3)*(GMW!$LP$2:$LP$60=X$4)*(GMW!$LR$2:$LR$60=X$1),0),$C27-1966)</f>
        <v>1E-3</v>
      </c>
      <c r="Y27" s="4" cm="1">
        <f t="array" ref="Y27">INDEX(GMW!$A$2:$LR$60,MATCH(1,(GMW!$LQ$2:$LQ$60=Y$3)*(GMW!$LP$2:$LP$60=Y$4)*(GMW!$LR$2:$LR$60=Y$1),0),$C27-1966)</f>
        <v>1E-3</v>
      </c>
      <c r="Z27" s="4" cm="1">
        <f t="array" ref="Z27">INDEX(GMW!$A$2:$LR$60,MATCH(1,(GMW!$LQ$2:$LQ$60=Z$3)*(GMW!$LP$2:$LP$60=Z$4)*(GMW!$LR$2:$LR$60=Z$1),0),$C27-1966)</f>
        <v>1E-3</v>
      </c>
      <c r="AA27" s="4" cm="1">
        <f t="array" ref="AA27">INDEX(GMW!$A$2:$LR$60,MATCH(1,(GMW!$LQ$2:$LQ$60=AA$3)*(GMW!$LP$2:$LP$60=AA$4)*(GMW!$LR$2:$LR$60=AA$1),0),$C27-1966)</f>
        <v>119499</v>
      </c>
      <c r="AB27" s="4" cm="1">
        <f t="array" ref="AB27">INDEX(GMW!$A$2:$LR$60,MATCH(1,(GMW!$LQ$2:$LQ$60=AB$3)*(GMW!$LP$2:$LP$60=AB$4)*(GMW!$LR$2:$LR$60=AB$1),0),$C27-1966)</f>
        <v>42484</v>
      </c>
      <c r="AC27" s="4" cm="1">
        <f t="array" ref="AC27">INDEX(GMW!$A$2:$LR$60,MATCH(1,(GMW!$LQ$2:$LQ$60=AC$3)*(GMW!$LP$2:$LP$60=AC$4)*(GMW!$LR$2:$LR$60=AC$1),0),$C27-1966)</f>
        <v>55571</v>
      </c>
      <c r="AD27" s="4" cm="1">
        <f t="array" ref="AD27">INDEX(GMW!$A$2:$LR$60,MATCH(1,(GMW!$LQ$2:$LQ$60=AD$3)*(GMW!$LP$2:$LP$60=AD$4)*(GMW!$LR$2:$LR$60=AD$1),0),$C27-1966)</f>
        <v>38326</v>
      </c>
      <c r="AE27" s="4" cm="1">
        <f t="array" ref="AE27">INDEX(GMW!$A$2:$LR$60,MATCH(1,(GMW!$LQ$2:$LQ$60=AE$3)*(GMW!$LP$2:$LP$60=AE$4)*(GMW!$LR$2:$LR$60=AE$1),0),$C27-1966)</f>
        <v>30942</v>
      </c>
      <c r="AF27" s="4" cm="1">
        <f t="array" ref="AF27">INDEX(GMW!$A$2:$LR$60,MATCH(1,(GMW!$LQ$2:$LQ$60=AF$3)*(GMW!$LP$2:$LP$60=AF$4)*(GMW!$LR$2:$LR$60=AF$1),0),$C27-1966)</f>
        <v>1E-3</v>
      </c>
      <c r="AG27" s="4" cm="1">
        <f t="array" ref="AG27">INDEX(GMW!$A$2:$LR$60,MATCH(1,(GMW!$LQ$2:$LQ$60=AG$3)*(GMW!$LP$2:$LP$60=AG$4)*(GMW!$LR$2:$LR$60=AG$1),0),$C27-1966)</f>
        <v>1E-3</v>
      </c>
    </row>
    <row r="28" spans="1:33" x14ac:dyDescent="0.25">
      <c r="B28" s="4">
        <f t="shared" si="1"/>
        <v>1978</v>
      </c>
      <c r="C28" s="4">
        <f t="shared" si="0"/>
        <v>1994</v>
      </c>
      <c r="D28" s="4" cm="1">
        <f t="array" ref="D28">INDEX(GMW!$A$2:$LR$60,MATCH(1,(GMW!$LQ$2:$LQ$60=D$3)*(GMW!$LP$2:$LP$60=D$4)*(GMW!$LR$2:$LR$60=D$1),0),$C28-1966)</f>
        <v>233910</v>
      </c>
      <c r="E28" s="4" cm="1">
        <f t="array" ref="E28">INDEX(GMW!$A$2:$LR$60,MATCH(1,(GMW!$LQ$2:$LQ$60=E$3)*(GMW!$LP$2:$LP$60=E$4)*(GMW!$LR$2:$LR$60=E$1),0),$C28-1966)</f>
        <v>233910</v>
      </c>
      <c r="F28" s="4" cm="1">
        <f t="array" ref="F28">INDEX(GMW!$A$2:$LR$60,MATCH(1,(GMW!$LQ$2:$LQ$60=F$3)*(GMW!$LP$2:$LP$60=F$4)*(GMW!$LR$2:$LR$60=F$1),0),$C28-1966)</f>
        <v>233910</v>
      </c>
      <c r="G28" s="4" cm="1">
        <f t="array" ref="G28">INDEX(GMW!$A$2:$LR$60,MATCH(1,(GMW!$LQ$2:$LQ$60=G$3)*(GMW!$LP$2:$LP$60=G$4)*(GMW!$LR$2:$LR$60=G$1),0),$C28-1966)</f>
        <v>233910</v>
      </c>
      <c r="H28" s="4" cm="1">
        <f t="array" ref="H28">INDEX(GMW!$A$2:$LR$60,MATCH(1,(GMW!$LQ$2:$LQ$60=H$3)*(GMW!$LP$2:$LP$60=H$4)*(GMW!$LR$2:$LR$60=H$1),0),$C28-1966)</f>
        <v>233910</v>
      </c>
      <c r="I28" s="4" cm="1">
        <f t="array" ref="I28">INDEX(GMW!$A$2:$LR$60,MATCH(1,(GMW!$LQ$2:$LQ$60=I$3)*(GMW!$LP$2:$LP$60=I$4)*(GMW!$LR$2:$LR$60=I$1),0),$C28-1966)</f>
        <v>233910</v>
      </c>
      <c r="J28" s="4" cm="1">
        <f t="array" ref="J28">INDEX(GMW!$A$2:$LR$60,MATCH(1,(GMW!$LQ$2:$LQ$60=J$3)*(GMW!$LP$2:$LP$60=J$4)*(GMW!$LR$2:$LR$60=J$1),0),$C28-1966)</f>
        <v>233910</v>
      </c>
      <c r="K28" s="4" cm="1">
        <f t="array" ref="K28">INDEX(GMW!$A$2:$LR$60,MATCH(1,(GMW!$LQ$2:$LQ$60=K$3)*(GMW!$LP$2:$LP$60=K$4)*(GMW!$LR$2:$LR$60=K$1),0),$C28-1966)</f>
        <v>233910</v>
      </c>
      <c r="L28" s="4" cm="1">
        <f t="array" ref="L28">INDEX(GMW!$A$2:$LR$60,MATCH(1,(GMW!$LQ$2:$LQ$60=L$3)*(GMW!$LP$2:$LP$60=L$4)*(GMW!$LR$2:$LR$60=L$1),0),$C28-1966)</f>
        <v>233910</v>
      </c>
      <c r="M28" s="4" cm="1">
        <f t="array" ref="M28">INDEX(GMW!$A$2:$LR$60,MATCH(1,(GMW!$LQ$2:$LQ$60=M$3)*(GMW!$LP$2:$LP$60=M$4)*(GMW!$LR$2:$LR$60=M$1),0),$C28-1966)</f>
        <v>233910</v>
      </c>
      <c r="N28" s="4" cm="1">
        <f t="array" ref="N28">INDEX(GMW!$A$2:$LR$60,MATCH(1,(GMW!$LQ$2:$LQ$60=N$3)*(GMW!$LP$2:$LP$60=N$4)*(GMW!$LR$2:$LR$60=N$1),0),$C28-1966)</f>
        <v>233910</v>
      </c>
      <c r="O28" s="4" cm="1">
        <f t="array" ref="O28">INDEX(GMW!$A$2:$LR$60,MATCH(1,(GMW!$LQ$2:$LQ$60=O$3)*(GMW!$LP$2:$LP$60=O$4)*(GMW!$LR$2:$LR$60=O$1),0),$C28-1966)</f>
        <v>233910</v>
      </c>
      <c r="P28" s="4" cm="1">
        <f t="array" ref="P28">INDEX(GMW!$A$2:$LR$60,MATCH(1,(GMW!$LQ$2:$LQ$60=P$3)*(GMW!$LP$2:$LP$60=P$4)*(GMW!$LR$2:$LR$60=P$1),0),$C28-1966)</f>
        <v>233910</v>
      </c>
      <c r="Q28" s="4" cm="1">
        <f t="array" ref="Q28">INDEX(GMW!$A$2:$LR$60,MATCH(1,(GMW!$LQ$2:$LQ$60=Q$3)*(GMW!$LP$2:$LP$60=Q$4)*(GMW!$LR$2:$LR$60=Q$1),0),$C28-1966)</f>
        <v>233910</v>
      </c>
      <c r="R28" s="4" cm="1">
        <f t="array" ref="R28">INDEX(GMW!$A$2:$LR$60,MATCH(1,(GMW!$LQ$2:$LQ$60=R$3)*(GMW!$LP$2:$LP$60=R$4)*(GMW!$LR$2:$LR$60=R$1),0),$C28-1966)</f>
        <v>233910</v>
      </c>
      <c r="S28" s="4" cm="1">
        <f t="array" ref="S28">INDEX(GMW!$A$2:$LR$60,MATCH(1,(GMW!$LQ$2:$LQ$60=S$3)*(GMW!$LP$2:$LP$60=S$4)*(GMW!$LR$2:$LR$60=S$1),0),$C28-1966)</f>
        <v>233910</v>
      </c>
      <c r="T28" s="4" cm="1">
        <f t="array" ref="T28">INDEX(GMW!$A$2:$LR$60,MATCH(1,(GMW!$LQ$2:$LQ$60=T$3)*(GMW!$LP$2:$LP$60=T$4)*(GMW!$LR$2:$LR$60=T$1),0),$C28-1966)</f>
        <v>233910</v>
      </c>
      <c r="U28" s="4" cm="1">
        <f t="array" ref="U28">INDEX(GMW!$A$2:$LR$60,MATCH(1,(GMW!$LQ$2:$LQ$60=U$3)*(GMW!$LP$2:$LP$60=U$4)*(GMW!$LR$2:$LR$60=U$1),0),$C28-1966)</f>
        <v>39.864730000000002</v>
      </c>
      <c r="V28" s="4" cm="1">
        <f t="array" ref="V28">INDEX(GMW!$A$2:$LR$60,MATCH(1,(GMW!$LQ$2:$LQ$60=V$3)*(GMW!$LP$2:$LP$60=V$4)*(GMW!$LR$2:$LR$60=V$1),0),$C28-1966)</f>
        <v>25.078440000000001</v>
      </c>
      <c r="W28" s="4" cm="1">
        <f t="array" ref="W28">INDEX(GMW!$A$2:$LR$60,MATCH(1,(GMW!$LQ$2:$LQ$60=W$3)*(GMW!$LP$2:$LP$60=W$4)*(GMW!$LR$2:$LR$60=W$1),0),$C28-1966)</f>
        <v>1E-3</v>
      </c>
      <c r="X28" s="4" cm="1">
        <f t="array" ref="X28">INDEX(GMW!$A$2:$LR$60,MATCH(1,(GMW!$LQ$2:$LQ$60=X$3)*(GMW!$LP$2:$LP$60=X$4)*(GMW!$LR$2:$LR$60=X$1),0),$C28-1966)</f>
        <v>1E-3</v>
      </c>
      <c r="Y28" s="4" cm="1">
        <f t="array" ref="Y28">INDEX(GMW!$A$2:$LR$60,MATCH(1,(GMW!$LQ$2:$LQ$60=Y$3)*(GMW!$LP$2:$LP$60=Y$4)*(GMW!$LR$2:$LR$60=Y$1),0),$C28-1966)</f>
        <v>1E-3</v>
      </c>
      <c r="Z28" s="4" cm="1">
        <f t="array" ref="Z28">INDEX(GMW!$A$2:$LR$60,MATCH(1,(GMW!$LQ$2:$LQ$60=Z$3)*(GMW!$LP$2:$LP$60=Z$4)*(GMW!$LR$2:$LR$60=Z$1),0),$C28-1966)</f>
        <v>1E-3</v>
      </c>
      <c r="AA28" s="4" cm="1">
        <f t="array" ref="AA28">INDEX(GMW!$A$2:$LR$60,MATCH(1,(GMW!$LQ$2:$LQ$60=AA$3)*(GMW!$LP$2:$LP$60=AA$4)*(GMW!$LR$2:$LR$60=AA$1),0),$C28-1966)</f>
        <v>119157</v>
      </c>
      <c r="AB28" s="4" cm="1">
        <f t="array" ref="AB28">INDEX(GMW!$A$2:$LR$60,MATCH(1,(GMW!$LQ$2:$LQ$60=AB$3)*(GMW!$LP$2:$LP$60=AB$4)*(GMW!$LR$2:$LR$60=AB$1),0),$C28-1966)</f>
        <v>42562</v>
      </c>
      <c r="AC28" s="4" cm="1">
        <f t="array" ref="AC28">INDEX(GMW!$A$2:$LR$60,MATCH(1,(GMW!$LQ$2:$LQ$60=AC$3)*(GMW!$LP$2:$LP$60=AC$4)*(GMW!$LR$2:$LR$60=AC$1),0),$C28-1966)</f>
        <v>55652</v>
      </c>
      <c r="AD28" s="4" cm="1">
        <f t="array" ref="AD28">INDEX(GMW!$A$2:$LR$60,MATCH(1,(GMW!$LQ$2:$LQ$60=AD$3)*(GMW!$LP$2:$LP$60=AD$4)*(GMW!$LR$2:$LR$60=AD$1),0),$C28-1966)</f>
        <v>38992</v>
      </c>
      <c r="AE28" s="4" cm="1">
        <f t="array" ref="AE28">INDEX(GMW!$A$2:$LR$60,MATCH(1,(GMW!$LQ$2:$LQ$60=AE$3)*(GMW!$LP$2:$LP$60=AE$4)*(GMW!$LR$2:$LR$60=AE$1),0),$C28-1966)</f>
        <v>31129</v>
      </c>
      <c r="AF28" s="4" cm="1">
        <f t="array" ref="AF28">INDEX(GMW!$A$2:$LR$60,MATCH(1,(GMW!$LQ$2:$LQ$60=AF$3)*(GMW!$LP$2:$LP$60=AF$4)*(GMW!$LR$2:$LR$60=AF$1),0),$C28-1966)</f>
        <v>1E-3</v>
      </c>
      <c r="AG28" s="4" cm="1">
        <f t="array" ref="AG28">INDEX(GMW!$A$2:$LR$60,MATCH(1,(GMW!$LQ$2:$LQ$60=AG$3)*(GMW!$LP$2:$LP$60=AG$4)*(GMW!$LR$2:$LR$60=AG$1),0),$C28-1966)</f>
        <v>1E-3</v>
      </c>
    </row>
    <row r="29" spans="1:33" x14ac:dyDescent="0.25">
      <c r="B29" s="4">
        <f t="shared" si="1"/>
        <v>1978</v>
      </c>
      <c r="C29" s="4">
        <f t="shared" si="0"/>
        <v>1995</v>
      </c>
      <c r="D29" s="4" cm="1">
        <f t="array" ref="D29">INDEX(GMW!$A$2:$LR$60,MATCH(1,(GMW!$LQ$2:$LQ$60=D$3)*(GMW!$LP$2:$LP$60=D$4)*(GMW!$LR$2:$LR$60=D$1),0),$C29-1966)</f>
        <v>237107</v>
      </c>
      <c r="E29" s="4" cm="1">
        <f t="array" ref="E29">INDEX(GMW!$A$2:$LR$60,MATCH(1,(GMW!$LQ$2:$LQ$60=E$3)*(GMW!$LP$2:$LP$60=E$4)*(GMW!$LR$2:$LR$60=E$1),0),$C29-1966)</f>
        <v>237107</v>
      </c>
      <c r="F29" s="4" cm="1">
        <f t="array" ref="F29">INDEX(GMW!$A$2:$LR$60,MATCH(1,(GMW!$LQ$2:$LQ$60=F$3)*(GMW!$LP$2:$LP$60=F$4)*(GMW!$LR$2:$LR$60=F$1),0),$C29-1966)</f>
        <v>237107</v>
      </c>
      <c r="G29" s="4" cm="1">
        <f t="array" ref="G29">INDEX(GMW!$A$2:$LR$60,MATCH(1,(GMW!$LQ$2:$LQ$60=G$3)*(GMW!$LP$2:$LP$60=G$4)*(GMW!$LR$2:$LR$60=G$1),0),$C29-1966)</f>
        <v>237107</v>
      </c>
      <c r="H29" s="4" cm="1">
        <f t="array" ref="H29">INDEX(GMW!$A$2:$LR$60,MATCH(1,(GMW!$LQ$2:$LQ$60=H$3)*(GMW!$LP$2:$LP$60=H$4)*(GMW!$LR$2:$LR$60=H$1),0),$C29-1966)</f>
        <v>237107</v>
      </c>
      <c r="I29" s="4" cm="1">
        <f t="array" ref="I29">INDEX(GMW!$A$2:$LR$60,MATCH(1,(GMW!$LQ$2:$LQ$60=I$3)*(GMW!$LP$2:$LP$60=I$4)*(GMW!$LR$2:$LR$60=I$1),0),$C29-1966)</f>
        <v>237107</v>
      </c>
      <c r="J29" s="4" cm="1">
        <f t="array" ref="J29">INDEX(GMW!$A$2:$LR$60,MATCH(1,(GMW!$LQ$2:$LQ$60=J$3)*(GMW!$LP$2:$LP$60=J$4)*(GMW!$LR$2:$LR$60=J$1),0),$C29-1966)</f>
        <v>237107</v>
      </c>
      <c r="K29" s="4" cm="1">
        <f t="array" ref="K29">INDEX(GMW!$A$2:$LR$60,MATCH(1,(GMW!$LQ$2:$LQ$60=K$3)*(GMW!$LP$2:$LP$60=K$4)*(GMW!$LR$2:$LR$60=K$1),0),$C29-1966)</f>
        <v>237107</v>
      </c>
      <c r="L29" s="4" cm="1">
        <f t="array" ref="L29">INDEX(GMW!$A$2:$LR$60,MATCH(1,(GMW!$LQ$2:$LQ$60=L$3)*(GMW!$LP$2:$LP$60=L$4)*(GMW!$LR$2:$LR$60=L$1),0),$C29-1966)</f>
        <v>237107</v>
      </c>
      <c r="M29" s="4" cm="1">
        <f t="array" ref="M29">INDEX(GMW!$A$2:$LR$60,MATCH(1,(GMW!$LQ$2:$LQ$60=M$3)*(GMW!$LP$2:$LP$60=M$4)*(GMW!$LR$2:$LR$60=M$1),0),$C29-1966)</f>
        <v>237107</v>
      </c>
      <c r="N29" s="4" cm="1">
        <f t="array" ref="N29">INDEX(GMW!$A$2:$LR$60,MATCH(1,(GMW!$LQ$2:$LQ$60=N$3)*(GMW!$LP$2:$LP$60=N$4)*(GMW!$LR$2:$LR$60=N$1),0),$C29-1966)</f>
        <v>237107</v>
      </c>
      <c r="O29" s="4" cm="1">
        <f t="array" ref="O29">INDEX(GMW!$A$2:$LR$60,MATCH(1,(GMW!$LQ$2:$LQ$60=O$3)*(GMW!$LP$2:$LP$60=O$4)*(GMW!$LR$2:$LR$60=O$1),0),$C29-1966)</f>
        <v>237107</v>
      </c>
      <c r="P29" s="4" cm="1">
        <f t="array" ref="P29">INDEX(GMW!$A$2:$LR$60,MATCH(1,(GMW!$LQ$2:$LQ$60=P$3)*(GMW!$LP$2:$LP$60=P$4)*(GMW!$LR$2:$LR$60=P$1),0),$C29-1966)</f>
        <v>237107</v>
      </c>
      <c r="Q29" s="4" cm="1">
        <f t="array" ref="Q29">INDEX(GMW!$A$2:$LR$60,MATCH(1,(GMW!$LQ$2:$LQ$60=Q$3)*(GMW!$LP$2:$LP$60=Q$4)*(GMW!$LR$2:$LR$60=Q$1),0),$C29-1966)</f>
        <v>237107</v>
      </c>
      <c r="R29" s="4" cm="1">
        <f t="array" ref="R29">INDEX(GMW!$A$2:$LR$60,MATCH(1,(GMW!$LQ$2:$LQ$60=R$3)*(GMW!$LP$2:$LP$60=R$4)*(GMW!$LR$2:$LR$60=R$1),0),$C29-1966)</f>
        <v>237107</v>
      </c>
      <c r="S29" s="4" cm="1">
        <f t="array" ref="S29">INDEX(GMW!$A$2:$LR$60,MATCH(1,(GMW!$LQ$2:$LQ$60=S$3)*(GMW!$LP$2:$LP$60=S$4)*(GMW!$LR$2:$LR$60=S$1),0),$C29-1966)</f>
        <v>237107</v>
      </c>
      <c r="T29" s="4" cm="1">
        <f t="array" ref="T29">INDEX(GMW!$A$2:$LR$60,MATCH(1,(GMW!$LQ$2:$LQ$60=T$3)*(GMW!$LP$2:$LP$60=T$4)*(GMW!$LR$2:$LR$60=T$1),0),$C29-1966)</f>
        <v>237107</v>
      </c>
      <c r="U29" s="4" cm="1">
        <f t="array" ref="U29">INDEX(GMW!$A$2:$LR$60,MATCH(1,(GMW!$LQ$2:$LQ$60=U$3)*(GMW!$LP$2:$LP$60=U$4)*(GMW!$LR$2:$LR$60=U$1),0),$C29-1966)</f>
        <v>42.09901</v>
      </c>
      <c r="V29" s="4" cm="1">
        <f t="array" ref="V29">INDEX(GMW!$A$2:$LR$60,MATCH(1,(GMW!$LQ$2:$LQ$60=V$3)*(GMW!$LP$2:$LP$60=V$4)*(GMW!$LR$2:$LR$60=V$1),0),$C29-1966)</f>
        <v>25.469480000000001</v>
      </c>
      <c r="W29" s="4" cm="1">
        <f t="array" ref="W29">INDEX(GMW!$A$2:$LR$60,MATCH(1,(GMW!$LQ$2:$LQ$60=W$3)*(GMW!$LP$2:$LP$60=W$4)*(GMW!$LR$2:$LR$60=W$1),0),$C29-1966)</f>
        <v>1E-3</v>
      </c>
      <c r="X29" s="4" cm="1">
        <f t="array" ref="X29">INDEX(GMW!$A$2:$LR$60,MATCH(1,(GMW!$LQ$2:$LQ$60=X$3)*(GMW!$LP$2:$LP$60=X$4)*(GMW!$LR$2:$LR$60=X$1),0),$C29-1966)</f>
        <v>1E-3</v>
      </c>
      <c r="Y29" s="4" cm="1">
        <f t="array" ref="Y29">INDEX(GMW!$A$2:$LR$60,MATCH(1,(GMW!$LQ$2:$LQ$60=Y$3)*(GMW!$LP$2:$LP$60=Y$4)*(GMW!$LR$2:$LR$60=Y$1),0),$C29-1966)</f>
        <v>1E-3</v>
      </c>
      <c r="Z29" s="4" cm="1">
        <f t="array" ref="Z29">INDEX(GMW!$A$2:$LR$60,MATCH(1,(GMW!$LQ$2:$LQ$60=Z$3)*(GMW!$LP$2:$LP$60=Z$4)*(GMW!$LR$2:$LR$60=Z$1),0),$C29-1966)</f>
        <v>1E-3</v>
      </c>
      <c r="AA29" s="4" cm="1">
        <f t="array" ref="AA29">INDEX(GMW!$A$2:$LR$60,MATCH(1,(GMW!$LQ$2:$LQ$60=AA$3)*(GMW!$LP$2:$LP$60=AA$4)*(GMW!$LR$2:$LR$60=AA$1),0),$C29-1966)</f>
        <v>121858</v>
      </c>
      <c r="AB29" s="4" cm="1">
        <f t="array" ref="AB29">INDEX(GMW!$A$2:$LR$60,MATCH(1,(GMW!$LQ$2:$LQ$60=AB$3)*(GMW!$LP$2:$LP$60=AB$4)*(GMW!$LR$2:$LR$60=AB$1),0),$C29-1966)</f>
        <v>42524</v>
      </c>
      <c r="AC29" s="4" cm="1">
        <f t="array" ref="AC29">INDEX(GMW!$A$2:$LR$60,MATCH(1,(GMW!$LQ$2:$LQ$60=AC$3)*(GMW!$LP$2:$LP$60=AC$4)*(GMW!$LR$2:$LR$60=AC$1),0),$C29-1966)</f>
        <v>56187</v>
      </c>
      <c r="AD29" s="4" cm="1">
        <f t="array" ref="AD29">INDEX(GMW!$A$2:$LR$60,MATCH(1,(GMW!$LQ$2:$LQ$60=AD$3)*(GMW!$LP$2:$LP$60=AD$4)*(GMW!$LR$2:$LR$60=AD$1),0),$C29-1966)</f>
        <v>39138</v>
      </c>
      <c r="AE29" s="4" cm="1">
        <f t="array" ref="AE29">INDEX(GMW!$A$2:$LR$60,MATCH(1,(GMW!$LQ$2:$LQ$60=AE$3)*(GMW!$LP$2:$LP$60=AE$4)*(GMW!$LR$2:$LR$60=AE$1),0),$C29-1966)</f>
        <v>31077</v>
      </c>
      <c r="AF29" s="4" cm="1">
        <f t="array" ref="AF29">INDEX(GMW!$A$2:$LR$60,MATCH(1,(GMW!$LQ$2:$LQ$60=AF$3)*(GMW!$LP$2:$LP$60=AF$4)*(GMW!$LR$2:$LR$60=AF$1),0),$C29-1966)</f>
        <v>1E-3</v>
      </c>
      <c r="AG29" s="4" cm="1">
        <f t="array" ref="AG29">INDEX(GMW!$A$2:$LR$60,MATCH(1,(GMW!$LQ$2:$LQ$60=AG$3)*(GMW!$LP$2:$LP$60=AG$4)*(GMW!$LR$2:$LR$60=AG$1),0),$C29-1966)</f>
        <v>1E-3</v>
      </c>
    </row>
    <row r="30" spans="1:33" x14ac:dyDescent="0.25">
      <c r="B30" s="4">
        <f t="shared" si="1"/>
        <v>1978</v>
      </c>
      <c r="C30" s="4">
        <f t="shared" si="0"/>
        <v>1996</v>
      </c>
      <c r="D30" s="4" cm="1">
        <f t="array" ref="D30">INDEX(GMW!$A$2:$LR$60,MATCH(1,(GMW!$LQ$2:$LQ$60=D$3)*(GMW!$LP$2:$LP$60=D$4)*(GMW!$LR$2:$LR$60=D$1),0),$C30-1966)</f>
        <v>239186</v>
      </c>
      <c r="E30" s="4" cm="1">
        <f t="array" ref="E30">INDEX(GMW!$A$2:$LR$60,MATCH(1,(GMW!$LQ$2:$LQ$60=E$3)*(GMW!$LP$2:$LP$60=E$4)*(GMW!$LR$2:$LR$60=E$1),0),$C30-1966)</f>
        <v>239186</v>
      </c>
      <c r="F30" s="4" cm="1">
        <f t="array" ref="F30">INDEX(GMW!$A$2:$LR$60,MATCH(1,(GMW!$LQ$2:$LQ$60=F$3)*(GMW!$LP$2:$LP$60=F$4)*(GMW!$LR$2:$LR$60=F$1),0),$C30-1966)</f>
        <v>239186</v>
      </c>
      <c r="G30" s="4" cm="1">
        <f t="array" ref="G30">INDEX(GMW!$A$2:$LR$60,MATCH(1,(GMW!$LQ$2:$LQ$60=G$3)*(GMW!$LP$2:$LP$60=G$4)*(GMW!$LR$2:$LR$60=G$1),0),$C30-1966)</f>
        <v>239186</v>
      </c>
      <c r="H30" s="4" cm="1">
        <f t="array" ref="H30">INDEX(GMW!$A$2:$LR$60,MATCH(1,(GMW!$LQ$2:$LQ$60=H$3)*(GMW!$LP$2:$LP$60=H$4)*(GMW!$LR$2:$LR$60=H$1),0),$C30-1966)</f>
        <v>239186</v>
      </c>
      <c r="I30" s="4" cm="1">
        <f t="array" ref="I30">INDEX(GMW!$A$2:$LR$60,MATCH(1,(GMW!$LQ$2:$LQ$60=I$3)*(GMW!$LP$2:$LP$60=I$4)*(GMW!$LR$2:$LR$60=I$1),0),$C30-1966)</f>
        <v>239186</v>
      </c>
      <c r="J30" s="4" cm="1">
        <f t="array" ref="J30">INDEX(GMW!$A$2:$LR$60,MATCH(1,(GMW!$LQ$2:$LQ$60=J$3)*(GMW!$LP$2:$LP$60=J$4)*(GMW!$LR$2:$LR$60=J$1),0),$C30-1966)</f>
        <v>239186</v>
      </c>
      <c r="K30" s="4" cm="1">
        <f t="array" ref="K30">INDEX(GMW!$A$2:$LR$60,MATCH(1,(GMW!$LQ$2:$LQ$60=K$3)*(GMW!$LP$2:$LP$60=K$4)*(GMW!$LR$2:$LR$60=K$1),0),$C30-1966)</f>
        <v>239186</v>
      </c>
      <c r="L30" s="4" cm="1">
        <f t="array" ref="L30">INDEX(GMW!$A$2:$LR$60,MATCH(1,(GMW!$LQ$2:$LQ$60=L$3)*(GMW!$LP$2:$LP$60=L$4)*(GMW!$LR$2:$LR$60=L$1),0),$C30-1966)</f>
        <v>239186</v>
      </c>
      <c r="M30" s="4" cm="1">
        <f t="array" ref="M30">INDEX(GMW!$A$2:$LR$60,MATCH(1,(GMW!$LQ$2:$LQ$60=M$3)*(GMW!$LP$2:$LP$60=M$4)*(GMW!$LR$2:$LR$60=M$1),0),$C30-1966)</f>
        <v>239186</v>
      </c>
      <c r="N30" s="4" cm="1">
        <f t="array" ref="N30">INDEX(GMW!$A$2:$LR$60,MATCH(1,(GMW!$LQ$2:$LQ$60=N$3)*(GMW!$LP$2:$LP$60=N$4)*(GMW!$LR$2:$LR$60=N$1),0),$C30-1966)</f>
        <v>239186</v>
      </c>
      <c r="O30" s="4" cm="1">
        <f t="array" ref="O30">INDEX(GMW!$A$2:$LR$60,MATCH(1,(GMW!$LQ$2:$LQ$60=O$3)*(GMW!$LP$2:$LP$60=O$4)*(GMW!$LR$2:$LR$60=O$1),0),$C30-1966)</f>
        <v>239186</v>
      </c>
      <c r="P30" s="4" cm="1">
        <f t="array" ref="P30">INDEX(GMW!$A$2:$LR$60,MATCH(1,(GMW!$LQ$2:$LQ$60=P$3)*(GMW!$LP$2:$LP$60=P$4)*(GMW!$LR$2:$LR$60=P$1),0),$C30-1966)</f>
        <v>239186</v>
      </c>
      <c r="Q30" s="4" cm="1">
        <f t="array" ref="Q30">INDEX(GMW!$A$2:$LR$60,MATCH(1,(GMW!$LQ$2:$LQ$60=Q$3)*(GMW!$LP$2:$LP$60=Q$4)*(GMW!$LR$2:$LR$60=Q$1),0),$C30-1966)</f>
        <v>239186</v>
      </c>
      <c r="R30" s="4" cm="1">
        <f t="array" ref="R30">INDEX(GMW!$A$2:$LR$60,MATCH(1,(GMW!$LQ$2:$LQ$60=R$3)*(GMW!$LP$2:$LP$60=R$4)*(GMW!$LR$2:$LR$60=R$1),0),$C30-1966)</f>
        <v>239186</v>
      </c>
      <c r="S30" s="4" cm="1">
        <f t="array" ref="S30">INDEX(GMW!$A$2:$LR$60,MATCH(1,(GMW!$LQ$2:$LQ$60=S$3)*(GMW!$LP$2:$LP$60=S$4)*(GMW!$LR$2:$LR$60=S$1),0),$C30-1966)</f>
        <v>239186</v>
      </c>
      <c r="T30" s="4" cm="1">
        <f t="array" ref="T30">INDEX(GMW!$A$2:$LR$60,MATCH(1,(GMW!$LQ$2:$LQ$60=T$3)*(GMW!$LP$2:$LP$60=T$4)*(GMW!$LR$2:$LR$60=T$1),0),$C30-1966)</f>
        <v>239186</v>
      </c>
      <c r="U30" s="4" cm="1">
        <f t="array" ref="U30">INDEX(GMW!$A$2:$LR$60,MATCH(1,(GMW!$LQ$2:$LQ$60=U$3)*(GMW!$LP$2:$LP$60=U$4)*(GMW!$LR$2:$LR$60=U$1),0),$C30-1966)</f>
        <v>43.30621</v>
      </c>
      <c r="V30" s="4" cm="1">
        <f t="array" ref="V30">INDEX(GMW!$A$2:$LR$60,MATCH(1,(GMW!$LQ$2:$LQ$60=V$3)*(GMW!$LP$2:$LP$60=V$4)*(GMW!$LR$2:$LR$60=V$1),0),$C30-1966)</f>
        <v>25.860510000000001</v>
      </c>
      <c r="W30" s="4" cm="1">
        <f t="array" ref="W30">INDEX(GMW!$A$2:$LR$60,MATCH(1,(GMW!$LQ$2:$LQ$60=W$3)*(GMW!$LP$2:$LP$60=W$4)*(GMW!$LR$2:$LR$60=W$1),0),$C30-1966)</f>
        <v>1E-3</v>
      </c>
      <c r="X30" s="4" cm="1">
        <f t="array" ref="X30">INDEX(GMW!$A$2:$LR$60,MATCH(1,(GMW!$LQ$2:$LQ$60=X$3)*(GMW!$LP$2:$LP$60=X$4)*(GMW!$LR$2:$LR$60=X$1),0),$C30-1966)</f>
        <v>1E-3</v>
      </c>
      <c r="Y30" s="4" cm="1">
        <f t="array" ref="Y30">INDEX(GMW!$A$2:$LR$60,MATCH(1,(GMW!$LQ$2:$LQ$60=Y$3)*(GMW!$LP$2:$LP$60=Y$4)*(GMW!$LR$2:$LR$60=Y$1),0),$C30-1966)</f>
        <v>1E-3</v>
      </c>
      <c r="Z30" s="4" cm="1">
        <f t="array" ref="Z30">INDEX(GMW!$A$2:$LR$60,MATCH(1,(GMW!$LQ$2:$LQ$60=Z$3)*(GMW!$LP$2:$LP$60=Z$4)*(GMW!$LR$2:$LR$60=Z$1),0),$C30-1966)</f>
        <v>1E-3</v>
      </c>
      <c r="AA30" s="4" cm="1">
        <f t="array" ref="AA30">INDEX(GMW!$A$2:$LR$60,MATCH(1,(GMW!$LQ$2:$LQ$60=AA$3)*(GMW!$LP$2:$LP$60=AA$4)*(GMW!$LR$2:$LR$60=AA$1),0),$C30-1966)</f>
        <v>121044</v>
      </c>
      <c r="AB30" s="4" cm="1">
        <f t="array" ref="AB30">INDEX(GMW!$A$2:$LR$60,MATCH(1,(GMW!$LQ$2:$LQ$60=AB$3)*(GMW!$LP$2:$LP$60=AB$4)*(GMW!$LR$2:$LR$60=AB$1),0),$C30-1966)</f>
        <v>42661</v>
      </c>
      <c r="AC30" s="4" cm="1">
        <f t="array" ref="AC30">INDEX(GMW!$A$2:$LR$60,MATCH(1,(GMW!$LQ$2:$LQ$60=AC$3)*(GMW!$LP$2:$LP$60=AC$4)*(GMW!$LR$2:$LR$60=AC$1),0),$C30-1966)</f>
        <v>56429</v>
      </c>
      <c r="AD30" s="4" cm="1">
        <f t="array" ref="AD30">INDEX(GMW!$A$2:$LR$60,MATCH(1,(GMW!$LQ$2:$LQ$60=AD$3)*(GMW!$LP$2:$LP$60=AD$4)*(GMW!$LR$2:$LR$60=AD$1),0),$C30-1966)</f>
        <v>39072</v>
      </c>
      <c r="AE30" s="4" cm="1">
        <f t="array" ref="AE30">INDEX(GMW!$A$2:$LR$60,MATCH(1,(GMW!$LQ$2:$LQ$60=AE$3)*(GMW!$LP$2:$LP$60=AE$4)*(GMW!$LR$2:$LR$60=AE$1),0),$C30-1966)</f>
        <v>29252</v>
      </c>
      <c r="AF30" s="4" cm="1">
        <f t="array" ref="AF30">INDEX(GMW!$A$2:$LR$60,MATCH(1,(GMW!$LQ$2:$LQ$60=AF$3)*(GMW!$LP$2:$LP$60=AF$4)*(GMW!$LR$2:$LR$60=AF$1),0),$C30-1966)</f>
        <v>1E-3</v>
      </c>
      <c r="AG30" s="4" cm="1">
        <f t="array" ref="AG30">INDEX(GMW!$A$2:$LR$60,MATCH(1,(GMW!$LQ$2:$LQ$60=AG$3)*(GMW!$LP$2:$LP$60=AG$4)*(GMW!$LR$2:$LR$60=AG$1),0),$C30-1966)</f>
        <v>1E-3</v>
      </c>
    </row>
    <row r="31" spans="1:33" x14ac:dyDescent="0.25">
      <c r="A31" s="4">
        <v>1979</v>
      </c>
      <c r="B31" s="4">
        <f t="shared" si="1"/>
        <v>1979</v>
      </c>
      <c r="C31" s="4">
        <f t="shared" si="0"/>
        <v>1997</v>
      </c>
      <c r="D31" s="4" cm="1">
        <f t="array" ref="D31">INDEX(GMW!$A$2:$LR$60,MATCH(1,(GMW!$LQ$2:$LQ$60=D$3)*(GMW!$LP$2:$LP$60=D$4)*(GMW!$LR$2:$LR$60=D$1),0),$C31-1966)</f>
        <v>238472</v>
      </c>
      <c r="E31" s="4" cm="1">
        <f t="array" ref="E31">INDEX(GMW!$A$2:$LR$60,MATCH(1,(GMW!$LQ$2:$LQ$60=E$3)*(GMW!$LP$2:$LP$60=E$4)*(GMW!$LR$2:$LR$60=E$1),0),$C31-1966)</f>
        <v>238472</v>
      </c>
      <c r="F31" s="4" cm="1">
        <f t="array" ref="F31">INDEX(GMW!$A$2:$LR$60,MATCH(1,(GMW!$LQ$2:$LQ$60=F$3)*(GMW!$LP$2:$LP$60=F$4)*(GMW!$LR$2:$LR$60=F$1),0),$C31-1966)</f>
        <v>238472</v>
      </c>
      <c r="G31" s="4" cm="1">
        <f t="array" ref="G31">INDEX(GMW!$A$2:$LR$60,MATCH(1,(GMW!$LQ$2:$LQ$60=G$3)*(GMW!$LP$2:$LP$60=G$4)*(GMW!$LR$2:$LR$60=G$1),0),$C31-1966)</f>
        <v>238472</v>
      </c>
      <c r="H31" s="4" cm="1">
        <f t="array" ref="H31">INDEX(GMW!$A$2:$LR$60,MATCH(1,(GMW!$LQ$2:$LQ$60=H$3)*(GMW!$LP$2:$LP$60=H$4)*(GMW!$LR$2:$LR$60=H$1),0),$C31-1966)</f>
        <v>238472</v>
      </c>
      <c r="I31" s="4" cm="1">
        <f t="array" ref="I31">INDEX(GMW!$A$2:$LR$60,MATCH(1,(GMW!$LQ$2:$LQ$60=I$3)*(GMW!$LP$2:$LP$60=I$4)*(GMW!$LR$2:$LR$60=I$1),0),$C31-1966)</f>
        <v>238472</v>
      </c>
      <c r="J31" s="4" cm="1">
        <f t="array" ref="J31">INDEX(GMW!$A$2:$LR$60,MATCH(1,(GMW!$LQ$2:$LQ$60=J$3)*(GMW!$LP$2:$LP$60=J$4)*(GMW!$LR$2:$LR$60=J$1),0),$C31-1966)</f>
        <v>238472</v>
      </c>
      <c r="K31" s="4" cm="1">
        <f t="array" ref="K31">INDEX(GMW!$A$2:$LR$60,MATCH(1,(GMW!$LQ$2:$LQ$60=K$3)*(GMW!$LP$2:$LP$60=K$4)*(GMW!$LR$2:$LR$60=K$1),0),$C31-1966)</f>
        <v>238472</v>
      </c>
      <c r="L31" s="4" cm="1">
        <f t="array" ref="L31">INDEX(GMW!$A$2:$LR$60,MATCH(1,(GMW!$LQ$2:$LQ$60=L$3)*(GMW!$LP$2:$LP$60=L$4)*(GMW!$LR$2:$LR$60=L$1),0),$C31-1966)</f>
        <v>238472</v>
      </c>
      <c r="M31" s="4" cm="1">
        <f t="array" ref="M31">INDEX(GMW!$A$2:$LR$60,MATCH(1,(GMW!$LQ$2:$LQ$60=M$3)*(GMW!$LP$2:$LP$60=M$4)*(GMW!$LR$2:$LR$60=M$1),0),$C31-1966)</f>
        <v>238472</v>
      </c>
      <c r="N31" s="4" cm="1">
        <f t="array" ref="N31">INDEX(GMW!$A$2:$LR$60,MATCH(1,(GMW!$LQ$2:$LQ$60=N$3)*(GMW!$LP$2:$LP$60=N$4)*(GMW!$LR$2:$LR$60=N$1),0),$C31-1966)</f>
        <v>238472</v>
      </c>
      <c r="O31" s="4" cm="1">
        <f t="array" ref="O31">INDEX(GMW!$A$2:$LR$60,MATCH(1,(GMW!$LQ$2:$LQ$60=O$3)*(GMW!$LP$2:$LP$60=O$4)*(GMW!$LR$2:$LR$60=O$1),0),$C31-1966)</f>
        <v>238472</v>
      </c>
      <c r="P31" s="4" cm="1">
        <f t="array" ref="P31">INDEX(GMW!$A$2:$LR$60,MATCH(1,(GMW!$LQ$2:$LQ$60=P$3)*(GMW!$LP$2:$LP$60=P$4)*(GMW!$LR$2:$LR$60=P$1),0),$C31-1966)</f>
        <v>238472</v>
      </c>
      <c r="Q31" s="4" cm="1">
        <f t="array" ref="Q31">INDEX(GMW!$A$2:$LR$60,MATCH(1,(GMW!$LQ$2:$LQ$60=Q$3)*(GMW!$LP$2:$LP$60=Q$4)*(GMW!$LR$2:$LR$60=Q$1),0),$C31-1966)</f>
        <v>238472</v>
      </c>
      <c r="R31" s="4" cm="1">
        <f t="array" ref="R31">INDEX(GMW!$A$2:$LR$60,MATCH(1,(GMW!$LQ$2:$LQ$60=R$3)*(GMW!$LP$2:$LP$60=R$4)*(GMW!$LR$2:$LR$60=R$1),0),$C31-1966)</f>
        <v>238472</v>
      </c>
      <c r="S31" s="4" cm="1">
        <f t="array" ref="S31">INDEX(GMW!$A$2:$LR$60,MATCH(1,(GMW!$LQ$2:$LQ$60=S$3)*(GMW!$LP$2:$LP$60=S$4)*(GMW!$LR$2:$LR$60=S$1),0),$C31-1966)</f>
        <v>238472</v>
      </c>
      <c r="T31" s="4" cm="1">
        <f t="array" ref="T31">INDEX(GMW!$A$2:$LR$60,MATCH(1,(GMW!$LQ$2:$LQ$60=T$3)*(GMW!$LP$2:$LP$60=T$4)*(GMW!$LR$2:$LR$60=T$1),0),$C31-1966)</f>
        <v>238472</v>
      </c>
      <c r="U31" s="4" cm="1">
        <f t="array" ref="U31">INDEX(GMW!$A$2:$LR$60,MATCH(1,(GMW!$LQ$2:$LQ$60=U$3)*(GMW!$LP$2:$LP$60=U$4)*(GMW!$LR$2:$LR$60=U$1),0),$C31-1966)</f>
        <v>43.965009999999999</v>
      </c>
      <c r="V31" s="4" cm="1">
        <f t="array" ref="V31">INDEX(GMW!$A$2:$LR$60,MATCH(1,(GMW!$LQ$2:$LQ$60=V$3)*(GMW!$LP$2:$LP$60=V$4)*(GMW!$LR$2:$LR$60=V$1),0),$C31-1966)</f>
        <v>26.43403</v>
      </c>
      <c r="W31" s="4" cm="1">
        <f t="array" ref="W31">INDEX(GMW!$A$2:$LR$60,MATCH(1,(GMW!$LQ$2:$LQ$60=W$3)*(GMW!$LP$2:$LP$60=W$4)*(GMW!$LR$2:$LR$60=W$1),0),$C31-1966)</f>
        <v>1E-3</v>
      </c>
      <c r="X31" s="4" cm="1">
        <f t="array" ref="X31">INDEX(GMW!$A$2:$LR$60,MATCH(1,(GMW!$LQ$2:$LQ$60=X$3)*(GMW!$LP$2:$LP$60=X$4)*(GMW!$LR$2:$LR$60=X$1),0),$C31-1966)</f>
        <v>1E-3</v>
      </c>
      <c r="Y31" s="4" cm="1">
        <f t="array" ref="Y31">INDEX(GMW!$A$2:$LR$60,MATCH(1,(GMW!$LQ$2:$LQ$60=Y$3)*(GMW!$LP$2:$LP$60=Y$4)*(GMW!$LR$2:$LR$60=Y$1),0),$C31-1966)</f>
        <v>1E-3</v>
      </c>
      <c r="Z31" s="4" cm="1">
        <f t="array" ref="Z31">INDEX(GMW!$A$2:$LR$60,MATCH(1,(GMW!$LQ$2:$LQ$60=Z$3)*(GMW!$LP$2:$LP$60=Z$4)*(GMW!$LR$2:$LR$60=Z$1),0),$C31-1966)</f>
        <v>1E-3</v>
      </c>
      <c r="AA31" s="4" cm="1">
        <f t="array" ref="AA31">INDEX(GMW!$A$2:$LR$60,MATCH(1,(GMW!$LQ$2:$LQ$60=AA$3)*(GMW!$LP$2:$LP$60=AA$4)*(GMW!$LR$2:$LR$60=AA$1),0),$C31-1966)</f>
        <v>123178</v>
      </c>
      <c r="AB31" s="4" cm="1">
        <f t="array" ref="AB31">INDEX(GMW!$A$2:$LR$60,MATCH(1,(GMW!$LQ$2:$LQ$60=AB$3)*(GMW!$LP$2:$LP$60=AB$4)*(GMW!$LR$2:$LR$60=AB$1),0),$C31-1966)</f>
        <v>44861</v>
      </c>
      <c r="AC31" s="4" cm="1">
        <f t="array" ref="AC31">INDEX(GMW!$A$2:$LR$60,MATCH(1,(GMW!$LQ$2:$LQ$60=AC$3)*(GMW!$LP$2:$LP$60=AC$4)*(GMW!$LR$2:$LR$60=AC$1),0),$C31-1966)</f>
        <v>56201</v>
      </c>
      <c r="AD31" s="4" cm="1">
        <f t="array" ref="AD31">INDEX(GMW!$A$2:$LR$60,MATCH(1,(GMW!$LQ$2:$LQ$60=AD$3)*(GMW!$LP$2:$LP$60=AD$4)*(GMW!$LR$2:$LR$60=AD$1),0),$C31-1966)</f>
        <v>36084</v>
      </c>
      <c r="AE31" s="4" cm="1">
        <f t="array" ref="AE31">INDEX(GMW!$A$2:$LR$60,MATCH(1,(GMW!$LQ$2:$LQ$60=AE$3)*(GMW!$LP$2:$LP$60=AE$4)*(GMW!$LR$2:$LR$60=AE$1),0),$C31-1966)</f>
        <v>31153</v>
      </c>
      <c r="AF31" s="4" cm="1">
        <f t="array" ref="AF31">INDEX(GMW!$A$2:$LR$60,MATCH(1,(GMW!$LQ$2:$LQ$60=AF$3)*(GMW!$LP$2:$LP$60=AF$4)*(GMW!$LR$2:$LR$60=AF$1),0),$C31-1966)</f>
        <v>1E-3</v>
      </c>
      <c r="AG31" s="4" cm="1">
        <f t="array" ref="AG31">INDEX(GMW!$A$2:$LR$60,MATCH(1,(GMW!$LQ$2:$LQ$60=AG$3)*(GMW!$LP$2:$LP$60=AG$4)*(GMW!$LR$2:$LR$60=AG$1),0),$C31-1966)</f>
        <v>1E-3</v>
      </c>
    </row>
    <row r="32" spans="1:33" x14ac:dyDescent="0.25">
      <c r="B32" s="4">
        <f t="shared" si="1"/>
        <v>1979</v>
      </c>
      <c r="C32" s="4">
        <f t="shared" si="0"/>
        <v>1998</v>
      </c>
      <c r="D32" s="4" cm="1">
        <f t="array" ref="D32">INDEX(GMW!$A$2:$LR$60,MATCH(1,(GMW!$LQ$2:$LQ$60=D$3)*(GMW!$LP$2:$LP$60=D$4)*(GMW!$LR$2:$LR$60=D$1),0),$C32-1966)</f>
        <v>248867</v>
      </c>
      <c r="E32" s="4" cm="1">
        <f t="array" ref="E32">INDEX(GMW!$A$2:$LR$60,MATCH(1,(GMW!$LQ$2:$LQ$60=E$3)*(GMW!$LP$2:$LP$60=E$4)*(GMW!$LR$2:$LR$60=E$1),0),$C32-1966)</f>
        <v>248867</v>
      </c>
      <c r="F32" s="4" cm="1">
        <f t="array" ref="F32">INDEX(GMW!$A$2:$LR$60,MATCH(1,(GMW!$LQ$2:$LQ$60=F$3)*(GMW!$LP$2:$LP$60=F$4)*(GMW!$LR$2:$LR$60=F$1),0),$C32-1966)</f>
        <v>248867</v>
      </c>
      <c r="G32" s="4" cm="1">
        <f t="array" ref="G32">INDEX(GMW!$A$2:$LR$60,MATCH(1,(GMW!$LQ$2:$LQ$60=G$3)*(GMW!$LP$2:$LP$60=G$4)*(GMW!$LR$2:$LR$60=G$1),0),$C32-1966)</f>
        <v>248867</v>
      </c>
      <c r="H32" s="4" cm="1">
        <f t="array" ref="H32">INDEX(GMW!$A$2:$LR$60,MATCH(1,(GMW!$LQ$2:$LQ$60=H$3)*(GMW!$LP$2:$LP$60=H$4)*(GMW!$LR$2:$LR$60=H$1),0),$C32-1966)</f>
        <v>248867</v>
      </c>
      <c r="I32" s="4" cm="1">
        <f t="array" ref="I32">INDEX(GMW!$A$2:$LR$60,MATCH(1,(GMW!$LQ$2:$LQ$60=I$3)*(GMW!$LP$2:$LP$60=I$4)*(GMW!$LR$2:$LR$60=I$1),0),$C32-1966)</f>
        <v>248867</v>
      </c>
      <c r="J32" s="4" cm="1">
        <f t="array" ref="J32">INDEX(GMW!$A$2:$LR$60,MATCH(1,(GMW!$LQ$2:$LQ$60=J$3)*(GMW!$LP$2:$LP$60=J$4)*(GMW!$LR$2:$LR$60=J$1),0),$C32-1966)</f>
        <v>248867</v>
      </c>
      <c r="K32" s="4" cm="1">
        <f t="array" ref="K32">INDEX(GMW!$A$2:$LR$60,MATCH(1,(GMW!$LQ$2:$LQ$60=K$3)*(GMW!$LP$2:$LP$60=K$4)*(GMW!$LR$2:$LR$60=K$1),0),$C32-1966)</f>
        <v>248867</v>
      </c>
      <c r="L32" s="4" cm="1">
        <f t="array" ref="L32">INDEX(GMW!$A$2:$LR$60,MATCH(1,(GMW!$LQ$2:$LQ$60=L$3)*(GMW!$LP$2:$LP$60=L$4)*(GMW!$LR$2:$LR$60=L$1),0),$C32-1966)</f>
        <v>248867</v>
      </c>
      <c r="M32" s="4" cm="1">
        <f t="array" ref="M32">INDEX(GMW!$A$2:$LR$60,MATCH(1,(GMW!$LQ$2:$LQ$60=M$3)*(GMW!$LP$2:$LP$60=M$4)*(GMW!$LR$2:$LR$60=M$1),0),$C32-1966)</f>
        <v>248867</v>
      </c>
      <c r="N32" s="4" cm="1">
        <f t="array" ref="N32">INDEX(GMW!$A$2:$LR$60,MATCH(1,(GMW!$LQ$2:$LQ$60=N$3)*(GMW!$LP$2:$LP$60=N$4)*(GMW!$LR$2:$LR$60=N$1),0),$C32-1966)</f>
        <v>248867</v>
      </c>
      <c r="O32" s="4" cm="1">
        <f t="array" ref="O32">INDEX(GMW!$A$2:$LR$60,MATCH(1,(GMW!$LQ$2:$LQ$60=O$3)*(GMW!$LP$2:$LP$60=O$4)*(GMW!$LR$2:$LR$60=O$1),0),$C32-1966)</f>
        <v>248867</v>
      </c>
      <c r="P32" s="4" cm="1">
        <f t="array" ref="P32">INDEX(GMW!$A$2:$LR$60,MATCH(1,(GMW!$LQ$2:$LQ$60=P$3)*(GMW!$LP$2:$LP$60=P$4)*(GMW!$LR$2:$LR$60=P$1),0),$C32-1966)</f>
        <v>248867</v>
      </c>
      <c r="Q32" s="4" cm="1">
        <f t="array" ref="Q32">INDEX(GMW!$A$2:$LR$60,MATCH(1,(GMW!$LQ$2:$LQ$60=Q$3)*(GMW!$LP$2:$LP$60=Q$4)*(GMW!$LR$2:$LR$60=Q$1),0),$C32-1966)</f>
        <v>248867</v>
      </c>
      <c r="R32" s="4" cm="1">
        <f t="array" ref="R32">INDEX(GMW!$A$2:$LR$60,MATCH(1,(GMW!$LQ$2:$LQ$60=R$3)*(GMW!$LP$2:$LP$60=R$4)*(GMW!$LR$2:$LR$60=R$1),0),$C32-1966)</f>
        <v>248867</v>
      </c>
      <c r="S32" s="4" cm="1">
        <f t="array" ref="S32">INDEX(GMW!$A$2:$LR$60,MATCH(1,(GMW!$LQ$2:$LQ$60=S$3)*(GMW!$LP$2:$LP$60=S$4)*(GMW!$LR$2:$LR$60=S$1),0),$C32-1966)</f>
        <v>248867</v>
      </c>
      <c r="T32" s="4" cm="1">
        <f t="array" ref="T32">INDEX(GMW!$A$2:$LR$60,MATCH(1,(GMW!$LQ$2:$LQ$60=T$3)*(GMW!$LP$2:$LP$60=T$4)*(GMW!$LR$2:$LR$60=T$1),0),$C32-1966)</f>
        <v>248867</v>
      </c>
      <c r="U32" s="4" cm="1">
        <f t="array" ref="U32">INDEX(GMW!$A$2:$LR$60,MATCH(1,(GMW!$LQ$2:$LQ$60=U$3)*(GMW!$LP$2:$LP$60=U$4)*(GMW!$LR$2:$LR$60=U$1),0),$C32-1966)</f>
        <v>46.838419999999999</v>
      </c>
      <c r="V32" s="4" cm="1">
        <f t="array" ref="V32">INDEX(GMW!$A$2:$LR$60,MATCH(1,(GMW!$LQ$2:$LQ$60=V$3)*(GMW!$LP$2:$LP$60=V$4)*(GMW!$LR$2:$LR$60=V$1),0),$C32-1966)</f>
        <v>27.268239999999999</v>
      </c>
      <c r="W32" s="4" cm="1">
        <f t="array" ref="W32">INDEX(GMW!$A$2:$LR$60,MATCH(1,(GMW!$LQ$2:$LQ$60=W$3)*(GMW!$LP$2:$LP$60=W$4)*(GMW!$LR$2:$LR$60=W$1),0),$C32-1966)</f>
        <v>1E-3</v>
      </c>
      <c r="X32" s="4" cm="1">
        <f t="array" ref="X32">INDEX(GMW!$A$2:$LR$60,MATCH(1,(GMW!$LQ$2:$LQ$60=X$3)*(GMW!$LP$2:$LP$60=X$4)*(GMW!$LR$2:$LR$60=X$1),0),$C32-1966)</f>
        <v>1E-3</v>
      </c>
      <c r="Y32" s="4" cm="1">
        <f t="array" ref="Y32">INDEX(GMW!$A$2:$LR$60,MATCH(1,(GMW!$LQ$2:$LQ$60=Y$3)*(GMW!$LP$2:$LP$60=Y$4)*(GMW!$LR$2:$LR$60=Y$1),0),$C32-1966)</f>
        <v>1E-3</v>
      </c>
      <c r="Z32" s="4" cm="1">
        <f t="array" ref="Z32">INDEX(GMW!$A$2:$LR$60,MATCH(1,(GMW!$LQ$2:$LQ$60=Z$3)*(GMW!$LP$2:$LP$60=Z$4)*(GMW!$LR$2:$LR$60=Z$1),0),$C32-1966)</f>
        <v>1E-3</v>
      </c>
      <c r="AA32" s="4" cm="1">
        <f t="array" ref="AA32">INDEX(GMW!$A$2:$LR$60,MATCH(1,(GMW!$LQ$2:$LQ$60=AA$3)*(GMW!$LP$2:$LP$60=AA$4)*(GMW!$LR$2:$LR$60=AA$1),0),$C32-1966)</f>
        <v>130122</v>
      </c>
      <c r="AB32" s="4" cm="1">
        <f t="array" ref="AB32">INDEX(GMW!$A$2:$LR$60,MATCH(1,(GMW!$LQ$2:$LQ$60=AB$3)*(GMW!$LP$2:$LP$60=AB$4)*(GMW!$LR$2:$LR$60=AB$1),0),$C32-1966)</f>
        <v>45888</v>
      </c>
      <c r="AC32" s="4" cm="1">
        <f t="array" ref="AC32">INDEX(GMW!$A$2:$LR$60,MATCH(1,(GMW!$LQ$2:$LQ$60=AC$3)*(GMW!$LP$2:$LP$60=AC$4)*(GMW!$LR$2:$LR$60=AC$1),0),$C32-1966)</f>
        <v>57314</v>
      </c>
      <c r="AD32" s="4" cm="1">
        <f t="array" ref="AD32">INDEX(GMW!$A$2:$LR$60,MATCH(1,(GMW!$LQ$2:$LQ$60=AD$3)*(GMW!$LP$2:$LP$60=AD$4)*(GMW!$LR$2:$LR$60=AD$1),0),$C32-1966)</f>
        <v>42558</v>
      </c>
      <c r="AE32" s="4" cm="1">
        <f t="array" ref="AE32">INDEX(GMW!$A$2:$LR$60,MATCH(1,(GMW!$LQ$2:$LQ$60=AE$3)*(GMW!$LP$2:$LP$60=AE$4)*(GMW!$LR$2:$LR$60=AE$1),0),$C32-1966)</f>
        <v>33810</v>
      </c>
      <c r="AF32" s="4" cm="1">
        <f t="array" ref="AF32">INDEX(GMW!$A$2:$LR$60,MATCH(1,(GMW!$LQ$2:$LQ$60=AF$3)*(GMW!$LP$2:$LP$60=AF$4)*(GMW!$LR$2:$LR$60=AF$1),0),$C32-1966)</f>
        <v>1E-3</v>
      </c>
      <c r="AG32" s="4" cm="1">
        <f t="array" ref="AG32">INDEX(GMW!$A$2:$LR$60,MATCH(1,(GMW!$LQ$2:$LQ$60=AG$3)*(GMW!$LP$2:$LP$60=AG$4)*(GMW!$LR$2:$LR$60=AG$1),0),$C32-1966)</f>
        <v>1E-3</v>
      </c>
    </row>
    <row r="33" spans="1:33" x14ac:dyDescent="0.25">
      <c r="B33" s="4">
        <f t="shared" si="1"/>
        <v>1979</v>
      </c>
      <c r="C33" s="4">
        <f t="shared" si="0"/>
        <v>1999</v>
      </c>
      <c r="D33" s="4" cm="1">
        <f t="array" ref="D33">INDEX(GMW!$A$2:$LR$60,MATCH(1,(GMW!$LQ$2:$LQ$60=D$3)*(GMW!$LP$2:$LP$60=D$4)*(GMW!$LR$2:$LR$60=D$1),0),$C33-1966)</f>
        <v>243369</v>
      </c>
      <c r="E33" s="4" cm="1">
        <f t="array" ref="E33">INDEX(GMW!$A$2:$LR$60,MATCH(1,(GMW!$LQ$2:$LQ$60=E$3)*(GMW!$LP$2:$LP$60=E$4)*(GMW!$LR$2:$LR$60=E$1),0),$C33-1966)</f>
        <v>243369</v>
      </c>
      <c r="F33" s="4" cm="1">
        <f t="array" ref="F33">INDEX(GMW!$A$2:$LR$60,MATCH(1,(GMW!$LQ$2:$LQ$60=F$3)*(GMW!$LP$2:$LP$60=F$4)*(GMW!$LR$2:$LR$60=F$1),0),$C33-1966)</f>
        <v>243369</v>
      </c>
      <c r="G33" s="4" cm="1">
        <f t="array" ref="G33">INDEX(GMW!$A$2:$LR$60,MATCH(1,(GMW!$LQ$2:$LQ$60=G$3)*(GMW!$LP$2:$LP$60=G$4)*(GMW!$LR$2:$LR$60=G$1),0),$C33-1966)</f>
        <v>243369</v>
      </c>
      <c r="H33" s="4" cm="1">
        <f t="array" ref="H33">INDEX(GMW!$A$2:$LR$60,MATCH(1,(GMW!$LQ$2:$LQ$60=H$3)*(GMW!$LP$2:$LP$60=H$4)*(GMW!$LR$2:$LR$60=H$1),0),$C33-1966)</f>
        <v>243369</v>
      </c>
      <c r="I33" s="4" cm="1">
        <f t="array" ref="I33">INDEX(GMW!$A$2:$LR$60,MATCH(1,(GMW!$LQ$2:$LQ$60=I$3)*(GMW!$LP$2:$LP$60=I$4)*(GMW!$LR$2:$LR$60=I$1),0),$C33-1966)</f>
        <v>243369</v>
      </c>
      <c r="J33" s="4" cm="1">
        <f t="array" ref="J33">INDEX(GMW!$A$2:$LR$60,MATCH(1,(GMW!$LQ$2:$LQ$60=J$3)*(GMW!$LP$2:$LP$60=J$4)*(GMW!$LR$2:$LR$60=J$1),0),$C33-1966)</f>
        <v>243369</v>
      </c>
      <c r="K33" s="4" cm="1">
        <f t="array" ref="K33">INDEX(GMW!$A$2:$LR$60,MATCH(1,(GMW!$LQ$2:$LQ$60=K$3)*(GMW!$LP$2:$LP$60=K$4)*(GMW!$LR$2:$LR$60=K$1),0),$C33-1966)</f>
        <v>243369</v>
      </c>
      <c r="L33" s="4" cm="1">
        <f t="array" ref="L33">INDEX(GMW!$A$2:$LR$60,MATCH(1,(GMW!$LQ$2:$LQ$60=L$3)*(GMW!$LP$2:$LP$60=L$4)*(GMW!$LR$2:$LR$60=L$1),0),$C33-1966)</f>
        <v>243369</v>
      </c>
      <c r="M33" s="4" cm="1">
        <f t="array" ref="M33">INDEX(GMW!$A$2:$LR$60,MATCH(1,(GMW!$LQ$2:$LQ$60=M$3)*(GMW!$LP$2:$LP$60=M$4)*(GMW!$LR$2:$LR$60=M$1),0),$C33-1966)</f>
        <v>243369</v>
      </c>
      <c r="N33" s="4" cm="1">
        <f t="array" ref="N33">INDEX(GMW!$A$2:$LR$60,MATCH(1,(GMW!$LQ$2:$LQ$60=N$3)*(GMW!$LP$2:$LP$60=N$4)*(GMW!$LR$2:$LR$60=N$1),0),$C33-1966)</f>
        <v>243369</v>
      </c>
      <c r="O33" s="4" cm="1">
        <f t="array" ref="O33">INDEX(GMW!$A$2:$LR$60,MATCH(1,(GMW!$LQ$2:$LQ$60=O$3)*(GMW!$LP$2:$LP$60=O$4)*(GMW!$LR$2:$LR$60=O$1),0),$C33-1966)</f>
        <v>243369</v>
      </c>
      <c r="P33" s="4" cm="1">
        <f t="array" ref="P33">INDEX(GMW!$A$2:$LR$60,MATCH(1,(GMW!$LQ$2:$LQ$60=P$3)*(GMW!$LP$2:$LP$60=P$4)*(GMW!$LR$2:$LR$60=P$1),0),$C33-1966)</f>
        <v>243369</v>
      </c>
      <c r="Q33" s="4" cm="1">
        <f t="array" ref="Q33">INDEX(GMW!$A$2:$LR$60,MATCH(1,(GMW!$LQ$2:$LQ$60=Q$3)*(GMW!$LP$2:$LP$60=Q$4)*(GMW!$LR$2:$LR$60=Q$1),0),$C33-1966)</f>
        <v>243369</v>
      </c>
      <c r="R33" s="4" cm="1">
        <f t="array" ref="R33">INDEX(GMW!$A$2:$LR$60,MATCH(1,(GMW!$LQ$2:$LQ$60=R$3)*(GMW!$LP$2:$LP$60=R$4)*(GMW!$LR$2:$LR$60=R$1),0),$C33-1966)</f>
        <v>243369</v>
      </c>
      <c r="S33" s="4" cm="1">
        <f t="array" ref="S33">INDEX(GMW!$A$2:$LR$60,MATCH(1,(GMW!$LQ$2:$LQ$60=S$3)*(GMW!$LP$2:$LP$60=S$4)*(GMW!$LR$2:$LR$60=S$1),0),$C33-1966)</f>
        <v>243369</v>
      </c>
      <c r="T33" s="4" cm="1">
        <f t="array" ref="T33">INDEX(GMW!$A$2:$LR$60,MATCH(1,(GMW!$LQ$2:$LQ$60=T$3)*(GMW!$LP$2:$LP$60=T$4)*(GMW!$LR$2:$LR$60=T$1),0),$C33-1966)</f>
        <v>243369</v>
      </c>
      <c r="U33" s="4" cm="1">
        <f t="array" ref="U33">INDEX(GMW!$A$2:$LR$60,MATCH(1,(GMW!$LQ$2:$LQ$60=U$3)*(GMW!$LP$2:$LP$60=U$4)*(GMW!$LR$2:$LR$60=U$1),0),$C33-1966)</f>
        <v>50.12706</v>
      </c>
      <c r="V33" s="4" cm="1">
        <f t="array" ref="V33">INDEX(GMW!$A$2:$LR$60,MATCH(1,(GMW!$LQ$2:$LQ$60=V$3)*(GMW!$LP$2:$LP$60=V$4)*(GMW!$LR$2:$LR$60=V$1),0),$C33-1966)</f>
        <v>28.910589999999999</v>
      </c>
      <c r="W33" s="4" cm="1">
        <f t="array" ref="W33">INDEX(GMW!$A$2:$LR$60,MATCH(1,(GMW!$LQ$2:$LQ$60=W$3)*(GMW!$LP$2:$LP$60=W$4)*(GMW!$LR$2:$LR$60=W$1),0),$C33-1966)</f>
        <v>1E-3</v>
      </c>
      <c r="X33" s="4" cm="1">
        <f t="array" ref="X33">INDEX(GMW!$A$2:$LR$60,MATCH(1,(GMW!$LQ$2:$LQ$60=X$3)*(GMW!$LP$2:$LP$60=X$4)*(GMW!$LR$2:$LR$60=X$1),0),$C33-1966)</f>
        <v>1E-3</v>
      </c>
      <c r="Y33" s="4" cm="1">
        <f t="array" ref="Y33">INDEX(GMW!$A$2:$LR$60,MATCH(1,(GMW!$LQ$2:$LQ$60=Y$3)*(GMW!$LP$2:$LP$60=Y$4)*(GMW!$LR$2:$LR$60=Y$1),0),$C33-1966)</f>
        <v>1E-3</v>
      </c>
      <c r="Z33" s="4" cm="1">
        <f t="array" ref="Z33">INDEX(GMW!$A$2:$LR$60,MATCH(1,(GMW!$LQ$2:$LQ$60=Z$3)*(GMW!$LP$2:$LP$60=Z$4)*(GMW!$LR$2:$LR$60=Z$1),0),$C33-1966)</f>
        <v>1E-3</v>
      </c>
      <c r="AA33" s="4" cm="1">
        <f t="array" ref="AA33">INDEX(GMW!$A$2:$LR$60,MATCH(1,(GMW!$LQ$2:$LQ$60=AA$3)*(GMW!$LP$2:$LP$60=AA$4)*(GMW!$LR$2:$LR$60=AA$1),0),$C33-1966)</f>
        <v>124691</v>
      </c>
      <c r="AB33" s="4" cm="1">
        <f t="array" ref="AB33">INDEX(GMW!$A$2:$LR$60,MATCH(1,(GMW!$LQ$2:$LQ$60=AB$3)*(GMW!$LP$2:$LP$60=AB$4)*(GMW!$LR$2:$LR$60=AB$1),0),$C33-1966)</f>
        <v>46740</v>
      </c>
      <c r="AC33" s="4" cm="1">
        <f t="array" ref="AC33">INDEX(GMW!$A$2:$LR$60,MATCH(1,(GMW!$LQ$2:$LQ$60=AC$3)*(GMW!$LP$2:$LP$60=AC$4)*(GMW!$LR$2:$LR$60=AC$1),0),$C33-1966)</f>
        <v>56734</v>
      </c>
      <c r="AD33" s="4" cm="1">
        <f t="array" ref="AD33">INDEX(GMW!$A$2:$LR$60,MATCH(1,(GMW!$LQ$2:$LQ$60=AD$3)*(GMW!$LP$2:$LP$60=AD$4)*(GMW!$LR$2:$LR$60=AD$1),0),$C33-1966)</f>
        <v>41059</v>
      </c>
      <c r="AE33" s="4" cm="1">
        <f t="array" ref="AE33">INDEX(GMW!$A$2:$LR$60,MATCH(1,(GMW!$LQ$2:$LQ$60=AE$3)*(GMW!$LP$2:$LP$60=AE$4)*(GMW!$LR$2:$LR$60=AE$1),0),$C33-1966)</f>
        <v>34487</v>
      </c>
      <c r="AF33" s="4" cm="1">
        <f t="array" ref="AF33">INDEX(GMW!$A$2:$LR$60,MATCH(1,(GMW!$LQ$2:$LQ$60=AF$3)*(GMW!$LP$2:$LP$60=AF$4)*(GMW!$LR$2:$LR$60=AF$1),0),$C33-1966)</f>
        <v>1E-3</v>
      </c>
      <c r="AG33" s="4" cm="1">
        <f t="array" ref="AG33">INDEX(GMW!$A$2:$LR$60,MATCH(1,(GMW!$LQ$2:$LQ$60=AG$3)*(GMW!$LP$2:$LP$60=AG$4)*(GMW!$LR$2:$LR$60=AG$1),0),$C33-1966)</f>
        <v>1E-3</v>
      </c>
    </row>
    <row r="34" spans="1:33" x14ac:dyDescent="0.25">
      <c r="B34" s="4">
        <f t="shared" si="1"/>
        <v>1979</v>
      </c>
      <c r="C34" s="4">
        <f t="shared" si="0"/>
        <v>2000</v>
      </c>
      <c r="D34" s="4" cm="1">
        <f t="array" ref="D34">INDEX(GMW!$A$2:$LR$60,MATCH(1,(GMW!$LQ$2:$LQ$60=D$3)*(GMW!$LP$2:$LP$60=D$4)*(GMW!$LR$2:$LR$60=D$1),0),$C34-1966)</f>
        <v>245858</v>
      </c>
      <c r="E34" s="4" cm="1">
        <f t="array" ref="E34">INDEX(GMW!$A$2:$LR$60,MATCH(1,(GMW!$LQ$2:$LQ$60=E$3)*(GMW!$LP$2:$LP$60=E$4)*(GMW!$LR$2:$LR$60=E$1),0),$C34-1966)</f>
        <v>245858</v>
      </c>
      <c r="F34" s="4" cm="1">
        <f t="array" ref="F34">INDEX(GMW!$A$2:$LR$60,MATCH(1,(GMW!$LQ$2:$LQ$60=F$3)*(GMW!$LP$2:$LP$60=F$4)*(GMW!$LR$2:$LR$60=F$1),0),$C34-1966)</f>
        <v>245858</v>
      </c>
      <c r="G34" s="4" cm="1">
        <f t="array" ref="G34">INDEX(GMW!$A$2:$LR$60,MATCH(1,(GMW!$LQ$2:$LQ$60=G$3)*(GMW!$LP$2:$LP$60=G$4)*(GMW!$LR$2:$LR$60=G$1),0),$C34-1966)</f>
        <v>245858</v>
      </c>
      <c r="H34" s="4" cm="1">
        <f t="array" ref="H34">INDEX(GMW!$A$2:$LR$60,MATCH(1,(GMW!$LQ$2:$LQ$60=H$3)*(GMW!$LP$2:$LP$60=H$4)*(GMW!$LR$2:$LR$60=H$1),0),$C34-1966)</f>
        <v>245858</v>
      </c>
      <c r="I34" s="4" cm="1">
        <f t="array" ref="I34">INDEX(GMW!$A$2:$LR$60,MATCH(1,(GMW!$LQ$2:$LQ$60=I$3)*(GMW!$LP$2:$LP$60=I$4)*(GMW!$LR$2:$LR$60=I$1),0),$C34-1966)</f>
        <v>245858</v>
      </c>
      <c r="J34" s="4" cm="1">
        <f t="array" ref="J34">INDEX(GMW!$A$2:$LR$60,MATCH(1,(GMW!$LQ$2:$LQ$60=J$3)*(GMW!$LP$2:$LP$60=J$4)*(GMW!$LR$2:$LR$60=J$1),0),$C34-1966)</f>
        <v>245858</v>
      </c>
      <c r="K34" s="4" cm="1">
        <f t="array" ref="K34">INDEX(GMW!$A$2:$LR$60,MATCH(1,(GMW!$LQ$2:$LQ$60=K$3)*(GMW!$LP$2:$LP$60=K$4)*(GMW!$LR$2:$LR$60=K$1),0),$C34-1966)</f>
        <v>245858</v>
      </c>
      <c r="L34" s="4" cm="1">
        <f t="array" ref="L34">INDEX(GMW!$A$2:$LR$60,MATCH(1,(GMW!$LQ$2:$LQ$60=L$3)*(GMW!$LP$2:$LP$60=L$4)*(GMW!$LR$2:$LR$60=L$1),0),$C34-1966)</f>
        <v>245858</v>
      </c>
      <c r="M34" s="4" cm="1">
        <f t="array" ref="M34">INDEX(GMW!$A$2:$LR$60,MATCH(1,(GMW!$LQ$2:$LQ$60=M$3)*(GMW!$LP$2:$LP$60=M$4)*(GMW!$LR$2:$LR$60=M$1),0),$C34-1966)</f>
        <v>245858</v>
      </c>
      <c r="N34" s="4" cm="1">
        <f t="array" ref="N34">INDEX(GMW!$A$2:$LR$60,MATCH(1,(GMW!$LQ$2:$LQ$60=N$3)*(GMW!$LP$2:$LP$60=N$4)*(GMW!$LR$2:$LR$60=N$1),0),$C34-1966)</f>
        <v>245858</v>
      </c>
      <c r="O34" s="4" cm="1">
        <f t="array" ref="O34">INDEX(GMW!$A$2:$LR$60,MATCH(1,(GMW!$LQ$2:$LQ$60=O$3)*(GMW!$LP$2:$LP$60=O$4)*(GMW!$LR$2:$LR$60=O$1),0),$C34-1966)</f>
        <v>245858</v>
      </c>
      <c r="P34" s="4" cm="1">
        <f t="array" ref="P34">INDEX(GMW!$A$2:$LR$60,MATCH(1,(GMW!$LQ$2:$LQ$60=P$3)*(GMW!$LP$2:$LP$60=P$4)*(GMW!$LR$2:$LR$60=P$1),0),$C34-1966)</f>
        <v>245858</v>
      </c>
      <c r="Q34" s="4" cm="1">
        <f t="array" ref="Q34">INDEX(GMW!$A$2:$LR$60,MATCH(1,(GMW!$LQ$2:$LQ$60=Q$3)*(GMW!$LP$2:$LP$60=Q$4)*(GMW!$LR$2:$LR$60=Q$1),0),$C34-1966)</f>
        <v>245858</v>
      </c>
      <c r="R34" s="4" cm="1">
        <f t="array" ref="R34">INDEX(GMW!$A$2:$LR$60,MATCH(1,(GMW!$LQ$2:$LQ$60=R$3)*(GMW!$LP$2:$LP$60=R$4)*(GMW!$LR$2:$LR$60=R$1),0),$C34-1966)</f>
        <v>245858</v>
      </c>
      <c r="S34" s="4" cm="1">
        <f t="array" ref="S34">INDEX(GMW!$A$2:$LR$60,MATCH(1,(GMW!$LQ$2:$LQ$60=S$3)*(GMW!$LP$2:$LP$60=S$4)*(GMW!$LR$2:$LR$60=S$1),0),$C34-1966)</f>
        <v>245858</v>
      </c>
      <c r="T34" s="4" cm="1">
        <f t="array" ref="T34">INDEX(GMW!$A$2:$LR$60,MATCH(1,(GMW!$LQ$2:$LQ$60=T$3)*(GMW!$LP$2:$LP$60=T$4)*(GMW!$LR$2:$LR$60=T$1),0),$C34-1966)</f>
        <v>245858</v>
      </c>
      <c r="U34" s="4" cm="1">
        <f t="array" ref="U34">INDEX(GMW!$A$2:$LR$60,MATCH(1,(GMW!$LQ$2:$LQ$60=U$3)*(GMW!$LP$2:$LP$60=U$4)*(GMW!$LR$2:$LR$60=U$1),0),$C34-1966)</f>
        <v>52.644150000000003</v>
      </c>
      <c r="V34" s="4" cm="1">
        <f t="array" ref="V34">INDEX(GMW!$A$2:$LR$60,MATCH(1,(GMW!$LQ$2:$LQ$60=V$3)*(GMW!$LP$2:$LP$60=V$4)*(GMW!$LR$2:$LR$60=V$1),0),$C34-1966)</f>
        <v>29.718730000000001</v>
      </c>
      <c r="W34" s="4" cm="1">
        <f t="array" ref="W34">INDEX(GMW!$A$2:$LR$60,MATCH(1,(GMW!$LQ$2:$LQ$60=W$3)*(GMW!$LP$2:$LP$60=W$4)*(GMW!$LR$2:$LR$60=W$1),0),$C34-1966)</f>
        <v>1E-3</v>
      </c>
      <c r="X34" s="4" cm="1">
        <f t="array" ref="X34">INDEX(GMW!$A$2:$LR$60,MATCH(1,(GMW!$LQ$2:$LQ$60=X$3)*(GMW!$LP$2:$LP$60=X$4)*(GMW!$LR$2:$LR$60=X$1),0),$C34-1966)</f>
        <v>1E-3</v>
      </c>
      <c r="Y34" s="4" cm="1">
        <f t="array" ref="Y34">INDEX(GMW!$A$2:$LR$60,MATCH(1,(GMW!$LQ$2:$LQ$60=Y$3)*(GMW!$LP$2:$LP$60=Y$4)*(GMW!$LR$2:$LR$60=Y$1),0),$C34-1966)</f>
        <v>1E-3</v>
      </c>
      <c r="Z34" s="4" cm="1">
        <f t="array" ref="Z34">INDEX(GMW!$A$2:$LR$60,MATCH(1,(GMW!$LQ$2:$LQ$60=Z$3)*(GMW!$LP$2:$LP$60=Z$4)*(GMW!$LR$2:$LR$60=Z$1),0),$C34-1966)</f>
        <v>1E-3</v>
      </c>
      <c r="AA34" s="4" cm="1">
        <f t="array" ref="AA34">INDEX(GMW!$A$2:$LR$60,MATCH(1,(GMW!$LQ$2:$LQ$60=AA$3)*(GMW!$LP$2:$LP$60=AA$4)*(GMW!$LR$2:$LR$60=AA$1),0),$C34-1966)</f>
        <v>126389</v>
      </c>
      <c r="AB34" s="4" cm="1">
        <f t="array" ref="AB34">INDEX(GMW!$A$2:$LR$60,MATCH(1,(GMW!$LQ$2:$LQ$60=AB$3)*(GMW!$LP$2:$LP$60=AB$4)*(GMW!$LR$2:$LR$60=AB$1),0),$C34-1966)</f>
        <v>47391</v>
      </c>
      <c r="AC34" s="4" cm="1">
        <f t="array" ref="AC34">INDEX(GMW!$A$2:$LR$60,MATCH(1,(GMW!$LQ$2:$LQ$60=AC$3)*(GMW!$LP$2:$LP$60=AC$4)*(GMW!$LR$2:$LR$60=AC$1),0),$C34-1966)</f>
        <v>57018</v>
      </c>
      <c r="AD34" s="4" cm="1">
        <f t="array" ref="AD34">INDEX(GMW!$A$2:$LR$60,MATCH(1,(GMW!$LQ$2:$LQ$60=AD$3)*(GMW!$LP$2:$LP$60=AD$4)*(GMW!$LR$2:$LR$60=AD$1),0),$C34-1966)</f>
        <v>41365</v>
      </c>
      <c r="AE34" s="4" cm="1">
        <f t="array" ref="AE34">INDEX(GMW!$A$2:$LR$60,MATCH(1,(GMW!$LQ$2:$LQ$60=AE$3)*(GMW!$LP$2:$LP$60=AE$4)*(GMW!$LR$2:$LR$60=AE$1),0),$C34-1966)</f>
        <v>34338</v>
      </c>
      <c r="AF34" s="4" cm="1">
        <f t="array" ref="AF34">INDEX(GMW!$A$2:$LR$60,MATCH(1,(GMW!$LQ$2:$LQ$60=AF$3)*(GMW!$LP$2:$LP$60=AF$4)*(GMW!$LR$2:$LR$60=AF$1),0),$C34-1966)</f>
        <v>1E-3</v>
      </c>
      <c r="AG34" s="4" cm="1">
        <f t="array" ref="AG34">INDEX(GMW!$A$2:$LR$60,MATCH(1,(GMW!$LQ$2:$LQ$60=AG$3)*(GMW!$LP$2:$LP$60=AG$4)*(GMW!$LR$2:$LR$60=AG$1),0),$C34-1966)</f>
        <v>1E-3</v>
      </c>
    </row>
    <row r="35" spans="1:33" x14ac:dyDescent="0.25">
      <c r="A35" s="4">
        <v>1980</v>
      </c>
      <c r="B35" s="4">
        <f t="shared" si="1"/>
        <v>1980</v>
      </c>
      <c r="C35" s="4">
        <f t="shared" si="0"/>
        <v>2001</v>
      </c>
      <c r="D35" s="4" cm="1">
        <f t="array" ref="D35">INDEX(GMW!$A$2:$LR$60,MATCH(1,(GMW!$LQ$2:$LQ$60=D$3)*(GMW!$LP$2:$LP$60=D$4)*(GMW!$LR$2:$LR$60=D$1),0),$C35-1966)</f>
        <v>243513</v>
      </c>
      <c r="E35" s="4" cm="1">
        <f t="array" ref="E35">INDEX(GMW!$A$2:$LR$60,MATCH(1,(GMW!$LQ$2:$LQ$60=E$3)*(GMW!$LP$2:$LP$60=E$4)*(GMW!$LR$2:$LR$60=E$1),0),$C35-1966)</f>
        <v>243513</v>
      </c>
      <c r="F35" s="4" cm="1">
        <f t="array" ref="F35">INDEX(GMW!$A$2:$LR$60,MATCH(1,(GMW!$LQ$2:$LQ$60=F$3)*(GMW!$LP$2:$LP$60=F$4)*(GMW!$LR$2:$LR$60=F$1),0),$C35-1966)</f>
        <v>243513</v>
      </c>
      <c r="G35" s="4" cm="1">
        <f t="array" ref="G35">INDEX(GMW!$A$2:$LR$60,MATCH(1,(GMW!$LQ$2:$LQ$60=G$3)*(GMW!$LP$2:$LP$60=G$4)*(GMW!$LR$2:$LR$60=G$1),0),$C35-1966)</f>
        <v>243513</v>
      </c>
      <c r="H35" s="4" cm="1">
        <f t="array" ref="H35">INDEX(GMW!$A$2:$LR$60,MATCH(1,(GMW!$LQ$2:$LQ$60=H$3)*(GMW!$LP$2:$LP$60=H$4)*(GMW!$LR$2:$LR$60=H$1),0),$C35-1966)</f>
        <v>243513</v>
      </c>
      <c r="I35" s="4" cm="1">
        <f t="array" ref="I35">INDEX(GMW!$A$2:$LR$60,MATCH(1,(GMW!$LQ$2:$LQ$60=I$3)*(GMW!$LP$2:$LP$60=I$4)*(GMW!$LR$2:$LR$60=I$1),0),$C35-1966)</f>
        <v>243513</v>
      </c>
      <c r="J35" s="4" cm="1">
        <f t="array" ref="J35">INDEX(GMW!$A$2:$LR$60,MATCH(1,(GMW!$LQ$2:$LQ$60=J$3)*(GMW!$LP$2:$LP$60=J$4)*(GMW!$LR$2:$LR$60=J$1),0),$C35-1966)</f>
        <v>243513</v>
      </c>
      <c r="K35" s="4" cm="1">
        <f t="array" ref="K35">INDEX(GMW!$A$2:$LR$60,MATCH(1,(GMW!$LQ$2:$LQ$60=K$3)*(GMW!$LP$2:$LP$60=K$4)*(GMW!$LR$2:$LR$60=K$1),0),$C35-1966)</f>
        <v>243513</v>
      </c>
      <c r="L35" s="4" cm="1">
        <f t="array" ref="L35">INDEX(GMW!$A$2:$LR$60,MATCH(1,(GMW!$LQ$2:$LQ$60=L$3)*(GMW!$LP$2:$LP$60=L$4)*(GMW!$LR$2:$LR$60=L$1),0),$C35-1966)</f>
        <v>243513</v>
      </c>
      <c r="M35" s="4" cm="1">
        <f t="array" ref="M35">INDEX(GMW!$A$2:$LR$60,MATCH(1,(GMW!$LQ$2:$LQ$60=M$3)*(GMW!$LP$2:$LP$60=M$4)*(GMW!$LR$2:$LR$60=M$1),0),$C35-1966)</f>
        <v>243513</v>
      </c>
      <c r="N35" s="4" cm="1">
        <f t="array" ref="N35">INDEX(GMW!$A$2:$LR$60,MATCH(1,(GMW!$LQ$2:$LQ$60=N$3)*(GMW!$LP$2:$LP$60=N$4)*(GMW!$LR$2:$LR$60=N$1),0),$C35-1966)</f>
        <v>243513</v>
      </c>
      <c r="O35" s="4" cm="1">
        <f t="array" ref="O35">INDEX(GMW!$A$2:$LR$60,MATCH(1,(GMW!$LQ$2:$LQ$60=O$3)*(GMW!$LP$2:$LP$60=O$4)*(GMW!$LR$2:$LR$60=O$1),0),$C35-1966)</f>
        <v>243513</v>
      </c>
      <c r="P35" s="4" cm="1">
        <f t="array" ref="P35">INDEX(GMW!$A$2:$LR$60,MATCH(1,(GMW!$LQ$2:$LQ$60=P$3)*(GMW!$LP$2:$LP$60=P$4)*(GMW!$LR$2:$LR$60=P$1),0),$C35-1966)</f>
        <v>243513</v>
      </c>
      <c r="Q35" s="4" cm="1">
        <f t="array" ref="Q35">INDEX(GMW!$A$2:$LR$60,MATCH(1,(GMW!$LQ$2:$LQ$60=Q$3)*(GMW!$LP$2:$LP$60=Q$4)*(GMW!$LR$2:$LR$60=Q$1),0),$C35-1966)</f>
        <v>243513</v>
      </c>
      <c r="R35" s="4" cm="1">
        <f t="array" ref="R35">INDEX(GMW!$A$2:$LR$60,MATCH(1,(GMW!$LQ$2:$LQ$60=R$3)*(GMW!$LP$2:$LP$60=R$4)*(GMW!$LR$2:$LR$60=R$1),0),$C35-1966)</f>
        <v>243513</v>
      </c>
      <c r="S35" s="4" cm="1">
        <f t="array" ref="S35">INDEX(GMW!$A$2:$LR$60,MATCH(1,(GMW!$LQ$2:$LQ$60=S$3)*(GMW!$LP$2:$LP$60=S$4)*(GMW!$LR$2:$LR$60=S$1),0),$C35-1966)</f>
        <v>243513</v>
      </c>
      <c r="T35" s="4" cm="1">
        <f t="array" ref="T35">INDEX(GMW!$A$2:$LR$60,MATCH(1,(GMW!$LQ$2:$LQ$60=T$3)*(GMW!$LP$2:$LP$60=T$4)*(GMW!$LR$2:$LR$60=T$1),0),$C35-1966)</f>
        <v>243513</v>
      </c>
      <c r="U35" s="4" cm="1">
        <f t="array" ref="U35">INDEX(GMW!$A$2:$LR$60,MATCH(1,(GMW!$LQ$2:$LQ$60=U$3)*(GMW!$LP$2:$LP$60=U$4)*(GMW!$LR$2:$LR$60=U$1),0),$C35-1966)</f>
        <v>54.906700000000001</v>
      </c>
      <c r="V35" s="4" cm="1">
        <f t="array" ref="V35">INDEX(GMW!$A$2:$LR$60,MATCH(1,(GMW!$LQ$2:$LQ$60=V$3)*(GMW!$LP$2:$LP$60=V$4)*(GMW!$LR$2:$LR$60=V$1),0),$C35-1966)</f>
        <v>30.605080000000001</v>
      </c>
      <c r="W35" s="4" cm="1">
        <f t="array" ref="W35">INDEX(GMW!$A$2:$LR$60,MATCH(1,(GMW!$LQ$2:$LQ$60=W$3)*(GMW!$LP$2:$LP$60=W$4)*(GMW!$LR$2:$LR$60=W$1),0),$C35-1966)</f>
        <v>1E-3</v>
      </c>
      <c r="X35" s="4" cm="1">
        <f t="array" ref="X35">INDEX(GMW!$A$2:$LR$60,MATCH(1,(GMW!$LQ$2:$LQ$60=X$3)*(GMW!$LP$2:$LP$60=X$4)*(GMW!$LR$2:$LR$60=X$1),0),$C35-1966)</f>
        <v>1E-3</v>
      </c>
      <c r="Y35" s="4" cm="1">
        <f t="array" ref="Y35">INDEX(GMW!$A$2:$LR$60,MATCH(1,(GMW!$LQ$2:$LQ$60=Y$3)*(GMW!$LP$2:$LP$60=Y$4)*(GMW!$LR$2:$LR$60=Y$1),0),$C35-1966)</f>
        <v>1E-3</v>
      </c>
      <c r="Z35" s="4" cm="1">
        <f t="array" ref="Z35">INDEX(GMW!$A$2:$LR$60,MATCH(1,(GMW!$LQ$2:$LQ$60=Z$3)*(GMW!$LP$2:$LP$60=Z$4)*(GMW!$LR$2:$LR$60=Z$1),0),$C35-1966)</f>
        <v>1E-3</v>
      </c>
      <c r="AA35" s="4" cm="1">
        <f t="array" ref="AA35">INDEX(GMW!$A$2:$LR$60,MATCH(1,(GMW!$LQ$2:$LQ$60=AA$3)*(GMW!$LP$2:$LP$60=AA$4)*(GMW!$LR$2:$LR$60=AA$1),0),$C35-1966)</f>
        <v>128541</v>
      </c>
      <c r="AB35" s="4" cm="1">
        <f t="array" ref="AB35">INDEX(GMW!$A$2:$LR$60,MATCH(1,(GMW!$LQ$2:$LQ$60=AB$3)*(GMW!$LP$2:$LP$60=AB$4)*(GMW!$LR$2:$LR$60=AB$1),0),$C35-1966)</f>
        <v>45107</v>
      </c>
      <c r="AC35" s="4" cm="1">
        <f t="array" ref="AC35">INDEX(GMW!$A$2:$LR$60,MATCH(1,(GMW!$LQ$2:$LQ$60=AC$3)*(GMW!$LP$2:$LP$60=AC$4)*(GMW!$LR$2:$LR$60=AC$1),0),$C35-1966)</f>
        <v>57351</v>
      </c>
      <c r="AD35" s="4" cm="1">
        <f t="array" ref="AD35">INDEX(GMW!$A$2:$LR$60,MATCH(1,(GMW!$LQ$2:$LQ$60=AD$3)*(GMW!$LP$2:$LP$60=AD$4)*(GMW!$LR$2:$LR$60=AD$1),0),$C35-1966)</f>
        <v>41929</v>
      </c>
      <c r="AE35" s="4" cm="1">
        <f t="array" ref="AE35">INDEX(GMW!$A$2:$LR$60,MATCH(1,(GMW!$LQ$2:$LQ$60=AE$3)*(GMW!$LP$2:$LP$60=AE$4)*(GMW!$LR$2:$LR$60=AE$1),0),$C35-1966)</f>
        <v>34772</v>
      </c>
      <c r="AF35" s="4" cm="1">
        <f t="array" ref="AF35">INDEX(GMW!$A$2:$LR$60,MATCH(1,(GMW!$LQ$2:$LQ$60=AF$3)*(GMW!$LP$2:$LP$60=AF$4)*(GMW!$LR$2:$LR$60=AF$1),0),$C35-1966)</f>
        <v>1E-3</v>
      </c>
      <c r="AG35" s="4" cm="1">
        <f t="array" ref="AG35">INDEX(GMW!$A$2:$LR$60,MATCH(1,(GMW!$LQ$2:$LQ$60=AG$3)*(GMW!$LP$2:$LP$60=AG$4)*(GMW!$LR$2:$LR$60=AG$1),0),$C35-1966)</f>
        <v>1E-3</v>
      </c>
    </row>
    <row r="36" spans="1:33" x14ac:dyDescent="0.25">
      <c r="B36" s="4">
        <f t="shared" si="1"/>
        <v>1980</v>
      </c>
      <c r="C36" s="4">
        <f t="shared" si="0"/>
        <v>2002</v>
      </c>
      <c r="D36" s="4" cm="1">
        <f t="array" ref="D36">INDEX(GMW!$A$2:$LR$60,MATCH(1,(GMW!$LQ$2:$LQ$60=D$3)*(GMW!$LP$2:$LP$60=D$4)*(GMW!$LR$2:$LR$60=D$1),0),$C36-1966)</f>
        <v>238722</v>
      </c>
      <c r="E36" s="4" cm="1">
        <f t="array" ref="E36">INDEX(GMW!$A$2:$LR$60,MATCH(1,(GMW!$LQ$2:$LQ$60=E$3)*(GMW!$LP$2:$LP$60=E$4)*(GMW!$LR$2:$LR$60=E$1),0),$C36-1966)</f>
        <v>238722</v>
      </c>
      <c r="F36" s="4" cm="1">
        <f t="array" ref="F36">INDEX(GMW!$A$2:$LR$60,MATCH(1,(GMW!$LQ$2:$LQ$60=F$3)*(GMW!$LP$2:$LP$60=F$4)*(GMW!$LR$2:$LR$60=F$1),0),$C36-1966)</f>
        <v>238722</v>
      </c>
      <c r="G36" s="4" cm="1">
        <f t="array" ref="G36">INDEX(GMW!$A$2:$LR$60,MATCH(1,(GMW!$LQ$2:$LQ$60=G$3)*(GMW!$LP$2:$LP$60=G$4)*(GMW!$LR$2:$LR$60=G$1),0),$C36-1966)</f>
        <v>238722</v>
      </c>
      <c r="H36" s="4" cm="1">
        <f t="array" ref="H36">INDEX(GMW!$A$2:$LR$60,MATCH(1,(GMW!$LQ$2:$LQ$60=H$3)*(GMW!$LP$2:$LP$60=H$4)*(GMW!$LR$2:$LR$60=H$1),0),$C36-1966)</f>
        <v>238722</v>
      </c>
      <c r="I36" s="4" cm="1">
        <f t="array" ref="I36">INDEX(GMW!$A$2:$LR$60,MATCH(1,(GMW!$LQ$2:$LQ$60=I$3)*(GMW!$LP$2:$LP$60=I$4)*(GMW!$LR$2:$LR$60=I$1),0),$C36-1966)</f>
        <v>238722</v>
      </c>
      <c r="J36" s="4" cm="1">
        <f t="array" ref="J36">INDEX(GMW!$A$2:$LR$60,MATCH(1,(GMW!$LQ$2:$LQ$60=J$3)*(GMW!$LP$2:$LP$60=J$4)*(GMW!$LR$2:$LR$60=J$1),0),$C36-1966)</f>
        <v>238722</v>
      </c>
      <c r="K36" s="4" cm="1">
        <f t="array" ref="K36">INDEX(GMW!$A$2:$LR$60,MATCH(1,(GMW!$LQ$2:$LQ$60=K$3)*(GMW!$LP$2:$LP$60=K$4)*(GMW!$LR$2:$LR$60=K$1),0),$C36-1966)</f>
        <v>238722</v>
      </c>
      <c r="L36" s="4" cm="1">
        <f t="array" ref="L36">INDEX(GMW!$A$2:$LR$60,MATCH(1,(GMW!$LQ$2:$LQ$60=L$3)*(GMW!$LP$2:$LP$60=L$4)*(GMW!$LR$2:$LR$60=L$1),0),$C36-1966)</f>
        <v>238722</v>
      </c>
      <c r="M36" s="4" cm="1">
        <f t="array" ref="M36">INDEX(GMW!$A$2:$LR$60,MATCH(1,(GMW!$LQ$2:$LQ$60=M$3)*(GMW!$LP$2:$LP$60=M$4)*(GMW!$LR$2:$LR$60=M$1),0),$C36-1966)</f>
        <v>238722</v>
      </c>
      <c r="N36" s="4" cm="1">
        <f t="array" ref="N36">INDEX(GMW!$A$2:$LR$60,MATCH(1,(GMW!$LQ$2:$LQ$60=N$3)*(GMW!$LP$2:$LP$60=N$4)*(GMW!$LR$2:$LR$60=N$1),0),$C36-1966)</f>
        <v>238722</v>
      </c>
      <c r="O36" s="4" cm="1">
        <f t="array" ref="O36">INDEX(GMW!$A$2:$LR$60,MATCH(1,(GMW!$LQ$2:$LQ$60=O$3)*(GMW!$LP$2:$LP$60=O$4)*(GMW!$LR$2:$LR$60=O$1),0),$C36-1966)</f>
        <v>238722</v>
      </c>
      <c r="P36" s="4" cm="1">
        <f t="array" ref="P36">INDEX(GMW!$A$2:$LR$60,MATCH(1,(GMW!$LQ$2:$LQ$60=P$3)*(GMW!$LP$2:$LP$60=P$4)*(GMW!$LR$2:$LR$60=P$1),0),$C36-1966)</f>
        <v>238722</v>
      </c>
      <c r="Q36" s="4" cm="1">
        <f t="array" ref="Q36">INDEX(GMW!$A$2:$LR$60,MATCH(1,(GMW!$LQ$2:$LQ$60=Q$3)*(GMW!$LP$2:$LP$60=Q$4)*(GMW!$LR$2:$LR$60=Q$1),0),$C36-1966)</f>
        <v>238722</v>
      </c>
      <c r="R36" s="4" cm="1">
        <f t="array" ref="R36">INDEX(GMW!$A$2:$LR$60,MATCH(1,(GMW!$LQ$2:$LQ$60=R$3)*(GMW!$LP$2:$LP$60=R$4)*(GMW!$LR$2:$LR$60=R$1),0),$C36-1966)</f>
        <v>238722</v>
      </c>
      <c r="S36" s="4" cm="1">
        <f t="array" ref="S36">INDEX(GMW!$A$2:$LR$60,MATCH(1,(GMW!$LQ$2:$LQ$60=S$3)*(GMW!$LP$2:$LP$60=S$4)*(GMW!$LR$2:$LR$60=S$1),0),$C36-1966)</f>
        <v>238722</v>
      </c>
      <c r="T36" s="4" cm="1">
        <f t="array" ref="T36">INDEX(GMW!$A$2:$LR$60,MATCH(1,(GMW!$LQ$2:$LQ$60=T$3)*(GMW!$LP$2:$LP$60=T$4)*(GMW!$LR$2:$LR$60=T$1),0),$C36-1966)</f>
        <v>238722</v>
      </c>
      <c r="U36" s="4" cm="1">
        <f t="array" ref="U36">INDEX(GMW!$A$2:$LR$60,MATCH(1,(GMW!$LQ$2:$LQ$60=U$3)*(GMW!$LP$2:$LP$60=U$4)*(GMW!$LR$2:$LR$60=U$1),0),$C36-1966)</f>
        <v>59.170099999999998</v>
      </c>
      <c r="V36" s="4" cm="1">
        <f t="array" ref="V36">INDEX(GMW!$A$2:$LR$60,MATCH(1,(GMW!$LQ$2:$LQ$60=V$3)*(GMW!$LP$2:$LP$60=V$4)*(GMW!$LR$2:$LR$60=V$1),0),$C36-1966)</f>
        <v>32.247430000000001</v>
      </c>
      <c r="W36" s="4" cm="1">
        <f t="array" ref="W36">INDEX(GMW!$A$2:$LR$60,MATCH(1,(GMW!$LQ$2:$LQ$60=W$3)*(GMW!$LP$2:$LP$60=W$4)*(GMW!$LR$2:$LR$60=W$1),0),$C36-1966)</f>
        <v>1E-3</v>
      </c>
      <c r="X36" s="4" cm="1">
        <f t="array" ref="X36">INDEX(GMW!$A$2:$LR$60,MATCH(1,(GMW!$LQ$2:$LQ$60=X$3)*(GMW!$LP$2:$LP$60=X$4)*(GMW!$LR$2:$LR$60=X$1),0),$C36-1966)</f>
        <v>1E-3</v>
      </c>
      <c r="Y36" s="4" cm="1">
        <f t="array" ref="Y36">INDEX(GMW!$A$2:$LR$60,MATCH(1,(GMW!$LQ$2:$LQ$60=Y$3)*(GMW!$LP$2:$LP$60=Y$4)*(GMW!$LR$2:$LR$60=Y$1),0),$C36-1966)</f>
        <v>1E-3</v>
      </c>
      <c r="Z36" s="4" cm="1">
        <f t="array" ref="Z36">INDEX(GMW!$A$2:$LR$60,MATCH(1,(GMW!$LQ$2:$LQ$60=Z$3)*(GMW!$LP$2:$LP$60=Z$4)*(GMW!$LR$2:$LR$60=Z$1),0),$C36-1966)</f>
        <v>1E-3</v>
      </c>
      <c r="AA36" s="4" cm="1">
        <f t="array" ref="AA36">INDEX(GMW!$A$2:$LR$60,MATCH(1,(GMW!$LQ$2:$LQ$60=AA$3)*(GMW!$LP$2:$LP$60=AA$4)*(GMW!$LR$2:$LR$60=AA$1),0),$C36-1966)</f>
        <v>125194</v>
      </c>
      <c r="AB36" s="4" cm="1">
        <f t="array" ref="AB36">INDEX(GMW!$A$2:$LR$60,MATCH(1,(GMW!$LQ$2:$LQ$60=AB$3)*(GMW!$LP$2:$LP$60=AB$4)*(GMW!$LR$2:$LR$60=AB$1),0),$C36-1966)</f>
        <v>43343</v>
      </c>
      <c r="AC36" s="4" cm="1">
        <f t="array" ref="AC36">INDEX(GMW!$A$2:$LR$60,MATCH(1,(GMW!$LQ$2:$LQ$60=AC$3)*(GMW!$LP$2:$LP$60=AC$4)*(GMW!$LR$2:$LR$60=AC$1),0),$C36-1966)</f>
        <v>56854</v>
      </c>
      <c r="AD36" s="4" cm="1">
        <f t="array" ref="AD36">INDEX(GMW!$A$2:$LR$60,MATCH(1,(GMW!$LQ$2:$LQ$60=AD$3)*(GMW!$LP$2:$LP$60=AD$4)*(GMW!$LR$2:$LR$60=AD$1),0),$C36-1966)</f>
        <v>40209</v>
      </c>
      <c r="AE36" s="4" cm="1">
        <f t="array" ref="AE36">INDEX(GMW!$A$2:$LR$60,MATCH(1,(GMW!$LQ$2:$LQ$60=AE$3)*(GMW!$LP$2:$LP$60=AE$4)*(GMW!$LR$2:$LR$60=AE$1),0),$C36-1966)</f>
        <v>33523</v>
      </c>
      <c r="AF36" s="4" cm="1">
        <f t="array" ref="AF36">INDEX(GMW!$A$2:$LR$60,MATCH(1,(GMW!$LQ$2:$LQ$60=AF$3)*(GMW!$LP$2:$LP$60=AF$4)*(GMW!$LR$2:$LR$60=AF$1),0),$C36-1966)</f>
        <v>1E-3</v>
      </c>
      <c r="AG36" s="4" cm="1">
        <f t="array" ref="AG36">INDEX(GMW!$A$2:$LR$60,MATCH(1,(GMW!$LQ$2:$LQ$60=AG$3)*(GMW!$LP$2:$LP$60=AG$4)*(GMW!$LR$2:$LR$60=AG$1),0),$C36-1966)</f>
        <v>1E-3</v>
      </c>
    </row>
    <row r="37" spans="1:33" x14ac:dyDescent="0.25">
      <c r="B37" s="4">
        <f t="shared" si="1"/>
        <v>1980</v>
      </c>
      <c r="C37" s="4">
        <f t="shared" si="0"/>
        <v>2003</v>
      </c>
      <c r="D37" s="4" cm="1">
        <f t="array" ref="D37">INDEX(GMW!$A$2:$LR$60,MATCH(1,(GMW!$LQ$2:$LQ$60=D$3)*(GMW!$LP$2:$LP$60=D$4)*(GMW!$LR$2:$LR$60=D$1),0),$C37-1966)</f>
        <v>238432</v>
      </c>
      <c r="E37" s="4" cm="1">
        <f t="array" ref="E37">INDEX(GMW!$A$2:$LR$60,MATCH(1,(GMW!$LQ$2:$LQ$60=E$3)*(GMW!$LP$2:$LP$60=E$4)*(GMW!$LR$2:$LR$60=E$1),0),$C37-1966)</f>
        <v>238432</v>
      </c>
      <c r="F37" s="4" cm="1">
        <f t="array" ref="F37">INDEX(GMW!$A$2:$LR$60,MATCH(1,(GMW!$LQ$2:$LQ$60=F$3)*(GMW!$LP$2:$LP$60=F$4)*(GMW!$LR$2:$LR$60=F$1),0),$C37-1966)</f>
        <v>238432</v>
      </c>
      <c r="G37" s="4" cm="1">
        <f t="array" ref="G37">INDEX(GMW!$A$2:$LR$60,MATCH(1,(GMW!$LQ$2:$LQ$60=G$3)*(GMW!$LP$2:$LP$60=G$4)*(GMW!$LR$2:$LR$60=G$1),0),$C37-1966)</f>
        <v>238432</v>
      </c>
      <c r="H37" s="4" cm="1">
        <f t="array" ref="H37">INDEX(GMW!$A$2:$LR$60,MATCH(1,(GMW!$LQ$2:$LQ$60=H$3)*(GMW!$LP$2:$LP$60=H$4)*(GMW!$LR$2:$LR$60=H$1),0),$C37-1966)</f>
        <v>238432</v>
      </c>
      <c r="I37" s="4" cm="1">
        <f t="array" ref="I37">INDEX(GMW!$A$2:$LR$60,MATCH(1,(GMW!$LQ$2:$LQ$60=I$3)*(GMW!$LP$2:$LP$60=I$4)*(GMW!$LR$2:$LR$60=I$1),0),$C37-1966)</f>
        <v>238432</v>
      </c>
      <c r="J37" s="4" cm="1">
        <f t="array" ref="J37">INDEX(GMW!$A$2:$LR$60,MATCH(1,(GMW!$LQ$2:$LQ$60=J$3)*(GMW!$LP$2:$LP$60=J$4)*(GMW!$LR$2:$LR$60=J$1),0),$C37-1966)</f>
        <v>238432</v>
      </c>
      <c r="K37" s="4" cm="1">
        <f t="array" ref="K37">INDEX(GMW!$A$2:$LR$60,MATCH(1,(GMW!$LQ$2:$LQ$60=K$3)*(GMW!$LP$2:$LP$60=K$4)*(GMW!$LR$2:$LR$60=K$1),0),$C37-1966)</f>
        <v>238432</v>
      </c>
      <c r="L37" s="4" cm="1">
        <f t="array" ref="L37">INDEX(GMW!$A$2:$LR$60,MATCH(1,(GMW!$LQ$2:$LQ$60=L$3)*(GMW!$LP$2:$LP$60=L$4)*(GMW!$LR$2:$LR$60=L$1),0),$C37-1966)</f>
        <v>238432</v>
      </c>
      <c r="M37" s="4" cm="1">
        <f t="array" ref="M37">INDEX(GMW!$A$2:$LR$60,MATCH(1,(GMW!$LQ$2:$LQ$60=M$3)*(GMW!$LP$2:$LP$60=M$4)*(GMW!$LR$2:$LR$60=M$1),0),$C37-1966)</f>
        <v>238432</v>
      </c>
      <c r="N37" s="4" cm="1">
        <f t="array" ref="N37">INDEX(GMW!$A$2:$LR$60,MATCH(1,(GMW!$LQ$2:$LQ$60=N$3)*(GMW!$LP$2:$LP$60=N$4)*(GMW!$LR$2:$LR$60=N$1),0),$C37-1966)</f>
        <v>238432</v>
      </c>
      <c r="O37" s="4" cm="1">
        <f t="array" ref="O37">INDEX(GMW!$A$2:$LR$60,MATCH(1,(GMW!$LQ$2:$LQ$60=O$3)*(GMW!$LP$2:$LP$60=O$4)*(GMW!$LR$2:$LR$60=O$1),0),$C37-1966)</f>
        <v>238432</v>
      </c>
      <c r="P37" s="4" cm="1">
        <f t="array" ref="P37">INDEX(GMW!$A$2:$LR$60,MATCH(1,(GMW!$LQ$2:$LQ$60=P$3)*(GMW!$LP$2:$LP$60=P$4)*(GMW!$LR$2:$LR$60=P$1),0),$C37-1966)</f>
        <v>238432</v>
      </c>
      <c r="Q37" s="4" cm="1">
        <f t="array" ref="Q37">INDEX(GMW!$A$2:$LR$60,MATCH(1,(GMW!$LQ$2:$LQ$60=Q$3)*(GMW!$LP$2:$LP$60=Q$4)*(GMW!$LR$2:$LR$60=Q$1),0),$C37-1966)</f>
        <v>238432</v>
      </c>
      <c r="R37" s="4" cm="1">
        <f t="array" ref="R37">INDEX(GMW!$A$2:$LR$60,MATCH(1,(GMW!$LQ$2:$LQ$60=R$3)*(GMW!$LP$2:$LP$60=R$4)*(GMW!$LR$2:$LR$60=R$1),0),$C37-1966)</f>
        <v>238432</v>
      </c>
      <c r="S37" s="4" cm="1">
        <f t="array" ref="S37">INDEX(GMW!$A$2:$LR$60,MATCH(1,(GMW!$LQ$2:$LQ$60=S$3)*(GMW!$LP$2:$LP$60=S$4)*(GMW!$LR$2:$LR$60=S$1),0),$C37-1966)</f>
        <v>238432</v>
      </c>
      <c r="T37" s="4" cm="1">
        <f t="array" ref="T37">INDEX(GMW!$A$2:$LR$60,MATCH(1,(GMW!$LQ$2:$LQ$60=T$3)*(GMW!$LP$2:$LP$60=T$4)*(GMW!$LR$2:$LR$60=T$1),0),$C37-1966)</f>
        <v>238432</v>
      </c>
      <c r="U37" s="4" cm="1">
        <f t="array" ref="U37">INDEX(GMW!$A$2:$LR$60,MATCH(1,(GMW!$LQ$2:$LQ$60=U$3)*(GMW!$LP$2:$LP$60=U$4)*(GMW!$LR$2:$LR$60=U$1),0),$C37-1966)</f>
        <v>63.642139999999998</v>
      </c>
      <c r="V37" s="4" cm="1">
        <f t="array" ref="V37">INDEX(GMW!$A$2:$LR$60,MATCH(1,(GMW!$LQ$2:$LQ$60=V$3)*(GMW!$LP$2:$LP$60=V$4)*(GMW!$LR$2:$LR$60=V$1),0),$C37-1966)</f>
        <v>32.951300000000003</v>
      </c>
      <c r="W37" s="4" cm="1">
        <f t="array" ref="W37">INDEX(GMW!$A$2:$LR$60,MATCH(1,(GMW!$LQ$2:$LQ$60=W$3)*(GMW!$LP$2:$LP$60=W$4)*(GMW!$LR$2:$LR$60=W$1),0),$C37-1966)</f>
        <v>1E-3</v>
      </c>
      <c r="X37" s="4" cm="1">
        <f t="array" ref="X37">INDEX(GMW!$A$2:$LR$60,MATCH(1,(GMW!$LQ$2:$LQ$60=X$3)*(GMW!$LP$2:$LP$60=X$4)*(GMW!$LR$2:$LR$60=X$1),0),$C37-1966)</f>
        <v>1E-3</v>
      </c>
      <c r="Y37" s="4" cm="1">
        <f t="array" ref="Y37">INDEX(GMW!$A$2:$LR$60,MATCH(1,(GMW!$LQ$2:$LQ$60=Y$3)*(GMW!$LP$2:$LP$60=Y$4)*(GMW!$LR$2:$LR$60=Y$1),0),$C37-1966)</f>
        <v>1E-3</v>
      </c>
      <c r="Z37" s="4" cm="1">
        <f t="array" ref="Z37">INDEX(GMW!$A$2:$LR$60,MATCH(1,(GMW!$LQ$2:$LQ$60=Z$3)*(GMW!$LP$2:$LP$60=Z$4)*(GMW!$LR$2:$LR$60=Z$1),0),$C37-1966)</f>
        <v>1E-3</v>
      </c>
      <c r="AA37" s="4" cm="1">
        <f t="array" ref="AA37">INDEX(GMW!$A$2:$LR$60,MATCH(1,(GMW!$LQ$2:$LQ$60=AA$3)*(GMW!$LP$2:$LP$60=AA$4)*(GMW!$LR$2:$LR$60=AA$1),0),$C37-1966)</f>
        <v>126835</v>
      </c>
      <c r="AB37" s="4" cm="1">
        <f t="array" ref="AB37">INDEX(GMW!$A$2:$LR$60,MATCH(1,(GMW!$LQ$2:$LQ$60=AB$3)*(GMW!$LP$2:$LP$60=AB$4)*(GMW!$LR$2:$LR$60=AB$1),0),$C37-1966)</f>
        <v>42572</v>
      </c>
      <c r="AC37" s="4" cm="1">
        <f t="array" ref="AC37">INDEX(GMW!$A$2:$LR$60,MATCH(1,(GMW!$LQ$2:$LQ$60=AC$3)*(GMW!$LP$2:$LP$60=AC$4)*(GMW!$LR$2:$LR$60=AC$1),0),$C37-1966)</f>
        <v>57743</v>
      </c>
      <c r="AD37" s="4" cm="1">
        <f t="array" ref="AD37">INDEX(GMW!$A$2:$LR$60,MATCH(1,(GMW!$LQ$2:$LQ$60=AD$3)*(GMW!$LP$2:$LP$60=AD$4)*(GMW!$LR$2:$LR$60=AD$1),0),$C37-1966)</f>
        <v>39182</v>
      </c>
      <c r="AE37" s="4" cm="1">
        <f t="array" ref="AE37">INDEX(GMW!$A$2:$LR$60,MATCH(1,(GMW!$LQ$2:$LQ$60=AE$3)*(GMW!$LP$2:$LP$60=AE$4)*(GMW!$LR$2:$LR$60=AE$1),0),$C37-1966)</f>
        <v>30723</v>
      </c>
      <c r="AF37" s="4" cm="1">
        <f t="array" ref="AF37">INDEX(GMW!$A$2:$LR$60,MATCH(1,(GMW!$LQ$2:$LQ$60=AF$3)*(GMW!$LP$2:$LP$60=AF$4)*(GMW!$LR$2:$LR$60=AF$1),0),$C37-1966)</f>
        <v>1E-3</v>
      </c>
      <c r="AG37" s="4" cm="1">
        <f t="array" ref="AG37">INDEX(GMW!$A$2:$LR$60,MATCH(1,(GMW!$LQ$2:$LQ$60=AG$3)*(GMW!$LP$2:$LP$60=AG$4)*(GMW!$LR$2:$LR$60=AG$1),0),$C37-1966)</f>
        <v>1E-3</v>
      </c>
    </row>
    <row r="38" spans="1:33" x14ac:dyDescent="0.25">
      <c r="B38" s="4">
        <f t="shared" si="1"/>
        <v>1980</v>
      </c>
      <c r="C38" s="4">
        <f t="shared" si="0"/>
        <v>2004</v>
      </c>
      <c r="D38" s="4" cm="1">
        <f t="array" ref="D38">INDEX(GMW!$A$2:$LR$60,MATCH(1,(GMW!$LQ$2:$LQ$60=D$3)*(GMW!$LP$2:$LP$60=D$4)*(GMW!$LR$2:$LR$60=D$1),0),$C38-1966)</f>
        <v>235866</v>
      </c>
      <c r="E38" s="4" cm="1">
        <f t="array" ref="E38">INDEX(GMW!$A$2:$LR$60,MATCH(1,(GMW!$LQ$2:$LQ$60=E$3)*(GMW!$LP$2:$LP$60=E$4)*(GMW!$LR$2:$LR$60=E$1),0),$C38-1966)</f>
        <v>235866</v>
      </c>
      <c r="F38" s="4" cm="1">
        <f t="array" ref="F38">INDEX(GMW!$A$2:$LR$60,MATCH(1,(GMW!$LQ$2:$LQ$60=F$3)*(GMW!$LP$2:$LP$60=F$4)*(GMW!$LR$2:$LR$60=F$1),0),$C38-1966)</f>
        <v>235866</v>
      </c>
      <c r="G38" s="4" cm="1">
        <f t="array" ref="G38">INDEX(GMW!$A$2:$LR$60,MATCH(1,(GMW!$LQ$2:$LQ$60=G$3)*(GMW!$LP$2:$LP$60=G$4)*(GMW!$LR$2:$LR$60=G$1),0),$C38-1966)</f>
        <v>235866</v>
      </c>
      <c r="H38" s="4" cm="1">
        <f t="array" ref="H38">INDEX(GMW!$A$2:$LR$60,MATCH(1,(GMW!$LQ$2:$LQ$60=H$3)*(GMW!$LP$2:$LP$60=H$4)*(GMW!$LR$2:$LR$60=H$1),0),$C38-1966)</f>
        <v>235866</v>
      </c>
      <c r="I38" s="4" cm="1">
        <f t="array" ref="I38">INDEX(GMW!$A$2:$LR$60,MATCH(1,(GMW!$LQ$2:$LQ$60=I$3)*(GMW!$LP$2:$LP$60=I$4)*(GMW!$LR$2:$LR$60=I$1),0),$C38-1966)</f>
        <v>235866</v>
      </c>
      <c r="J38" s="4" cm="1">
        <f t="array" ref="J38">INDEX(GMW!$A$2:$LR$60,MATCH(1,(GMW!$LQ$2:$LQ$60=J$3)*(GMW!$LP$2:$LP$60=J$4)*(GMW!$LR$2:$LR$60=J$1),0),$C38-1966)</f>
        <v>235866</v>
      </c>
      <c r="K38" s="4" cm="1">
        <f t="array" ref="K38">INDEX(GMW!$A$2:$LR$60,MATCH(1,(GMW!$LQ$2:$LQ$60=K$3)*(GMW!$LP$2:$LP$60=K$4)*(GMW!$LR$2:$LR$60=K$1),0),$C38-1966)</f>
        <v>235866</v>
      </c>
      <c r="L38" s="4" cm="1">
        <f t="array" ref="L38">INDEX(GMW!$A$2:$LR$60,MATCH(1,(GMW!$LQ$2:$LQ$60=L$3)*(GMW!$LP$2:$LP$60=L$4)*(GMW!$LR$2:$LR$60=L$1),0),$C38-1966)</f>
        <v>235866</v>
      </c>
      <c r="M38" s="4" cm="1">
        <f t="array" ref="M38">INDEX(GMW!$A$2:$LR$60,MATCH(1,(GMW!$LQ$2:$LQ$60=M$3)*(GMW!$LP$2:$LP$60=M$4)*(GMW!$LR$2:$LR$60=M$1),0),$C38-1966)</f>
        <v>235866</v>
      </c>
      <c r="N38" s="4" cm="1">
        <f t="array" ref="N38">INDEX(GMW!$A$2:$LR$60,MATCH(1,(GMW!$LQ$2:$LQ$60=N$3)*(GMW!$LP$2:$LP$60=N$4)*(GMW!$LR$2:$LR$60=N$1),0),$C38-1966)</f>
        <v>235866</v>
      </c>
      <c r="O38" s="4" cm="1">
        <f t="array" ref="O38">INDEX(GMW!$A$2:$LR$60,MATCH(1,(GMW!$LQ$2:$LQ$60=O$3)*(GMW!$LP$2:$LP$60=O$4)*(GMW!$LR$2:$LR$60=O$1),0),$C38-1966)</f>
        <v>235866</v>
      </c>
      <c r="P38" s="4" cm="1">
        <f t="array" ref="P38">INDEX(GMW!$A$2:$LR$60,MATCH(1,(GMW!$LQ$2:$LQ$60=P$3)*(GMW!$LP$2:$LP$60=P$4)*(GMW!$LR$2:$LR$60=P$1),0),$C38-1966)</f>
        <v>235866</v>
      </c>
      <c r="Q38" s="4" cm="1">
        <f t="array" ref="Q38">INDEX(GMW!$A$2:$LR$60,MATCH(1,(GMW!$LQ$2:$LQ$60=Q$3)*(GMW!$LP$2:$LP$60=Q$4)*(GMW!$LR$2:$LR$60=Q$1),0),$C38-1966)</f>
        <v>235866</v>
      </c>
      <c r="R38" s="4" cm="1">
        <f t="array" ref="R38">INDEX(GMW!$A$2:$LR$60,MATCH(1,(GMW!$LQ$2:$LQ$60=R$3)*(GMW!$LP$2:$LP$60=R$4)*(GMW!$LR$2:$LR$60=R$1),0),$C38-1966)</f>
        <v>235866</v>
      </c>
      <c r="S38" s="4" cm="1">
        <f t="array" ref="S38">INDEX(GMW!$A$2:$LR$60,MATCH(1,(GMW!$LQ$2:$LQ$60=S$3)*(GMW!$LP$2:$LP$60=S$4)*(GMW!$LR$2:$LR$60=S$1),0),$C38-1966)</f>
        <v>235866</v>
      </c>
      <c r="T38" s="4" cm="1">
        <f t="array" ref="T38">INDEX(GMW!$A$2:$LR$60,MATCH(1,(GMW!$LQ$2:$LQ$60=T$3)*(GMW!$LP$2:$LP$60=T$4)*(GMW!$LR$2:$LR$60=T$1),0),$C38-1966)</f>
        <v>235866</v>
      </c>
      <c r="U38" s="4" cm="1">
        <f t="array" ref="U38">INDEX(GMW!$A$2:$LR$60,MATCH(1,(GMW!$LQ$2:$LQ$60=U$3)*(GMW!$LP$2:$LP$60=U$4)*(GMW!$LR$2:$LR$60=U$1),0),$C38-1966)</f>
        <v>66.771739999999994</v>
      </c>
      <c r="V38" s="4" cm="1">
        <f t="array" ref="V38">INDEX(GMW!$A$2:$LR$60,MATCH(1,(GMW!$LQ$2:$LQ$60=V$3)*(GMW!$LP$2:$LP$60=V$4)*(GMW!$LR$2:$LR$60=V$1),0),$C38-1966)</f>
        <v>33.550879999999999</v>
      </c>
      <c r="W38" s="4" cm="1">
        <f t="array" ref="W38">INDEX(GMW!$A$2:$LR$60,MATCH(1,(GMW!$LQ$2:$LQ$60=W$3)*(GMW!$LP$2:$LP$60=W$4)*(GMW!$LR$2:$LR$60=W$1),0),$C38-1966)</f>
        <v>1E-3</v>
      </c>
      <c r="X38" s="4" cm="1">
        <f t="array" ref="X38">INDEX(GMW!$A$2:$LR$60,MATCH(1,(GMW!$LQ$2:$LQ$60=X$3)*(GMW!$LP$2:$LP$60=X$4)*(GMW!$LR$2:$LR$60=X$1),0),$C38-1966)</f>
        <v>1E-3</v>
      </c>
      <c r="Y38" s="4" cm="1">
        <f t="array" ref="Y38">INDEX(GMW!$A$2:$LR$60,MATCH(1,(GMW!$LQ$2:$LQ$60=Y$3)*(GMW!$LP$2:$LP$60=Y$4)*(GMW!$LR$2:$LR$60=Y$1),0),$C38-1966)</f>
        <v>1E-3</v>
      </c>
      <c r="Z38" s="4" cm="1">
        <f t="array" ref="Z38">INDEX(GMW!$A$2:$LR$60,MATCH(1,(GMW!$LQ$2:$LQ$60=Z$3)*(GMW!$LP$2:$LP$60=Z$4)*(GMW!$LR$2:$LR$60=Z$1),0),$C38-1966)</f>
        <v>1E-3</v>
      </c>
      <c r="AA38" s="4" cm="1">
        <f t="array" ref="AA38">INDEX(GMW!$A$2:$LR$60,MATCH(1,(GMW!$LQ$2:$LQ$60=AA$3)*(GMW!$LP$2:$LP$60=AA$4)*(GMW!$LR$2:$LR$60=AA$1),0),$C38-1966)</f>
        <v>124422</v>
      </c>
      <c r="AB38" s="4" cm="1">
        <f t="array" ref="AB38">INDEX(GMW!$A$2:$LR$60,MATCH(1,(GMW!$LQ$2:$LQ$60=AB$3)*(GMW!$LP$2:$LP$60=AB$4)*(GMW!$LR$2:$LR$60=AB$1),0),$C38-1966)</f>
        <v>41962</v>
      </c>
      <c r="AC38" s="4" cm="1">
        <f t="array" ref="AC38">INDEX(GMW!$A$2:$LR$60,MATCH(1,(GMW!$LQ$2:$LQ$60=AC$3)*(GMW!$LP$2:$LP$60=AC$4)*(GMW!$LR$2:$LR$60=AC$1),0),$C38-1966)</f>
        <v>57933</v>
      </c>
      <c r="AD38" s="4" cm="1">
        <f t="array" ref="AD38">INDEX(GMW!$A$2:$LR$60,MATCH(1,(GMW!$LQ$2:$LQ$60=AD$3)*(GMW!$LP$2:$LP$60=AD$4)*(GMW!$LR$2:$LR$60=AD$1),0),$C38-1966)</f>
        <v>38915</v>
      </c>
      <c r="AE38" s="4" cm="1">
        <f t="array" ref="AE38">INDEX(GMW!$A$2:$LR$60,MATCH(1,(GMW!$LQ$2:$LQ$60=AE$3)*(GMW!$LP$2:$LP$60=AE$4)*(GMW!$LR$2:$LR$60=AE$1),0),$C38-1966)</f>
        <v>30011</v>
      </c>
      <c r="AF38" s="4" cm="1">
        <f t="array" ref="AF38">INDEX(GMW!$A$2:$LR$60,MATCH(1,(GMW!$LQ$2:$LQ$60=AF$3)*(GMW!$LP$2:$LP$60=AF$4)*(GMW!$LR$2:$LR$60=AF$1),0),$C38-1966)</f>
        <v>1E-3</v>
      </c>
      <c r="AG38" s="4" cm="1">
        <f t="array" ref="AG38">INDEX(GMW!$A$2:$LR$60,MATCH(1,(GMW!$LQ$2:$LQ$60=AG$3)*(GMW!$LP$2:$LP$60=AG$4)*(GMW!$LR$2:$LR$60=AG$1),0),$C38-1966)</f>
        <v>1E-3</v>
      </c>
    </row>
    <row r="39" spans="1:33" x14ac:dyDescent="0.25">
      <c r="A39" s="4">
        <v>1981</v>
      </c>
      <c r="B39" s="4">
        <f t="shared" si="1"/>
        <v>1981</v>
      </c>
      <c r="C39" s="4">
        <f t="shared" si="0"/>
        <v>2005</v>
      </c>
      <c r="D39" s="4" cm="1">
        <f t="array" ref="D39">INDEX(GMW!$A$2:$LR$60,MATCH(1,(GMW!$LQ$2:$LQ$60=D$3)*(GMW!$LP$2:$LP$60=D$4)*(GMW!$LR$2:$LR$60=D$1),0),$C39-1966)</f>
        <v>235712</v>
      </c>
      <c r="E39" s="4" cm="1">
        <f t="array" ref="E39">INDEX(GMW!$A$2:$LR$60,MATCH(1,(GMW!$LQ$2:$LQ$60=E$3)*(GMW!$LP$2:$LP$60=E$4)*(GMW!$LR$2:$LR$60=E$1),0),$C39-1966)</f>
        <v>235712</v>
      </c>
      <c r="F39" s="4" cm="1">
        <f t="array" ref="F39">INDEX(GMW!$A$2:$LR$60,MATCH(1,(GMW!$LQ$2:$LQ$60=F$3)*(GMW!$LP$2:$LP$60=F$4)*(GMW!$LR$2:$LR$60=F$1),0),$C39-1966)</f>
        <v>235712</v>
      </c>
      <c r="G39" s="4" cm="1">
        <f t="array" ref="G39">INDEX(GMW!$A$2:$LR$60,MATCH(1,(GMW!$LQ$2:$LQ$60=G$3)*(GMW!$LP$2:$LP$60=G$4)*(GMW!$LR$2:$LR$60=G$1),0),$C39-1966)</f>
        <v>235712</v>
      </c>
      <c r="H39" s="4" cm="1">
        <f t="array" ref="H39">INDEX(GMW!$A$2:$LR$60,MATCH(1,(GMW!$LQ$2:$LQ$60=H$3)*(GMW!$LP$2:$LP$60=H$4)*(GMW!$LR$2:$LR$60=H$1),0),$C39-1966)</f>
        <v>235712</v>
      </c>
      <c r="I39" s="4" cm="1">
        <f t="array" ref="I39">INDEX(GMW!$A$2:$LR$60,MATCH(1,(GMW!$LQ$2:$LQ$60=I$3)*(GMW!$LP$2:$LP$60=I$4)*(GMW!$LR$2:$LR$60=I$1),0),$C39-1966)</f>
        <v>235712</v>
      </c>
      <c r="J39" s="4" cm="1">
        <f t="array" ref="J39">INDEX(GMW!$A$2:$LR$60,MATCH(1,(GMW!$LQ$2:$LQ$60=J$3)*(GMW!$LP$2:$LP$60=J$4)*(GMW!$LR$2:$LR$60=J$1),0),$C39-1966)</f>
        <v>235712</v>
      </c>
      <c r="K39" s="4" cm="1">
        <f t="array" ref="K39">INDEX(GMW!$A$2:$LR$60,MATCH(1,(GMW!$LQ$2:$LQ$60=K$3)*(GMW!$LP$2:$LP$60=K$4)*(GMW!$LR$2:$LR$60=K$1),0),$C39-1966)</f>
        <v>235712</v>
      </c>
      <c r="L39" s="4" cm="1">
        <f t="array" ref="L39">INDEX(GMW!$A$2:$LR$60,MATCH(1,(GMW!$LQ$2:$LQ$60=L$3)*(GMW!$LP$2:$LP$60=L$4)*(GMW!$LR$2:$LR$60=L$1),0),$C39-1966)</f>
        <v>235712</v>
      </c>
      <c r="M39" s="4" cm="1">
        <f t="array" ref="M39">INDEX(GMW!$A$2:$LR$60,MATCH(1,(GMW!$LQ$2:$LQ$60=M$3)*(GMW!$LP$2:$LP$60=M$4)*(GMW!$LR$2:$LR$60=M$1),0),$C39-1966)</f>
        <v>235712</v>
      </c>
      <c r="N39" s="4" cm="1">
        <f t="array" ref="N39">INDEX(GMW!$A$2:$LR$60,MATCH(1,(GMW!$LQ$2:$LQ$60=N$3)*(GMW!$LP$2:$LP$60=N$4)*(GMW!$LR$2:$LR$60=N$1),0),$C39-1966)</f>
        <v>235712</v>
      </c>
      <c r="O39" s="4" cm="1">
        <f t="array" ref="O39">INDEX(GMW!$A$2:$LR$60,MATCH(1,(GMW!$LQ$2:$LQ$60=O$3)*(GMW!$LP$2:$LP$60=O$4)*(GMW!$LR$2:$LR$60=O$1),0),$C39-1966)</f>
        <v>235712</v>
      </c>
      <c r="P39" s="4" cm="1">
        <f t="array" ref="P39">INDEX(GMW!$A$2:$LR$60,MATCH(1,(GMW!$LQ$2:$LQ$60=P$3)*(GMW!$LP$2:$LP$60=P$4)*(GMW!$LR$2:$LR$60=P$1),0),$C39-1966)</f>
        <v>235712</v>
      </c>
      <c r="Q39" s="4" cm="1">
        <f t="array" ref="Q39">INDEX(GMW!$A$2:$LR$60,MATCH(1,(GMW!$LQ$2:$LQ$60=Q$3)*(GMW!$LP$2:$LP$60=Q$4)*(GMW!$LR$2:$LR$60=Q$1),0),$C39-1966)</f>
        <v>235712</v>
      </c>
      <c r="R39" s="4" cm="1">
        <f t="array" ref="R39">INDEX(GMW!$A$2:$LR$60,MATCH(1,(GMW!$LQ$2:$LQ$60=R$3)*(GMW!$LP$2:$LP$60=R$4)*(GMW!$LR$2:$LR$60=R$1),0),$C39-1966)</f>
        <v>235712</v>
      </c>
      <c r="S39" s="4" cm="1">
        <f t="array" ref="S39">INDEX(GMW!$A$2:$LR$60,MATCH(1,(GMW!$LQ$2:$LQ$60=S$3)*(GMW!$LP$2:$LP$60=S$4)*(GMW!$LR$2:$LR$60=S$1),0),$C39-1966)</f>
        <v>235712</v>
      </c>
      <c r="T39" s="4" cm="1">
        <f t="array" ref="T39">INDEX(GMW!$A$2:$LR$60,MATCH(1,(GMW!$LQ$2:$LQ$60=T$3)*(GMW!$LP$2:$LP$60=T$4)*(GMW!$LR$2:$LR$60=T$1),0),$C39-1966)</f>
        <v>235712</v>
      </c>
      <c r="U39" s="4" cm="1">
        <f t="array" ref="U39">INDEX(GMW!$A$2:$LR$60,MATCH(1,(GMW!$LQ$2:$LQ$60=U$3)*(GMW!$LP$2:$LP$60=U$4)*(GMW!$LR$2:$LR$60=U$1),0),$C39-1966)</f>
        <v>67.327690000000004</v>
      </c>
      <c r="V39" s="4" cm="1">
        <f t="array" ref="V39">INDEX(GMW!$A$2:$LR$60,MATCH(1,(GMW!$LQ$2:$LQ$60=V$3)*(GMW!$LP$2:$LP$60=V$4)*(GMW!$LR$2:$LR$60=V$1),0),$C39-1966)</f>
        <v>34.385100000000001</v>
      </c>
      <c r="W39" s="4" cm="1">
        <f t="array" ref="W39">INDEX(GMW!$A$2:$LR$60,MATCH(1,(GMW!$LQ$2:$LQ$60=W$3)*(GMW!$LP$2:$LP$60=W$4)*(GMW!$LR$2:$LR$60=W$1),0),$C39-1966)</f>
        <v>1E-3</v>
      </c>
      <c r="X39" s="4" cm="1">
        <f t="array" ref="X39">INDEX(GMW!$A$2:$LR$60,MATCH(1,(GMW!$LQ$2:$LQ$60=X$3)*(GMW!$LP$2:$LP$60=X$4)*(GMW!$LR$2:$LR$60=X$1),0),$C39-1966)</f>
        <v>1E-3</v>
      </c>
      <c r="Y39" s="4" cm="1">
        <f t="array" ref="Y39">INDEX(GMW!$A$2:$LR$60,MATCH(1,(GMW!$LQ$2:$LQ$60=Y$3)*(GMW!$LP$2:$LP$60=Y$4)*(GMW!$LR$2:$LR$60=Y$1),0),$C39-1966)</f>
        <v>1E-3</v>
      </c>
      <c r="Z39" s="4" cm="1">
        <f t="array" ref="Z39">INDEX(GMW!$A$2:$LR$60,MATCH(1,(GMW!$LQ$2:$LQ$60=Z$3)*(GMW!$LP$2:$LP$60=Z$4)*(GMW!$LR$2:$LR$60=Z$1),0),$C39-1966)</f>
        <v>1E-3</v>
      </c>
      <c r="AA39" s="4" cm="1">
        <f t="array" ref="AA39">INDEX(GMW!$A$2:$LR$60,MATCH(1,(GMW!$LQ$2:$LQ$60=AA$3)*(GMW!$LP$2:$LP$60=AA$4)*(GMW!$LR$2:$LR$60=AA$1),0),$C39-1966)</f>
        <v>126694</v>
      </c>
      <c r="AB39" s="4" cm="1">
        <f t="array" ref="AB39">INDEX(GMW!$A$2:$LR$60,MATCH(1,(GMW!$LQ$2:$LQ$60=AB$3)*(GMW!$LP$2:$LP$60=AB$4)*(GMW!$LR$2:$LR$60=AB$1),0),$C39-1966)</f>
        <v>39641</v>
      </c>
      <c r="AC39" s="4" cm="1">
        <f t="array" ref="AC39">INDEX(GMW!$A$2:$LR$60,MATCH(1,(GMW!$LQ$2:$LQ$60=AC$3)*(GMW!$LP$2:$LP$60=AC$4)*(GMW!$LR$2:$LR$60=AC$1),0),$C39-1966)</f>
        <v>57275</v>
      </c>
      <c r="AD39" s="4" cm="1">
        <f t="array" ref="AD39">INDEX(GMW!$A$2:$LR$60,MATCH(1,(GMW!$LQ$2:$LQ$60=AD$3)*(GMW!$LP$2:$LP$60=AD$4)*(GMW!$LR$2:$LR$60=AD$1),0),$C39-1966)</f>
        <v>38608</v>
      </c>
      <c r="AE39" s="4" cm="1">
        <f t="array" ref="AE39">INDEX(GMW!$A$2:$LR$60,MATCH(1,(GMW!$LQ$2:$LQ$60=AE$3)*(GMW!$LP$2:$LP$60=AE$4)*(GMW!$LR$2:$LR$60=AE$1),0),$C39-1966)</f>
        <v>28723</v>
      </c>
      <c r="AF39" s="4" cm="1">
        <f t="array" ref="AF39">INDEX(GMW!$A$2:$LR$60,MATCH(1,(GMW!$LQ$2:$LQ$60=AF$3)*(GMW!$LP$2:$LP$60=AF$4)*(GMW!$LR$2:$LR$60=AF$1),0),$C39-1966)</f>
        <v>1E-3</v>
      </c>
      <c r="AG39" s="4" cm="1">
        <f t="array" ref="AG39">INDEX(GMW!$A$2:$LR$60,MATCH(1,(GMW!$LQ$2:$LQ$60=AG$3)*(GMW!$LP$2:$LP$60=AG$4)*(GMW!$LR$2:$LR$60=AG$1),0),$C39-1966)</f>
        <v>1E-3</v>
      </c>
    </row>
    <row r="40" spans="1:33" x14ac:dyDescent="0.25">
      <c r="B40" s="4">
        <f t="shared" si="1"/>
        <v>1981</v>
      </c>
      <c r="C40" s="4">
        <f t="shared" si="0"/>
        <v>2006</v>
      </c>
      <c r="D40" s="4" cm="1">
        <f t="array" ref="D40">INDEX(GMW!$A$2:$LR$60,MATCH(1,(GMW!$LQ$2:$LQ$60=D$3)*(GMW!$LP$2:$LP$60=D$4)*(GMW!$LR$2:$LR$60=D$1),0),$C40-1966)</f>
        <v>236272</v>
      </c>
      <c r="E40" s="4" cm="1">
        <f t="array" ref="E40">INDEX(GMW!$A$2:$LR$60,MATCH(1,(GMW!$LQ$2:$LQ$60=E$3)*(GMW!$LP$2:$LP$60=E$4)*(GMW!$LR$2:$LR$60=E$1),0),$C40-1966)</f>
        <v>236272</v>
      </c>
      <c r="F40" s="4" cm="1">
        <f t="array" ref="F40">INDEX(GMW!$A$2:$LR$60,MATCH(1,(GMW!$LQ$2:$LQ$60=F$3)*(GMW!$LP$2:$LP$60=F$4)*(GMW!$LR$2:$LR$60=F$1),0),$C40-1966)</f>
        <v>236272</v>
      </c>
      <c r="G40" s="4" cm="1">
        <f t="array" ref="G40">INDEX(GMW!$A$2:$LR$60,MATCH(1,(GMW!$LQ$2:$LQ$60=G$3)*(GMW!$LP$2:$LP$60=G$4)*(GMW!$LR$2:$LR$60=G$1),0),$C40-1966)</f>
        <v>236272</v>
      </c>
      <c r="H40" s="4" cm="1">
        <f t="array" ref="H40">INDEX(GMW!$A$2:$LR$60,MATCH(1,(GMW!$LQ$2:$LQ$60=H$3)*(GMW!$LP$2:$LP$60=H$4)*(GMW!$LR$2:$LR$60=H$1),0),$C40-1966)</f>
        <v>236272</v>
      </c>
      <c r="I40" s="4" cm="1">
        <f t="array" ref="I40">INDEX(GMW!$A$2:$LR$60,MATCH(1,(GMW!$LQ$2:$LQ$60=I$3)*(GMW!$LP$2:$LP$60=I$4)*(GMW!$LR$2:$LR$60=I$1),0),$C40-1966)</f>
        <v>236272</v>
      </c>
      <c r="J40" s="4" cm="1">
        <f t="array" ref="J40">INDEX(GMW!$A$2:$LR$60,MATCH(1,(GMW!$LQ$2:$LQ$60=J$3)*(GMW!$LP$2:$LP$60=J$4)*(GMW!$LR$2:$LR$60=J$1),0),$C40-1966)</f>
        <v>236272</v>
      </c>
      <c r="K40" s="4" cm="1">
        <f t="array" ref="K40">INDEX(GMW!$A$2:$LR$60,MATCH(1,(GMW!$LQ$2:$LQ$60=K$3)*(GMW!$LP$2:$LP$60=K$4)*(GMW!$LR$2:$LR$60=K$1),0),$C40-1966)</f>
        <v>236272</v>
      </c>
      <c r="L40" s="4" cm="1">
        <f t="array" ref="L40">INDEX(GMW!$A$2:$LR$60,MATCH(1,(GMW!$LQ$2:$LQ$60=L$3)*(GMW!$LP$2:$LP$60=L$4)*(GMW!$LR$2:$LR$60=L$1),0),$C40-1966)</f>
        <v>236272</v>
      </c>
      <c r="M40" s="4" cm="1">
        <f t="array" ref="M40">INDEX(GMW!$A$2:$LR$60,MATCH(1,(GMW!$LQ$2:$LQ$60=M$3)*(GMW!$LP$2:$LP$60=M$4)*(GMW!$LR$2:$LR$60=M$1),0),$C40-1966)</f>
        <v>236272</v>
      </c>
      <c r="N40" s="4" cm="1">
        <f t="array" ref="N40">INDEX(GMW!$A$2:$LR$60,MATCH(1,(GMW!$LQ$2:$LQ$60=N$3)*(GMW!$LP$2:$LP$60=N$4)*(GMW!$LR$2:$LR$60=N$1),0),$C40-1966)</f>
        <v>236272</v>
      </c>
      <c r="O40" s="4" cm="1">
        <f t="array" ref="O40">INDEX(GMW!$A$2:$LR$60,MATCH(1,(GMW!$LQ$2:$LQ$60=O$3)*(GMW!$LP$2:$LP$60=O$4)*(GMW!$LR$2:$LR$60=O$1),0),$C40-1966)</f>
        <v>236272</v>
      </c>
      <c r="P40" s="4" cm="1">
        <f t="array" ref="P40">INDEX(GMW!$A$2:$LR$60,MATCH(1,(GMW!$LQ$2:$LQ$60=P$3)*(GMW!$LP$2:$LP$60=P$4)*(GMW!$LR$2:$LR$60=P$1),0),$C40-1966)</f>
        <v>236272</v>
      </c>
      <c r="Q40" s="4" cm="1">
        <f t="array" ref="Q40">INDEX(GMW!$A$2:$LR$60,MATCH(1,(GMW!$LQ$2:$LQ$60=Q$3)*(GMW!$LP$2:$LP$60=Q$4)*(GMW!$LR$2:$LR$60=Q$1),0),$C40-1966)</f>
        <v>236272</v>
      </c>
      <c r="R40" s="4" cm="1">
        <f t="array" ref="R40">INDEX(GMW!$A$2:$LR$60,MATCH(1,(GMW!$LQ$2:$LQ$60=R$3)*(GMW!$LP$2:$LP$60=R$4)*(GMW!$LR$2:$LR$60=R$1),0),$C40-1966)</f>
        <v>236272</v>
      </c>
      <c r="S40" s="4" cm="1">
        <f t="array" ref="S40">INDEX(GMW!$A$2:$LR$60,MATCH(1,(GMW!$LQ$2:$LQ$60=S$3)*(GMW!$LP$2:$LP$60=S$4)*(GMW!$LR$2:$LR$60=S$1),0),$C40-1966)</f>
        <v>236272</v>
      </c>
      <c r="T40" s="4" cm="1">
        <f t="array" ref="T40">INDEX(GMW!$A$2:$LR$60,MATCH(1,(GMW!$LQ$2:$LQ$60=T$3)*(GMW!$LP$2:$LP$60=T$4)*(GMW!$LR$2:$LR$60=T$1),0),$C40-1966)</f>
        <v>236272</v>
      </c>
      <c r="U40" s="4" cm="1">
        <f t="array" ref="U40">INDEX(GMW!$A$2:$LR$60,MATCH(1,(GMW!$LQ$2:$LQ$60=U$3)*(GMW!$LP$2:$LP$60=U$4)*(GMW!$LR$2:$LR$60=U$1),0),$C40-1966)</f>
        <v>69.614490000000004</v>
      </c>
      <c r="V40" s="4" cm="1">
        <f t="array" ref="V40">INDEX(GMW!$A$2:$LR$60,MATCH(1,(GMW!$LQ$2:$LQ$60=V$3)*(GMW!$LP$2:$LP$60=V$4)*(GMW!$LR$2:$LR$60=V$1),0),$C40-1966)</f>
        <v>36.079590000000003</v>
      </c>
      <c r="W40" s="4" cm="1">
        <f t="array" ref="W40">INDEX(GMW!$A$2:$LR$60,MATCH(1,(GMW!$LQ$2:$LQ$60=W$3)*(GMW!$LP$2:$LP$60=W$4)*(GMW!$LR$2:$LR$60=W$1),0),$C40-1966)</f>
        <v>1E-3</v>
      </c>
      <c r="X40" s="4" cm="1">
        <f t="array" ref="X40">INDEX(GMW!$A$2:$LR$60,MATCH(1,(GMW!$LQ$2:$LQ$60=X$3)*(GMW!$LP$2:$LP$60=X$4)*(GMW!$LR$2:$LR$60=X$1),0),$C40-1966)</f>
        <v>1E-3</v>
      </c>
      <c r="Y40" s="4" cm="1">
        <f t="array" ref="Y40">INDEX(GMW!$A$2:$LR$60,MATCH(1,(GMW!$LQ$2:$LQ$60=Y$3)*(GMW!$LP$2:$LP$60=Y$4)*(GMW!$LR$2:$LR$60=Y$1),0),$C40-1966)</f>
        <v>1E-3</v>
      </c>
      <c r="Z40" s="4" cm="1">
        <f t="array" ref="Z40">INDEX(GMW!$A$2:$LR$60,MATCH(1,(GMW!$LQ$2:$LQ$60=Z$3)*(GMW!$LP$2:$LP$60=Z$4)*(GMW!$LR$2:$LR$60=Z$1),0),$C40-1966)</f>
        <v>1E-3</v>
      </c>
      <c r="AA40" s="4" cm="1">
        <f t="array" ref="AA40">INDEX(GMW!$A$2:$LR$60,MATCH(1,(GMW!$LQ$2:$LQ$60=AA$3)*(GMW!$LP$2:$LP$60=AA$4)*(GMW!$LR$2:$LR$60=AA$1),0),$C40-1966)</f>
        <v>126635</v>
      </c>
      <c r="AB40" s="4" cm="1">
        <f t="array" ref="AB40">INDEX(GMW!$A$2:$LR$60,MATCH(1,(GMW!$LQ$2:$LQ$60=AB$3)*(GMW!$LP$2:$LP$60=AB$4)*(GMW!$LR$2:$LR$60=AB$1),0),$C40-1966)</f>
        <v>40566</v>
      </c>
      <c r="AC40" s="4" cm="1">
        <f t="array" ref="AC40">INDEX(GMW!$A$2:$LR$60,MATCH(1,(GMW!$LQ$2:$LQ$60=AC$3)*(GMW!$LP$2:$LP$60=AC$4)*(GMW!$LR$2:$LR$60=AC$1),0),$C40-1966)</f>
        <v>57786</v>
      </c>
      <c r="AD40" s="4" cm="1">
        <f t="array" ref="AD40">INDEX(GMW!$A$2:$LR$60,MATCH(1,(GMW!$LQ$2:$LQ$60=AD$3)*(GMW!$LP$2:$LP$60=AD$4)*(GMW!$LR$2:$LR$60=AD$1),0),$C40-1966)</f>
        <v>39083</v>
      </c>
      <c r="AE40" s="4" cm="1">
        <f t="array" ref="AE40">INDEX(GMW!$A$2:$LR$60,MATCH(1,(GMW!$LQ$2:$LQ$60=AE$3)*(GMW!$LP$2:$LP$60=AE$4)*(GMW!$LR$2:$LR$60=AE$1),0),$C40-1966)</f>
        <v>30327</v>
      </c>
      <c r="AF40" s="4" cm="1">
        <f t="array" ref="AF40">INDEX(GMW!$A$2:$LR$60,MATCH(1,(GMW!$LQ$2:$LQ$60=AF$3)*(GMW!$LP$2:$LP$60=AF$4)*(GMW!$LR$2:$LR$60=AF$1),0),$C40-1966)</f>
        <v>1E-3</v>
      </c>
      <c r="AG40" s="4" cm="1">
        <f t="array" ref="AG40">INDEX(GMW!$A$2:$LR$60,MATCH(1,(GMW!$LQ$2:$LQ$60=AG$3)*(GMW!$LP$2:$LP$60=AG$4)*(GMW!$LR$2:$LR$60=AG$1),0),$C40-1966)</f>
        <v>1E-3</v>
      </c>
    </row>
    <row r="41" spans="1:33" x14ac:dyDescent="0.25">
      <c r="B41" s="4">
        <f t="shared" si="1"/>
        <v>1981</v>
      </c>
      <c r="C41" s="4">
        <f t="shared" si="0"/>
        <v>2007</v>
      </c>
      <c r="D41" s="4" cm="1">
        <f t="array" ref="D41">INDEX(GMW!$A$2:$LR$60,MATCH(1,(GMW!$LQ$2:$LQ$60=D$3)*(GMW!$LP$2:$LP$60=D$4)*(GMW!$LR$2:$LR$60=D$1),0),$C41-1966)</f>
        <v>238846</v>
      </c>
      <c r="E41" s="4" cm="1">
        <f t="array" ref="E41">INDEX(GMW!$A$2:$LR$60,MATCH(1,(GMW!$LQ$2:$LQ$60=E$3)*(GMW!$LP$2:$LP$60=E$4)*(GMW!$LR$2:$LR$60=E$1),0),$C41-1966)</f>
        <v>238846</v>
      </c>
      <c r="F41" s="4" cm="1">
        <f t="array" ref="F41">INDEX(GMW!$A$2:$LR$60,MATCH(1,(GMW!$LQ$2:$LQ$60=F$3)*(GMW!$LP$2:$LP$60=F$4)*(GMW!$LR$2:$LR$60=F$1),0),$C41-1966)</f>
        <v>238846</v>
      </c>
      <c r="G41" s="4" cm="1">
        <f t="array" ref="G41">INDEX(GMW!$A$2:$LR$60,MATCH(1,(GMW!$LQ$2:$LQ$60=G$3)*(GMW!$LP$2:$LP$60=G$4)*(GMW!$LR$2:$LR$60=G$1),0),$C41-1966)</f>
        <v>238846</v>
      </c>
      <c r="H41" s="4" cm="1">
        <f t="array" ref="H41">INDEX(GMW!$A$2:$LR$60,MATCH(1,(GMW!$LQ$2:$LQ$60=H$3)*(GMW!$LP$2:$LP$60=H$4)*(GMW!$LR$2:$LR$60=H$1),0),$C41-1966)</f>
        <v>238846</v>
      </c>
      <c r="I41" s="4" cm="1">
        <f t="array" ref="I41">INDEX(GMW!$A$2:$LR$60,MATCH(1,(GMW!$LQ$2:$LQ$60=I$3)*(GMW!$LP$2:$LP$60=I$4)*(GMW!$LR$2:$LR$60=I$1),0),$C41-1966)</f>
        <v>238846</v>
      </c>
      <c r="J41" s="4" cm="1">
        <f t="array" ref="J41">INDEX(GMW!$A$2:$LR$60,MATCH(1,(GMW!$LQ$2:$LQ$60=J$3)*(GMW!$LP$2:$LP$60=J$4)*(GMW!$LR$2:$LR$60=J$1),0),$C41-1966)</f>
        <v>238846</v>
      </c>
      <c r="K41" s="4" cm="1">
        <f t="array" ref="K41">INDEX(GMW!$A$2:$LR$60,MATCH(1,(GMW!$LQ$2:$LQ$60=K$3)*(GMW!$LP$2:$LP$60=K$4)*(GMW!$LR$2:$LR$60=K$1),0),$C41-1966)</f>
        <v>238846</v>
      </c>
      <c r="L41" s="4" cm="1">
        <f t="array" ref="L41">INDEX(GMW!$A$2:$LR$60,MATCH(1,(GMW!$LQ$2:$LQ$60=L$3)*(GMW!$LP$2:$LP$60=L$4)*(GMW!$LR$2:$LR$60=L$1),0),$C41-1966)</f>
        <v>238846</v>
      </c>
      <c r="M41" s="4" cm="1">
        <f t="array" ref="M41">INDEX(GMW!$A$2:$LR$60,MATCH(1,(GMW!$LQ$2:$LQ$60=M$3)*(GMW!$LP$2:$LP$60=M$4)*(GMW!$LR$2:$LR$60=M$1),0),$C41-1966)</f>
        <v>238846</v>
      </c>
      <c r="N41" s="4" cm="1">
        <f t="array" ref="N41">INDEX(GMW!$A$2:$LR$60,MATCH(1,(GMW!$LQ$2:$LQ$60=N$3)*(GMW!$LP$2:$LP$60=N$4)*(GMW!$LR$2:$LR$60=N$1),0),$C41-1966)</f>
        <v>238846</v>
      </c>
      <c r="O41" s="4" cm="1">
        <f t="array" ref="O41">INDEX(GMW!$A$2:$LR$60,MATCH(1,(GMW!$LQ$2:$LQ$60=O$3)*(GMW!$LP$2:$LP$60=O$4)*(GMW!$LR$2:$LR$60=O$1),0),$C41-1966)</f>
        <v>238846</v>
      </c>
      <c r="P41" s="4" cm="1">
        <f t="array" ref="P41">INDEX(GMW!$A$2:$LR$60,MATCH(1,(GMW!$LQ$2:$LQ$60=P$3)*(GMW!$LP$2:$LP$60=P$4)*(GMW!$LR$2:$LR$60=P$1),0),$C41-1966)</f>
        <v>238846</v>
      </c>
      <c r="Q41" s="4" cm="1">
        <f t="array" ref="Q41">INDEX(GMW!$A$2:$LR$60,MATCH(1,(GMW!$LQ$2:$LQ$60=Q$3)*(GMW!$LP$2:$LP$60=Q$4)*(GMW!$LR$2:$LR$60=Q$1),0),$C41-1966)</f>
        <v>238846</v>
      </c>
      <c r="R41" s="4" cm="1">
        <f t="array" ref="R41">INDEX(GMW!$A$2:$LR$60,MATCH(1,(GMW!$LQ$2:$LQ$60=R$3)*(GMW!$LP$2:$LP$60=R$4)*(GMW!$LR$2:$LR$60=R$1),0),$C41-1966)</f>
        <v>238846</v>
      </c>
      <c r="S41" s="4" cm="1">
        <f t="array" ref="S41">INDEX(GMW!$A$2:$LR$60,MATCH(1,(GMW!$LQ$2:$LQ$60=S$3)*(GMW!$LP$2:$LP$60=S$4)*(GMW!$LR$2:$LR$60=S$1),0),$C41-1966)</f>
        <v>238846</v>
      </c>
      <c r="T41" s="4" cm="1">
        <f t="array" ref="T41">INDEX(GMW!$A$2:$LR$60,MATCH(1,(GMW!$LQ$2:$LQ$60=T$3)*(GMW!$LP$2:$LP$60=T$4)*(GMW!$LR$2:$LR$60=T$1),0),$C41-1966)</f>
        <v>238846</v>
      </c>
      <c r="U41" s="4" cm="1">
        <f t="array" ref="U41">INDEX(GMW!$A$2:$LR$60,MATCH(1,(GMW!$LQ$2:$LQ$60=U$3)*(GMW!$LP$2:$LP$60=U$4)*(GMW!$LR$2:$LR$60=U$1),0),$C41-1966)</f>
        <v>73.352940000000004</v>
      </c>
      <c r="V41" s="4" cm="1">
        <f t="array" ref="V41">INDEX(GMW!$A$2:$LR$60,MATCH(1,(GMW!$LQ$2:$LQ$60=V$3)*(GMW!$LP$2:$LP$60=V$4)*(GMW!$LR$2:$LR$60=V$1),0),$C41-1966)</f>
        <v>36.731310000000001</v>
      </c>
      <c r="W41" s="4" cm="1">
        <f t="array" ref="W41">INDEX(GMW!$A$2:$LR$60,MATCH(1,(GMW!$LQ$2:$LQ$60=W$3)*(GMW!$LP$2:$LP$60=W$4)*(GMW!$LR$2:$LR$60=W$1),0),$C41-1966)</f>
        <v>1E-3</v>
      </c>
      <c r="X41" s="4" cm="1">
        <f t="array" ref="X41">INDEX(GMW!$A$2:$LR$60,MATCH(1,(GMW!$LQ$2:$LQ$60=X$3)*(GMW!$LP$2:$LP$60=X$4)*(GMW!$LR$2:$LR$60=X$1),0),$C41-1966)</f>
        <v>1E-3</v>
      </c>
      <c r="Y41" s="4" cm="1">
        <f t="array" ref="Y41">INDEX(GMW!$A$2:$LR$60,MATCH(1,(GMW!$LQ$2:$LQ$60=Y$3)*(GMW!$LP$2:$LP$60=Y$4)*(GMW!$LR$2:$LR$60=Y$1),0),$C41-1966)</f>
        <v>1E-3</v>
      </c>
      <c r="Z41" s="4" cm="1">
        <f t="array" ref="Z41">INDEX(GMW!$A$2:$LR$60,MATCH(1,(GMW!$LQ$2:$LQ$60=Z$3)*(GMW!$LP$2:$LP$60=Z$4)*(GMW!$LR$2:$LR$60=Z$1),0),$C41-1966)</f>
        <v>1E-3</v>
      </c>
      <c r="AA41" s="4" cm="1">
        <f t="array" ref="AA41">INDEX(GMW!$A$2:$LR$60,MATCH(1,(GMW!$LQ$2:$LQ$60=AA$3)*(GMW!$LP$2:$LP$60=AA$4)*(GMW!$LR$2:$LR$60=AA$1),0),$C41-1966)</f>
        <v>126723</v>
      </c>
      <c r="AB41" s="4" cm="1">
        <f t="array" ref="AB41">INDEX(GMW!$A$2:$LR$60,MATCH(1,(GMW!$LQ$2:$LQ$60=AB$3)*(GMW!$LP$2:$LP$60=AB$4)*(GMW!$LR$2:$LR$60=AB$1),0),$C41-1966)</f>
        <v>40902</v>
      </c>
      <c r="AC41" s="4" cm="1">
        <f t="array" ref="AC41">INDEX(GMW!$A$2:$LR$60,MATCH(1,(GMW!$LQ$2:$LQ$60=AC$3)*(GMW!$LP$2:$LP$60=AC$4)*(GMW!$LR$2:$LR$60=AC$1),0),$C41-1966)</f>
        <v>57861</v>
      </c>
      <c r="AD41" s="4" cm="1">
        <f t="array" ref="AD41">INDEX(GMW!$A$2:$LR$60,MATCH(1,(GMW!$LQ$2:$LQ$60=AD$3)*(GMW!$LP$2:$LP$60=AD$4)*(GMW!$LR$2:$LR$60=AD$1),0),$C41-1966)</f>
        <v>40887</v>
      </c>
      <c r="AE41" s="4" cm="1">
        <f t="array" ref="AE41">INDEX(GMW!$A$2:$LR$60,MATCH(1,(GMW!$LQ$2:$LQ$60=AE$3)*(GMW!$LP$2:$LP$60=AE$4)*(GMW!$LR$2:$LR$60=AE$1),0),$C41-1966)</f>
        <v>33672</v>
      </c>
      <c r="AF41" s="4" cm="1">
        <f t="array" ref="AF41">INDEX(GMW!$A$2:$LR$60,MATCH(1,(GMW!$LQ$2:$LQ$60=AF$3)*(GMW!$LP$2:$LP$60=AF$4)*(GMW!$LR$2:$LR$60=AF$1),0),$C41-1966)</f>
        <v>1E-3</v>
      </c>
      <c r="AG41" s="4" cm="1">
        <f t="array" ref="AG41">INDEX(GMW!$A$2:$LR$60,MATCH(1,(GMW!$LQ$2:$LQ$60=AG$3)*(GMW!$LP$2:$LP$60=AG$4)*(GMW!$LR$2:$LR$60=AG$1),0),$C41-1966)</f>
        <v>1E-3</v>
      </c>
    </row>
    <row r="42" spans="1:33" x14ac:dyDescent="0.25">
      <c r="B42" s="4">
        <f t="shared" si="1"/>
        <v>1981</v>
      </c>
      <c r="C42" s="4">
        <f t="shared" si="0"/>
        <v>2008</v>
      </c>
      <c r="D42" s="4" cm="1">
        <f t="array" ref="D42">INDEX(GMW!$A$2:$LR$60,MATCH(1,(GMW!$LQ$2:$LQ$60=D$3)*(GMW!$LP$2:$LP$60=D$4)*(GMW!$LR$2:$LR$60=D$1),0),$C42-1966)</f>
        <v>239131</v>
      </c>
      <c r="E42" s="4" cm="1">
        <f t="array" ref="E42">INDEX(GMW!$A$2:$LR$60,MATCH(1,(GMW!$LQ$2:$LQ$60=E$3)*(GMW!$LP$2:$LP$60=E$4)*(GMW!$LR$2:$LR$60=E$1),0),$C42-1966)</f>
        <v>239131</v>
      </c>
      <c r="F42" s="4" cm="1">
        <f t="array" ref="F42">INDEX(GMW!$A$2:$LR$60,MATCH(1,(GMW!$LQ$2:$LQ$60=F$3)*(GMW!$LP$2:$LP$60=F$4)*(GMW!$LR$2:$LR$60=F$1),0),$C42-1966)</f>
        <v>239131</v>
      </c>
      <c r="G42" s="4" cm="1">
        <f t="array" ref="G42">INDEX(GMW!$A$2:$LR$60,MATCH(1,(GMW!$LQ$2:$LQ$60=G$3)*(GMW!$LP$2:$LP$60=G$4)*(GMW!$LR$2:$LR$60=G$1),0),$C42-1966)</f>
        <v>239131</v>
      </c>
      <c r="H42" s="4" cm="1">
        <f t="array" ref="H42">INDEX(GMW!$A$2:$LR$60,MATCH(1,(GMW!$LQ$2:$LQ$60=H$3)*(GMW!$LP$2:$LP$60=H$4)*(GMW!$LR$2:$LR$60=H$1),0),$C42-1966)</f>
        <v>239131</v>
      </c>
      <c r="I42" s="4" cm="1">
        <f t="array" ref="I42">INDEX(GMW!$A$2:$LR$60,MATCH(1,(GMW!$LQ$2:$LQ$60=I$3)*(GMW!$LP$2:$LP$60=I$4)*(GMW!$LR$2:$LR$60=I$1),0),$C42-1966)</f>
        <v>239131</v>
      </c>
      <c r="J42" s="4" cm="1">
        <f t="array" ref="J42">INDEX(GMW!$A$2:$LR$60,MATCH(1,(GMW!$LQ$2:$LQ$60=J$3)*(GMW!$LP$2:$LP$60=J$4)*(GMW!$LR$2:$LR$60=J$1),0),$C42-1966)</f>
        <v>239131</v>
      </c>
      <c r="K42" s="4" cm="1">
        <f t="array" ref="K42">INDEX(GMW!$A$2:$LR$60,MATCH(1,(GMW!$LQ$2:$LQ$60=K$3)*(GMW!$LP$2:$LP$60=K$4)*(GMW!$LR$2:$LR$60=K$1),0),$C42-1966)</f>
        <v>239131</v>
      </c>
      <c r="L42" s="4" cm="1">
        <f t="array" ref="L42">INDEX(GMW!$A$2:$LR$60,MATCH(1,(GMW!$LQ$2:$LQ$60=L$3)*(GMW!$LP$2:$LP$60=L$4)*(GMW!$LR$2:$LR$60=L$1),0),$C42-1966)</f>
        <v>239131</v>
      </c>
      <c r="M42" s="4" cm="1">
        <f t="array" ref="M42">INDEX(GMW!$A$2:$LR$60,MATCH(1,(GMW!$LQ$2:$LQ$60=M$3)*(GMW!$LP$2:$LP$60=M$4)*(GMW!$LR$2:$LR$60=M$1),0),$C42-1966)</f>
        <v>239131</v>
      </c>
      <c r="N42" s="4" cm="1">
        <f t="array" ref="N42">INDEX(GMW!$A$2:$LR$60,MATCH(1,(GMW!$LQ$2:$LQ$60=N$3)*(GMW!$LP$2:$LP$60=N$4)*(GMW!$LR$2:$LR$60=N$1),0),$C42-1966)</f>
        <v>239131</v>
      </c>
      <c r="O42" s="4" cm="1">
        <f t="array" ref="O42">INDEX(GMW!$A$2:$LR$60,MATCH(1,(GMW!$LQ$2:$LQ$60=O$3)*(GMW!$LP$2:$LP$60=O$4)*(GMW!$LR$2:$LR$60=O$1),0),$C42-1966)</f>
        <v>239131</v>
      </c>
      <c r="P42" s="4" cm="1">
        <f t="array" ref="P42">INDEX(GMW!$A$2:$LR$60,MATCH(1,(GMW!$LQ$2:$LQ$60=P$3)*(GMW!$LP$2:$LP$60=P$4)*(GMW!$LR$2:$LR$60=P$1),0),$C42-1966)</f>
        <v>239131</v>
      </c>
      <c r="Q42" s="4" cm="1">
        <f t="array" ref="Q42">INDEX(GMW!$A$2:$LR$60,MATCH(1,(GMW!$LQ$2:$LQ$60=Q$3)*(GMW!$LP$2:$LP$60=Q$4)*(GMW!$LR$2:$LR$60=Q$1),0),$C42-1966)</f>
        <v>239131</v>
      </c>
      <c r="R42" s="4" cm="1">
        <f t="array" ref="R42">INDEX(GMW!$A$2:$LR$60,MATCH(1,(GMW!$LQ$2:$LQ$60=R$3)*(GMW!$LP$2:$LP$60=R$4)*(GMW!$LR$2:$LR$60=R$1),0),$C42-1966)</f>
        <v>239131</v>
      </c>
      <c r="S42" s="4" cm="1">
        <f t="array" ref="S42">INDEX(GMW!$A$2:$LR$60,MATCH(1,(GMW!$LQ$2:$LQ$60=S$3)*(GMW!$LP$2:$LP$60=S$4)*(GMW!$LR$2:$LR$60=S$1),0),$C42-1966)</f>
        <v>239131</v>
      </c>
      <c r="T42" s="4" cm="1">
        <f t="array" ref="T42">INDEX(GMW!$A$2:$LR$60,MATCH(1,(GMW!$LQ$2:$LQ$60=T$3)*(GMW!$LP$2:$LP$60=T$4)*(GMW!$LR$2:$LR$60=T$1),0),$C42-1966)</f>
        <v>239131</v>
      </c>
      <c r="U42" s="4" cm="1">
        <f t="array" ref="U42">INDEX(GMW!$A$2:$LR$60,MATCH(1,(GMW!$LQ$2:$LQ$60=U$3)*(GMW!$LP$2:$LP$60=U$4)*(GMW!$LR$2:$LR$60=U$1),0),$C42-1966)</f>
        <v>76.177090000000007</v>
      </c>
      <c r="V42" s="4" cm="1">
        <f t="array" ref="V42">INDEX(GMW!$A$2:$LR$60,MATCH(1,(GMW!$LQ$2:$LQ$60=V$3)*(GMW!$LP$2:$LP$60=V$4)*(GMW!$LR$2:$LR$60=V$1),0),$C42-1966)</f>
        <v>37.435180000000003</v>
      </c>
      <c r="W42" s="4" cm="1">
        <f t="array" ref="W42">INDEX(GMW!$A$2:$LR$60,MATCH(1,(GMW!$LQ$2:$LQ$60=W$3)*(GMW!$LP$2:$LP$60=W$4)*(GMW!$LR$2:$LR$60=W$1),0),$C42-1966)</f>
        <v>1E-3</v>
      </c>
      <c r="X42" s="4" cm="1">
        <f t="array" ref="X42">INDEX(GMW!$A$2:$LR$60,MATCH(1,(GMW!$LQ$2:$LQ$60=X$3)*(GMW!$LP$2:$LP$60=X$4)*(GMW!$LR$2:$LR$60=X$1),0),$C42-1966)</f>
        <v>1E-3</v>
      </c>
      <c r="Y42" s="4" cm="1">
        <f t="array" ref="Y42">INDEX(GMW!$A$2:$LR$60,MATCH(1,(GMW!$LQ$2:$LQ$60=Y$3)*(GMW!$LP$2:$LP$60=Y$4)*(GMW!$LR$2:$LR$60=Y$1),0),$C42-1966)</f>
        <v>1E-3</v>
      </c>
      <c r="Z42" s="4" cm="1">
        <f t="array" ref="Z42">INDEX(GMW!$A$2:$LR$60,MATCH(1,(GMW!$LQ$2:$LQ$60=Z$3)*(GMW!$LP$2:$LP$60=Z$4)*(GMW!$LR$2:$LR$60=Z$1),0),$C42-1966)</f>
        <v>1E-3</v>
      </c>
      <c r="AA42" s="4" cm="1">
        <f t="array" ref="AA42">INDEX(GMW!$A$2:$LR$60,MATCH(1,(GMW!$LQ$2:$LQ$60=AA$3)*(GMW!$LP$2:$LP$60=AA$4)*(GMW!$LR$2:$LR$60=AA$1),0),$C42-1966)</f>
        <v>126374</v>
      </c>
      <c r="AB42" s="4" cm="1">
        <f t="array" ref="AB42">INDEX(GMW!$A$2:$LR$60,MATCH(1,(GMW!$LQ$2:$LQ$60=AB$3)*(GMW!$LP$2:$LP$60=AB$4)*(GMW!$LR$2:$LR$60=AB$1),0),$C42-1966)</f>
        <v>40402</v>
      </c>
      <c r="AC42" s="4" cm="1">
        <f t="array" ref="AC42">INDEX(GMW!$A$2:$LR$60,MATCH(1,(GMW!$LQ$2:$LQ$60=AC$3)*(GMW!$LP$2:$LP$60=AC$4)*(GMW!$LR$2:$LR$60=AC$1),0),$C42-1966)</f>
        <v>56741</v>
      </c>
      <c r="AD42" s="4" cm="1">
        <f t="array" ref="AD42">INDEX(GMW!$A$2:$LR$60,MATCH(1,(GMW!$LQ$2:$LQ$60=AD$3)*(GMW!$LP$2:$LP$60=AD$4)*(GMW!$LR$2:$LR$60=AD$1),0),$C42-1966)</f>
        <v>40688</v>
      </c>
      <c r="AE42" s="4" cm="1">
        <f t="array" ref="AE42">INDEX(GMW!$A$2:$LR$60,MATCH(1,(GMW!$LQ$2:$LQ$60=AE$3)*(GMW!$LP$2:$LP$60=AE$4)*(GMW!$LR$2:$LR$60=AE$1),0),$C42-1966)</f>
        <v>32629</v>
      </c>
      <c r="AF42" s="4" cm="1">
        <f t="array" ref="AF42">INDEX(GMW!$A$2:$LR$60,MATCH(1,(GMW!$LQ$2:$LQ$60=AF$3)*(GMW!$LP$2:$LP$60=AF$4)*(GMW!$LR$2:$LR$60=AF$1),0),$C42-1966)</f>
        <v>1E-3</v>
      </c>
      <c r="AG42" s="4" cm="1">
        <f t="array" ref="AG42">INDEX(GMW!$A$2:$LR$60,MATCH(1,(GMW!$LQ$2:$LQ$60=AG$3)*(GMW!$LP$2:$LP$60=AG$4)*(GMW!$LR$2:$LR$60=AG$1),0),$C42-1966)</f>
        <v>1E-3</v>
      </c>
    </row>
    <row r="43" spans="1:33" x14ac:dyDescent="0.25">
      <c r="A43" s="4">
        <v>1982</v>
      </c>
      <c r="B43" s="4">
        <f t="shared" si="1"/>
        <v>1982</v>
      </c>
      <c r="C43" s="4">
        <f t="shared" si="0"/>
        <v>2009</v>
      </c>
      <c r="D43" s="4" cm="1">
        <f t="array" ref="D43">INDEX(GMW!$A$2:$LR$60,MATCH(1,(GMW!$LQ$2:$LQ$60=D$3)*(GMW!$LP$2:$LP$60=D$4)*(GMW!$LR$2:$LR$60=D$1),0),$C43-1966)</f>
        <v>239578</v>
      </c>
      <c r="E43" s="4" cm="1">
        <f t="array" ref="E43">INDEX(GMW!$A$2:$LR$60,MATCH(1,(GMW!$LQ$2:$LQ$60=E$3)*(GMW!$LP$2:$LP$60=E$4)*(GMW!$LR$2:$LR$60=E$1),0),$C43-1966)</f>
        <v>239578</v>
      </c>
      <c r="F43" s="4" cm="1">
        <f t="array" ref="F43">INDEX(GMW!$A$2:$LR$60,MATCH(1,(GMW!$LQ$2:$LQ$60=F$3)*(GMW!$LP$2:$LP$60=F$4)*(GMW!$LR$2:$LR$60=F$1),0),$C43-1966)</f>
        <v>239578</v>
      </c>
      <c r="G43" s="4" cm="1">
        <f t="array" ref="G43">INDEX(GMW!$A$2:$LR$60,MATCH(1,(GMW!$LQ$2:$LQ$60=G$3)*(GMW!$LP$2:$LP$60=G$4)*(GMW!$LR$2:$LR$60=G$1),0),$C43-1966)</f>
        <v>239578</v>
      </c>
      <c r="H43" s="4" cm="1">
        <f t="array" ref="H43">INDEX(GMW!$A$2:$LR$60,MATCH(1,(GMW!$LQ$2:$LQ$60=H$3)*(GMW!$LP$2:$LP$60=H$4)*(GMW!$LR$2:$LR$60=H$1),0),$C43-1966)</f>
        <v>239578</v>
      </c>
      <c r="I43" s="4" cm="1">
        <f t="array" ref="I43">INDEX(GMW!$A$2:$LR$60,MATCH(1,(GMW!$LQ$2:$LQ$60=I$3)*(GMW!$LP$2:$LP$60=I$4)*(GMW!$LR$2:$LR$60=I$1),0),$C43-1966)</f>
        <v>239578</v>
      </c>
      <c r="J43" s="4" cm="1">
        <f t="array" ref="J43">INDEX(GMW!$A$2:$LR$60,MATCH(1,(GMW!$LQ$2:$LQ$60=J$3)*(GMW!$LP$2:$LP$60=J$4)*(GMW!$LR$2:$LR$60=J$1),0),$C43-1966)</f>
        <v>239578</v>
      </c>
      <c r="K43" s="4" cm="1">
        <f t="array" ref="K43">INDEX(GMW!$A$2:$LR$60,MATCH(1,(GMW!$LQ$2:$LQ$60=K$3)*(GMW!$LP$2:$LP$60=K$4)*(GMW!$LR$2:$LR$60=K$1),0),$C43-1966)</f>
        <v>239578</v>
      </c>
      <c r="L43" s="4" cm="1">
        <f t="array" ref="L43">INDEX(GMW!$A$2:$LR$60,MATCH(1,(GMW!$LQ$2:$LQ$60=L$3)*(GMW!$LP$2:$LP$60=L$4)*(GMW!$LR$2:$LR$60=L$1),0),$C43-1966)</f>
        <v>239578</v>
      </c>
      <c r="M43" s="4" cm="1">
        <f t="array" ref="M43">INDEX(GMW!$A$2:$LR$60,MATCH(1,(GMW!$LQ$2:$LQ$60=M$3)*(GMW!$LP$2:$LP$60=M$4)*(GMW!$LR$2:$LR$60=M$1),0),$C43-1966)</f>
        <v>239578</v>
      </c>
      <c r="N43" s="4" cm="1">
        <f t="array" ref="N43">INDEX(GMW!$A$2:$LR$60,MATCH(1,(GMW!$LQ$2:$LQ$60=N$3)*(GMW!$LP$2:$LP$60=N$4)*(GMW!$LR$2:$LR$60=N$1),0),$C43-1966)</f>
        <v>239578</v>
      </c>
      <c r="O43" s="4" cm="1">
        <f t="array" ref="O43">INDEX(GMW!$A$2:$LR$60,MATCH(1,(GMW!$LQ$2:$LQ$60=O$3)*(GMW!$LP$2:$LP$60=O$4)*(GMW!$LR$2:$LR$60=O$1),0),$C43-1966)</f>
        <v>239578</v>
      </c>
      <c r="P43" s="4" cm="1">
        <f t="array" ref="P43">INDEX(GMW!$A$2:$LR$60,MATCH(1,(GMW!$LQ$2:$LQ$60=P$3)*(GMW!$LP$2:$LP$60=P$4)*(GMW!$LR$2:$LR$60=P$1),0),$C43-1966)</f>
        <v>239578</v>
      </c>
      <c r="Q43" s="4" cm="1">
        <f t="array" ref="Q43">INDEX(GMW!$A$2:$LR$60,MATCH(1,(GMW!$LQ$2:$LQ$60=Q$3)*(GMW!$LP$2:$LP$60=Q$4)*(GMW!$LR$2:$LR$60=Q$1),0),$C43-1966)</f>
        <v>239578</v>
      </c>
      <c r="R43" s="4" cm="1">
        <f t="array" ref="R43">INDEX(GMW!$A$2:$LR$60,MATCH(1,(GMW!$LQ$2:$LQ$60=R$3)*(GMW!$LP$2:$LP$60=R$4)*(GMW!$LR$2:$LR$60=R$1),0),$C43-1966)</f>
        <v>239578</v>
      </c>
      <c r="S43" s="4" cm="1">
        <f t="array" ref="S43">INDEX(GMW!$A$2:$LR$60,MATCH(1,(GMW!$LQ$2:$LQ$60=S$3)*(GMW!$LP$2:$LP$60=S$4)*(GMW!$LR$2:$LR$60=S$1),0),$C43-1966)</f>
        <v>239578</v>
      </c>
      <c r="T43" s="4" cm="1">
        <f t="array" ref="T43">INDEX(GMW!$A$2:$LR$60,MATCH(1,(GMW!$LQ$2:$LQ$60=T$3)*(GMW!$LP$2:$LP$60=T$4)*(GMW!$LR$2:$LR$60=T$1),0),$C43-1966)</f>
        <v>239578</v>
      </c>
      <c r="U43" s="4" cm="1">
        <f t="array" ref="U43">INDEX(GMW!$A$2:$LR$60,MATCH(1,(GMW!$LQ$2:$LQ$60=U$3)*(GMW!$LP$2:$LP$60=U$4)*(GMW!$LR$2:$LR$60=U$1),0),$C43-1966)</f>
        <v>76.586519999999993</v>
      </c>
      <c r="V43" s="4" cm="1">
        <f t="array" ref="V43">INDEX(GMW!$A$2:$LR$60,MATCH(1,(GMW!$LQ$2:$LQ$60=V$3)*(GMW!$LP$2:$LP$60=V$4)*(GMW!$LR$2:$LR$60=V$1),0),$C43-1966)</f>
        <v>37.878349999999998</v>
      </c>
      <c r="W43" s="4" cm="1">
        <f t="array" ref="W43">INDEX(GMW!$A$2:$LR$60,MATCH(1,(GMW!$LQ$2:$LQ$60=W$3)*(GMW!$LP$2:$LP$60=W$4)*(GMW!$LR$2:$LR$60=W$1),0),$C43-1966)</f>
        <v>1E-3</v>
      </c>
      <c r="X43" s="4" cm="1">
        <f t="array" ref="X43">INDEX(GMW!$A$2:$LR$60,MATCH(1,(GMW!$LQ$2:$LQ$60=X$3)*(GMW!$LP$2:$LP$60=X$4)*(GMW!$LR$2:$LR$60=X$1),0),$C43-1966)</f>
        <v>1E-3</v>
      </c>
      <c r="Y43" s="4" cm="1">
        <f t="array" ref="Y43">INDEX(GMW!$A$2:$LR$60,MATCH(1,(GMW!$LQ$2:$LQ$60=Y$3)*(GMW!$LP$2:$LP$60=Y$4)*(GMW!$LR$2:$LR$60=Y$1),0),$C43-1966)</f>
        <v>1E-3</v>
      </c>
      <c r="Z43" s="4" cm="1">
        <f t="array" ref="Z43">INDEX(GMW!$A$2:$LR$60,MATCH(1,(GMW!$LQ$2:$LQ$60=Z$3)*(GMW!$LP$2:$LP$60=Z$4)*(GMW!$LR$2:$LR$60=Z$1),0),$C43-1966)</f>
        <v>1E-3</v>
      </c>
      <c r="AA43" s="4" cm="1">
        <f t="array" ref="AA43">INDEX(GMW!$A$2:$LR$60,MATCH(1,(GMW!$LQ$2:$LQ$60=AA$3)*(GMW!$LP$2:$LP$60=AA$4)*(GMW!$LR$2:$LR$60=AA$1),0),$C43-1966)</f>
        <v>126800</v>
      </c>
      <c r="AB43" s="4" cm="1">
        <f t="array" ref="AB43">INDEX(GMW!$A$2:$LR$60,MATCH(1,(GMW!$LQ$2:$LQ$60=AB$3)*(GMW!$LP$2:$LP$60=AB$4)*(GMW!$LR$2:$LR$60=AB$1),0),$C43-1966)</f>
        <v>40330</v>
      </c>
      <c r="AC43" s="4" cm="1">
        <f t="array" ref="AC43">INDEX(GMW!$A$2:$LR$60,MATCH(1,(GMW!$LQ$2:$LQ$60=AC$3)*(GMW!$LP$2:$LP$60=AC$4)*(GMW!$LR$2:$LR$60=AC$1),0),$C43-1966)</f>
        <v>57564</v>
      </c>
      <c r="AD43" s="4" cm="1">
        <f t="array" ref="AD43">INDEX(GMW!$A$2:$LR$60,MATCH(1,(GMW!$LQ$2:$LQ$60=AD$3)*(GMW!$LP$2:$LP$60=AD$4)*(GMW!$LR$2:$LR$60=AD$1),0),$C43-1966)</f>
        <v>39770</v>
      </c>
      <c r="AE43" s="4" cm="1">
        <f t="array" ref="AE43">INDEX(GMW!$A$2:$LR$60,MATCH(1,(GMW!$LQ$2:$LQ$60=AE$3)*(GMW!$LP$2:$LP$60=AE$4)*(GMW!$LR$2:$LR$60=AE$1),0),$C43-1966)</f>
        <v>32342</v>
      </c>
      <c r="AF43" s="4" cm="1">
        <f t="array" ref="AF43">INDEX(GMW!$A$2:$LR$60,MATCH(1,(GMW!$LQ$2:$LQ$60=AF$3)*(GMW!$LP$2:$LP$60=AF$4)*(GMW!$LR$2:$LR$60=AF$1),0),$C43-1966)</f>
        <v>1E-3</v>
      </c>
      <c r="AG43" s="4" cm="1">
        <f t="array" ref="AG43">INDEX(GMW!$A$2:$LR$60,MATCH(1,(GMW!$LQ$2:$LQ$60=AG$3)*(GMW!$LP$2:$LP$60=AG$4)*(GMW!$LR$2:$LR$60=AG$1),0),$C43-1966)</f>
        <v>1E-3</v>
      </c>
    </row>
    <row r="44" spans="1:33" x14ac:dyDescent="0.25">
      <c r="B44" s="4">
        <f t="shared" si="1"/>
        <v>1982</v>
      </c>
      <c r="C44" s="4">
        <f t="shared" si="0"/>
        <v>2010</v>
      </c>
      <c r="D44" s="4" cm="1">
        <f t="array" ref="D44">INDEX(GMW!$A$2:$LR$60,MATCH(1,(GMW!$LQ$2:$LQ$60=D$3)*(GMW!$LP$2:$LP$60=D$4)*(GMW!$LR$2:$LR$60=D$1),0),$C44-1966)</f>
        <v>242095</v>
      </c>
      <c r="E44" s="4" cm="1">
        <f t="array" ref="E44">INDEX(GMW!$A$2:$LR$60,MATCH(1,(GMW!$LQ$2:$LQ$60=E$3)*(GMW!$LP$2:$LP$60=E$4)*(GMW!$LR$2:$LR$60=E$1),0),$C44-1966)</f>
        <v>242095</v>
      </c>
      <c r="F44" s="4" cm="1">
        <f t="array" ref="F44">INDEX(GMW!$A$2:$LR$60,MATCH(1,(GMW!$LQ$2:$LQ$60=F$3)*(GMW!$LP$2:$LP$60=F$4)*(GMW!$LR$2:$LR$60=F$1),0),$C44-1966)</f>
        <v>242095</v>
      </c>
      <c r="G44" s="4" cm="1">
        <f t="array" ref="G44">INDEX(GMW!$A$2:$LR$60,MATCH(1,(GMW!$LQ$2:$LQ$60=G$3)*(GMW!$LP$2:$LP$60=G$4)*(GMW!$LR$2:$LR$60=G$1),0),$C44-1966)</f>
        <v>242095</v>
      </c>
      <c r="H44" s="4" cm="1">
        <f t="array" ref="H44">INDEX(GMW!$A$2:$LR$60,MATCH(1,(GMW!$LQ$2:$LQ$60=H$3)*(GMW!$LP$2:$LP$60=H$4)*(GMW!$LR$2:$LR$60=H$1),0),$C44-1966)</f>
        <v>242095</v>
      </c>
      <c r="I44" s="4" cm="1">
        <f t="array" ref="I44">INDEX(GMW!$A$2:$LR$60,MATCH(1,(GMW!$LQ$2:$LQ$60=I$3)*(GMW!$LP$2:$LP$60=I$4)*(GMW!$LR$2:$LR$60=I$1),0),$C44-1966)</f>
        <v>242095</v>
      </c>
      <c r="J44" s="4" cm="1">
        <f t="array" ref="J44">INDEX(GMW!$A$2:$LR$60,MATCH(1,(GMW!$LQ$2:$LQ$60=J$3)*(GMW!$LP$2:$LP$60=J$4)*(GMW!$LR$2:$LR$60=J$1),0),$C44-1966)</f>
        <v>242095</v>
      </c>
      <c r="K44" s="4" cm="1">
        <f t="array" ref="K44">INDEX(GMW!$A$2:$LR$60,MATCH(1,(GMW!$LQ$2:$LQ$60=K$3)*(GMW!$LP$2:$LP$60=K$4)*(GMW!$LR$2:$LR$60=K$1),0),$C44-1966)</f>
        <v>242095</v>
      </c>
      <c r="L44" s="4" cm="1">
        <f t="array" ref="L44">INDEX(GMW!$A$2:$LR$60,MATCH(1,(GMW!$LQ$2:$LQ$60=L$3)*(GMW!$LP$2:$LP$60=L$4)*(GMW!$LR$2:$LR$60=L$1),0),$C44-1966)</f>
        <v>242095</v>
      </c>
      <c r="M44" s="4" cm="1">
        <f t="array" ref="M44">INDEX(GMW!$A$2:$LR$60,MATCH(1,(GMW!$LQ$2:$LQ$60=M$3)*(GMW!$LP$2:$LP$60=M$4)*(GMW!$LR$2:$LR$60=M$1),0),$C44-1966)</f>
        <v>242095</v>
      </c>
      <c r="N44" s="4" cm="1">
        <f t="array" ref="N44">INDEX(GMW!$A$2:$LR$60,MATCH(1,(GMW!$LQ$2:$LQ$60=N$3)*(GMW!$LP$2:$LP$60=N$4)*(GMW!$LR$2:$LR$60=N$1),0),$C44-1966)</f>
        <v>242095</v>
      </c>
      <c r="O44" s="4" cm="1">
        <f t="array" ref="O44">INDEX(GMW!$A$2:$LR$60,MATCH(1,(GMW!$LQ$2:$LQ$60=O$3)*(GMW!$LP$2:$LP$60=O$4)*(GMW!$LR$2:$LR$60=O$1),0),$C44-1966)</f>
        <v>242095</v>
      </c>
      <c r="P44" s="4" cm="1">
        <f t="array" ref="P44">INDEX(GMW!$A$2:$LR$60,MATCH(1,(GMW!$LQ$2:$LQ$60=P$3)*(GMW!$LP$2:$LP$60=P$4)*(GMW!$LR$2:$LR$60=P$1),0),$C44-1966)</f>
        <v>242095</v>
      </c>
      <c r="Q44" s="4" cm="1">
        <f t="array" ref="Q44">INDEX(GMW!$A$2:$LR$60,MATCH(1,(GMW!$LQ$2:$LQ$60=Q$3)*(GMW!$LP$2:$LP$60=Q$4)*(GMW!$LR$2:$LR$60=Q$1),0),$C44-1966)</f>
        <v>242095</v>
      </c>
      <c r="R44" s="4" cm="1">
        <f t="array" ref="R44">INDEX(GMW!$A$2:$LR$60,MATCH(1,(GMW!$LQ$2:$LQ$60=R$3)*(GMW!$LP$2:$LP$60=R$4)*(GMW!$LR$2:$LR$60=R$1),0),$C44-1966)</f>
        <v>242095</v>
      </c>
      <c r="S44" s="4" cm="1">
        <f t="array" ref="S44">INDEX(GMW!$A$2:$LR$60,MATCH(1,(GMW!$LQ$2:$LQ$60=S$3)*(GMW!$LP$2:$LP$60=S$4)*(GMW!$LR$2:$LR$60=S$1),0),$C44-1966)</f>
        <v>242095</v>
      </c>
      <c r="T44" s="4" cm="1">
        <f t="array" ref="T44">INDEX(GMW!$A$2:$LR$60,MATCH(1,(GMW!$LQ$2:$LQ$60=T$3)*(GMW!$LP$2:$LP$60=T$4)*(GMW!$LR$2:$LR$60=T$1),0),$C44-1966)</f>
        <v>242095</v>
      </c>
      <c r="U44" s="4" cm="1">
        <f t="array" ref="U44">INDEX(GMW!$A$2:$LR$60,MATCH(1,(GMW!$LQ$2:$LQ$60=U$3)*(GMW!$LP$2:$LP$60=U$4)*(GMW!$LR$2:$LR$60=U$1),0),$C44-1966)</f>
        <v>78.919120000000007</v>
      </c>
      <c r="V44" s="4" cm="1">
        <f t="array" ref="V44">INDEX(GMW!$A$2:$LR$60,MATCH(1,(GMW!$LQ$2:$LQ$60=V$3)*(GMW!$LP$2:$LP$60=V$4)*(GMW!$LR$2:$LR$60=V$1),0),$C44-1966)</f>
        <v>39.181800000000003</v>
      </c>
      <c r="W44" s="4" cm="1">
        <f t="array" ref="W44">INDEX(GMW!$A$2:$LR$60,MATCH(1,(GMW!$LQ$2:$LQ$60=W$3)*(GMW!$LP$2:$LP$60=W$4)*(GMW!$LR$2:$LR$60=W$1),0),$C44-1966)</f>
        <v>1E-3</v>
      </c>
      <c r="X44" s="4" cm="1">
        <f t="array" ref="X44">INDEX(GMW!$A$2:$LR$60,MATCH(1,(GMW!$LQ$2:$LQ$60=X$3)*(GMW!$LP$2:$LP$60=X$4)*(GMW!$LR$2:$LR$60=X$1),0),$C44-1966)</f>
        <v>1E-3</v>
      </c>
      <c r="Y44" s="4" cm="1">
        <f t="array" ref="Y44">INDEX(GMW!$A$2:$LR$60,MATCH(1,(GMW!$LQ$2:$LQ$60=Y$3)*(GMW!$LP$2:$LP$60=Y$4)*(GMW!$LR$2:$LR$60=Y$1),0),$C44-1966)</f>
        <v>1E-3</v>
      </c>
      <c r="Z44" s="4" cm="1">
        <f t="array" ref="Z44">INDEX(GMW!$A$2:$LR$60,MATCH(1,(GMW!$LQ$2:$LQ$60=Z$3)*(GMW!$LP$2:$LP$60=Z$4)*(GMW!$LR$2:$LR$60=Z$1),0),$C44-1966)</f>
        <v>1E-3</v>
      </c>
      <c r="AA44" s="4" cm="1">
        <f t="array" ref="AA44">INDEX(GMW!$A$2:$LR$60,MATCH(1,(GMW!$LQ$2:$LQ$60=AA$3)*(GMW!$LP$2:$LP$60=AA$4)*(GMW!$LR$2:$LR$60=AA$1),0),$C44-1966)</f>
        <v>126707</v>
      </c>
      <c r="AB44" s="4" cm="1">
        <f t="array" ref="AB44">INDEX(GMW!$A$2:$LR$60,MATCH(1,(GMW!$LQ$2:$LQ$60=AB$3)*(GMW!$LP$2:$LP$60=AB$4)*(GMW!$LR$2:$LR$60=AB$1),0),$C44-1966)</f>
        <v>42173</v>
      </c>
      <c r="AC44" s="4" cm="1">
        <f t="array" ref="AC44">INDEX(GMW!$A$2:$LR$60,MATCH(1,(GMW!$LQ$2:$LQ$60=AC$3)*(GMW!$LP$2:$LP$60=AC$4)*(GMW!$LR$2:$LR$60=AC$1),0),$C44-1966)</f>
        <v>57650</v>
      </c>
      <c r="AD44" s="4" cm="1">
        <f t="array" ref="AD44">INDEX(GMW!$A$2:$LR$60,MATCH(1,(GMW!$LQ$2:$LQ$60=AD$3)*(GMW!$LP$2:$LP$60=AD$4)*(GMW!$LR$2:$LR$60=AD$1),0),$C44-1966)</f>
        <v>40610</v>
      </c>
      <c r="AE44" s="4" cm="1">
        <f t="array" ref="AE44">INDEX(GMW!$A$2:$LR$60,MATCH(1,(GMW!$LQ$2:$LQ$60=AE$3)*(GMW!$LP$2:$LP$60=AE$4)*(GMW!$LR$2:$LR$60=AE$1),0),$C44-1966)</f>
        <v>33719</v>
      </c>
      <c r="AF44" s="4" cm="1">
        <f t="array" ref="AF44">INDEX(GMW!$A$2:$LR$60,MATCH(1,(GMW!$LQ$2:$LQ$60=AF$3)*(GMW!$LP$2:$LP$60=AF$4)*(GMW!$LR$2:$LR$60=AF$1),0),$C44-1966)</f>
        <v>1E-3</v>
      </c>
      <c r="AG44" s="4" cm="1">
        <f t="array" ref="AG44">INDEX(GMW!$A$2:$LR$60,MATCH(1,(GMW!$LQ$2:$LQ$60=AG$3)*(GMW!$LP$2:$LP$60=AG$4)*(GMW!$LR$2:$LR$60=AG$1),0),$C44-1966)</f>
        <v>1E-3</v>
      </c>
    </row>
    <row r="45" spans="1:33" x14ac:dyDescent="0.25">
      <c r="B45" s="4">
        <f t="shared" si="1"/>
        <v>1982</v>
      </c>
      <c r="C45" s="4">
        <f t="shared" si="0"/>
        <v>2011</v>
      </c>
      <c r="D45" s="4" cm="1">
        <f t="array" ref="D45">INDEX(GMW!$A$2:$LR$60,MATCH(1,(GMW!$LQ$2:$LQ$60=D$3)*(GMW!$LP$2:$LP$60=D$4)*(GMW!$LR$2:$LR$60=D$1),0),$C45-1966)</f>
        <v>242639</v>
      </c>
      <c r="E45" s="4" cm="1">
        <f t="array" ref="E45">INDEX(GMW!$A$2:$LR$60,MATCH(1,(GMW!$LQ$2:$LQ$60=E$3)*(GMW!$LP$2:$LP$60=E$4)*(GMW!$LR$2:$LR$60=E$1),0),$C45-1966)</f>
        <v>242639</v>
      </c>
      <c r="F45" s="4" cm="1">
        <f t="array" ref="F45">INDEX(GMW!$A$2:$LR$60,MATCH(1,(GMW!$LQ$2:$LQ$60=F$3)*(GMW!$LP$2:$LP$60=F$4)*(GMW!$LR$2:$LR$60=F$1),0),$C45-1966)</f>
        <v>242639</v>
      </c>
      <c r="G45" s="4" cm="1">
        <f t="array" ref="G45">INDEX(GMW!$A$2:$LR$60,MATCH(1,(GMW!$LQ$2:$LQ$60=G$3)*(GMW!$LP$2:$LP$60=G$4)*(GMW!$LR$2:$LR$60=G$1),0),$C45-1966)</f>
        <v>242639</v>
      </c>
      <c r="H45" s="4" cm="1">
        <f t="array" ref="H45">INDEX(GMW!$A$2:$LR$60,MATCH(1,(GMW!$LQ$2:$LQ$60=H$3)*(GMW!$LP$2:$LP$60=H$4)*(GMW!$LR$2:$LR$60=H$1),0),$C45-1966)</f>
        <v>242639</v>
      </c>
      <c r="I45" s="4" cm="1">
        <f t="array" ref="I45">INDEX(GMW!$A$2:$LR$60,MATCH(1,(GMW!$LQ$2:$LQ$60=I$3)*(GMW!$LP$2:$LP$60=I$4)*(GMW!$LR$2:$LR$60=I$1),0),$C45-1966)</f>
        <v>242639</v>
      </c>
      <c r="J45" s="4" cm="1">
        <f t="array" ref="J45">INDEX(GMW!$A$2:$LR$60,MATCH(1,(GMW!$LQ$2:$LQ$60=J$3)*(GMW!$LP$2:$LP$60=J$4)*(GMW!$LR$2:$LR$60=J$1),0),$C45-1966)</f>
        <v>242639</v>
      </c>
      <c r="K45" s="4" cm="1">
        <f t="array" ref="K45">INDEX(GMW!$A$2:$LR$60,MATCH(1,(GMW!$LQ$2:$LQ$60=K$3)*(GMW!$LP$2:$LP$60=K$4)*(GMW!$LR$2:$LR$60=K$1),0),$C45-1966)</f>
        <v>242639</v>
      </c>
      <c r="L45" s="4" cm="1">
        <f t="array" ref="L45">INDEX(GMW!$A$2:$LR$60,MATCH(1,(GMW!$LQ$2:$LQ$60=L$3)*(GMW!$LP$2:$LP$60=L$4)*(GMW!$LR$2:$LR$60=L$1),0),$C45-1966)</f>
        <v>242639</v>
      </c>
      <c r="M45" s="4" cm="1">
        <f t="array" ref="M45">INDEX(GMW!$A$2:$LR$60,MATCH(1,(GMW!$LQ$2:$LQ$60=M$3)*(GMW!$LP$2:$LP$60=M$4)*(GMW!$LR$2:$LR$60=M$1),0),$C45-1966)</f>
        <v>242639</v>
      </c>
      <c r="N45" s="4" cm="1">
        <f t="array" ref="N45">INDEX(GMW!$A$2:$LR$60,MATCH(1,(GMW!$LQ$2:$LQ$60=N$3)*(GMW!$LP$2:$LP$60=N$4)*(GMW!$LR$2:$LR$60=N$1),0),$C45-1966)</f>
        <v>242639</v>
      </c>
      <c r="O45" s="4" cm="1">
        <f t="array" ref="O45">INDEX(GMW!$A$2:$LR$60,MATCH(1,(GMW!$LQ$2:$LQ$60=O$3)*(GMW!$LP$2:$LP$60=O$4)*(GMW!$LR$2:$LR$60=O$1),0),$C45-1966)</f>
        <v>242639</v>
      </c>
      <c r="P45" s="4" cm="1">
        <f t="array" ref="P45">INDEX(GMW!$A$2:$LR$60,MATCH(1,(GMW!$LQ$2:$LQ$60=P$3)*(GMW!$LP$2:$LP$60=P$4)*(GMW!$LR$2:$LR$60=P$1),0),$C45-1966)</f>
        <v>242639</v>
      </c>
      <c r="Q45" s="4" cm="1">
        <f t="array" ref="Q45">INDEX(GMW!$A$2:$LR$60,MATCH(1,(GMW!$LQ$2:$LQ$60=Q$3)*(GMW!$LP$2:$LP$60=Q$4)*(GMW!$LR$2:$LR$60=Q$1),0),$C45-1966)</f>
        <v>242639</v>
      </c>
      <c r="R45" s="4" cm="1">
        <f t="array" ref="R45">INDEX(GMW!$A$2:$LR$60,MATCH(1,(GMW!$LQ$2:$LQ$60=R$3)*(GMW!$LP$2:$LP$60=R$4)*(GMW!$LR$2:$LR$60=R$1),0),$C45-1966)</f>
        <v>242639</v>
      </c>
      <c r="S45" s="4" cm="1">
        <f t="array" ref="S45">INDEX(GMW!$A$2:$LR$60,MATCH(1,(GMW!$LQ$2:$LQ$60=S$3)*(GMW!$LP$2:$LP$60=S$4)*(GMW!$LR$2:$LR$60=S$1),0),$C45-1966)</f>
        <v>242639</v>
      </c>
      <c r="T45" s="4" cm="1">
        <f t="array" ref="T45">INDEX(GMW!$A$2:$LR$60,MATCH(1,(GMW!$LQ$2:$LQ$60=T$3)*(GMW!$LP$2:$LP$60=T$4)*(GMW!$LR$2:$LR$60=T$1),0),$C45-1966)</f>
        <v>242639</v>
      </c>
      <c r="U45" s="4" cm="1">
        <f t="array" ref="U45">INDEX(GMW!$A$2:$LR$60,MATCH(1,(GMW!$LQ$2:$LQ$60=U$3)*(GMW!$LP$2:$LP$60=U$4)*(GMW!$LR$2:$LR$60=U$1),0),$C45-1966)</f>
        <v>82.158659999999998</v>
      </c>
      <c r="V45" s="4" cm="1">
        <f t="array" ref="V45">INDEX(GMW!$A$2:$LR$60,MATCH(1,(GMW!$LQ$2:$LQ$60=V$3)*(GMW!$LP$2:$LP$60=V$4)*(GMW!$LR$2:$LR$60=V$1),0),$C45-1966)</f>
        <v>39.416420000000002</v>
      </c>
      <c r="W45" s="4" cm="1">
        <f t="array" ref="W45">INDEX(GMW!$A$2:$LR$60,MATCH(1,(GMW!$LQ$2:$LQ$60=W$3)*(GMW!$LP$2:$LP$60=W$4)*(GMW!$LR$2:$LR$60=W$1),0),$C45-1966)</f>
        <v>1E-3</v>
      </c>
      <c r="X45" s="4" cm="1">
        <f t="array" ref="X45">INDEX(GMW!$A$2:$LR$60,MATCH(1,(GMW!$LQ$2:$LQ$60=X$3)*(GMW!$LP$2:$LP$60=X$4)*(GMW!$LR$2:$LR$60=X$1),0),$C45-1966)</f>
        <v>1E-3</v>
      </c>
      <c r="Y45" s="4" cm="1">
        <f t="array" ref="Y45">INDEX(GMW!$A$2:$LR$60,MATCH(1,(GMW!$LQ$2:$LQ$60=Y$3)*(GMW!$LP$2:$LP$60=Y$4)*(GMW!$LR$2:$LR$60=Y$1),0),$C45-1966)</f>
        <v>1E-3</v>
      </c>
      <c r="Z45" s="4" cm="1">
        <f t="array" ref="Z45">INDEX(GMW!$A$2:$LR$60,MATCH(1,(GMW!$LQ$2:$LQ$60=Z$3)*(GMW!$LP$2:$LP$60=Z$4)*(GMW!$LR$2:$LR$60=Z$1),0),$C45-1966)</f>
        <v>1E-3</v>
      </c>
      <c r="AA45" s="4" cm="1">
        <f t="array" ref="AA45">INDEX(GMW!$A$2:$LR$60,MATCH(1,(GMW!$LQ$2:$LQ$60=AA$3)*(GMW!$LP$2:$LP$60=AA$4)*(GMW!$LR$2:$LR$60=AA$1),0),$C45-1966)</f>
        <v>128840</v>
      </c>
      <c r="AB45" s="4" cm="1">
        <f t="array" ref="AB45">INDEX(GMW!$A$2:$LR$60,MATCH(1,(GMW!$LQ$2:$LQ$60=AB$3)*(GMW!$LP$2:$LP$60=AB$4)*(GMW!$LR$2:$LR$60=AB$1),0),$C45-1966)</f>
        <v>43405</v>
      </c>
      <c r="AC45" s="4" cm="1">
        <f t="array" ref="AC45">INDEX(GMW!$A$2:$LR$60,MATCH(1,(GMW!$LQ$2:$LQ$60=AC$3)*(GMW!$LP$2:$LP$60=AC$4)*(GMW!$LR$2:$LR$60=AC$1),0),$C45-1966)</f>
        <v>57749</v>
      </c>
      <c r="AD45" s="4" cm="1">
        <f t="array" ref="AD45">INDEX(GMW!$A$2:$LR$60,MATCH(1,(GMW!$LQ$2:$LQ$60=AD$3)*(GMW!$LP$2:$LP$60=AD$4)*(GMW!$LR$2:$LR$60=AD$1),0),$C45-1966)</f>
        <v>39781</v>
      </c>
      <c r="AE45" s="4" cm="1">
        <f t="array" ref="AE45">INDEX(GMW!$A$2:$LR$60,MATCH(1,(GMW!$LQ$2:$LQ$60=AE$3)*(GMW!$LP$2:$LP$60=AE$4)*(GMW!$LR$2:$LR$60=AE$1),0),$C45-1966)</f>
        <v>32692</v>
      </c>
      <c r="AF45" s="4" cm="1">
        <f t="array" ref="AF45">INDEX(GMW!$A$2:$LR$60,MATCH(1,(GMW!$LQ$2:$LQ$60=AF$3)*(GMW!$LP$2:$LP$60=AF$4)*(GMW!$LR$2:$LR$60=AF$1),0),$C45-1966)</f>
        <v>1E-3</v>
      </c>
      <c r="AG45" s="4" cm="1">
        <f t="array" ref="AG45">INDEX(GMW!$A$2:$LR$60,MATCH(1,(GMW!$LQ$2:$LQ$60=AG$3)*(GMW!$LP$2:$LP$60=AG$4)*(GMW!$LR$2:$LR$60=AG$1),0),$C45-1966)</f>
        <v>1E-3</v>
      </c>
    </row>
    <row r="46" spans="1:33" x14ac:dyDescent="0.25">
      <c r="B46" s="4">
        <f t="shared" si="1"/>
        <v>1982</v>
      </c>
      <c r="C46" s="4">
        <f t="shared" si="0"/>
        <v>2012</v>
      </c>
      <c r="D46" s="4" cm="1">
        <f t="array" ref="D46">INDEX(GMW!$A$2:$LR$60,MATCH(1,(GMW!$LQ$2:$LQ$60=D$3)*(GMW!$LP$2:$LP$60=D$4)*(GMW!$LR$2:$LR$60=D$1),0),$C46-1966)</f>
        <v>244317</v>
      </c>
      <c r="E46" s="4" cm="1">
        <f t="array" ref="E46">INDEX(GMW!$A$2:$LR$60,MATCH(1,(GMW!$LQ$2:$LQ$60=E$3)*(GMW!$LP$2:$LP$60=E$4)*(GMW!$LR$2:$LR$60=E$1),0),$C46-1966)</f>
        <v>244317</v>
      </c>
      <c r="F46" s="4" cm="1">
        <f t="array" ref="F46">INDEX(GMW!$A$2:$LR$60,MATCH(1,(GMW!$LQ$2:$LQ$60=F$3)*(GMW!$LP$2:$LP$60=F$4)*(GMW!$LR$2:$LR$60=F$1),0),$C46-1966)</f>
        <v>244317</v>
      </c>
      <c r="G46" s="4" cm="1">
        <f t="array" ref="G46">INDEX(GMW!$A$2:$LR$60,MATCH(1,(GMW!$LQ$2:$LQ$60=G$3)*(GMW!$LP$2:$LP$60=G$4)*(GMW!$LR$2:$LR$60=G$1),0),$C46-1966)</f>
        <v>244317</v>
      </c>
      <c r="H46" s="4" cm="1">
        <f t="array" ref="H46">INDEX(GMW!$A$2:$LR$60,MATCH(1,(GMW!$LQ$2:$LQ$60=H$3)*(GMW!$LP$2:$LP$60=H$4)*(GMW!$LR$2:$LR$60=H$1),0),$C46-1966)</f>
        <v>244317</v>
      </c>
      <c r="I46" s="4" cm="1">
        <f t="array" ref="I46">INDEX(GMW!$A$2:$LR$60,MATCH(1,(GMW!$LQ$2:$LQ$60=I$3)*(GMW!$LP$2:$LP$60=I$4)*(GMW!$LR$2:$LR$60=I$1),0),$C46-1966)</f>
        <v>244317</v>
      </c>
      <c r="J46" s="4" cm="1">
        <f t="array" ref="J46">INDEX(GMW!$A$2:$LR$60,MATCH(1,(GMW!$LQ$2:$LQ$60=J$3)*(GMW!$LP$2:$LP$60=J$4)*(GMW!$LR$2:$LR$60=J$1),0),$C46-1966)</f>
        <v>244317</v>
      </c>
      <c r="K46" s="4" cm="1">
        <f t="array" ref="K46">INDEX(GMW!$A$2:$LR$60,MATCH(1,(GMW!$LQ$2:$LQ$60=K$3)*(GMW!$LP$2:$LP$60=K$4)*(GMW!$LR$2:$LR$60=K$1),0),$C46-1966)</f>
        <v>244317</v>
      </c>
      <c r="L46" s="4" cm="1">
        <f t="array" ref="L46">INDEX(GMW!$A$2:$LR$60,MATCH(1,(GMW!$LQ$2:$LQ$60=L$3)*(GMW!$LP$2:$LP$60=L$4)*(GMW!$LR$2:$LR$60=L$1),0),$C46-1966)</f>
        <v>244317</v>
      </c>
      <c r="M46" s="4" cm="1">
        <f t="array" ref="M46">INDEX(GMW!$A$2:$LR$60,MATCH(1,(GMW!$LQ$2:$LQ$60=M$3)*(GMW!$LP$2:$LP$60=M$4)*(GMW!$LR$2:$LR$60=M$1),0),$C46-1966)</f>
        <v>244317</v>
      </c>
      <c r="N46" s="4" cm="1">
        <f t="array" ref="N46">INDEX(GMW!$A$2:$LR$60,MATCH(1,(GMW!$LQ$2:$LQ$60=N$3)*(GMW!$LP$2:$LP$60=N$4)*(GMW!$LR$2:$LR$60=N$1),0),$C46-1966)</f>
        <v>244317</v>
      </c>
      <c r="O46" s="4" cm="1">
        <f t="array" ref="O46">INDEX(GMW!$A$2:$LR$60,MATCH(1,(GMW!$LQ$2:$LQ$60=O$3)*(GMW!$LP$2:$LP$60=O$4)*(GMW!$LR$2:$LR$60=O$1),0),$C46-1966)</f>
        <v>244317</v>
      </c>
      <c r="P46" s="4" cm="1">
        <f t="array" ref="P46">INDEX(GMW!$A$2:$LR$60,MATCH(1,(GMW!$LQ$2:$LQ$60=P$3)*(GMW!$LP$2:$LP$60=P$4)*(GMW!$LR$2:$LR$60=P$1),0),$C46-1966)</f>
        <v>244317</v>
      </c>
      <c r="Q46" s="4" cm="1">
        <f t="array" ref="Q46">INDEX(GMW!$A$2:$LR$60,MATCH(1,(GMW!$LQ$2:$LQ$60=Q$3)*(GMW!$LP$2:$LP$60=Q$4)*(GMW!$LR$2:$LR$60=Q$1),0),$C46-1966)</f>
        <v>244317</v>
      </c>
      <c r="R46" s="4" cm="1">
        <f t="array" ref="R46">INDEX(GMW!$A$2:$LR$60,MATCH(1,(GMW!$LQ$2:$LQ$60=R$3)*(GMW!$LP$2:$LP$60=R$4)*(GMW!$LR$2:$LR$60=R$1),0),$C46-1966)</f>
        <v>244317</v>
      </c>
      <c r="S46" s="4" cm="1">
        <f t="array" ref="S46">INDEX(GMW!$A$2:$LR$60,MATCH(1,(GMW!$LQ$2:$LQ$60=S$3)*(GMW!$LP$2:$LP$60=S$4)*(GMW!$LR$2:$LR$60=S$1),0),$C46-1966)</f>
        <v>244317</v>
      </c>
      <c r="T46" s="4" cm="1">
        <f t="array" ref="T46">INDEX(GMW!$A$2:$LR$60,MATCH(1,(GMW!$LQ$2:$LQ$60=T$3)*(GMW!$LP$2:$LP$60=T$4)*(GMW!$LR$2:$LR$60=T$1),0),$C46-1966)</f>
        <v>244317</v>
      </c>
      <c r="U46" s="4" cm="1">
        <f t="array" ref="U46">INDEX(GMW!$A$2:$LR$60,MATCH(1,(GMW!$LQ$2:$LQ$60=U$3)*(GMW!$LP$2:$LP$60=U$4)*(GMW!$LR$2:$LR$60=U$1),0),$C46-1966)</f>
        <v>83.439229999999995</v>
      </c>
      <c r="V46" s="4" cm="1">
        <f t="array" ref="V46">INDEX(GMW!$A$2:$LR$60,MATCH(1,(GMW!$LQ$2:$LQ$60=V$3)*(GMW!$LP$2:$LP$60=V$4)*(GMW!$LR$2:$LR$60=V$1),0),$C46-1966)</f>
        <v>39.885669999999998</v>
      </c>
      <c r="W46" s="4" cm="1">
        <f t="array" ref="W46">INDEX(GMW!$A$2:$LR$60,MATCH(1,(GMW!$LQ$2:$LQ$60=W$3)*(GMW!$LP$2:$LP$60=W$4)*(GMW!$LR$2:$LR$60=W$1),0),$C46-1966)</f>
        <v>1E-3</v>
      </c>
      <c r="X46" s="4" cm="1">
        <f t="array" ref="X46">INDEX(GMW!$A$2:$LR$60,MATCH(1,(GMW!$LQ$2:$LQ$60=X$3)*(GMW!$LP$2:$LP$60=X$4)*(GMW!$LR$2:$LR$60=X$1),0),$C46-1966)</f>
        <v>1E-3</v>
      </c>
      <c r="Y46" s="4" cm="1">
        <f t="array" ref="Y46">INDEX(GMW!$A$2:$LR$60,MATCH(1,(GMW!$LQ$2:$LQ$60=Y$3)*(GMW!$LP$2:$LP$60=Y$4)*(GMW!$LR$2:$LR$60=Y$1),0),$C46-1966)</f>
        <v>1E-3</v>
      </c>
      <c r="Z46" s="4" cm="1">
        <f t="array" ref="Z46">INDEX(GMW!$A$2:$LR$60,MATCH(1,(GMW!$LQ$2:$LQ$60=Z$3)*(GMW!$LP$2:$LP$60=Z$4)*(GMW!$LR$2:$LR$60=Z$1),0),$C46-1966)</f>
        <v>1E-3</v>
      </c>
      <c r="AA46" s="4" cm="1">
        <f t="array" ref="AA46">INDEX(GMW!$A$2:$LR$60,MATCH(1,(GMW!$LQ$2:$LQ$60=AA$3)*(GMW!$LP$2:$LP$60=AA$4)*(GMW!$LR$2:$LR$60=AA$1),0),$C46-1966)</f>
        <v>129938</v>
      </c>
      <c r="AB46" s="4" cm="1">
        <f t="array" ref="AB46">INDEX(GMW!$A$2:$LR$60,MATCH(1,(GMW!$LQ$2:$LQ$60=AB$3)*(GMW!$LP$2:$LP$60=AB$4)*(GMW!$LR$2:$LR$60=AB$1),0),$C46-1966)</f>
        <v>43883</v>
      </c>
      <c r="AC46" s="4" cm="1">
        <f t="array" ref="AC46">INDEX(GMW!$A$2:$LR$60,MATCH(1,(GMW!$LQ$2:$LQ$60=AC$3)*(GMW!$LP$2:$LP$60=AC$4)*(GMW!$LR$2:$LR$60=AC$1),0),$C46-1966)</f>
        <v>58123</v>
      </c>
      <c r="AD46" s="4" cm="1">
        <f t="array" ref="AD46">INDEX(GMW!$A$2:$LR$60,MATCH(1,(GMW!$LQ$2:$LQ$60=AD$3)*(GMW!$LP$2:$LP$60=AD$4)*(GMW!$LR$2:$LR$60=AD$1),0),$C46-1966)</f>
        <v>40486</v>
      </c>
      <c r="AE46" s="4" cm="1">
        <f t="array" ref="AE46">INDEX(GMW!$A$2:$LR$60,MATCH(1,(GMW!$LQ$2:$LQ$60=AE$3)*(GMW!$LP$2:$LP$60=AE$4)*(GMW!$LR$2:$LR$60=AE$1),0),$C46-1966)</f>
        <v>32279</v>
      </c>
      <c r="AF46" s="4" cm="1">
        <f t="array" ref="AF46">INDEX(GMW!$A$2:$LR$60,MATCH(1,(GMW!$LQ$2:$LQ$60=AF$3)*(GMW!$LP$2:$LP$60=AF$4)*(GMW!$LR$2:$LR$60=AF$1),0),$C46-1966)</f>
        <v>1E-3</v>
      </c>
      <c r="AG46" s="4" cm="1">
        <f t="array" ref="AG46">INDEX(GMW!$A$2:$LR$60,MATCH(1,(GMW!$LQ$2:$LQ$60=AG$3)*(GMW!$LP$2:$LP$60=AG$4)*(GMW!$LR$2:$LR$60=AG$1),0),$C46-1966)</f>
        <v>1E-3</v>
      </c>
    </row>
    <row r="47" spans="1:33" x14ac:dyDescent="0.25">
      <c r="A47" s="4">
        <v>1983</v>
      </c>
      <c r="B47" s="4">
        <f t="shared" si="1"/>
        <v>1983</v>
      </c>
      <c r="C47" s="4">
        <f t="shared" si="0"/>
        <v>2013</v>
      </c>
      <c r="D47" s="4" cm="1">
        <f t="array" ref="D47">INDEX(GMW!$A$2:$LR$60,MATCH(1,(GMW!$LQ$2:$LQ$60=D$3)*(GMW!$LP$2:$LP$60=D$4)*(GMW!$LR$2:$LR$60=D$1),0),$C47-1966)</f>
        <v>249032</v>
      </c>
      <c r="E47" s="4" cm="1">
        <f t="array" ref="E47">INDEX(GMW!$A$2:$LR$60,MATCH(1,(GMW!$LQ$2:$LQ$60=E$3)*(GMW!$LP$2:$LP$60=E$4)*(GMW!$LR$2:$LR$60=E$1),0),$C47-1966)</f>
        <v>249032</v>
      </c>
      <c r="F47" s="4" cm="1">
        <f t="array" ref="F47">INDEX(GMW!$A$2:$LR$60,MATCH(1,(GMW!$LQ$2:$LQ$60=F$3)*(GMW!$LP$2:$LP$60=F$4)*(GMW!$LR$2:$LR$60=F$1),0),$C47-1966)</f>
        <v>249032</v>
      </c>
      <c r="G47" s="4" cm="1">
        <f t="array" ref="G47">INDEX(GMW!$A$2:$LR$60,MATCH(1,(GMW!$LQ$2:$LQ$60=G$3)*(GMW!$LP$2:$LP$60=G$4)*(GMW!$LR$2:$LR$60=G$1),0),$C47-1966)</f>
        <v>249032</v>
      </c>
      <c r="H47" s="4" cm="1">
        <f t="array" ref="H47">INDEX(GMW!$A$2:$LR$60,MATCH(1,(GMW!$LQ$2:$LQ$60=H$3)*(GMW!$LP$2:$LP$60=H$4)*(GMW!$LR$2:$LR$60=H$1),0),$C47-1966)</f>
        <v>249032</v>
      </c>
      <c r="I47" s="4" cm="1">
        <f t="array" ref="I47">INDEX(GMW!$A$2:$LR$60,MATCH(1,(GMW!$LQ$2:$LQ$60=I$3)*(GMW!$LP$2:$LP$60=I$4)*(GMW!$LR$2:$LR$60=I$1),0),$C47-1966)</f>
        <v>249032</v>
      </c>
      <c r="J47" s="4" cm="1">
        <f t="array" ref="J47">INDEX(GMW!$A$2:$LR$60,MATCH(1,(GMW!$LQ$2:$LQ$60=J$3)*(GMW!$LP$2:$LP$60=J$4)*(GMW!$LR$2:$LR$60=J$1),0),$C47-1966)</f>
        <v>249032</v>
      </c>
      <c r="K47" s="4" cm="1">
        <f t="array" ref="K47">INDEX(GMW!$A$2:$LR$60,MATCH(1,(GMW!$LQ$2:$LQ$60=K$3)*(GMW!$LP$2:$LP$60=K$4)*(GMW!$LR$2:$LR$60=K$1),0),$C47-1966)</f>
        <v>249032</v>
      </c>
      <c r="L47" s="4" cm="1">
        <f t="array" ref="L47">INDEX(GMW!$A$2:$LR$60,MATCH(1,(GMW!$LQ$2:$LQ$60=L$3)*(GMW!$LP$2:$LP$60=L$4)*(GMW!$LR$2:$LR$60=L$1),0),$C47-1966)</f>
        <v>249032</v>
      </c>
      <c r="M47" s="4" cm="1">
        <f t="array" ref="M47">INDEX(GMW!$A$2:$LR$60,MATCH(1,(GMW!$LQ$2:$LQ$60=M$3)*(GMW!$LP$2:$LP$60=M$4)*(GMW!$LR$2:$LR$60=M$1),0),$C47-1966)</f>
        <v>249032</v>
      </c>
      <c r="N47" s="4" cm="1">
        <f t="array" ref="N47">INDEX(GMW!$A$2:$LR$60,MATCH(1,(GMW!$LQ$2:$LQ$60=N$3)*(GMW!$LP$2:$LP$60=N$4)*(GMW!$LR$2:$LR$60=N$1),0),$C47-1966)</f>
        <v>249032</v>
      </c>
      <c r="O47" s="4" cm="1">
        <f t="array" ref="O47">INDEX(GMW!$A$2:$LR$60,MATCH(1,(GMW!$LQ$2:$LQ$60=O$3)*(GMW!$LP$2:$LP$60=O$4)*(GMW!$LR$2:$LR$60=O$1),0),$C47-1966)</f>
        <v>249032</v>
      </c>
      <c r="P47" s="4" cm="1">
        <f t="array" ref="P47">INDEX(GMW!$A$2:$LR$60,MATCH(1,(GMW!$LQ$2:$LQ$60=P$3)*(GMW!$LP$2:$LP$60=P$4)*(GMW!$LR$2:$LR$60=P$1),0),$C47-1966)</f>
        <v>249032</v>
      </c>
      <c r="Q47" s="4" cm="1">
        <f t="array" ref="Q47">INDEX(GMW!$A$2:$LR$60,MATCH(1,(GMW!$LQ$2:$LQ$60=Q$3)*(GMW!$LP$2:$LP$60=Q$4)*(GMW!$LR$2:$LR$60=Q$1),0),$C47-1966)</f>
        <v>249032</v>
      </c>
      <c r="R47" s="4" cm="1">
        <f t="array" ref="R47">INDEX(GMW!$A$2:$LR$60,MATCH(1,(GMW!$LQ$2:$LQ$60=R$3)*(GMW!$LP$2:$LP$60=R$4)*(GMW!$LR$2:$LR$60=R$1),0),$C47-1966)</f>
        <v>249032</v>
      </c>
      <c r="S47" s="4" cm="1">
        <f t="array" ref="S47">INDEX(GMW!$A$2:$LR$60,MATCH(1,(GMW!$LQ$2:$LQ$60=S$3)*(GMW!$LP$2:$LP$60=S$4)*(GMW!$LR$2:$LR$60=S$1),0),$C47-1966)</f>
        <v>249032</v>
      </c>
      <c r="T47" s="4" cm="1">
        <f t="array" ref="T47">INDEX(GMW!$A$2:$LR$60,MATCH(1,(GMW!$LQ$2:$LQ$60=T$3)*(GMW!$LP$2:$LP$60=T$4)*(GMW!$LR$2:$LR$60=T$1),0),$C47-1966)</f>
        <v>249032</v>
      </c>
      <c r="U47" s="4" cm="1">
        <f t="array" ref="U47">INDEX(GMW!$A$2:$LR$60,MATCH(1,(GMW!$LQ$2:$LQ$60=U$3)*(GMW!$LP$2:$LP$60=U$4)*(GMW!$LR$2:$LR$60=U$1),0),$C47-1966)</f>
        <v>84.922520000000006</v>
      </c>
      <c r="V47" s="4" cm="1">
        <f t="array" ref="V47">INDEX(GMW!$A$2:$LR$60,MATCH(1,(GMW!$LQ$2:$LQ$60=V$3)*(GMW!$LP$2:$LP$60=V$4)*(GMW!$LR$2:$LR$60=V$1),0),$C47-1966)</f>
        <v>40.172429999999999</v>
      </c>
      <c r="W47" s="4" cm="1">
        <f t="array" ref="W47">INDEX(GMW!$A$2:$LR$60,MATCH(1,(GMW!$LQ$2:$LQ$60=W$3)*(GMW!$LP$2:$LP$60=W$4)*(GMW!$LR$2:$LR$60=W$1),0),$C47-1966)</f>
        <v>1E-3</v>
      </c>
      <c r="X47" s="4" cm="1">
        <f t="array" ref="X47">INDEX(GMW!$A$2:$LR$60,MATCH(1,(GMW!$LQ$2:$LQ$60=X$3)*(GMW!$LP$2:$LP$60=X$4)*(GMW!$LR$2:$LR$60=X$1),0),$C47-1966)</f>
        <v>1E-3</v>
      </c>
      <c r="Y47" s="4" cm="1">
        <f t="array" ref="Y47">INDEX(GMW!$A$2:$LR$60,MATCH(1,(GMW!$LQ$2:$LQ$60=Y$3)*(GMW!$LP$2:$LP$60=Y$4)*(GMW!$LR$2:$LR$60=Y$1),0),$C47-1966)</f>
        <v>1E-3</v>
      </c>
      <c r="Z47" s="4" cm="1">
        <f t="array" ref="Z47">INDEX(GMW!$A$2:$LR$60,MATCH(1,(GMW!$LQ$2:$LQ$60=Z$3)*(GMW!$LP$2:$LP$60=Z$4)*(GMW!$LR$2:$LR$60=Z$1),0),$C47-1966)</f>
        <v>1E-3</v>
      </c>
      <c r="AA47" s="4" cm="1">
        <f t="array" ref="AA47">INDEX(GMW!$A$2:$LR$60,MATCH(1,(GMW!$LQ$2:$LQ$60=AA$3)*(GMW!$LP$2:$LP$60=AA$4)*(GMW!$LR$2:$LR$60=AA$1),0),$C47-1966)</f>
        <v>131895</v>
      </c>
      <c r="AB47" s="4" cm="1">
        <f t="array" ref="AB47">INDEX(GMW!$A$2:$LR$60,MATCH(1,(GMW!$LQ$2:$LQ$60=AB$3)*(GMW!$LP$2:$LP$60=AB$4)*(GMW!$LR$2:$LR$60=AB$1),0),$C47-1966)</f>
        <v>45187</v>
      </c>
      <c r="AC47" s="4" cm="1">
        <f t="array" ref="AC47">INDEX(GMW!$A$2:$LR$60,MATCH(1,(GMW!$LQ$2:$LQ$60=AC$3)*(GMW!$LP$2:$LP$60=AC$4)*(GMW!$LR$2:$LR$60=AC$1),0),$C47-1966)</f>
        <v>57949</v>
      </c>
      <c r="AD47" s="4" cm="1">
        <f t="array" ref="AD47">INDEX(GMW!$A$2:$LR$60,MATCH(1,(GMW!$LQ$2:$LQ$60=AD$3)*(GMW!$LP$2:$LP$60=AD$4)*(GMW!$LR$2:$LR$60=AD$1),0),$C47-1966)</f>
        <v>40357</v>
      </c>
      <c r="AE47" s="4" cm="1">
        <f t="array" ref="AE47">INDEX(GMW!$A$2:$LR$60,MATCH(1,(GMW!$LQ$2:$LQ$60=AE$3)*(GMW!$LP$2:$LP$60=AE$4)*(GMW!$LR$2:$LR$60=AE$1),0),$C47-1966)</f>
        <v>33707</v>
      </c>
      <c r="AF47" s="4" cm="1">
        <f t="array" ref="AF47">INDEX(GMW!$A$2:$LR$60,MATCH(1,(GMW!$LQ$2:$LQ$60=AF$3)*(GMW!$LP$2:$LP$60=AF$4)*(GMW!$LR$2:$LR$60=AF$1),0),$C47-1966)</f>
        <v>1E-3</v>
      </c>
      <c r="AG47" s="4" cm="1">
        <f t="array" ref="AG47">INDEX(GMW!$A$2:$LR$60,MATCH(1,(GMW!$LQ$2:$LQ$60=AG$3)*(GMW!$LP$2:$LP$60=AG$4)*(GMW!$LR$2:$LR$60=AG$1),0),$C47-1966)</f>
        <v>1E-3</v>
      </c>
    </row>
    <row r="48" spans="1:33" x14ac:dyDescent="0.25">
      <c r="B48" s="4">
        <f t="shared" si="1"/>
        <v>1983</v>
      </c>
      <c r="C48" s="4">
        <f>+C47+1</f>
        <v>2014</v>
      </c>
      <c r="D48" s="4" cm="1">
        <f t="array" ref="D48">INDEX(GMW!$A$2:$LR$60,MATCH(1,(GMW!$LQ$2:$LQ$60=D$3)*(GMW!$LP$2:$LP$60=D$4)*(GMW!$LR$2:$LR$60=D$1),0),$C48-1966)</f>
        <v>250761</v>
      </c>
      <c r="E48" s="4" cm="1">
        <f t="array" ref="E48">INDEX(GMW!$A$2:$LR$60,MATCH(1,(GMW!$LQ$2:$LQ$60=E$3)*(GMW!$LP$2:$LP$60=E$4)*(GMW!$LR$2:$LR$60=E$1),0),$C48-1966)</f>
        <v>250761</v>
      </c>
      <c r="F48" s="4" cm="1">
        <f t="array" ref="F48">INDEX(GMW!$A$2:$LR$60,MATCH(1,(GMW!$LQ$2:$LQ$60=F$3)*(GMW!$LP$2:$LP$60=F$4)*(GMW!$LR$2:$LR$60=F$1),0),$C48-1966)</f>
        <v>250761</v>
      </c>
      <c r="G48" s="4" cm="1">
        <f t="array" ref="G48">INDEX(GMW!$A$2:$LR$60,MATCH(1,(GMW!$LQ$2:$LQ$60=G$3)*(GMW!$LP$2:$LP$60=G$4)*(GMW!$LR$2:$LR$60=G$1),0),$C48-1966)</f>
        <v>250761</v>
      </c>
      <c r="H48" s="4" cm="1">
        <f t="array" ref="H48">INDEX(GMW!$A$2:$LR$60,MATCH(1,(GMW!$LQ$2:$LQ$60=H$3)*(GMW!$LP$2:$LP$60=H$4)*(GMW!$LR$2:$LR$60=H$1),0),$C48-1966)</f>
        <v>250761</v>
      </c>
      <c r="I48" s="4" cm="1">
        <f t="array" ref="I48">INDEX(GMW!$A$2:$LR$60,MATCH(1,(GMW!$LQ$2:$LQ$60=I$3)*(GMW!$LP$2:$LP$60=I$4)*(GMW!$LR$2:$LR$60=I$1),0),$C48-1966)</f>
        <v>250761</v>
      </c>
      <c r="J48" s="4" cm="1">
        <f t="array" ref="J48">INDEX(GMW!$A$2:$LR$60,MATCH(1,(GMW!$LQ$2:$LQ$60=J$3)*(GMW!$LP$2:$LP$60=J$4)*(GMW!$LR$2:$LR$60=J$1),0),$C48-1966)</f>
        <v>250761</v>
      </c>
      <c r="K48" s="4" cm="1">
        <f t="array" ref="K48">INDEX(GMW!$A$2:$LR$60,MATCH(1,(GMW!$LQ$2:$LQ$60=K$3)*(GMW!$LP$2:$LP$60=K$4)*(GMW!$LR$2:$LR$60=K$1),0),$C48-1966)</f>
        <v>250761</v>
      </c>
      <c r="L48" s="4" cm="1">
        <f t="array" ref="L48">INDEX(GMW!$A$2:$LR$60,MATCH(1,(GMW!$LQ$2:$LQ$60=L$3)*(GMW!$LP$2:$LP$60=L$4)*(GMW!$LR$2:$LR$60=L$1),0),$C48-1966)</f>
        <v>250761</v>
      </c>
      <c r="M48" s="4" cm="1">
        <f t="array" ref="M48">INDEX(GMW!$A$2:$LR$60,MATCH(1,(GMW!$LQ$2:$LQ$60=M$3)*(GMW!$LP$2:$LP$60=M$4)*(GMW!$LR$2:$LR$60=M$1),0),$C48-1966)</f>
        <v>250761</v>
      </c>
      <c r="N48" s="4" cm="1">
        <f t="array" ref="N48">INDEX(GMW!$A$2:$LR$60,MATCH(1,(GMW!$LQ$2:$LQ$60=N$3)*(GMW!$LP$2:$LP$60=N$4)*(GMW!$LR$2:$LR$60=N$1),0),$C48-1966)</f>
        <v>250761</v>
      </c>
      <c r="O48" s="4" cm="1">
        <f t="array" ref="O48">INDEX(GMW!$A$2:$LR$60,MATCH(1,(GMW!$LQ$2:$LQ$60=O$3)*(GMW!$LP$2:$LP$60=O$4)*(GMW!$LR$2:$LR$60=O$1),0),$C48-1966)</f>
        <v>250761</v>
      </c>
      <c r="P48" s="4" cm="1">
        <f t="array" ref="P48">INDEX(GMW!$A$2:$LR$60,MATCH(1,(GMW!$LQ$2:$LQ$60=P$3)*(GMW!$LP$2:$LP$60=P$4)*(GMW!$LR$2:$LR$60=P$1),0),$C48-1966)</f>
        <v>250761</v>
      </c>
      <c r="Q48" s="4" cm="1">
        <f t="array" ref="Q48">INDEX(GMW!$A$2:$LR$60,MATCH(1,(GMW!$LQ$2:$LQ$60=Q$3)*(GMW!$LP$2:$LP$60=Q$4)*(GMW!$LR$2:$LR$60=Q$1),0),$C48-1966)</f>
        <v>250761</v>
      </c>
      <c r="R48" s="4" cm="1">
        <f t="array" ref="R48">INDEX(GMW!$A$2:$LR$60,MATCH(1,(GMW!$LQ$2:$LQ$60=R$3)*(GMW!$LP$2:$LP$60=R$4)*(GMW!$LR$2:$LR$60=R$1),0),$C48-1966)</f>
        <v>250761</v>
      </c>
      <c r="S48" s="4" cm="1">
        <f t="array" ref="S48">INDEX(GMW!$A$2:$LR$60,MATCH(1,(GMW!$LQ$2:$LQ$60=S$3)*(GMW!$LP$2:$LP$60=S$4)*(GMW!$LR$2:$LR$60=S$1),0),$C48-1966)</f>
        <v>250761</v>
      </c>
      <c r="T48" s="4" cm="1">
        <f t="array" ref="T48">INDEX(GMW!$A$2:$LR$60,MATCH(1,(GMW!$LQ$2:$LQ$60=T$3)*(GMW!$LP$2:$LP$60=T$4)*(GMW!$LR$2:$LR$60=T$1),0),$C48-1966)</f>
        <v>250761</v>
      </c>
      <c r="U48" s="4" cm="1">
        <f t="array" ref="U48">INDEX(GMW!$A$2:$LR$60,MATCH(1,(GMW!$LQ$2:$LQ$60=U$3)*(GMW!$LP$2:$LP$60=U$4)*(GMW!$LR$2:$LR$60=U$1),0),$C48-1966)</f>
        <v>88.039339999999996</v>
      </c>
      <c r="V48" s="4" cm="1">
        <f t="array" ref="V48">INDEX(GMW!$A$2:$LR$60,MATCH(1,(GMW!$LQ$2:$LQ$60=V$3)*(GMW!$LP$2:$LP$60=V$4)*(GMW!$LR$2:$LR$60=V$1),0),$C48-1966)</f>
        <v>40.85022</v>
      </c>
      <c r="W48" s="4" cm="1">
        <f t="array" ref="W48">INDEX(GMW!$A$2:$LR$60,MATCH(1,(GMW!$LQ$2:$LQ$60=W$3)*(GMW!$LP$2:$LP$60=W$4)*(GMW!$LR$2:$LR$60=W$1),0),$C48-1966)</f>
        <v>1E-3</v>
      </c>
      <c r="X48" s="4" cm="1">
        <f t="array" ref="X48">INDEX(GMW!$A$2:$LR$60,MATCH(1,(GMW!$LQ$2:$LQ$60=X$3)*(GMW!$LP$2:$LP$60=X$4)*(GMW!$LR$2:$LR$60=X$1),0),$C48-1966)</f>
        <v>1E-3</v>
      </c>
      <c r="Y48" s="4" cm="1">
        <f t="array" ref="Y48">INDEX(GMW!$A$2:$LR$60,MATCH(1,(GMW!$LQ$2:$LQ$60=Y$3)*(GMW!$LP$2:$LP$60=Y$4)*(GMW!$LR$2:$LR$60=Y$1),0),$C48-1966)</f>
        <v>1E-3</v>
      </c>
      <c r="Z48" s="4" cm="1">
        <f t="array" ref="Z48">INDEX(GMW!$A$2:$LR$60,MATCH(1,(GMW!$LQ$2:$LQ$60=Z$3)*(GMW!$LP$2:$LP$60=Z$4)*(GMW!$LR$2:$LR$60=Z$1),0),$C48-1966)</f>
        <v>1E-3</v>
      </c>
      <c r="AA48" s="4" cm="1">
        <f t="array" ref="AA48">INDEX(GMW!$A$2:$LR$60,MATCH(1,(GMW!$LQ$2:$LQ$60=AA$3)*(GMW!$LP$2:$LP$60=AA$4)*(GMW!$LR$2:$LR$60=AA$1),0),$C48-1966)</f>
        <v>132737</v>
      </c>
      <c r="AB48" s="4" cm="1">
        <f t="array" ref="AB48">INDEX(GMW!$A$2:$LR$60,MATCH(1,(GMW!$LQ$2:$LQ$60=AB$3)*(GMW!$LP$2:$LP$60=AB$4)*(GMW!$LR$2:$LR$60=AB$1),0),$C48-1966)</f>
        <v>44649</v>
      </c>
      <c r="AC48" s="4" cm="1">
        <f t="array" ref="AC48">INDEX(GMW!$A$2:$LR$60,MATCH(1,(GMW!$LQ$2:$LQ$60=AC$3)*(GMW!$LP$2:$LP$60=AC$4)*(GMW!$LR$2:$LR$60=AC$1),0),$C48-1966)</f>
        <v>58968</v>
      </c>
      <c r="AD48" s="4" cm="1">
        <f t="array" ref="AD48">INDEX(GMW!$A$2:$LR$60,MATCH(1,(GMW!$LQ$2:$LQ$60=AD$3)*(GMW!$LP$2:$LP$60=AD$4)*(GMW!$LR$2:$LR$60=AD$1),0),$C48-1966)</f>
        <v>40310</v>
      </c>
      <c r="AE48" s="4" cm="1">
        <f t="array" ref="AE48">INDEX(GMW!$A$2:$LR$60,MATCH(1,(GMW!$LQ$2:$LQ$60=AE$3)*(GMW!$LP$2:$LP$60=AE$4)*(GMW!$LR$2:$LR$60=AE$1),0),$C48-1966)</f>
        <v>34587</v>
      </c>
      <c r="AF48" s="4" cm="1">
        <f t="array" ref="AF48">INDEX(GMW!$A$2:$LR$60,MATCH(1,(GMW!$LQ$2:$LQ$60=AF$3)*(GMW!$LP$2:$LP$60=AF$4)*(GMW!$LR$2:$LR$60=AF$1),0),$C48-1966)</f>
        <v>1E-3</v>
      </c>
      <c r="AG48" s="4" cm="1">
        <f t="array" ref="AG48">INDEX(GMW!$A$2:$LR$60,MATCH(1,(GMW!$LQ$2:$LQ$60=AG$3)*(GMW!$LP$2:$LP$60=AG$4)*(GMW!$LR$2:$LR$60=AG$1),0),$C48-1966)</f>
        <v>1E-3</v>
      </c>
    </row>
    <row r="49" spans="1:33" x14ac:dyDescent="0.25">
      <c r="B49" s="4">
        <f t="shared" si="1"/>
        <v>1983</v>
      </c>
      <c r="C49" s="4">
        <f t="shared" ref="C49:C112" si="2">+C48+1</f>
        <v>2015</v>
      </c>
      <c r="D49" s="4" cm="1">
        <f t="array" ref="D49">INDEX(GMW!$A$2:$LR$60,MATCH(1,(GMW!$LQ$2:$LQ$60=D$3)*(GMW!$LP$2:$LP$60=D$4)*(GMW!$LR$2:$LR$60=D$1),0),$C49-1966)</f>
        <v>253655</v>
      </c>
      <c r="E49" s="4" cm="1">
        <f t="array" ref="E49">INDEX(GMW!$A$2:$LR$60,MATCH(1,(GMW!$LQ$2:$LQ$60=E$3)*(GMW!$LP$2:$LP$60=E$4)*(GMW!$LR$2:$LR$60=E$1),0),$C49-1966)</f>
        <v>253655</v>
      </c>
      <c r="F49" s="4" cm="1">
        <f t="array" ref="F49">INDEX(GMW!$A$2:$LR$60,MATCH(1,(GMW!$LQ$2:$LQ$60=F$3)*(GMW!$LP$2:$LP$60=F$4)*(GMW!$LR$2:$LR$60=F$1),0),$C49-1966)</f>
        <v>253655</v>
      </c>
      <c r="G49" s="4" cm="1">
        <f t="array" ref="G49">INDEX(GMW!$A$2:$LR$60,MATCH(1,(GMW!$LQ$2:$LQ$60=G$3)*(GMW!$LP$2:$LP$60=G$4)*(GMW!$LR$2:$LR$60=G$1),0),$C49-1966)</f>
        <v>253655</v>
      </c>
      <c r="H49" s="4" cm="1">
        <f t="array" ref="H49">INDEX(GMW!$A$2:$LR$60,MATCH(1,(GMW!$LQ$2:$LQ$60=H$3)*(GMW!$LP$2:$LP$60=H$4)*(GMW!$LR$2:$LR$60=H$1),0),$C49-1966)</f>
        <v>253655</v>
      </c>
      <c r="I49" s="4" cm="1">
        <f t="array" ref="I49">INDEX(GMW!$A$2:$LR$60,MATCH(1,(GMW!$LQ$2:$LQ$60=I$3)*(GMW!$LP$2:$LP$60=I$4)*(GMW!$LR$2:$LR$60=I$1),0),$C49-1966)</f>
        <v>253655</v>
      </c>
      <c r="J49" s="4" cm="1">
        <f t="array" ref="J49">INDEX(GMW!$A$2:$LR$60,MATCH(1,(GMW!$LQ$2:$LQ$60=J$3)*(GMW!$LP$2:$LP$60=J$4)*(GMW!$LR$2:$LR$60=J$1),0),$C49-1966)</f>
        <v>253655</v>
      </c>
      <c r="K49" s="4" cm="1">
        <f t="array" ref="K49">INDEX(GMW!$A$2:$LR$60,MATCH(1,(GMW!$LQ$2:$LQ$60=K$3)*(GMW!$LP$2:$LP$60=K$4)*(GMW!$LR$2:$LR$60=K$1),0),$C49-1966)</f>
        <v>253655</v>
      </c>
      <c r="L49" s="4" cm="1">
        <f t="array" ref="L49">INDEX(GMW!$A$2:$LR$60,MATCH(1,(GMW!$LQ$2:$LQ$60=L$3)*(GMW!$LP$2:$LP$60=L$4)*(GMW!$LR$2:$LR$60=L$1),0),$C49-1966)</f>
        <v>253655</v>
      </c>
      <c r="M49" s="4" cm="1">
        <f t="array" ref="M49">INDEX(GMW!$A$2:$LR$60,MATCH(1,(GMW!$LQ$2:$LQ$60=M$3)*(GMW!$LP$2:$LP$60=M$4)*(GMW!$LR$2:$LR$60=M$1),0),$C49-1966)</f>
        <v>253655</v>
      </c>
      <c r="N49" s="4" cm="1">
        <f t="array" ref="N49">INDEX(GMW!$A$2:$LR$60,MATCH(1,(GMW!$LQ$2:$LQ$60=N$3)*(GMW!$LP$2:$LP$60=N$4)*(GMW!$LR$2:$LR$60=N$1),0),$C49-1966)</f>
        <v>253655</v>
      </c>
      <c r="O49" s="4" cm="1">
        <f t="array" ref="O49">INDEX(GMW!$A$2:$LR$60,MATCH(1,(GMW!$LQ$2:$LQ$60=O$3)*(GMW!$LP$2:$LP$60=O$4)*(GMW!$LR$2:$LR$60=O$1),0),$C49-1966)</f>
        <v>253655</v>
      </c>
      <c r="P49" s="4" cm="1">
        <f t="array" ref="P49">INDEX(GMW!$A$2:$LR$60,MATCH(1,(GMW!$LQ$2:$LQ$60=P$3)*(GMW!$LP$2:$LP$60=P$4)*(GMW!$LR$2:$LR$60=P$1),0),$C49-1966)</f>
        <v>253655</v>
      </c>
      <c r="Q49" s="4" cm="1">
        <f t="array" ref="Q49">INDEX(GMW!$A$2:$LR$60,MATCH(1,(GMW!$LQ$2:$LQ$60=Q$3)*(GMW!$LP$2:$LP$60=Q$4)*(GMW!$LR$2:$LR$60=Q$1),0),$C49-1966)</f>
        <v>253655</v>
      </c>
      <c r="R49" s="4" cm="1">
        <f t="array" ref="R49">INDEX(GMW!$A$2:$LR$60,MATCH(1,(GMW!$LQ$2:$LQ$60=R$3)*(GMW!$LP$2:$LP$60=R$4)*(GMW!$LR$2:$LR$60=R$1),0),$C49-1966)</f>
        <v>253655</v>
      </c>
      <c r="S49" s="4" cm="1">
        <f t="array" ref="S49">INDEX(GMW!$A$2:$LR$60,MATCH(1,(GMW!$LQ$2:$LQ$60=S$3)*(GMW!$LP$2:$LP$60=S$4)*(GMW!$LR$2:$LR$60=S$1),0),$C49-1966)</f>
        <v>253655</v>
      </c>
      <c r="T49" s="4" cm="1">
        <f t="array" ref="T49">INDEX(GMW!$A$2:$LR$60,MATCH(1,(GMW!$LQ$2:$LQ$60=T$3)*(GMW!$LP$2:$LP$60=T$4)*(GMW!$LR$2:$LR$60=T$1),0),$C49-1966)</f>
        <v>253655</v>
      </c>
      <c r="U49" s="4" cm="1">
        <f t="array" ref="U49">INDEX(GMW!$A$2:$LR$60,MATCH(1,(GMW!$LQ$2:$LQ$60=U$3)*(GMW!$LP$2:$LP$60=U$4)*(GMW!$LR$2:$LR$60=U$1),0),$C49-1966)</f>
        <v>90.437579999999997</v>
      </c>
      <c r="V49" s="4" cm="1">
        <f t="array" ref="V49">INDEX(GMW!$A$2:$LR$60,MATCH(1,(GMW!$LQ$2:$LQ$60=V$3)*(GMW!$LP$2:$LP$60=V$4)*(GMW!$LR$2:$LR$60=V$1),0),$C49-1966)</f>
        <v>41.293399999999998</v>
      </c>
      <c r="W49" s="4" cm="1">
        <f t="array" ref="W49">INDEX(GMW!$A$2:$LR$60,MATCH(1,(GMW!$LQ$2:$LQ$60=W$3)*(GMW!$LP$2:$LP$60=W$4)*(GMW!$LR$2:$LR$60=W$1),0),$C49-1966)</f>
        <v>1E-3</v>
      </c>
      <c r="X49" s="4" cm="1">
        <f t="array" ref="X49">INDEX(GMW!$A$2:$LR$60,MATCH(1,(GMW!$LQ$2:$LQ$60=X$3)*(GMW!$LP$2:$LP$60=X$4)*(GMW!$LR$2:$LR$60=X$1),0),$C49-1966)</f>
        <v>1E-3</v>
      </c>
      <c r="Y49" s="4" cm="1">
        <f t="array" ref="Y49">INDEX(GMW!$A$2:$LR$60,MATCH(1,(GMW!$LQ$2:$LQ$60=Y$3)*(GMW!$LP$2:$LP$60=Y$4)*(GMW!$LR$2:$LR$60=Y$1),0),$C49-1966)</f>
        <v>1E-3</v>
      </c>
      <c r="Z49" s="4" cm="1">
        <f t="array" ref="Z49">INDEX(GMW!$A$2:$LR$60,MATCH(1,(GMW!$LQ$2:$LQ$60=Z$3)*(GMW!$LP$2:$LP$60=Z$4)*(GMW!$LR$2:$LR$60=Z$1),0),$C49-1966)</f>
        <v>1E-3</v>
      </c>
      <c r="AA49" s="4" cm="1">
        <f t="array" ref="AA49">INDEX(GMW!$A$2:$LR$60,MATCH(1,(GMW!$LQ$2:$LQ$60=AA$3)*(GMW!$LP$2:$LP$60=AA$4)*(GMW!$LR$2:$LR$60=AA$1),0),$C49-1966)</f>
        <v>134897</v>
      </c>
      <c r="AB49" s="4" cm="1">
        <f t="array" ref="AB49">INDEX(GMW!$A$2:$LR$60,MATCH(1,(GMW!$LQ$2:$LQ$60=AB$3)*(GMW!$LP$2:$LP$60=AB$4)*(GMW!$LR$2:$LR$60=AB$1),0),$C49-1966)</f>
        <v>45076</v>
      </c>
      <c r="AC49" s="4" cm="1">
        <f t="array" ref="AC49">INDEX(GMW!$A$2:$LR$60,MATCH(1,(GMW!$LQ$2:$LQ$60=AC$3)*(GMW!$LP$2:$LP$60=AC$4)*(GMW!$LR$2:$LR$60=AC$1),0),$C49-1966)</f>
        <v>58679</v>
      </c>
      <c r="AD49" s="4" cm="1">
        <f t="array" ref="AD49">INDEX(GMW!$A$2:$LR$60,MATCH(1,(GMW!$LQ$2:$LQ$60=AD$3)*(GMW!$LP$2:$LP$60=AD$4)*(GMW!$LR$2:$LR$60=AD$1),0),$C49-1966)</f>
        <v>41098</v>
      </c>
      <c r="AE49" s="4" cm="1">
        <f t="array" ref="AE49">INDEX(GMW!$A$2:$LR$60,MATCH(1,(GMW!$LQ$2:$LQ$60=AE$3)*(GMW!$LP$2:$LP$60=AE$4)*(GMW!$LR$2:$LR$60=AE$1),0),$C49-1966)</f>
        <v>34796</v>
      </c>
      <c r="AF49" s="4" cm="1">
        <f t="array" ref="AF49">INDEX(GMW!$A$2:$LR$60,MATCH(1,(GMW!$LQ$2:$LQ$60=AF$3)*(GMW!$LP$2:$LP$60=AF$4)*(GMW!$LR$2:$LR$60=AF$1),0),$C49-1966)</f>
        <v>1E-3</v>
      </c>
      <c r="AG49" s="4" cm="1">
        <f t="array" ref="AG49">INDEX(GMW!$A$2:$LR$60,MATCH(1,(GMW!$LQ$2:$LQ$60=AG$3)*(GMW!$LP$2:$LP$60=AG$4)*(GMW!$LR$2:$LR$60=AG$1),0),$C49-1966)</f>
        <v>1E-3</v>
      </c>
    </row>
    <row r="50" spans="1:33" x14ac:dyDescent="0.25">
      <c r="B50" s="4">
        <f t="shared" si="1"/>
        <v>1983</v>
      </c>
      <c r="C50" s="4">
        <f t="shared" si="2"/>
        <v>2016</v>
      </c>
      <c r="D50" s="4" cm="1">
        <f t="array" ref="D50">INDEX(GMW!$A$2:$LR$60,MATCH(1,(GMW!$LQ$2:$LQ$60=D$3)*(GMW!$LP$2:$LP$60=D$4)*(GMW!$LR$2:$LR$60=D$1),0),$C50-1966)</f>
        <v>255533</v>
      </c>
      <c r="E50" s="4" cm="1">
        <f t="array" ref="E50">INDEX(GMW!$A$2:$LR$60,MATCH(1,(GMW!$LQ$2:$LQ$60=E$3)*(GMW!$LP$2:$LP$60=E$4)*(GMW!$LR$2:$LR$60=E$1),0),$C50-1966)</f>
        <v>255533</v>
      </c>
      <c r="F50" s="4" cm="1">
        <f t="array" ref="F50">INDEX(GMW!$A$2:$LR$60,MATCH(1,(GMW!$LQ$2:$LQ$60=F$3)*(GMW!$LP$2:$LP$60=F$4)*(GMW!$LR$2:$LR$60=F$1),0),$C50-1966)</f>
        <v>255533</v>
      </c>
      <c r="G50" s="4" cm="1">
        <f t="array" ref="G50">INDEX(GMW!$A$2:$LR$60,MATCH(1,(GMW!$LQ$2:$LQ$60=G$3)*(GMW!$LP$2:$LP$60=G$4)*(GMW!$LR$2:$LR$60=G$1),0),$C50-1966)</f>
        <v>255533</v>
      </c>
      <c r="H50" s="4" cm="1">
        <f t="array" ref="H50">INDEX(GMW!$A$2:$LR$60,MATCH(1,(GMW!$LQ$2:$LQ$60=H$3)*(GMW!$LP$2:$LP$60=H$4)*(GMW!$LR$2:$LR$60=H$1),0),$C50-1966)</f>
        <v>255533</v>
      </c>
      <c r="I50" s="4" cm="1">
        <f t="array" ref="I50">INDEX(GMW!$A$2:$LR$60,MATCH(1,(GMW!$LQ$2:$LQ$60=I$3)*(GMW!$LP$2:$LP$60=I$4)*(GMW!$LR$2:$LR$60=I$1),0),$C50-1966)</f>
        <v>255533</v>
      </c>
      <c r="J50" s="4" cm="1">
        <f t="array" ref="J50">INDEX(GMW!$A$2:$LR$60,MATCH(1,(GMW!$LQ$2:$LQ$60=J$3)*(GMW!$LP$2:$LP$60=J$4)*(GMW!$LR$2:$LR$60=J$1),0),$C50-1966)</f>
        <v>255533</v>
      </c>
      <c r="K50" s="4" cm="1">
        <f t="array" ref="K50">INDEX(GMW!$A$2:$LR$60,MATCH(1,(GMW!$LQ$2:$LQ$60=K$3)*(GMW!$LP$2:$LP$60=K$4)*(GMW!$LR$2:$LR$60=K$1),0),$C50-1966)</f>
        <v>255533</v>
      </c>
      <c r="L50" s="4" cm="1">
        <f t="array" ref="L50">INDEX(GMW!$A$2:$LR$60,MATCH(1,(GMW!$LQ$2:$LQ$60=L$3)*(GMW!$LP$2:$LP$60=L$4)*(GMW!$LR$2:$LR$60=L$1),0),$C50-1966)</f>
        <v>255533</v>
      </c>
      <c r="M50" s="4" cm="1">
        <f t="array" ref="M50">INDEX(GMW!$A$2:$LR$60,MATCH(1,(GMW!$LQ$2:$LQ$60=M$3)*(GMW!$LP$2:$LP$60=M$4)*(GMW!$LR$2:$LR$60=M$1),0),$C50-1966)</f>
        <v>255533</v>
      </c>
      <c r="N50" s="4" cm="1">
        <f t="array" ref="N50">INDEX(GMW!$A$2:$LR$60,MATCH(1,(GMW!$LQ$2:$LQ$60=N$3)*(GMW!$LP$2:$LP$60=N$4)*(GMW!$LR$2:$LR$60=N$1),0),$C50-1966)</f>
        <v>255533</v>
      </c>
      <c r="O50" s="4" cm="1">
        <f t="array" ref="O50">INDEX(GMW!$A$2:$LR$60,MATCH(1,(GMW!$LQ$2:$LQ$60=O$3)*(GMW!$LP$2:$LP$60=O$4)*(GMW!$LR$2:$LR$60=O$1),0),$C50-1966)</f>
        <v>255533</v>
      </c>
      <c r="P50" s="4" cm="1">
        <f t="array" ref="P50">INDEX(GMW!$A$2:$LR$60,MATCH(1,(GMW!$LQ$2:$LQ$60=P$3)*(GMW!$LP$2:$LP$60=P$4)*(GMW!$LR$2:$LR$60=P$1),0),$C50-1966)</f>
        <v>255533</v>
      </c>
      <c r="Q50" s="4" cm="1">
        <f t="array" ref="Q50">INDEX(GMW!$A$2:$LR$60,MATCH(1,(GMW!$LQ$2:$LQ$60=Q$3)*(GMW!$LP$2:$LP$60=Q$4)*(GMW!$LR$2:$LR$60=Q$1),0),$C50-1966)</f>
        <v>255533</v>
      </c>
      <c r="R50" s="4" cm="1">
        <f t="array" ref="R50">INDEX(GMW!$A$2:$LR$60,MATCH(1,(GMW!$LQ$2:$LQ$60=R$3)*(GMW!$LP$2:$LP$60=R$4)*(GMW!$LR$2:$LR$60=R$1),0),$C50-1966)</f>
        <v>255533</v>
      </c>
      <c r="S50" s="4" cm="1">
        <f t="array" ref="S50">INDEX(GMW!$A$2:$LR$60,MATCH(1,(GMW!$LQ$2:$LQ$60=S$3)*(GMW!$LP$2:$LP$60=S$4)*(GMW!$LR$2:$LR$60=S$1),0),$C50-1966)</f>
        <v>255533</v>
      </c>
      <c r="T50" s="4" cm="1">
        <f t="array" ref="T50">INDEX(GMW!$A$2:$LR$60,MATCH(1,(GMW!$LQ$2:$LQ$60=T$3)*(GMW!$LP$2:$LP$60=T$4)*(GMW!$LR$2:$LR$60=T$1),0),$C50-1966)</f>
        <v>255533</v>
      </c>
      <c r="U50" s="4" cm="1">
        <f t="array" ref="U50">INDEX(GMW!$A$2:$LR$60,MATCH(1,(GMW!$LQ$2:$LQ$60=U$3)*(GMW!$LP$2:$LP$60=U$4)*(GMW!$LR$2:$LR$60=U$1),0),$C50-1966)</f>
        <v>91.531840000000003</v>
      </c>
      <c r="V50" s="4" cm="1">
        <f t="array" ref="V50">INDEX(GMW!$A$2:$LR$60,MATCH(1,(GMW!$LQ$2:$LQ$60=V$3)*(GMW!$LP$2:$LP$60=V$4)*(GMW!$LR$2:$LR$60=V$1),0),$C50-1966)</f>
        <v>41.762639999999998</v>
      </c>
      <c r="W50" s="4" cm="1">
        <f t="array" ref="W50">INDEX(GMW!$A$2:$LR$60,MATCH(1,(GMW!$LQ$2:$LQ$60=W$3)*(GMW!$LP$2:$LP$60=W$4)*(GMW!$LR$2:$LR$60=W$1),0),$C50-1966)</f>
        <v>1E-3</v>
      </c>
      <c r="X50" s="4" cm="1">
        <f t="array" ref="X50">INDEX(GMW!$A$2:$LR$60,MATCH(1,(GMW!$LQ$2:$LQ$60=X$3)*(GMW!$LP$2:$LP$60=X$4)*(GMW!$LR$2:$LR$60=X$1),0),$C50-1966)</f>
        <v>1E-3</v>
      </c>
      <c r="Y50" s="4" cm="1">
        <f t="array" ref="Y50">INDEX(GMW!$A$2:$LR$60,MATCH(1,(GMW!$LQ$2:$LQ$60=Y$3)*(GMW!$LP$2:$LP$60=Y$4)*(GMW!$LR$2:$LR$60=Y$1),0),$C50-1966)</f>
        <v>1E-3</v>
      </c>
      <c r="Z50" s="4" cm="1">
        <f t="array" ref="Z50">INDEX(GMW!$A$2:$LR$60,MATCH(1,(GMW!$LQ$2:$LQ$60=Z$3)*(GMW!$LP$2:$LP$60=Z$4)*(GMW!$LR$2:$LR$60=Z$1),0),$C50-1966)</f>
        <v>1E-3</v>
      </c>
      <c r="AA50" s="4" cm="1">
        <f t="array" ref="AA50">INDEX(GMW!$A$2:$LR$60,MATCH(1,(GMW!$LQ$2:$LQ$60=AA$3)*(GMW!$LP$2:$LP$60=AA$4)*(GMW!$LR$2:$LR$60=AA$1),0),$C50-1966)</f>
        <v>134949</v>
      </c>
      <c r="AB50" s="4" cm="1">
        <f t="array" ref="AB50">INDEX(GMW!$A$2:$LR$60,MATCH(1,(GMW!$LQ$2:$LQ$60=AB$3)*(GMW!$LP$2:$LP$60=AB$4)*(GMW!$LR$2:$LR$60=AB$1),0),$C50-1966)</f>
        <v>47172</v>
      </c>
      <c r="AC50" s="4" cm="1">
        <f t="array" ref="AC50">INDEX(GMW!$A$2:$LR$60,MATCH(1,(GMW!$LQ$2:$LQ$60=AC$3)*(GMW!$LP$2:$LP$60=AC$4)*(GMW!$LR$2:$LR$60=AC$1),0),$C50-1966)</f>
        <v>59104</v>
      </c>
      <c r="AD50" s="4" cm="1">
        <f t="array" ref="AD50">INDEX(GMW!$A$2:$LR$60,MATCH(1,(GMW!$LQ$2:$LQ$60=AD$3)*(GMW!$LP$2:$LP$60=AD$4)*(GMW!$LR$2:$LR$60=AD$1),0),$C50-1966)</f>
        <v>41726</v>
      </c>
      <c r="AE50" s="4" cm="1">
        <f t="array" ref="AE50">INDEX(GMW!$A$2:$LR$60,MATCH(1,(GMW!$LQ$2:$LQ$60=AE$3)*(GMW!$LP$2:$LP$60=AE$4)*(GMW!$LR$2:$LR$60=AE$1),0),$C50-1966)</f>
        <v>36023</v>
      </c>
      <c r="AF50" s="4" cm="1">
        <f t="array" ref="AF50">INDEX(GMW!$A$2:$LR$60,MATCH(1,(GMW!$LQ$2:$LQ$60=AF$3)*(GMW!$LP$2:$LP$60=AF$4)*(GMW!$LR$2:$LR$60=AF$1),0),$C50-1966)</f>
        <v>1E-3</v>
      </c>
      <c r="AG50" s="4" cm="1">
        <f t="array" ref="AG50">INDEX(GMW!$A$2:$LR$60,MATCH(1,(GMW!$LQ$2:$LQ$60=AG$3)*(GMW!$LP$2:$LP$60=AG$4)*(GMW!$LR$2:$LR$60=AG$1),0),$C50-1966)</f>
        <v>1E-3</v>
      </c>
    </row>
    <row r="51" spans="1:33" x14ac:dyDescent="0.25">
      <c r="A51" s="4">
        <v>1984</v>
      </c>
      <c r="B51" s="4">
        <f t="shared" si="1"/>
        <v>1984</v>
      </c>
      <c r="C51" s="4">
        <f t="shared" si="2"/>
        <v>2017</v>
      </c>
      <c r="D51" s="4" cm="1">
        <f t="array" ref="D51">INDEX(GMW!$A$2:$LR$60,MATCH(1,(GMW!$LQ$2:$LQ$60=D$3)*(GMW!$LP$2:$LP$60=D$4)*(GMW!$LR$2:$LR$60=D$1),0),$C51-1966)</f>
        <v>257683</v>
      </c>
      <c r="E51" s="4" cm="1">
        <f t="array" ref="E51">INDEX(GMW!$A$2:$LR$60,MATCH(1,(GMW!$LQ$2:$LQ$60=E$3)*(GMW!$LP$2:$LP$60=E$4)*(GMW!$LR$2:$LR$60=E$1),0),$C51-1966)</f>
        <v>257683</v>
      </c>
      <c r="F51" s="4" cm="1">
        <f t="array" ref="F51">INDEX(GMW!$A$2:$LR$60,MATCH(1,(GMW!$LQ$2:$LQ$60=F$3)*(GMW!$LP$2:$LP$60=F$4)*(GMW!$LR$2:$LR$60=F$1),0),$C51-1966)</f>
        <v>257683</v>
      </c>
      <c r="G51" s="4" cm="1">
        <f t="array" ref="G51">INDEX(GMW!$A$2:$LR$60,MATCH(1,(GMW!$LQ$2:$LQ$60=G$3)*(GMW!$LP$2:$LP$60=G$4)*(GMW!$LR$2:$LR$60=G$1),0),$C51-1966)</f>
        <v>257683</v>
      </c>
      <c r="H51" s="4" cm="1">
        <f t="array" ref="H51">INDEX(GMW!$A$2:$LR$60,MATCH(1,(GMW!$LQ$2:$LQ$60=H$3)*(GMW!$LP$2:$LP$60=H$4)*(GMW!$LR$2:$LR$60=H$1),0),$C51-1966)</f>
        <v>257683</v>
      </c>
      <c r="I51" s="4" cm="1">
        <f t="array" ref="I51">INDEX(GMW!$A$2:$LR$60,MATCH(1,(GMW!$LQ$2:$LQ$60=I$3)*(GMW!$LP$2:$LP$60=I$4)*(GMW!$LR$2:$LR$60=I$1),0),$C51-1966)</f>
        <v>257683</v>
      </c>
      <c r="J51" s="4" cm="1">
        <f t="array" ref="J51">INDEX(GMW!$A$2:$LR$60,MATCH(1,(GMW!$LQ$2:$LQ$60=J$3)*(GMW!$LP$2:$LP$60=J$4)*(GMW!$LR$2:$LR$60=J$1),0),$C51-1966)</f>
        <v>257683</v>
      </c>
      <c r="K51" s="4" cm="1">
        <f t="array" ref="K51">INDEX(GMW!$A$2:$LR$60,MATCH(1,(GMW!$LQ$2:$LQ$60=K$3)*(GMW!$LP$2:$LP$60=K$4)*(GMW!$LR$2:$LR$60=K$1),0),$C51-1966)</f>
        <v>257683</v>
      </c>
      <c r="L51" s="4" cm="1">
        <f t="array" ref="L51">INDEX(GMW!$A$2:$LR$60,MATCH(1,(GMW!$LQ$2:$LQ$60=L$3)*(GMW!$LP$2:$LP$60=L$4)*(GMW!$LR$2:$LR$60=L$1),0),$C51-1966)</f>
        <v>257683</v>
      </c>
      <c r="M51" s="4" cm="1">
        <f t="array" ref="M51">INDEX(GMW!$A$2:$LR$60,MATCH(1,(GMW!$LQ$2:$LQ$60=M$3)*(GMW!$LP$2:$LP$60=M$4)*(GMW!$LR$2:$LR$60=M$1),0),$C51-1966)</f>
        <v>257683</v>
      </c>
      <c r="N51" s="4" cm="1">
        <f t="array" ref="N51">INDEX(GMW!$A$2:$LR$60,MATCH(1,(GMW!$LQ$2:$LQ$60=N$3)*(GMW!$LP$2:$LP$60=N$4)*(GMW!$LR$2:$LR$60=N$1),0),$C51-1966)</f>
        <v>257683</v>
      </c>
      <c r="O51" s="4" cm="1">
        <f t="array" ref="O51">INDEX(GMW!$A$2:$LR$60,MATCH(1,(GMW!$LQ$2:$LQ$60=O$3)*(GMW!$LP$2:$LP$60=O$4)*(GMW!$LR$2:$LR$60=O$1),0),$C51-1966)</f>
        <v>257683</v>
      </c>
      <c r="P51" s="4" cm="1">
        <f t="array" ref="P51">INDEX(GMW!$A$2:$LR$60,MATCH(1,(GMW!$LQ$2:$LQ$60=P$3)*(GMW!$LP$2:$LP$60=P$4)*(GMW!$LR$2:$LR$60=P$1),0),$C51-1966)</f>
        <v>257683</v>
      </c>
      <c r="Q51" s="4" cm="1">
        <f t="array" ref="Q51">INDEX(GMW!$A$2:$LR$60,MATCH(1,(GMW!$LQ$2:$LQ$60=Q$3)*(GMW!$LP$2:$LP$60=Q$4)*(GMW!$LR$2:$LR$60=Q$1),0),$C51-1966)</f>
        <v>257683</v>
      </c>
      <c r="R51" s="4" cm="1">
        <f t="array" ref="R51">INDEX(GMW!$A$2:$LR$60,MATCH(1,(GMW!$LQ$2:$LQ$60=R$3)*(GMW!$LP$2:$LP$60=R$4)*(GMW!$LR$2:$LR$60=R$1),0),$C51-1966)</f>
        <v>257683</v>
      </c>
      <c r="S51" s="4" cm="1">
        <f t="array" ref="S51">INDEX(GMW!$A$2:$LR$60,MATCH(1,(GMW!$LQ$2:$LQ$60=S$3)*(GMW!$LP$2:$LP$60=S$4)*(GMW!$LR$2:$LR$60=S$1),0),$C51-1966)</f>
        <v>257683</v>
      </c>
      <c r="T51" s="4" cm="1">
        <f t="array" ref="T51">INDEX(GMW!$A$2:$LR$60,MATCH(1,(GMW!$LQ$2:$LQ$60=T$3)*(GMW!$LP$2:$LP$60=T$4)*(GMW!$LR$2:$LR$60=T$1),0),$C51-1966)</f>
        <v>257683</v>
      </c>
      <c r="U51" s="4" cm="1">
        <f t="array" ref="U51">INDEX(GMW!$A$2:$LR$60,MATCH(1,(GMW!$LQ$2:$LQ$60=U$3)*(GMW!$LP$2:$LP$60=U$4)*(GMW!$LR$2:$LR$60=U$1),0),$C51-1966)</f>
        <v>92.079539999999994</v>
      </c>
      <c r="V51" s="4" cm="1">
        <f t="array" ref="V51">INDEX(GMW!$A$2:$LR$60,MATCH(1,(GMW!$LQ$2:$LQ$60=V$3)*(GMW!$LP$2:$LP$60=V$4)*(GMW!$LR$2:$LR$60=V$1),0),$C51-1966)</f>
        <v>41.86692</v>
      </c>
      <c r="W51" s="4" cm="1">
        <f t="array" ref="W51">INDEX(GMW!$A$2:$LR$60,MATCH(1,(GMW!$LQ$2:$LQ$60=W$3)*(GMW!$LP$2:$LP$60=W$4)*(GMW!$LR$2:$LR$60=W$1),0),$C51-1966)</f>
        <v>1E-3</v>
      </c>
      <c r="X51" s="4" cm="1">
        <f t="array" ref="X51">INDEX(GMW!$A$2:$LR$60,MATCH(1,(GMW!$LQ$2:$LQ$60=X$3)*(GMW!$LP$2:$LP$60=X$4)*(GMW!$LR$2:$LR$60=X$1),0),$C51-1966)</f>
        <v>1E-3</v>
      </c>
      <c r="Y51" s="4" cm="1">
        <f t="array" ref="Y51">INDEX(GMW!$A$2:$LR$60,MATCH(1,(GMW!$LQ$2:$LQ$60=Y$3)*(GMW!$LP$2:$LP$60=Y$4)*(GMW!$LR$2:$LR$60=Y$1),0),$C51-1966)</f>
        <v>1E-3</v>
      </c>
      <c r="Z51" s="4" cm="1">
        <f t="array" ref="Z51">INDEX(GMW!$A$2:$LR$60,MATCH(1,(GMW!$LQ$2:$LQ$60=Z$3)*(GMW!$LP$2:$LP$60=Z$4)*(GMW!$LR$2:$LR$60=Z$1),0),$C51-1966)</f>
        <v>1E-3</v>
      </c>
      <c r="AA51" s="4" cm="1">
        <f t="array" ref="AA51">INDEX(GMW!$A$2:$LR$60,MATCH(1,(GMW!$LQ$2:$LQ$60=AA$3)*(GMW!$LP$2:$LP$60=AA$4)*(GMW!$LR$2:$LR$60=AA$1),0),$C51-1966)</f>
        <v>135773</v>
      </c>
      <c r="AB51" s="4" cm="1">
        <f t="array" ref="AB51">INDEX(GMW!$A$2:$LR$60,MATCH(1,(GMW!$LQ$2:$LQ$60=AB$3)*(GMW!$LP$2:$LP$60=AB$4)*(GMW!$LR$2:$LR$60=AB$1),0),$C51-1966)</f>
        <v>48186</v>
      </c>
      <c r="AC51" s="4" cm="1">
        <f t="array" ref="AC51">INDEX(GMW!$A$2:$LR$60,MATCH(1,(GMW!$LQ$2:$LQ$60=AC$3)*(GMW!$LP$2:$LP$60=AC$4)*(GMW!$LR$2:$LR$60=AC$1),0),$C51-1966)</f>
        <v>59530</v>
      </c>
      <c r="AD51" s="4" cm="1">
        <f t="array" ref="AD51">INDEX(GMW!$A$2:$LR$60,MATCH(1,(GMW!$LQ$2:$LQ$60=AD$3)*(GMW!$LP$2:$LP$60=AD$4)*(GMW!$LR$2:$LR$60=AD$1),0),$C51-1966)</f>
        <v>42687</v>
      </c>
      <c r="AE51" s="4" cm="1">
        <f t="array" ref="AE51">INDEX(GMW!$A$2:$LR$60,MATCH(1,(GMW!$LQ$2:$LQ$60=AE$3)*(GMW!$LP$2:$LP$60=AE$4)*(GMW!$LR$2:$LR$60=AE$1),0),$C51-1966)</f>
        <v>36356</v>
      </c>
      <c r="AF51" s="4" cm="1">
        <f t="array" ref="AF51">INDEX(GMW!$A$2:$LR$60,MATCH(1,(GMW!$LQ$2:$LQ$60=AF$3)*(GMW!$LP$2:$LP$60=AF$4)*(GMW!$LR$2:$LR$60=AF$1),0),$C51-1966)</f>
        <v>1E-3</v>
      </c>
      <c r="AG51" s="4" cm="1">
        <f t="array" ref="AG51">INDEX(GMW!$A$2:$LR$60,MATCH(1,(GMW!$LQ$2:$LQ$60=AG$3)*(GMW!$LP$2:$LP$60=AG$4)*(GMW!$LR$2:$LR$60=AG$1),0),$C51-1966)</f>
        <v>1E-3</v>
      </c>
    </row>
    <row r="52" spans="1:33" x14ac:dyDescent="0.25">
      <c r="B52" s="4">
        <f t="shared" si="1"/>
        <v>1984</v>
      </c>
      <c r="C52" s="4">
        <f t="shared" si="2"/>
        <v>2018</v>
      </c>
      <c r="D52" s="4" cm="1">
        <f t="array" ref="D52">INDEX(GMW!$A$2:$LR$60,MATCH(1,(GMW!$LQ$2:$LQ$60=D$3)*(GMW!$LP$2:$LP$60=D$4)*(GMW!$LR$2:$LR$60=D$1),0),$C52-1966)</f>
        <v>255100</v>
      </c>
      <c r="E52" s="4" cm="1">
        <f t="array" ref="E52">INDEX(GMW!$A$2:$LR$60,MATCH(1,(GMW!$LQ$2:$LQ$60=E$3)*(GMW!$LP$2:$LP$60=E$4)*(GMW!$LR$2:$LR$60=E$1),0),$C52-1966)</f>
        <v>255100</v>
      </c>
      <c r="F52" s="4" cm="1">
        <f t="array" ref="F52">INDEX(GMW!$A$2:$LR$60,MATCH(1,(GMW!$LQ$2:$LQ$60=F$3)*(GMW!$LP$2:$LP$60=F$4)*(GMW!$LR$2:$LR$60=F$1),0),$C52-1966)</f>
        <v>255100</v>
      </c>
      <c r="G52" s="4" cm="1">
        <f t="array" ref="G52">INDEX(GMW!$A$2:$LR$60,MATCH(1,(GMW!$LQ$2:$LQ$60=G$3)*(GMW!$LP$2:$LP$60=G$4)*(GMW!$LR$2:$LR$60=G$1),0),$C52-1966)</f>
        <v>255100</v>
      </c>
      <c r="H52" s="4" cm="1">
        <f t="array" ref="H52">INDEX(GMW!$A$2:$LR$60,MATCH(1,(GMW!$LQ$2:$LQ$60=H$3)*(GMW!$LP$2:$LP$60=H$4)*(GMW!$LR$2:$LR$60=H$1),0),$C52-1966)</f>
        <v>255100</v>
      </c>
      <c r="I52" s="4" cm="1">
        <f t="array" ref="I52">INDEX(GMW!$A$2:$LR$60,MATCH(1,(GMW!$LQ$2:$LQ$60=I$3)*(GMW!$LP$2:$LP$60=I$4)*(GMW!$LR$2:$LR$60=I$1),0),$C52-1966)</f>
        <v>255100</v>
      </c>
      <c r="J52" s="4" cm="1">
        <f t="array" ref="J52">INDEX(GMW!$A$2:$LR$60,MATCH(1,(GMW!$LQ$2:$LQ$60=J$3)*(GMW!$LP$2:$LP$60=J$4)*(GMW!$LR$2:$LR$60=J$1),0),$C52-1966)</f>
        <v>255100</v>
      </c>
      <c r="K52" s="4" cm="1">
        <f t="array" ref="K52">INDEX(GMW!$A$2:$LR$60,MATCH(1,(GMW!$LQ$2:$LQ$60=K$3)*(GMW!$LP$2:$LP$60=K$4)*(GMW!$LR$2:$LR$60=K$1),0),$C52-1966)</f>
        <v>255100</v>
      </c>
      <c r="L52" s="4" cm="1">
        <f t="array" ref="L52">INDEX(GMW!$A$2:$LR$60,MATCH(1,(GMW!$LQ$2:$LQ$60=L$3)*(GMW!$LP$2:$LP$60=L$4)*(GMW!$LR$2:$LR$60=L$1),0),$C52-1966)</f>
        <v>255100</v>
      </c>
      <c r="M52" s="4" cm="1">
        <f t="array" ref="M52">INDEX(GMW!$A$2:$LR$60,MATCH(1,(GMW!$LQ$2:$LQ$60=M$3)*(GMW!$LP$2:$LP$60=M$4)*(GMW!$LR$2:$LR$60=M$1),0),$C52-1966)</f>
        <v>255100</v>
      </c>
      <c r="N52" s="4" cm="1">
        <f t="array" ref="N52">INDEX(GMW!$A$2:$LR$60,MATCH(1,(GMW!$LQ$2:$LQ$60=N$3)*(GMW!$LP$2:$LP$60=N$4)*(GMW!$LR$2:$LR$60=N$1),0),$C52-1966)</f>
        <v>255100</v>
      </c>
      <c r="O52" s="4" cm="1">
        <f t="array" ref="O52">INDEX(GMW!$A$2:$LR$60,MATCH(1,(GMW!$LQ$2:$LQ$60=O$3)*(GMW!$LP$2:$LP$60=O$4)*(GMW!$LR$2:$LR$60=O$1),0),$C52-1966)</f>
        <v>255100</v>
      </c>
      <c r="P52" s="4" cm="1">
        <f t="array" ref="P52">INDEX(GMW!$A$2:$LR$60,MATCH(1,(GMW!$LQ$2:$LQ$60=P$3)*(GMW!$LP$2:$LP$60=P$4)*(GMW!$LR$2:$LR$60=P$1),0),$C52-1966)</f>
        <v>255100</v>
      </c>
      <c r="Q52" s="4" cm="1">
        <f t="array" ref="Q52">INDEX(GMW!$A$2:$LR$60,MATCH(1,(GMW!$LQ$2:$LQ$60=Q$3)*(GMW!$LP$2:$LP$60=Q$4)*(GMW!$LR$2:$LR$60=Q$1),0),$C52-1966)</f>
        <v>255100</v>
      </c>
      <c r="R52" s="4" cm="1">
        <f t="array" ref="R52">INDEX(GMW!$A$2:$LR$60,MATCH(1,(GMW!$LQ$2:$LQ$60=R$3)*(GMW!$LP$2:$LP$60=R$4)*(GMW!$LR$2:$LR$60=R$1),0),$C52-1966)</f>
        <v>255100</v>
      </c>
      <c r="S52" s="4" cm="1">
        <f t="array" ref="S52">INDEX(GMW!$A$2:$LR$60,MATCH(1,(GMW!$LQ$2:$LQ$60=S$3)*(GMW!$LP$2:$LP$60=S$4)*(GMW!$LR$2:$LR$60=S$1),0),$C52-1966)</f>
        <v>255100</v>
      </c>
      <c r="T52" s="4" cm="1">
        <f t="array" ref="T52">INDEX(GMW!$A$2:$LR$60,MATCH(1,(GMW!$LQ$2:$LQ$60=T$3)*(GMW!$LP$2:$LP$60=T$4)*(GMW!$LR$2:$LR$60=T$1),0),$C52-1966)</f>
        <v>255100</v>
      </c>
      <c r="U52" s="4" cm="1">
        <f t="array" ref="U52">INDEX(GMW!$A$2:$LR$60,MATCH(1,(GMW!$LQ$2:$LQ$60=U$3)*(GMW!$LP$2:$LP$60=U$4)*(GMW!$LR$2:$LR$60=U$1),0),$C52-1966)</f>
        <v>94.127579999999995</v>
      </c>
      <c r="V52" s="4" cm="1">
        <f t="array" ref="V52">INDEX(GMW!$A$2:$LR$60,MATCH(1,(GMW!$LQ$2:$LQ$60=V$3)*(GMW!$LP$2:$LP$60=V$4)*(GMW!$LR$2:$LR$60=V$1),0),$C52-1966)</f>
        <v>42.779339999999998</v>
      </c>
      <c r="W52" s="4" cm="1">
        <f t="array" ref="W52">INDEX(GMW!$A$2:$LR$60,MATCH(1,(GMW!$LQ$2:$LQ$60=W$3)*(GMW!$LP$2:$LP$60=W$4)*(GMW!$LR$2:$LR$60=W$1),0),$C52-1966)</f>
        <v>1E-3</v>
      </c>
      <c r="X52" s="4" cm="1">
        <f t="array" ref="X52">INDEX(GMW!$A$2:$LR$60,MATCH(1,(GMW!$LQ$2:$LQ$60=X$3)*(GMW!$LP$2:$LP$60=X$4)*(GMW!$LR$2:$LR$60=X$1),0),$C52-1966)</f>
        <v>1E-3</v>
      </c>
      <c r="Y52" s="4" cm="1">
        <f t="array" ref="Y52">INDEX(GMW!$A$2:$LR$60,MATCH(1,(GMW!$LQ$2:$LQ$60=Y$3)*(GMW!$LP$2:$LP$60=Y$4)*(GMW!$LR$2:$LR$60=Y$1),0),$C52-1966)</f>
        <v>1E-3</v>
      </c>
      <c r="Z52" s="4" cm="1">
        <f t="array" ref="Z52">INDEX(GMW!$A$2:$LR$60,MATCH(1,(GMW!$LQ$2:$LQ$60=Z$3)*(GMW!$LP$2:$LP$60=Z$4)*(GMW!$LR$2:$LR$60=Z$1),0),$C52-1966)</f>
        <v>1E-3</v>
      </c>
      <c r="AA52" s="4" cm="1">
        <f t="array" ref="AA52">INDEX(GMW!$A$2:$LR$60,MATCH(1,(GMW!$LQ$2:$LQ$60=AA$3)*(GMW!$LP$2:$LP$60=AA$4)*(GMW!$LR$2:$LR$60=AA$1),0),$C52-1966)</f>
        <v>136860</v>
      </c>
      <c r="AB52" s="4" cm="1">
        <f t="array" ref="AB52">INDEX(GMW!$A$2:$LR$60,MATCH(1,(GMW!$LQ$2:$LQ$60=AB$3)*(GMW!$LP$2:$LP$60=AB$4)*(GMW!$LR$2:$LR$60=AB$1),0),$C52-1966)</f>
        <v>48369</v>
      </c>
      <c r="AC52" s="4" cm="1">
        <f t="array" ref="AC52">INDEX(GMW!$A$2:$LR$60,MATCH(1,(GMW!$LQ$2:$LQ$60=AC$3)*(GMW!$LP$2:$LP$60=AC$4)*(GMW!$LR$2:$LR$60=AC$1),0),$C52-1966)</f>
        <v>58960</v>
      </c>
      <c r="AD52" s="4" cm="1">
        <f t="array" ref="AD52">INDEX(GMW!$A$2:$LR$60,MATCH(1,(GMW!$LQ$2:$LQ$60=AD$3)*(GMW!$LP$2:$LP$60=AD$4)*(GMW!$LR$2:$LR$60=AD$1),0),$C52-1966)</f>
        <v>42588</v>
      </c>
      <c r="AE52" s="4" cm="1">
        <f t="array" ref="AE52">INDEX(GMW!$A$2:$LR$60,MATCH(1,(GMW!$LQ$2:$LQ$60=AE$3)*(GMW!$LP$2:$LP$60=AE$4)*(GMW!$LR$2:$LR$60=AE$1),0),$C52-1966)</f>
        <v>37935</v>
      </c>
      <c r="AF52" s="4" cm="1">
        <f t="array" ref="AF52">INDEX(GMW!$A$2:$LR$60,MATCH(1,(GMW!$LQ$2:$LQ$60=AF$3)*(GMW!$LP$2:$LP$60=AF$4)*(GMW!$LR$2:$LR$60=AF$1),0),$C52-1966)</f>
        <v>1E-3</v>
      </c>
      <c r="AG52" s="4" cm="1">
        <f t="array" ref="AG52">INDEX(GMW!$A$2:$LR$60,MATCH(1,(GMW!$LQ$2:$LQ$60=AG$3)*(GMW!$LP$2:$LP$60=AG$4)*(GMW!$LR$2:$LR$60=AG$1),0),$C52-1966)</f>
        <v>1E-3</v>
      </c>
    </row>
    <row r="53" spans="1:33" x14ac:dyDescent="0.25">
      <c r="B53" s="4">
        <f t="shared" si="1"/>
        <v>1984</v>
      </c>
      <c r="C53" s="4">
        <f t="shared" si="2"/>
        <v>2019</v>
      </c>
      <c r="D53" s="4" cm="1">
        <f t="array" ref="D53">INDEX(GMW!$A$2:$LR$60,MATCH(1,(GMW!$LQ$2:$LQ$60=D$3)*(GMW!$LP$2:$LP$60=D$4)*(GMW!$LR$2:$LR$60=D$1),0),$C53-1966)</f>
        <v>256975</v>
      </c>
      <c r="E53" s="4" cm="1">
        <f t="array" ref="E53">INDEX(GMW!$A$2:$LR$60,MATCH(1,(GMW!$LQ$2:$LQ$60=E$3)*(GMW!$LP$2:$LP$60=E$4)*(GMW!$LR$2:$LR$60=E$1),0),$C53-1966)</f>
        <v>256975</v>
      </c>
      <c r="F53" s="4" cm="1">
        <f t="array" ref="F53">INDEX(GMW!$A$2:$LR$60,MATCH(1,(GMW!$LQ$2:$LQ$60=F$3)*(GMW!$LP$2:$LP$60=F$4)*(GMW!$LR$2:$LR$60=F$1),0),$C53-1966)</f>
        <v>256975</v>
      </c>
      <c r="G53" s="4" cm="1">
        <f t="array" ref="G53">INDEX(GMW!$A$2:$LR$60,MATCH(1,(GMW!$LQ$2:$LQ$60=G$3)*(GMW!$LP$2:$LP$60=G$4)*(GMW!$LR$2:$LR$60=G$1),0),$C53-1966)</f>
        <v>256975</v>
      </c>
      <c r="H53" s="4" cm="1">
        <f t="array" ref="H53">INDEX(GMW!$A$2:$LR$60,MATCH(1,(GMW!$LQ$2:$LQ$60=H$3)*(GMW!$LP$2:$LP$60=H$4)*(GMW!$LR$2:$LR$60=H$1),0),$C53-1966)</f>
        <v>256975</v>
      </c>
      <c r="I53" s="4" cm="1">
        <f t="array" ref="I53">INDEX(GMW!$A$2:$LR$60,MATCH(1,(GMW!$LQ$2:$LQ$60=I$3)*(GMW!$LP$2:$LP$60=I$4)*(GMW!$LR$2:$LR$60=I$1),0),$C53-1966)</f>
        <v>256975</v>
      </c>
      <c r="J53" s="4" cm="1">
        <f t="array" ref="J53">INDEX(GMW!$A$2:$LR$60,MATCH(1,(GMW!$LQ$2:$LQ$60=J$3)*(GMW!$LP$2:$LP$60=J$4)*(GMW!$LR$2:$LR$60=J$1),0),$C53-1966)</f>
        <v>256975</v>
      </c>
      <c r="K53" s="4" cm="1">
        <f t="array" ref="K53">INDEX(GMW!$A$2:$LR$60,MATCH(1,(GMW!$LQ$2:$LQ$60=K$3)*(GMW!$LP$2:$LP$60=K$4)*(GMW!$LR$2:$LR$60=K$1),0),$C53-1966)</f>
        <v>256975</v>
      </c>
      <c r="L53" s="4" cm="1">
        <f t="array" ref="L53">INDEX(GMW!$A$2:$LR$60,MATCH(1,(GMW!$LQ$2:$LQ$60=L$3)*(GMW!$LP$2:$LP$60=L$4)*(GMW!$LR$2:$LR$60=L$1),0),$C53-1966)</f>
        <v>256975</v>
      </c>
      <c r="M53" s="4" cm="1">
        <f t="array" ref="M53">INDEX(GMW!$A$2:$LR$60,MATCH(1,(GMW!$LQ$2:$LQ$60=M$3)*(GMW!$LP$2:$LP$60=M$4)*(GMW!$LR$2:$LR$60=M$1),0),$C53-1966)</f>
        <v>256975</v>
      </c>
      <c r="N53" s="4" cm="1">
        <f t="array" ref="N53">INDEX(GMW!$A$2:$LR$60,MATCH(1,(GMW!$LQ$2:$LQ$60=N$3)*(GMW!$LP$2:$LP$60=N$4)*(GMW!$LR$2:$LR$60=N$1),0),$C53-1966)</f>
        <v>256975</v>
      </c>
      <c r="O53" s="4" cm="1">
        <f t="array" ref="O53">INDEX(GMW!$A$2:$LR$60,MATCH(1,(GMW!$LQ$2:$LQ$60=O$3)*(GMW!$LP$2:$LP$60=O$4)*(GMW!$LR$2:$LR$60=O$1),0),$C53-1966)</f>
        <v>256975</v>
      </c>
      <c r="P53" s="4" cm="1">
        <f t="array" ref="P53">INDEX(GMW!$A$2:$LR$60,MATCH(1,(GMW!$LQ$2:$LQ$60=P$3)*(GMW!$LP$2:$LP$60=P$4)*(GMW!$LR$2:$LR$60=P$1),0),$C53-1966)</f>
        <v>256975</v>
      </c>
      <c r="Q53" s="4" cm="1">
        <f t="array" ref="Q53">INDEX(GMW!$A$2:$LR$60,MATCH(1,(GMW!$LQ$2:$LQ$60=Q$3)*(GMW!$LP$2:$LP$60=Q$4)*(GMW!$LR$2:$LR$60=Q$1),0),$C53-1966)</f>
        <v>256975</v>
      </c>
      <c r="R53" s="4" cm="1">
        <f t="array" ref="R53">INDEX(GMW!$A$2:$LR$60,MATCH(1,(GMW!$LQ$2:$LQ$60=R$3)*(GMW!$LP$2:$LP$60=R$4)*(GMW!$LR$2:$LR$60=R$1),0),$C53-1966)</f>
        <v>256975</v>
      </c>
      <c r="S53" s="4" cm="1">
        <f t="array" ref="S53">INDEX(GMW!$A$2:$LR$60,MATCH(1,(GMW!$LQ$2:$LQ$60=S$3)*(GMW!$LP$2:$LP$60=S$4)*(GMW!$LR$2:$LR$60=S$1),0),$C53-1966)</f>
        <v>256975</v>
      </c>
      <c r="T53" s="4" cm="1">
        <f t="array" ref="T53">INDEX(GMW!$A$2:$LR$60,MATCH(1,(GMW!$LQ$2:$LQ$60=T$3)*(GMW!$LP$2:$LP$60=T$4)*(GMW!$LR$2:$LR$60=T$1),0),$C53-1966)</f>
        <v>256975</v>
      </c>
      <c r="U53" s="4" cm="1">
        <f t="array" ref="U53">INDEX(GMW!$A$2:$LR$60,MATCH(1,(GMW!$LQ$2:$LQ$60=U$3)*(GMW!$LP$2:$LP$60=U$4)*(GMW!$LR$2:$LR$60=U$1),0),$C53-1966)</f>
        <v>96.732339999999994</v>
      </c>
      <c r="V53" s="4" cm="1">
        <f t="array" ref="V53">INDEX(GMW!$A$2:$LR$60,MATCH(1,(GMW!$LQ$2:$LQ$60=V$3)*(GMW!$LP$2:$LP$60=V$4)*(GMW!$LR$2:$LR$60=V$1),0),$C53-1966)</f>
        <v>42.98789</v>
      </c>
      <c r="W53" s="4" cm="1">
        <f t="array" ref="W53">INDEX(GMW!$A$2:$LR$60,MATCH(1,(GMW!$LQ$2:$LQ$60=W$3)*(GMW!$LP$2:$LP$60=W$4)*(GMW!$LR$2:$LR$60=W$1),0),$C53-1966)</f>
        <v>1E-3</v>
      </c>
      <c r="X53" s="4" cm="1">
        <f t="array" ref="X53">INDEX(GMW!$A$2:$LR$60,MATCH(1,(GMW!$LQ$2:$LQ$60=X$3)*(GMW!$LP$2:$LP$60=X$4)*(GMW!$LR$2:$LR$60=X$1),0),$C53-1966)</f>
        <v>1E-3</v>
      </c>
      <c r="Y53" s="4" cm="1">
        <f t="array" ref="Y53">INDEX(GMW!$A$2:$LR$60,MATCH(1,(GMW!$LQ$2:$LQ$60=Y$3)*(GMW!$LP$2:$LP$60=Y$4)*(GMW!$LR$2:$LR$60=Y$1),0),$C53-1966)</f>
        <v>1E-3</v>
      </c>
      <c r="Z53" s="4" cm="1">
        <f t="array" ref="Z53">INDEX(GMW!$A$2:$LR$60,MATCH(1,(GMW!$LQ$2:$LQ$60=Z$3)*(GMW!$LP$2:$LP$60=Z$4)*(GMW!$LR$2:$LR$60=Z$1),0),$C53-1966)</f>
        <v>1E-3</v>
      </c>
      <c r="AA53" s="4" cm="1">
        <f t="array" ref="AA53">INDEX(GMW!$A$2:$LR$60,MATCH(1,(GMW!$LQ$2:$LQ$60=AA$3)*(GMW!$LP$2:$LP$60=AA$4)*(GMW!$LR$2:$LR$60=AA$1),0),$C53-1966)</f>
        <v>136138</v>
      </c>
      <c r="AB53" s="4" cm="1">
        <f t="array" ref="AB53">INDEX(GMW!$A$2:$LR$60,MATCH(1,(GMW!$LQ$2:$LQ$60=AB$3)*(GMW!$LP$2:$LP$60=AB$4)*(GMW!$LR$2:$LR$60=AB$1),0),$C53-1966)</f>
        <v>48441</v>
      </c>
      <c r="AC53" s="4" cm="1">
        <f t="array" ref="AC53">INDEX(GMW!$A$2:$LR$60,MATCH(1,(GMW!$LQ$2:$LQ$60=AC$3)*(GMW!$LP$2:$LP$60=AC$4)*(GMW!$LR$2:$LR$60=AC$1),0),$C53-1966)</f>
        <v>59399</v>
      </c>
      <c r="AD53" s="4" cm="1">
        <f t="array" ref="AD53">INDEX(GMW!$A$2:$LR$60,MATCH(1,(GMW!$LQ$2:$LQ$60=AD$3)*(GMW!$LP$2:$LP$60=AD$4)*(GMW!$LR$2:$LR$60=AD$1),0),$C53-1966)</f>
        <v>43887</v>
      </c>
      <c r="AE53" s="4" cm="1">
        <f t="array" ref="AE53">INDEX(GMW!$A$2:$LR$60,MATCH(1,(GMW!$LQ$2:$LQ$60=AE$3)*(GMW!$LP$2:$LP$60=AE$4)*(GMW!$LR$2:$LR$60=AE$1),0),$C53-1966)</f>
        <v>38209</v>
      </c>
      <c r="AF53" s="4" cm="1">
        <f t="array" ref="AF53">INDEX(GMW!$A$2:$LR$60,MATCH(1,(GMW!$LQ$2:$LQ$60=AF$3)*(GMW!$LP$2:$LP$60=AF$4)*(GMW!$LR$2:$LR$60=AF$1),0),$C53-1966)</f>
        <v>1E-3</v>
      </c>
      <c r="AG53" s="4" cm="1">
        <f t="array" ref="AG53">INDEX(GMW!$A$2:$LR$60,MATCH(1,(GMW!$LQ$2:$LQ$60=AG$3)*(GMW!$LP$2:$LP$60=AG$4)*(GMW!$LR$2:$LR$60=AG$1),0),$C53-1966)</f>
        <v>1E-3</v>
      </c>
    </row>
    <row r="54" spans="1:33" x14ac:dyDescent="0.25">
      <c r="B54" s="4">
        <f t="shared" si="1"/>
        <v>1984</v>
      </c>
      <c r="C54" s="4">
        <f t="shared" si="2"/>
        <v>2020</v>
      </c>
      <c r="D54" s="4" cm="1">
        <f t="array" ref="D54">INDEX(GMW!$A$2:$LR$60,MATCH(1,(GMW!$LQ$2:$LQ$60=D$3)*(GMW!$LP$2:$LP$60=D$4)*(GMW!$LR$2:$LR$60=D$1),0),$C54-1966)</f>
        <v>261627</v>
      </c>
      <c r="E54" s="4" cm="1">
        <f t="array" ref="E54">INDEX(GMW!$A$2:$LR$60,MATCH(1,(GMW!$LQ$2:$LQ$60=E$3)*(GMW!$LP$2:$LP$60=E$4)*(GMW!$LR$2:$LR$60=E$1),0),$C54-1966)</f>
        <v>261627</v>
      </c>
      <c r="F54" s="4" cm="1">
        <f t="array" ref="F54">INDEX(GMW!$A$2:$LR$60,MATCH(1,(GMW!$LQ$2:$LQ$60=F$3)*(GMW!$LP$2:$LP$60=F$4)*(GMW!$LR$2:$LR$60=F$1),0),$C54-1966)</f>
        <v>261627</v>
      </c>
      <c r="G54" s="4" cm="1">
        <f t="array" ref="G54">INDEX(GMW!$A$2:$LR$60,MATCH(1,(GMW!$LQ$2:$LQ$60=G$3)*(GMW!$LP$2:$LP$60=G$4)*(GMW!$LR$2:$LR$60=G$1),0),$C54-1966)</f>
        <v>261627</v>
      </c>
      <c r="H54" s="4" cm="1">
        <f t="array" ref="H54">INDEX(GMW!$A$2:$LR$60,MATCH(1,(GMW!$LQ$2:$LQ$60=H$3)*(GMW!$LP$2:$LP$60=H$4)*(GMW!$LR$2:$LR$60=H$1),0),$C54-1966)</f>
        <v>261627</v>
      </c>
      <c r="I54" s="4" cm="1">
        <f t="array" ref="I54">INDEX(GMW!$A$2:$LR$60,MATCH(1,(GMW!$LQ$2:$LQ$60=I$3)*(GMW!$LP$2:$LP$60=I$4)*(GMW!$LR$2:$LR$60=I$1),0),$C54-1966)</f>
        <v>261627</v>
      </c>
      <c r="J54" s="4" cm="1">
        <f t="array" ref="J54">INDEX(GMW!$A$2:$LR$60,MATCH(1,(GMW!$LQ$2:$LQ$60=J$3)*(GMW!$LP$2:$LP$60=J$4)*(GMW!$LR$2:$LR$60=J$1),0),$C54-1966)</f>
        <v>261627</v>
      </c>
      <c r="K54" s="4" cm="1">
        <f t="array" ref="K54">INDEX(GMW!$A$2:$LR$60,MATCH(1,(GMW!$LQ$2:$LQ$60=K$3)*(GMW!$LP$2:$LP$60=K$4)*(GMW!$LR$2:$LR$60=K$1),0),$C54-1966)</f>
        <v>261627</v>
      </c>
      <c r="L54" s="4" cm="1">
        <f t="array" ref="L54">INDEX(GMW!$A$2:$LR$60,MATCH(1,(GMW!$LQ$2:$LQ$60=L$3)*(GMW!$LP$2:$LP$60=L$4)*(GMW!$LR$2:$LR$60=L$1),0),$C54-1966)</f>
        <v>261627</v>
      </c>
      <c r="M54" s="4" cm="1">
        <f t="array" ref="M54">INDEX(GMW!$A$2:$LR$60,MATCH(1,(GMW!$LQ$2:$LQ$60=M$3)*(GMW!$LP$2:$LP$60=M$4)*(GMW!$LR$2:$LR$60=M$1),0),$C54-1966)</f>
        <v>261627</v>
      </c>
      <c r="N54" s="4" cm="1">
        <f t="array" ref="N54">INDEX(GMW!$A$2:$LR$60,MATCH(1,(GMW!$LQ$2:$LQ$60=N$3)*(GMW!$LP$2:$LP$60=N$4)*(GMW!$LR$2:$LR$60=N$1),0),$C54-1966)</f>
        <v>261627</v>
      </c>
      <c r="O54" s="4" cm="1">
        <f t="array" ref="O54">INDEX(GMW!$A$2:$LR$60,MATCH(1,(GMW!$LQ$2:$LQ$60=O$3)*(GMW!$LP$2:$LP$60=O$4)*(GMW!$LR$2:$LR$60=O$1),0),$C54-1966)</f>
        <v>261627</v>
      </c>
      <c r="P54" s="4" cm="1">
        <f t="array" ref="P54">INDEX(GMW!$A$2:$LR$60,MATCH(1,(GMW!$LQ$2:$LQ$60=P$3)*(GMW!$LP$2:$LP$60=P$4)*(GMW!$LR$2:$LR$60=P$1),0),$C54-1966)</f>
        <v>261627</v>
      </c>
      <c r="Q54" s="4" cm="1">
        <f t="array" ref="Q54">INDEX(GMW!$A$2:$LR$60,MATCH(1,(GMW!$LQ$2:$LQ$60=Q$3)*(GMW!$LP$2:$LP$60=Q$4)*(GMW!$LR$2:$LR$60=Q$1),0),$C54-1966)</f>
        <v>261627</v>
      </c>
      <c r="R54" s="4" cm="1">
        <f t="array" ref="R54">INDEX(GMW!$A$2:$LR$60,MATCH(1,(GMW!$LQ$2:$LQ$60=R$3)*(GMW!$LP$2:$LP$60=R$4)*(GMW!$LR$2:$LR$60=R$1),0),$C54-1966)</f>
        <v>261627</v>
      </c>
      <c r="S54" s="4" cm="1">
        <f t="array" ref="S54">INDEX(GMW!$A$2:$LR$60,MATCH(1,(GMW!$LQ$2:$LQ$60=S$3)*(GMW!$LP$2:$LP$60=S$4)*(GMW!$LR$2:$LR$60=S$1),0),$C54-1966)</f>
        <v>261627</v>
      </c>
      <c r="T54" s="4" cm="1">
        <f t="array" ref="T54">INDEX(GMW!$A$2:$LR$60,MATCH(1,(GMW!$LQ$2:$LQ$60=T$3)*(GMW!$LP$2:$LP$60=T$4)*(GMW!$LR$2:$LR$60=T$1),0),$C54-1966)</f>
        <v>261627</v>
      </c>
      <c r="U54" s="4" cm="1">
        <f t="array" ref="U54">INDEX(GMW!$A$2:$LR$60,MATCH(1,(GMW!$LQ$2:$LQ$60=U$3)*(GMW!$LP$2:$LP$60=U$4)*(GMW!$LR$2:$LR$60=U$1),0),$C54-1966)</f>
        <v>99.446349999999995</v>
      </c>
      <c r="V54" s="4" cm="1">
        <f t="array" ref="V54">INDEX(GMW!$A$2:$LR$60,MATCH(1,(GMW!$LQ$2:$LQ$60=V$3)*(GMW!$LP$2:$LP$60=V$4)*(GMW!$LR$2:$LR$60=V$1),0),$C54-1966)</f>
        <v>43.431060000000002</v>
      </c>
      <c r="W54" s="4" cm="1">
        <f t="array" ref="W54">INDEX(GMW!$A$2:$LR$60,MATCH(1,(GMW!$LQ$2:$LQ$60=W$3)*(GMW!$LP$2:$LP$60=W$4)*(GMW!$LR$2:$LR$60=W$1),0),$C54-1966)</f>
        <v>1E-3</v>
      </c>
      <c r="X54" s="4" cm="1">
        <f t="array" ref="X54">INDEX(GMW!$A$2:$LR$60,MATCH(1,(GMW!$LQ$2:$LQ$60=X$3)*(GMW!$LP$2:$LP$60=X$4)*(GMW!$LR$2:$LR$60=X$1),0),$C54-1966)</f>
        <v>1E-3</v>
      </c>
      <c r="Y54" s="4" cm="1">
        <f t="array" ref="Y54">INDEX(GMW!$A$2:$LR$60,MATCH(1,(GMW!$LQ$2:$LQ$60=Y$3)*(GMW!$LP$2:$LP$60=Y$4)*(GMW!$LR$2:$LR$60=Y$1),0),$C54-1966)</f>
        <v>1E-3</v>
      </c>
      <c r="Z54" s="4" cm="1">
        <f t="array" ref="Z54">INDEX(GMW!$A$2:$LR$60,MATCH(1,(GMW!$LQ$2:$LQ$60=Z$3)*(GMW!$LP$2:$LP$60=Z$4)*(GMW!$LR$2:$LR$60=Z$1),0),$C54-1966)</f>
        <v>1E-3</v>
      </c>
      <c r="AA54" s="4" cm="1">
        <f t="array" ref="AA54">INDEX(GMW!$A$2:$LR$60,MATCH(1,(GMW!$LQ$2:$LQ$60=AA$3)*(GMW!$LP$2:$LP$60=AA$4)*(GMW!$LR$2:$LR$60=AA$1),0),$C54-1966)</f>
        <v>138708</v>
      </c>
      <c r="AB54" s="4" cm="1">
        <f t="array" ref="AB54">INDEX(GMW!$A$2:$LR$60,MATCH(1,(GMW!$LQ$2:$LQ$60=AB$3)*(GMW!$LP$2:$LP$60=AB$4)*(GMW!$LR$2:$LR$60=AB$1),0),$C54-1966)</f>
        <v>48802</v>
      </c>
      <c r="AC54" s="4" cm="1">
        <f t="array" ref="AC54">INDEX(GMW!$A$2:$LR$60,MATCH(1,(GMW!$LQ$2:$LQ$60=AC$3)*(GMW!$LP$2:$LP$60=AC$4)*(GMW!$LR$2:$LR$60=AC$1),0),$C54-1966)</f>
        <v>59609</v>
      </c>
      <c r="AD54" s="4" cm="1">
        <f t="array" ref="AD54">INDEX(GMW!$A$2:$LR$60,MATCH(1,(GMW!$LQ$2:$LQ$60=AD$3)*(GMW!$LP$2:$LP$60=AD$4)*(GMW!$LR$2:$LR$60=AD$1),0),$C54-1966)</f>
        <v>44853</v>
      </c>
      <c r="AE54" s="4" cm="1">
        <f t="array" ref="AE54">INDEX(GMW!$A$2:$LR$60,MATCH(1,(GMW!$LQ$2:$LQ$60=AE$3)*(GMW!$LP$2:$LP$60=AE$4)*(GMW!$LR$2:$LR$60=AE$1),0),$C54-1966)</f>
        <v>39769</v>
      </c>
      <c r="AF54" s="4" cm="1">
        <f t="array" ref="AF54">INDEX(GMW!$A$2:$LR$60,MATCH(1,(GMW!$LQ$2:$LQ$60=AF$3)*(GMW!$LP$2:$LP$60=AF$4)*(GMW!$LR$2:$LR$60=AF$1),0),$C54-1966)</f>
        <v>1E-3</v>
      </c>
      <c r="AG54" s="4" cm="1">
        <f t="array" ref="AG54">INDEX(GMW!$A$2:$LR$60,MATCH(1,(GMW!$LQ$2:$LQ$60=AG$3)*(GMW!$LP$2:$LP$60=AG$4)*(GMW!$LR$2:$LR$60=AG$1),0),$C54-1966)</f>
        <v>1E-3</v>
      </c>
    </row>
    <row r="55" spans="1:33" x14ac:dyDescent="0.25">
      <c r="A55" s="4">
        <v>1985</v>
      </c>
      <c r="B55" s="4">
        <f t="shared" si="1"/>
        <v>1985</v>
      </c>
      <c r="C55" s="4">
        <f t="shared" si="2"/>
        <v>2021</v>
      </c>
      <c r="D55" s="4" cm="1">
        <f t="array" ref="D55">INDEX(GMW!$A$2:$LR$60,MATCH(1,(GMW!$LQ$2:$LQ$60=D$3)*(GMW!$LP$2:$LP$60=D$4)*(GMW!$LR$2:$LR$60=D$1),0),$C55-1966)</f>
        <v>264127</v>
      </c>
      <c r="E55" s="4" cm="1">
        <f t="array" ref="E55">INDEX(GMW!$A$2:$LR$60,MATCH(1,(GMW!$LQ$2:$LQ$60=E$3)*(GMW!$LP$2:$LP$60=E$4)*(GMW!$LR$2:$LR$60=E$1),0),$C55-1966)</f>
        <v>264127</v>
      </c>
      <c r="F55" s="4" cm="1">
        <f t="array" ref="F55">INDEX(GMW!$A$2:$LR$60,MATCH(1,(GMW!$LQ$2:$LQ$60=F$3)*(GMW!$LP$2:$LP$60=F$4)*(GMW!$LR$2:$LR$60=F$1),0),$C55-1966)</f>
        <v>264127</v>
      </c>
      <c r="G55" s="4" cm="1">
        <f t="array" ref="G55">INDEX(GMW!$A$2:$LR$60,MATCH(1,(GMW!$LQ$2:$LQ$60=G$3)*(GMW!$LP$2:$LP$60=G$4)*(GMW!$LR$2:$LR$60=G$1),0),$C55-1966)</f>
        <v>264127</v>
      </c>
      <c r="H55" s="4" cm="1">
        <f t="array" ref="H55">INDEX(GMW!$A$2:$LR$60,MATCH(1,(GMW!$LQ$2:$LQ$60=H$3)*(GMW!$LP$2:$LP$60=H$4)*(GMW!$LR$2:$LR$60=H$1),0),$C55-1966)</f>
        <v>264127</v>
      </c>
      <c r="I55" s="4" cm="1">
        <f t="array" ref="I55">INDEX(GMW!$A$2:$LR$60,MATCH(1,(GMW!$LQ$2:$LQ$60=I$3)*(GMW!$LP$2:$LP$60=I$4)*(GMW!$LR$2:$LR$60=I$1),0),$C55-1966)</f>
        <v>264127</v>
      </c>
      <c r="J55" s="4" cm="1">
        <f t="array" ref="J55">INDEX(GMW!$A$2:$LR$60,MATCH(1,(GMW!$LQ$2:$LQ$60=J$3)*(GMW!$LP$2:$LP$60=J$4)*(GMW!$LR$2:$LR$60=J$1),0),$C55-1966)</f>
        <v>264127</v>
      </c>
      <c r="K55" s="4" cm="1">
        <f t="array" ref="K55">INDEX(GMW!$A$2:$LR$60,MATCH(1,(GMW!$LQ$2:$LQ$60=K$3)*(GMW!$LP$2:$LP$60=K$4)*(GMW!$LR$2:$LR$60=K$1),0),$C55-1966)</f>
        <v>264127</v>
      </c>
      <c r="L55" s="4" cm="1">
        <f t="array" ref="L55">INDEX(GMW!$A$2:$LR$60,MATCH(1,(GMW!$LQ$2:$LQ$60=L$3)*(GMW!$LP$2:$LP$60=L$4)*(GMW!$LR$2:$LR$60=L$1),0),$C55-1966)</f>
        <v>264127</v>
      </c>
      <c r="M55" s="4" cm="1">
        <f t="array" ref="M55">INDEX(GMW!$A$2:$LR$60,MATCH(1,(GMW!$LQ$2:$LQ$60=M$3)*(GMW!$LP$2:$LP$60=M$4)*(GMW!$LR$2:$LR$60=M$1),0),$C55-1966)</f>
        <v>264127</v>
      </c>
      <c r="N55" s="4" cm="1">
        <f t="array" ref="N55">INDEX(GMW!$A$2:$LR$60,MATCH(1,(GMW!$LQ$2:$LQ$60=N$3)*(GMW!$LP$2:$LP$60=N$4)*(GMW!$LR$2:$LR$60=N$1),0),$C55-1966)</f>
        <v>264127</v>
      </c>
      <c r="O55" s="4" cm="1">
        <f t="array" ref="O55">INDEX(GMW!$A$2:$LR$60,MATCH(1,(GMW!$LQ$2:$LQ$60=O$3)*(GMW!$LP$2:$LP$60=O$4)*(GMW!$LR$2:$LR$60=O$1),0),$C55-1966)</f>
        <v>264127</v>
      </c>
      <c r="P55" s="4" cm="1">
        <f t="array" ref="P55">INDEX(GMW!$A$2:$LR$60,MATCH(1,(GMW!$LQ$2:$LQ$60=P$3)*(GMW!$LP$2:$LP$60=P$4)*(GMW!$LR$2:$LR$60=P$1),0),$C55-1966)</f>
        <v>264127</v>
      </c>
      <c r="Q55" s="4" cm="1">
        <f t="array" ref="Q55">INDEX(GMW!$A$2:$LR$60,MATCH(1,(GMW!$LQ$2:$LQ$60=Q$3)*(GMW!$LP$2:$LP$60=Q$4)*(GMW!$LR$2:$LR$60=Q$1),0),$C55-1966)</f>
        <v>264127</v>
      </c>
      <c r="R55" s="4" cm="1">
        <f t="array" ref="R55">INDEX(GMW!$A$2:$LR$60,MATCH(1,(GMW!$LQ$2:$LQ$60=R$3)*(GMW!$LP$2:$LP$60=R$4)*(GMW!$LR$2:$LR$60=R$1),0),$C55-1966)</f>
        <v>264127</v>
      </c>
      <c r="S55" s="4" cm="1">
        <f t="array" ref="S55">INDEX(GMW!$A$2:$LR$60,MATCH(1,(GMW!$LQ$2:$LQ$60=S$3)*(GMW!$LP$2:$LP$60=S$4)*(GMW!$LR$2:$LR$60=S$1),0),$C55-1966)</f>
        <v>264127</v>
      </c>
      <c r="T55" s="4" cm="1">
        <f t="array" ref="T55">INDEX(GMW!$A$2:$LR$60,MATCH(1,(GMW!$LQ$2:$LQ$60=T$3)*(GMW!$LP$2:$LP$60=T$4)*(GMW!$LR$2:$LR$60=T$1),0),$C55-1966)</f>
        <v>264127</v>
      </c>
      <c r="U55" s="4" cm="1">
        <f t="array" ref="U55">INDEX(GMW!$A$2:$LR$60,MATCH(1,(GMW!$LQ$2:$LQ$60=U$3)*(GMW!$LP$2:$LP$60=U$4)*(GMW!$LR$2:$LR$60=U$1),0),$C55-1966)</f>
        <v>100.12390000000001</v>
      </c>
      <c r="V55" s="4" cm="1">
        <f t="array" ref="V55">INDEX(GMW!$A$2:$LR$60,MATCH(1,(GMW!$LQ$2:$LQ$60=V$3)*(GMW!$LP$2:$LP$60=V$4)*(GMW!$LR$2:$LR$60=V$1),0),$C55-1966)</f>
        <v>43.874229999999997</v>
      </c>
      <c r="W55" s="4" cm="1">
        <f t="array" ref="W55">INDEX(GMW!$A$2:$LR$60,MATCH(1,(GMW!$LQ$2:$LQ$60=W$3)*(GMW!$LP$2:$LP$60=W$4)*(GMW!$LR$2:$LR$60=W$1),0),$C55-1966)</f>
        <v>1E-3</v>
      </c>
      <c r="X55" s="4" cm="1">
        <f t="array" ref="X55">INDEX(GMW!$A$2:$LR$60,MATCH(1,(GMW!$LQ$2:$LQ$60=X$3)*(GMW!$LP$2:$LP$60=X$4)*(GMW!$LR$2:$LR$60=X$1),0),$C55-1966)</f>
        <v>1E-3</v>
      </c>
      <c r="Y55" s="4" cm="1">
        <f t="array" ref="Y55">INDEX(GMW!$A$2:$LR$60,MATCH(1,(GMW!$LQ$2:$LQ$60=Y$3)*(GMW!$LP$2:$LP$60=Y$4)*(GMW!$LR$2:$LR$60=Y$1),0),$C55-1966)</f>
        <v>1E-3</v>
      </c>
      <c r="Z55" s="4" cm="1">
        <f t="array" ref="Z55">INDEX(GMW!$A$2:$LR$60,MATCH(1,(GMW!$LQ$2:$LQ$60=Z$3)*(GMW!$LP$2:$LP$60=Z$4)*(GMW!$LR$2:$LR$60=Z$1),0),$C55-1966)</f>
        <v>1E-3</v>
      </c>
      <c r="AA55" s="4" cm="1">
        <f t="array" ref="AA55">INDEX(GMW!$A$2:$LR$60,MATCH(1,(GMW!$LQ$2:$LQ$60=AA$3)*(GMW!$LP$2:$LP$60=AA$4)*(GMW!$LR$2:$LR$60=AA$1),0),$C55-1966)</f>
        <v>141904</v>
      </c>
      <c r="AB55" s="4" cm="1">
        <f t="array" ref="AB55">INDEX(GMW!$A$2:$LR$60,MATCH(1,(GMW!$LQ$2:$LQ$60=AB$3)*(GMW!$LP$2:$LP$60=AB$4)*(GMW!$LR$2:$LR$60=AB$1),0),$C55-1966)</f>
        <v>52467</v>
      </c>
      <c r="AC55" s="4" cm="1">
        <f t="array" ref="AC55">INDEX(GMW!$A$2:$LR$60,MATCH(1,(GMW!$LQ$2:$LQ$60=AC$3)*(GMW!$LP$2:$LP$60=AC$4)*(GMW!$LR$2:$LR$60=AC$1),0),$C55-1966)</f>
        <v>60270</v>
      </c>
      <c r="AD55" s="4" cm="1">
        <f t="array" ref="AD55">INDEX(GMW!$A$2:$LR$60,MATCH(1,(GMW!$LQ$2:$LQ$60=AD$3)*(GMW!$LP$2:$LP$60=AD$4)*(GMW!$LR$2:$LR$60=AD$1),0),$C55-1966)</f>
        <v>45257</v>
      </c>
      <c r="AE55" s="4" cm="1">
        <f t="array" ref="AE55">INDEX(GMW!$A$2:$LR$60,MATCH(1,(GMW!$LQ$2:$LQ$60=AE$3)*(GMW!$LP$2:$LP$60=AE$4)*(GMW!$LR$2:$LR$60=AE$1),0),$C55-1966)</f>
        <v>39808</v>
      </c>
      <c r="AF55" s="4" cm="1">
        <f t="array" ref="AF55">INDEX(GMW!$A$2:$LR$60,MATCH(1,(GMW!$LQ$2:$LQ$60=AF$3)*(GMW!$LP$2:$LP$60=AF$4)*(GMW!$LR$2:$LR$60=AF$1),0),$C55-1966)</f>
        <v>1E-3</v>
      </c>
      <c r="AG55" s="4" cm="1">
        <f t="array" ref="AG55">INDEX(GMW!$A$2:$LR$60,MATCH(1,(GMW!$LQ$2:$LQ$60=AG$3)*(GMW!$LP$2:$LP$60=AG$4)*(GMW!$LR$2:$LR$60=AG$1),0),$C55-1966)</f>
        <v>1E-3</v>
      </c>
    </row>
    <row r="56" spans="1:33" x14ac:dyDescent="0.25">
      <c r="B56" s="4">
        <f t="shared" si="1"/>
        <v>1985</v>
      </c>
      <c r="C56" s="4">
        <f t="shared" si="2"/>
        <v>2022</v>
      </c>
      <c r="D56" s="4" cm="1">
        <f t="array" ref="D56">INDEX(GMW!$A$2:$LR$60,MATCH(1,(GMW!$LQ$2:$LQ$60=D$3)*(GMW!$LP$2:$LP$60=D$4)*(GMW!$LR$2:$LR$60=D$1),0),$C56-1966)</f>
        <v>269787</v>
      </c>
      <c r="E56" s="4" cm="1">
        <f t="array" ref="E56">INDEX(GMW!$A$2:$LR$60,MATCH(1,(GMW!$LQ$2:$LQ$60=E$3)*(GMW!$LP$2:$LP$60=E$4)*(GMW!$LR$2:$LR$60=E$1),0),$C56-1966)</f>
        <v>269787</v>
      </c>
      <c r="F56" s="4" cm="1">
        <f t="array" ref="F56">INDEX(GMW!$A$2:$LR$60,MATCH(1,(GMW!$LQ$2:$LQ$60=F$3)*(GMW!$LP$2:$LP$60=F$4)*(GMW!$LR$2:$LR$60=F$1),0),$C56-1966)</f>
        <v>269787</v>
      </c>
      <c r="G56" s="4" cm="1">
        <f t="array" ref="G56">INDEX(GMW!$A$2:$LR$60,MATCH(1,(GMW!$LQ$2:$LQ$60=G$3)*(GMW!$LP$2:$LP$60=G$4)*(GMW!$LR$2:$LR$60=G$1),0),$C56-1966)</f>
        <v>269787</v>
      </c>
      <c r="H56" s="4" cm="1">
        <f t="array" ref="H56">INDEX(GMW!$A$2:$LR$60,MATCH(1,(GMW!$LQ$2:$LQ$60=H$3)*(GMW!$LP$2:$LP$60=H$4)*(GMW!$LR$2:$LR$60=H$1),0),$C56-1966)</f>
        <v>269787</v>
      </c>
      <c r="I56" s="4" cm="1">
        <f t="array" ref="I56">INDEX(GMW!$A$2:$LR$60,MATCH(1,(GMW!$LQ$2:$LQ$60=I$3)*(GMW!$LP$2:$LP$60=I$4)*(GMW!$LR$2:$LR$60=I$1),0),$C56-1966)</f>
        <v>269787</v>
      </c>
      <c r="J56" s="4" cm="1">
        <f t="array" ref="J56">INDEX(GMW!$A$2:$LR$60,MATCH(1,(GMW!$LQ$2:$LQ$60=J$3)*(GMW!$LP$2:$LP$60=J$4)*(GMW!$LR$2:$LR$60=J$1),0),$C56-1966)</f>
        <v>269787</v>
      </c>
      <c r="K56" s="4" cm="1">
        <f t="array" ref="K56">INDEX(GMW!$A$2:$LR$60,MATCH(1,(GMW!$LQ$2:$LQ$60=K$3)*(GMW!$LP$2:$LP$60=K$4)*(GMW!$LR$2:$LR$60=K$1),0),$C56-1966)</f>
        <v>269787</v>
      </c>
      <c r="L56" s="4" cm="1">
        <f t="array" ref="L56">INDEX(GMW!$A$2:$LR$60,MATCH(1,(GMW!$LQ$2:$LQ$60=L$3)*(GMW!$LP$2:$LP$60=L$4)*(GMW!$LR$2:$LR$60=L$1),0),$C56-1966)</f>
        <v>269787</v>
      </c>
      <c r="M56" s="4" cm="1">
        <f t="array" ref="M56">INDEX(GMW!$A$2:$LR$60,MATCH(1,(GMW!$LQ$2:$LQ$60=M$3)*(GMW!$LP$2:$LP$60=M$4)*(GMW!$LR$2:$LR$60=M$1),0),$C56-1966)</f>
        <v>269787</v>
      </c>
      <c r="N56" s="4" cm="1">
        <f t="array" ref="N56">INDEX(GMW!$A$2:$LR$60,MATCH(1,(GMW!$LQ$2:$LQ$60=N$3)*(GMW!$LP$2:$LP$60=N$4)*(GMW!$LR$2:$LR$60=N$1),0),$C56-1966)</f>
        <v>269787</v>
      </c>
      <c r="O56" s="4" cm="1">
        <f t="array" ref="O56">INDEX(GMW!$A$2:$LR$60,MATCH(1,(GMW!$LQ$2:$LQ$60=O$3)*(GMW!$LP$2:$LP$60=O$4)*(GMW!$LR$2:$LR$60=O$1),0),$C56-1966)</f>
        <v>269787</v>
      </c>
      <c r="P56" s="4" cm="1">
        <f t="array" ref="P56">INDEX(GMW!$A$2:$LR$60,MATCH(1,(GMW!$LQ$2:$LQ$60=P$3)*(GMW!$LP$2:$LP$60=P$4)*(GMW!$LR$2:$LR$60=P$1),0),$C56-1966)</f>
        <v>269787</v>
      </c>
      <c r="Q56" s="4" cm="1">
        <f t="array" ref="Q56">INDEX(GMW!$A$2:$LR$60,MATCH(1,(GMW!$LQ$2:$LQ$60=Q$3)*(GMW!$LP$2:$LP$60=Q$4)*(GMW!$LR$2:$LR$60=Q$1),0),$C56-1966)</f>
        <v>269787</v>
      </c>
      <c r="R56" s="4" cm="1">
        <f t="array" ref="R56">INDEX(GMW!$A$2:$LR$60,MATCH(1,(GMW!$LQ$2:$LQ$60=R$3)*(GMW!$LP$2:$LP$60=R$4)*(GMW!$LR$2:$LR$60=R$1),0),$C56-1966)</f>
        <v>269787</v>
      </c>
      <c r="S56" s="4" cm="1">
        <f t="array" ref="S56">INDEX(GMW!$A$2:$LR$60,MATCH(1,(GMW!$LQ$2:$LQ$60=S$3)*(GMW!$LP$2:$LP$60=S$4)*(GMW!$LR$2:$LR$60=S$1),0),$C56-1966)</f>
        <v>269787</v>
      </c>
      <c r="T56" s="4" cm="1">
        <f t="array" ref="T56">INDEX(GMW!$A$2:$LR$60,MATCH(1,(GMW!$LQ$2:$LQ$60=T$3)*(GMW!$LP$2:$LP$60=T$4)*(GMW!$LR$2:$LR$60=T$1),0),$C56-1966)</f>
        <v>269787</v>
      </c>
      <c r="U56" s="4" cm="1">
        <f t="array" ref="U56">INDEX(GMW!$A$2:$LR$60,MATCH(1,(GMW!$LQ$2:$LQ$60=U$3)*(GMW!$LP$2:$LP$60=U$4)*(GMW!$LR$2:$LR$60=U$1),0),$C56-1966)</f>
        <v>104.4909</v>
      </c>
      <c r="V56" s="4" cm="1">
        <f t="array" ref="V56">INDEX(GMW!$A$2:$LR$60,MATCH(1,(GMW!$LQ$2:$LQ$60=V$3)*(GMW!$LP$2:$LP$60=V$4)*(GMW!$LR$2:$LR$60=V$1),0),$C56-1966)</f>
        <v>44.995199999999997</v>
      </c>
      <c r="W56" s="4" cm="1">
        <f t="array" ref="W56">INDEX(GMW!$A$2:$LR$60,MATCH(1,(GMW!$LQ$2:$LQ$60=W$3)*(GMW!$LP$2:$LP$60=W$4)*(GMW!$LR$2:$LR$60=W$1),0),$C56-1966)</f>
        <v>1E-3</v>
      </c>
      <c r="X56" s="4" cm="1">
        <f t="array" ref="X56">INDEX(GMW!$A$2:$LR$60,MATCH(1,(GMW!$LQ$2:$LQ$60=X$3)*(GMW!$LP$2:$LP$60=X$4)*(GMW!$LR$2:$LR$60=X$1),0),$C56-1966)</f>
        <v>1E-3</v>
      </c>
      <c r="Y56" s="4" cm="1">
        <f t="array" ref="Y56">INDEX(GMW!$A$2:$LR$60,MATCH(1,(GMW!$LQ$2:$LQ$60=Y$3)*(GMW!$LP$2:$LP$60=Y$4)*(GMW!$LR$2:$LR$60=Y$1),0),$C56-1966)</f>
        <v>1E-3</v>
      </c>
      <c r="Z56" s="4" cm="1">
        <f t="array" ref="Z56">INDEX(GMW!$A$2:$LR$60,MATCH(1,(GMW!$LQ$2:$LQ$60=Z$3)*(GMW!$LP$2:$LP$60=Z$4)*(GMW!$LR$2:$LR$60=Z$1),0),$C56-1966)</f>
        <v>1E-3</v>
      </c>
      <c r="AA56" s="4" cm="1">
        <f t="array" ref="AA56">INDEX(GMW!$A$2:$LR$60,MATCH(1,(GMW!$LQ$2:$LQ$60=AA$3)*(GMW!$LP$2:$LP$60=AA$4)*(GMW!$LR$2:$LR$60=AA$1),0),$C56-1966)</f>
        <v>142653</v>
      </c>
      <c r="AB56" s="4" cm="1">
        <f t="array" ref="AB56">INDEX(GMW!$A$2:$LR$60,MATCH(1,(GMW!$LQ$2:$LQ$60=AB$3)*(GMW!$LP$2:$LP$60=AB$4)*(GMW!$LR$2:$LR$60=AB$1),0),$C56-1966)</f>
        <v>48189</v>
      </c>
      <c r="AC56" s="4" cm="1">
        <f t="array" ref="AC56">INDEX(GMW!$A$2:$LR$60,MATCH(1,(GMW!$LQ$2:$LQ$60=AC$3)*(GMW!$LP$2:$LP$60=AC$4)*(GMW!$LR$2:$LR$60=AC$1),0),$C56-1966)</f>
        <v>58284</v>
      </c>
      <c r="AD56" s="4" cm="1">
        <f t="array" ref="AD56">INDEX(GMW!$A$2:$LR$60,MATCH(1,(GMW!$LQ$2:$LQ$60=AD$3)*(GMW!$LP$2:$LP$60=AD$4)*(GMW!$LR$2:$LR$60=AD$1),0),$C56-1966)</f>
        <v>46990</v>
      </c>
      <c r="AE56" s="4" cm="1">
        <f t="array" ref="AE56">INDEX(GMW!$A$2:$LR$60,MATCH(1,(GMW!$LQ$2:$LQ$60=AE$3)*(GMW!$LP$2:$LP$60=AE$4)*(GMW!$LR$2:$LR$60=AE$1),0),$C56-1966)</f>
        <v>38768</v>
      </c>
      <c r="AF56" s="4" cm="1">
        <f t="array" ref="AF56">INDEX(GMW!$A$2:$LR$60,MATCH(1,(GMW!$LQ$2:$LQ$60=AF$3)*(GMW!$LP$2:$LP$60=AF$4)*(GMW!$LR$2:$LR$60=AF$1),0),$C56-1966)</f>
        <v>1E-3</v>
      </c>
      <c r="AG56" s="4" cm="1">
        <f t="array" ref="AG56">INDEX(GMW!$A$2:$LR$60,MATCH(1,(GMW!$LQ$2:$LQ$60=AG$3)*(GMW!$LP$2:$LP$60=AG$4)*(GMW!$LR$2:$LR$60=AG$1),0),$C56-1966)</f>
        <v>1E-3</v>
      </c>
    </row>
    <row r="57" spans="1:33" x14ac:dyDescent="0.25">
      <c r="B57" s="4">
        <f t="shared" si="1"/>
        <v>1985</v>
      </c>
      <c r="C57" s="4">
        <f t="shared" si="2"/>
        <v>2023</v>
      </c>
      <c r="D57" s="4" cm="1">
        <f t="array" ref="D57">INDEX(GMW!$A$2:$LR$60,MATCH(1,(GMW!$LQ$2:$LQ$60=D$3)*(GMW!$LP$2:$LP$60=D$4)*(GMW!$LR$2:$LR$60=D$1),0),$C57-1966)</f>
        <v>269737</v>
      </c>
      <c r="E57" s="4" cm="1">
        <f t="array" ref="E57">INDEX(GMW!$A$2:$LR$60,MATCH(1,(GMW!$LQ$2:$LQ$60=E$3)*(GMW!$LP$2:$LP$60=E$4)*(GMW!$LR$2:$LR$60=E$1),0),$C57-1966)</f>
        <v>269737</v>
      </c>
      <c r="F57" s="4" cm="1">
        <f t="array" ref="F57">INDEX(GMW!$A$2:$LR$60,MATCH(1,(GMW!$LQ$2:$LQ$60=F$3)*(GMW!$LP$2:$LP$60=F$4)*(GMW!$LR$2:$LR$60=F$1),0),$C57-1966)</f>
        <v>269737</v>
      </c>
      <c r="G57" s="4" cm="1">
        <f t="array" ref="G57">INDEX(GMW!$A$2:$LR$60,MATCH(1,(GMW!$LQ$2:$LQ$60=G$3)*(GMW!$LP$2:$LP$60=G$4)*(GMW!$LR$2:$LR$60=G$1),0),$C57-1966)</f>
        <v>269737</v>
      </c>
      <c r="H57" s="4" cm="1">
        <f t="array" ref="H57">INDEX(GMW!$A$2:$LR$60,MATCH(1,(GMW!$LQ$2:$LQ$60=H$3)*(GMW!$LP$2:$LP$60=H$4)*(GMW!$LR$2:$LR$60=H$1),0),$C57-1966)</f>
        <v>269737</v>
      </c>
      <c r="I57" s="4" cm="1">
        <f t="array" ref="I57">INDEX(GMW!$A$2:$LR$60,MATCH(1,(GMW!$LQ$2:$LQ$60=I$3)*(GMW!$LP$2:$LP$60=I$4)*(GMW!$LR$2:$LR$60=I$1),0),$C57-1966)</f>
        <v>269737</v>
      </c>
      <c r="J57" s="4" cm="1">
        <f t="array" ref="J57">INDEX(GMW!$A$2:$LR$60,MATCH(1,(GMW!$LQ$2:$LQ$60=J$3)*(GMW!$LP$2:$LP$60=J$4)*(GMW!$LR$2:$LR$60=J$1),0),$C57-1966)</f>
        <v>269737</v>
      </c>
      <c r="K57" s="4" cm="1">
        <f t="array" ref="K57">INDEX(GMW!$A$2:$LR$60,MATCH(1,(GMW!$LQ$2:$LQ$60=K$3)*(GMW!$LP$2:$LP$60=K$4)*(GMW!$LR$2:$LR$60=K$1),0),$C57-1966)</f>
        <v>269737</v>
      </c>
      <c r="L57" s="4" cm="1">
        <f t="array" ref="L57">INDEX(GMW!$A$2:$LR$60,MATCH(1,(GMW!$LQ$2:$LQ$60=L$3)*(GMW!$LP$2:$LP$60=L$4)*(GMW!$LR$2:$LR$60=L$1),0),$C57-1966)</f>
        <v>269737</v>
      </c>
      <c r="M57" s="4" cm="1">
        <f t="array" ref="M57">INDEX(GMW!$A$2:$LR$60,MATCH(1,(GMW!$LQ$2:$LQ$60=M$3)*(GMW!$LP$2:$LP$60=M$4)*(GMW!$LR$2:$LR$60=M$1),0),$C57-1966)</f>
        <v>269737</v>
      </c>
      <c r="N57" s="4" cm="1">
        <f t="array" ref="N57">INDEX(GMW!$A$2:$LR$60,MATCH(1,(GMW!$LQ$2:$LQ$60=N$3)*(GMW!$LP$2:$LP$60=N$4)*(GMW!$LR$2:$LR$60=N$1),0),$C57-1966)</f>
        <v>269737</v>
      </c>
      <c r="O57" s="4" cm="1">
        <f t="array" ref="O57">INDEX(GMW!$A$2:$LR$60,MATCH(1,(GMW!$LQ$2:$LQ$60=O$3)*(GMW!$LP$2:$LP$60=O$4)*(GMW!$LR$2:$LR$60=O$1),0),$C57-1966)</f>
        <v>269737</v>
      </c>
      <c r="P57" s="4" cm="1">
        <f t="array" ref="P57">INDEX(GMW!$A$2:$LR$60,MATCH(1,(GMW!$LQ$2:$LQ$60=P$3)*(GMW!$LP$2:$LP$60=P$4)*(GMW!$LR$2:$LR$60=P$1),0),$C57-1966)</f>
        <v>269737</v>
      </c>
      <c r="Q57" s="4" cm="1">
        <f t="array" ref="Q57">INDEX(GMW!$A$2:$LR$60,MATCH(1,(GMW!$LQ$2:$LQ$60=Q$3)*(GMW!$LP$2:$LP$60=Q$4)*(GMW!$LR$2:$LR$60=Q$1),0),$C57-1966)</f>
        <v>269737</v>
      </c>
      <c r="R57" s="4" cm="1">
        <f t="array" ref="R57">INDEX(GMW!$A$2:$LR$60,MATCH(1,(GMW!$LQ$2:$LQ$60=R$3)*(GMW!$LP$2:$LP$60=R$4)*(GMW!$LR$2:$LR$60=R$1),0),$C57-1966)</f>
        <v>269737</v>
      </c>
      <c r="S57" s="4" cm="1">
        <f t="array" ref="S57">INDEX(GMW!$A$2:$LR$60,MATCH(1,(GMW!$LQ$2:$LQ$60=S$3)*(GMW!$LP$2:$LP$60=S$4)*(GMW!$LR$2:$LR$60=S$1),0),$C57-1966)</f>
        <v>269737</v>
      </c>
      <c r="T57" s="4" cm="1">
        <f t="array" ref="T57">INDEX(GMW!$A$2:$LR$60,MATCH(1,(GMW!$LQ$2:$LQ$60=T$3)*(GMW!$LP$2:$LP$60=T$4)*(GMW!$LR$2:$LR$60=T$1),0),$C57-1966)</f>
        <v>269737</v>
      </c>
      <c r="U57" s="4" cm="1">
        <f t="array" ref="U57">INDEX(GMW!$A$2:$LR$60,MATCH(1,(GMW!$LQ$2:$LQ$60=U$3)*(GMW!$LP$2:$LP$60=U$4)*(GMW!$LR$2:$LR$60=U$1),0),$C57-1966)</f>
        <v>107.6677</v>
      </c>
      <c r="V57" s="4" cm="1">
        <f t="array" ref="V57">INDEX(GMW!$A$2:$LR$60,MATCH(1,(GMW!$LQ$2:$LQ$60=V$3)*(GMW!$LP$2:$LP$60=V$4)*(GMW!$LR$2:$LR$60=V$1),0),$C57-1966)</f>
        <v>45.125549999999997</v>
      </c>
      <c r="W57" s="4" cm="1">
        <f t="array" ref="W57">INDEX(GMW!$A$2:$LR$60,MATCH(1,(GMW!$LQ$2:$LQ$60=W$3)*(GMW!$LP$2:$LP$60=W$4)*(GMW!$LR$2:$LR$60=W$1),0),$C57-1966)</f>
        <v>1E-3</v>
      </c>
      <c r="X57" s="4" cm="1">
        <f t="array" ref="X57">INDEX(GMW!$A$2:$LR$60,MATCH(1,(GMW!$LQ$2:$LQ$60=X$3)*(GMW!$LP$2:$LP$60=X$4)*(GMW!$LR$2:$LR$60=X$1),0),$C57-1966)</f>
        <v>1E-3</v>
      </c>
      <c r="Y57" s="4" cm="1">
        <f t="array" ref="Y57">INDEX(GMW!$A$2:$LR$60,MATCH(1,(GMW!$LQ$2:$LQ$60=Y$3)*(GMW!$LP$2:$LP$60=Y$4)*(GMW!$LR$2:$LR$60=Y$1),0),$C57-1966)</f>
        <v>1E-3</v>
      </c>
      <c r="Z57" s="4" cm="1">
        <f t="array" ref="Z57">INDEX(GMW!$A$2:$LR$60,MATCH(1,(GMW!$LQ$2:$LQ$60=Z$3)*(GMW!$LP$2:$LP$60=Z$4)*(GMW!$LR$2:$LR$60=Z$1),0),$C57-1966)</f>
        <v>1E-3</v>
      </c>
      <c r="AA57" s="4" cm="1">
        <f t="array" ref="AA57">INDEX(GMW!$A$2:$LR$60,MATCH(1,(GMW!$LQ$2:$LQ$60=AA$3)*(GMW!$LP$2:$LP$60=AA$4)*(GMW!$LR$2:$LR$60=AA$1),0),$C57-1966)</f>
        <v>144683</v>
      </c>
      <c r="AB57" s="4" cm="1">
        <f t="array" ref="AB57">INDEX(GMW!$A$2:$LR$60,MATCH(1,(GMW!$LQ$2:$LQ$60=AB$3)*(GMW!$LP$2:$LP$60=AB$4)*(GMW!$LR$2:$LR$60=AB$1),0),$C57-1966)</f>
        <v>48605</v>
      </c>
      <c r="AC57" s="4" cm="1">
        <f t="array" ref="AC57">INDEX(GMW!$A$2:$LR$60,MATCH(1,(GMW!$LQ$2:$LQ$60=AC$3)*(GMW!$LP$2:$LP$60=AC$4)*(GMW!$LR$2:$LR$60=AC$1),0),$C57-1966)</f>
        <v>59059</v>
      </c>
      <c r="AD57" s="4" cm="1">
        <f t="array" ref="AD57">INDEX(GMW!$A$2:$LR$60,MATCH(1,(GMW!$LQ$2:$LQ$60=AD$3)*(GMW!$LP$2:$LP$60=AD$4)*(GMW!$LR$2:$LR$60=AD$1),0),$C57-1966)</f>
        <v>45662</v>
      </c>
      <c r="AE57" s="4" cm="1">
        <f t="array" ref="AE57">INDEX(GMW!$A$2:$LR$60,MATCH(1,(GMW!$LQ$2:$LQ$60=AE$3)*(GMW!$LP$2:$LP$60=AE$4)*(GMW!$LR$2:$LR$60=AE$1),0),$C57-1966)</f>
        <v>38014</v>
      </c>
      <c r="AF57" s="4" cm="1">
        <f t="array" ref="AF57">INDEX(GMW!$A$2:$LR$60,MATCH(1,(GMW!$LQ$2:$LQ$60=AF$3)*(GMW!$LP$2:$LP$60=AF$4)*(GMW!$LR$2:$LR$60=AF$1),0),$C57-1966)</f>
        <v>1E-3</v>
      </c>
      <c r="AG57" s="4" cm="1">
        <f t="array" ref="AG57">INDEX(GMW!$A$2:$LR$60,MATCH(1,(GMW!$LQ$2:$LQ$60=AG$3)*(GMW!$LP$2:$LP$60=AG$4)*(GMW!$LR$2:$LR$60=AG$1),0),$C57-1966)</f>
        <v>1E-3</v>
      </c>
    </row>
    <row r="58" spans="1:33" x14ac:dyDescent="0.25">
      <c r="B58" s="4">
        <f t="shared" si="1"/>
        <v>1985</v>
      </c>
      <c r="C58" s="4">
        <f t="shared" si="2"/>
        <v>2024</v>
      </c>
      <c r="D58" s="4" cm="1">
        <f t="array" ref="D58">INDEX(GMW!$A$2:$LR$60,MATCH(1,(GMW!$LQ$2:$LQ$60=D$3)*(GMW!$LP$2:$LP$60=D$4)*(GMW!$LR$2:$LR$60=D$1),0),$C58-1966)</f>
        <v>269896</v>
      </c>
      <c r="E58" s="4" cm="1">
        <f t="array" ref="E58">INDEX(GMW!$A$2:$LR$60,MATCH(1,(GMW!$LQ$2:$LQ$60=E$3)*(GMW!$LP$2:$LP$60=E$4)*(GMW!$LR$2:$LR$60=E$1),0),$C58-1966)</f>
        <v>269896</v>
      </c>
      <c r="F58" s="4" cm="1">
        <f t="array" ref="F58">INDEX(GMW!$A$2:$LR$60,MATCH(1,(GMW!$LQ$2:$LQ$60=F$3)*(GMW!$LP$2:$LP$60=F$4)*(GMW!$LR$2:$LR$60=F$1),0),$C58-1966)</f>
        <v>269896</v>
      </c>
      <c r="G58" s="4" cm="1">
        <f t="array" ref="G58">INDEX(GMW!$A$2:$LR$60,MATCH(1,(GMW!$LQ$2:$LQ$60=G$3)*(GMW!$LP$2:$LP$60=G$4)*(GMW!$LR$2:$LR$60=G$1),0),$C58-1966)</f>
        <v>269896</v>
      </c>
      <c r="H58" s="4" cm="1">
        <f t="array" ref="H58">INDEX(GMW!$A$2:$LR$60,MATCH(1,(GMW!$LQ$2:$LQ$60=H$3)*(GMW!$LP$2:$LP$60=H$4)*(GMW!$LR$2:$LR$60=H$1),0),$C58-1966)</f>
        <v>269896</v>
      </c>
      <c r="I58" s="4" cm="1">
        <f t="array" ref="I58">INDEX(GMW!$A$2:$LR$60,MATCH(1,(GMW!$LQ$2:$LQ$60=I$3)*(GMW!$LP$2:$LP$60=I$4)*(GMW!$LR$2:$LR$60=I$1),0),$C58-1966)</f>
        <v>269896</v>
      </c>
      <c r="J58" s="4" cm="1">
        <f t="array" ref="J58">INDEX(GMW!$A$2:$LR$60,MATCH(1,(GMW!$LQ$2:$LQ$60=J$3)*(GMW!$LP$2:$LP$60=J$4)*(GMW!$LR$2:$LR$60=J$1),0),$C58-1966)</f>
        <v>269896</v>
      </c>
      <c r="K58" s="4" cm="1">
        <f t="array" ref="K58">INDEX(GMW!$A$2:$LR$60,MATCH(1,(GMW!$LQ$2:$LQ$60=K$3)*(GMW!$LP$2:$LP$60=K$4)*(GMW!$LR$2:$LR$60=K$1),0),$C58-1966)</f>
        <v>269896</v>
      </c>
      <c r="L58" s="4" cm="1">
        <f t="array" ref="L58">INDEX(GMW!$A$2:$LR$60,MATCH(1,(GMW!$LQ$2:$LQ$60=L$3)*(GMW!$LP$2:$LP$60=L$4)*(GMW!$LR$2:$LR$60=L$1),0),$C58-1966)</f>
        <v>269896</v>
      </c>
      <c r="M58" s="4" cm="1">
        <f t="array" ref="M58">INDEX(GMW!$A$2:$LR$60,MATCH(1,(GMW!$LQ$2:$LQ$60=M$3)*(GMW!$LP$2:$LP$60=M$4)*(GMW!$LR$2:$LR$60=M$1),0),$C58-1966)</f>
        <v>269896</v>
      </c>
      <c r="N58" s="4" cm="1">
        <f t="array" ref="N58">INDEX(GMW!$A$2:$LR$60,MATCH(1,(GMW!$LQ$2:$LQ$60=N$3)*(GMW!$LP$2:$LP$60=N$4)*(GMW!$LR$2:$LR$60=N$1),0),$C58-1966)</f>
        <v>269896</v>
      </c>
      <c r="O58" s="4" cm="1">
        <f t="array" ref="O58">INDEX(GMW!$A$2:$LR$60,MATCH(1,(GMW!$LQ$2:$LQ$60=O$3)*(GMW!$LP$2:$LP$60=O$4)*(GMW!$LR$2:$LR$60=O$1),0),$C58-1966)</f>
        <v>269896</v>
      </c>
      <c r="P58" s="4" cm="1">
        <f t="array" ref="P58">INDEX(GMW!$A$2:$LR$60,MATCH(1,(GMW!$LQ$2:$LQ$60=P$3)*(GMW!$LP$2:$LP$60=P$4)*(GMW!$LR$2:$LR$60=P$1),0),$C58-1966)</f>
        <v>269896</v>
      </c>
      <c r="Q58" s="4" cm="1">
        <f t="array" ref="Q58">INDEX(GMW!$A$2:$LR$60,MATCH(1,(GMW!$LQ$2:$LQ$60=Q$3)*(GMW!$LP$2:$LP$60=Q$4)*(GMW!$LR$2:$LR$60=Q$1),0),$C58-1966)</f>
        <v>269896</v>
      </c>
      <c r="R58" s="4" cm="1">
        <f t="array" ref="R58">INDEX(GMW!$A$2:$LR$60,MATCH(1,(GMW!$LQ$2:$LQ$60=R$3)*(GMW!$LP$2:$LP$60=R$4)*(GMW!$LR$2:$LR$60=R$1),0),$C58-1966)</f>
        <v>269896</v>
      </c>
      <c r="S58" s="4" cm="1">
        <f t="array" ref="S58">INDEX(GMW!$A$2:$LR$60,MATCH(1,(GMW!$LQ$2:$LQ$60=S$3)*(GMW!$LP$2:$LP$60=S$4)*(GMW!$LR$2:$LR$60=S$1),0),$C58-1966)</f>
        <v>269896</v>
      </c>
      <c r="T58" s="4" cm="1">
        <f t="array" ref="T58">INDEX(GMW!$A$2:$LR$60,MATCH(1,(GMW!$LQ$2:$LQ$60=T$3)*(GMW!$LP$2:$LP$60=T$4)*(GMW!$LR$2:$LR$60=T$1),0),$C58-1966)</f>
        <v>269896</v>
      </c>
      <c r="U58" s="4" cm="1">
        <f t="array" ref="U58">INDEX(GMW!$A$2:$LR$60,MATCH(1,(GMW!$LQ$2:$LQ$60=U$3)*(GMW!$LP$2:$LP$60=U$4)*(GMW!$LR$2:$LR$60=U$1),0),$C58-1966)</f>
        <v>109.6371</v>
      </c>
      <c r="V58" s="4" cm="1">
        <f t="array" ref="V58">INDEX(GMW!$A$2:$LR$60,MATCH(1,(GMW!$LQ$2:$LQ$60=V$3)*(GMW!$LP$2:$LP$60=V$4)*(GMW!$LR$2:$LR$60=V$1),0),$C58-1966)</f>
        <v>45.490519999999997</v>
      </c>
      <c r="W58" s="4" cm="1">
        <f t="array" ref="W58">INDEX(GMW!$A$2:$LR$60,MATCH(1,(GMW!$LQ$2:$LQ$60=W$3)*(GMW!$LP$2:$LP$60=W$4)*(GMW!$LR$2:$LR$60=W$1),0),$C58-1966)</f>
        <v>1E-3</v>
      </c>
      <c r="X58" s="4" cm="1">
        <f t="array" ref="X58">INDEX(GMW!$A$2:$LR$60,MATCH(1,(GMW!$LQ$2:$LQ$60=X$3)*(GMW!$LP$2:$LP$60=X$4)*(GMW!$LR$2:$LR$60=X$1),0),$C58-1966)</f>
        <v>1E-3</v>
      </c>
      <c r="Y58" s="4" cm="1">
        <f t="array" ref="Y58">INDEX(GMW!$A$2:$LR$60,MATCH(1,(GMW!$LQ$2:$LQ$60=Y$3)*(GMW!$LP$2:$LP$60=Y$4)*(GMW!$LR$2:$LR$60=Y$1),0),$C58-1966)</f>
        <v>1E-3</v>
      </c>
      <c r="Z58" s="4" cm="1">
        <f t="array" ref="Z58">INDEX(GMW!$A$2:$LR$60,MATCH(1,(GMW!$LQ$2:$LQ$60=Z$3)*(GMW!$LP$2:$LP$60=Z$4)*(GMW!$LR$2:$LR$60=Z$1),0),$C58-1966)</f>
        <v>1E-3</v>
      </c>
      <c r="AA58" s="4" cm="1">
        <f t="array" ref="AA58">INDEX(GMW!$A$2:$LR$60,MATCH(1,(GMW!$LQ$2:$LQ$60=AA$3)*(GMW!$LP$2:$LP$60=AA$4)*(GMW!$LR$2:$LR$60=AA$1),0),$C58-1966)</f>
        <v>145821</v>
      </c>
      <c r="AB58" s="4" cm="1">
        <f t="array" ref="AB58">INDEX(GMW!$A$2:$LR$60,MATCH(1,(GMW!$LQ$2:$LQ$60=AB$3)*(GMW!$LP$2:$LP$60=AB$4)*(GMW!$LR$2:$LR$60=AB$1),0),$C58-1966)</f>
        <v>48412</v>
      </c>
      <c r="AC58" s="4" cm="1">
        <f t="array" ref="AC58">INDEX(GMW!$A$2:$LR$60,MATCH(1,(GMW!$LQ$2:$LQ$60=AC$3)*(GMW!$LP$2:$LP$60=AC$4)*(GMW!$LR$2:$LR$60=AC$1),0),$C58-1966)</f>
        <v>59175</v>
      </c>
      <c r="AD58" s="4" cm="1">
        <f t="array" ref="AD58">INDEX(GMW!$A$2:$LR$60,MATCH(1,(GMW!$LQ$2:$LQ$60=AD$3)*(GMW!$LP$2:$LP$60=AD$4)*(GMW!$LR$2:$LR$60=AD$1),0),$C58-1966)</f>
        <v>45944</v>
      </c>
      <c r="AE58" s="4" cm="1">
        <f t="array" ref="AE58">INDEX(GMW!$A$2:$LR$60,MATCH(1,(GMW!$LQ$2:$LQ$60=AE$3)*(GMW!$LP$2:$LP$60=AE$4)*(GMW!$LR$2:$LR$60=AE$1),0),$C58-1966)</f>
        <v>39245</v>
      </c>
      <c r="AF58" s="4" cm="1">
        <f t="array" ref="AF58">INDEX(GMW!$A$2:$LR$60,MATCH(1,(GMW!$LQ$2:$LQ$60=AF$3)*(GMW!$LP$2:$LP$60=AF$4)*(GMW!$LR$2:$LR$60=AF$1),0),$C58-1966)</f>
        <v>1E-3</v>
      </c>
      <c r="AG58" s="4" cm="1">
        <f t="array" ref="AG58">INDEX(GMW!$A$2:$LR$60,MATCH(1,(GMW!$LQ$2:$LQ$60=AG$3)*(GMW!$LP$2:$LP$60=AG$4)*(GMW!$LR$2:$LR$60=AG$1),0),$C58-1966)</f>
        <v>1E-3</v>
      </c>
    </row>
    <row r="59" spans="1:33" x14ac:dyDescent="0.25">
      <c r="A59" s="4">
        <v>1986</v>
      </c>
      <c r="B59" s="4">
        <f t="shared" si="1"/>
        <v>1986</v>
      </c>
      <c r="C59" s="4">
        <f t="shared" si="2"/>
        <v>2025</v>
      </c>
      <c r="D59" s="4" cm="1">
        <f t="array" ref="D59">INDEX(GMW!$A$2:$LR$60,MATCH(1,(GMW!$LQ$2:$LQ$60=D$3)*(GMW!$LP$2:$LP$60=D$4)*(GMW!$LR$2:$LR$60=D$1),0),$C59-1966)</f>
        <v>272720</v>
      </c>
      <c r="E59" s="4" cm="1">
        <f t="array" ref="E59">INDEX(GMW!$A$2:$LR$60,MATCH(1,(GMW!$LQ$2:$LQ$60=E$3)*(GMW!$LP$2:$LP$60=E$4)*(GMW!$LR$2:$LR$60=E$1),0),$C59-1966)</f>
        <v>272720</v>
      </c>
      <c r="F59" s="4" cm="1">
        <f t="array" ref="F59">INDEX(GMW!$A$2:$LR$60,MATCH(1,(GMW!$LQ$2:$LQ$60=F$3)*(GMW!$LP$2:$LP$60=F$4)*(GMW!$LR$2:$LR$60=F$1),0),$C59-1966)</f>
        <v>272720</v>
      </c>
      <c r="G59" s="4" cm="1">
        <f t="array" ref="G59">INDEX(GMW!$A$2:$LR$60,MATCH(1,(GMW!$LQ$2:$LQ$60=G$3)*(GMW!$LP$2:$LP$60=G$4)*(GMW!$LR$2:$LR$60=G$1),0),$C59-1966)</f>
        <v>272720</v>
      </c>
      <c r="H59" s="4" cm="1">
        <f t="array" ref="H59">INDEX(GMW!$A$2:$LR$60,MATCH(1,(GMW!$LQ$2:$LQ$60=H$3)*(GMW!$LP$2:$LP$60=H$4)*(GMW!$LR$2:$LR$60=H$1),0),$C59-1966)</f>
        <v>272720</v>
      </c>
      <c r="I59" s="4" cm="1">
        <f t="array" ref="I59">INDEX(GMW!$A$2:$LR$60,MATCH(1,(GMW!$LQ$2:$LQ$60=I$3)*(GMW!$LP$2:$LP$60=I$4)*(GMW!$LR$2:$LR$60=I$1),0),$C59-1966)</f>
        <v>272720</v>
      </c>
      <c r="J59" s="4" cm="1">
        <f t="array" ref="J59">INDEX(GMW!$A$2:$LR$60,MATCH(1,(GMW!$LQ$2:$LQ$60=J$3)*(GMW!$LP$2:$LP$60=J$4)*(GMW!$LR$2:$LR$60=J$1),0),$C59-1966)</f>
        <v>272720</v>
      </c>
      <c r="K59" s="4" cm="1">
        <f t="array" ref="K59">INDEX(GMW!$A$2:$LR$60,MATCH(1,(GMW!$LQ$2:$LQ$60=K$3)*(GMW!$LP$2:$LP$60=K$4)*(GMW!$LR$2:$LR$60=K$1),0),$C59-1966)</f>
        <v>272720</v>
      </c>
      <c r="L59" s="4" cm="1">
        <f t="array" ref="L59">INDEX(GMW!$A$2:$LR$60,MATCH(1,(GMW!$LQ$2:$LQ$60=L$3)*(GMW!$LP$2:$LP$60=L$4)*(GMW!$LR$2:$LR$60=L$1),0),$C59-1966)</f>
        <v>272720</v>
      </c>
      <c r="M59" s="4" cm="1">
        <f t="array" ref="M59">INDEX(GMW!$A$2:$LR$60,MATCH(1,(GMW!$LQ$2:$LQ$60=M$3)*(GMW!$LP$2:$LP$60=M$4)*(GMW!$LR$2:$LR$60=M$1),0),$C59-1966)</f>
        <v>272720</v>
      </c>
      <c r="N59" s="4" cm="1">
        <f t="array" ref="N59">INDEX(GMW!$A$2:$LR$60,MATCH(1,(GMW!$LQ$2:$LQ$60=N$3)*(GMW!$LP$2:$LP$60=N$4)*(GMW!$LR$2:$LR$60=N$1),0),$C59-1966)</f>
        <v>272720</v>
      </c>
      <c r="O59" s="4" cm="1">
        <f t="array" ref="O59">INDEX(GMW!$A$2:$LR$60,MATCH(1,(GMW!$LQ$2:$LQ$60=O$3)*(GMW!$LP$2:$LP$60=O$4)*(GMW!$LR$2:$LR$60=O$1),0),$C59-1966)</f>
        <v>272720</v>
      </c>
      <c r="P59" s="4" cm="1">
        <f t="array" ref="P59">INDEX(GMW!$A$2:$LR$60,MATCH(1,(GMW!$LQ$2:$LQ$60=P$3)*(GMW!$LP$2:$LP$60=P$4)*(GMW!$LR$2:$LR$60=P$1),0),$C59-1966)</f>
        <v>272720</v>
      </c>
      <c r="Q59" s="4" cm="1">
        <f t="array" ref="Q59">INDEX(GMW!$A$2:$LR$60,MATCH(1,(GMW!$LQ$2:$LQ$60=Q$3)*(GMW!$LP$2:$LP$60=Q$4)*(GMW!$LR$2:$LR$60=Q$1),0),$C59-1966)</f>
        <v>272720</v>
      </c>
      <c r="R59" s="4" cm="1">
        <f t="array" ref="R59">INDEX(GMW!$A$2:$LR$60,MATCH(1,(GMW!$LQ$2:$LQ$60=R$3)*(GMW!$LP$2:$LP$60=R$4)*(GMW!$LR$2:$LR$60=R$1),0),$C59-1966)</f>
        <v>272720</v>
      </c>
      <c r="S59" s="4" cm="1">
        <f t="array" ref="S59">INDEX(GMW!$A$2:$LR$60,MATCH(1,(GMW!$LQ$2:$LQ$60=S$3)*(GMW!$LP$2:$LP$60=S$4)*(GMW!$LR$2:$LR$60=S$1),0),$C59-1966)</f>
        <v>272720</v>
      </c>
      <c r="T59" s="4" cm="1">
        <f t="array" ref="T59">INDEX(GMW!$A$2:$LR$60,MATCH(1,(GMW!$LQ$2:$LQ$60=T$3)*(GMW!$LP$2:$LP$60=T$4)*(GMW!$LR$2:$LR$60=T$1),0),$C59-1966)</f>
        <v>272720</v>
      </c>
      <c r="U59" s="4" cm="1">
        <f t="array" ref="U59">INDEX(GMW!$A$2:$LR$60,MATCH(1,(GMW!$LQ$2:$LQ$60=U$3)*(GMW!$LP$2:$LP$60=U$4)*(GMW!$LR$2:$LR$60=U$1),0),$C59-1966)</f>
        <v>110.8912</v>
      </c>
      <c r="V59" s="4" cm="1">
        <f t="array" ref="V59">INDEX(GMW!$A$2:$LR$60,MATCH(1,(GMW!$LQ$2:$LQ$60=V$3)*(GMW!$LP$2:$LP$60=V$4)*(GMW!$LR$2:$LR$60=V$1),0),$C59-1966)</f>
        <v>45.646929999999998</v>
      </c>
      <c r="W59" s="4" cm="1">
        <f t="array" ref="W59">INDEX(GMW!$A$2:$LR$60,MATCH(1,(GMW!$LQ$2:$LQ$60=W$3)*(GMW!$LP$2:$LP$60=W$4)*(GMW!$LR$2:$LR$60=W$1),0),$C59-1966)</f>
        <v>1E-3</v>
      </c>
      <c r="X59" s="4" cm="1">
        <f t="array" ref="X59">INDEX(GMW!$A$2:$LR$60,MATCH(1,(GMW!$LQ$2:$LQ$60=X$3)*(GMW!$LP$2:$LP$60=X$4)*(GMW!$LR$2:$LR$60=X$1),0),$C59-1966)</f>
        <v>1E-3</v>
      </c>
      <c r="Y59" s="4" cm="1">
        <f t="array" ref="Y59">INDEX(GMW!$A$2:$LR$60,MATCH(1,(GMW!$LQ$2:$LQ$60=Y$3)*(GMW!$LP$2:$LP$60=Y$4)*(GMW!$LR$2:$LR$60=Y$1),0),$C59-1966)</f>
        <v>1E-3</v>
      </c>
      <c r="Z59" s="4" cm="1">
        <f t="array" ref="Z59">INDEX(GMW!$A$2:$LR$60,MATCH(1,(GMW!$LQ$2:$LQ$60=Z$3)*(GMW!$LP$2:$LP$60=Z$4)*(GMW!$LR$2:$LR$60=Z$1),0),$C59-1966)</f>
        <v>1E-3</v>
      </c>
      <c r="AA59" s="4" cm="1">
        <f t="array" ref="AA59">INDEX(GMW!$A$2:$LR$60,MATCH(1,(GMW!$LQ$2:$LQ$60=AA$3)*(GMW!$LP$2:$LP$60=AA$4)*(GMW!$LR$2:$LR$60=AA$1),0),$C59-1966)</f>
        <v>149830</v>
      </c>
      <c r="AB59" s="4" cm="1">
        <f t="array" ref="AB59">INDEX(GMW!$A$2:$LR$60,MATCH(1,(GMW!$LQ$2:$LQ$60=AB$3)*(GMW!$LP$2:$LP$60=AB$4)*(GMW!$LR$2:$LR$60=AB$1),0),$C59-1966)</f>
        <v>47891</v>
      </c>
      <c r="AC59" s="4" cm="1">
        <f t="array" ref="AC59">INDEX(GMW!$A$2:$LR$60,MATCH(1,(GMW!$LQ$2:$LQ$60=AC$3)*(GMW!$LP$2:$LP$60=AC$4)*(GMW!$LR$2:$LR$60=AC$1),0),$C59-1966)</f>
        <v>60639</v>
      </c>
      <c r="AD59" s="4" cm="1">
        <f t="array" ref="AD59">INDEX(GMW!$A$2:$LR$60,MATCH(1,(GMW!$LQ$2:$LQ$60=AD$3)*(GMW!$LP$2:$LP$60=AD$4)*(GMW!$LR$2:$LR$60=AD$1),0),$C59-1966)</f>
        <v>46937</v>
      </c>
      <c r="AE59" s="4" cm="1">
        <f t="array" ref="AE59">INDEX(GMW!$A$2:$LR$60,MATCH(1,(GMW!$LQ$2:$LQ$60=AE$3)*(GMW!$LP$2:$LP$60=AE$4)*(GMW!$LR$2:$LR$60=AE$1),0),$C59-1966)</f>
        <v>40205</v>
      </c>
      <c r="AF59" s="4" cm="1">
        <f t="array" ref="AF59">INDEX(GMW!$A$2:$LR$60,MATCH(1,(GMW!$LQ$2:$LQ$60=AF$3)*(GMW!$LP$2:$LP$60=AF$4)*(GMW!$LR$2:$LR$60=AF$1),0),$C59-1966)</f>
        <v>1E-3</v>
      </c>
      <c r="AG59" s="4" cm="1">
        <f t="array" ref="AG59">INDEX(GMW!$A$2:$LR$60,MATCH(1,(GMW!$LQ$2:$LQ$60=AG$3)*(GMW!$LP$2:$LP$60=AG$4)*(GMW!$LR$2:$LR$60=AG$1),0),$C59-1966)</f>
        <v>1E-3</v>
      </c>
    </row>
    <row r="60" spans="1:33" x14ac:dyDescent="0.25">
      <c r="B60" s="4">
        <f t="shared" si="1"/>
        <v>1986</v>
      </c>
      <c r="C60" s="4">
        <f t="shared" si="2"/>
        <v>2026</v>
      </c>
      <c r="D60" s="4" cm="1">
        <f t="array" ref="D60">INDEX(GMW!$A$2:$LR$60,MATCH(1,(GMW!$LQ$2:$LQ$60=D$3)*(GMW!$LP$2:$LP$60=D$4)*(GMW!$LR$2:$LR$60=D$1),0),$C60-1966)</f>
        <v>275136</v>
      </c>
      <c r="E60" s="4" cm="1">
        <f t="array" ref="E60">INDEX(GMW!$A$2:$LR$60,MATCH(1,(GMW!$LQ$2:$LQ$60=E$3)*(GMW!$LP$2:$LP$60=E$4)*(GMW!$LR$2:$LR$60=E$1),0),$C60-1966)</f>
        <v>275136</v>
      </c>
      <c r="F60" s="4" cm="1">
        <f t="array" ref="F60">INDEX(GMW!$A$2:$LR$60,MATCH(1,(GMW!$LQ$2:$LQ$60=F$3)*(GMW!$LP$2:$LP$60=F$4)*(GMW!$LR$2:$LR$60=F$1),0),$C60-1966)</f>
        <v>275136</v>
      </c>
      <c r="G60" s="4" cm="1">
        <f t="array" ref="G60">INDEX(GMW!$A$2:$LR$60,MATCH(1,(GMW!$LQ$2:$LQ$60=G$3)*(GMW!$LP$2:$LP$60=G$4)*(GMW!$LR$2:$LR$60=G$1),0),$C60-1966)</f>
        <v>275136</v>
      </c>
      <c r="H60" s="4" cm="1">
        <f t="array" ref="H60">INDEX(GMW!$A$2:$LR$60,MATCH(1,(GMW!$LQ$2:$LQ$60=H$3)*(GMW!$LP$2:$LP$60=H$4)*(GMW!$LR$2:$LR$60=H$1),0),$C60-1966)</f>
        <v>275136</v>
      </c>
      <c r="I60" s="4" cm="1">
        <f t="array" ref="I60">INDEX(GMW!$A$2:$LR$60,MATCH(1,(GMW!$LQ$2:$LQ$60=I$3)*(GMW!$LP$2:$LP$60=I$4)*(GMW!$LR$2:$LR$60=I$1),0),$C60-1966)</f>
        <v>275136</v>
      </c>
      <c r="J60" s="4" cm="1">
        <f t="array" ref="J60">INDEX(GMW!$A$2:$LR$60,MATCH(1,(GMW!$LQ$2:$LQ$60=J$3)*(GMW!$LP$2:$LP$60=J$4)*(GMW!$LR$2:$LR$60=J$1),0),$C60-1966)</f>
        <v>275136</v>
      </c>
      <c r="K60" s="4" cm="1">
        <f t="array" ref="K60">INDEX(GMW!$A$2:$LR$60,MATCH(1,(GMW!$LQ$2:$LQ$60=K$3)*(GMW!$LP$2:$LP$60=K$4)*(GMW!$LR$2:$LR$60=K$1),0),$C60-1966)</f>
        <v>275136</v>
      </c>
      <c r="L60" s="4" cm="1">
        <f t="array" ref="L60">INDEX(GMW!$A$2:$LR$60,MATCH(1,(GMW!$LQ$2:$LQ$60=L$3)*(GMW!$LP$2:$LP$60=L$4)*(GMW!$LR$2:$LR$60=L$1),0),$C60-1966)</f>
        <v>275136</v>
      </c>
      <c r="M60" s="4" cm="1">
        <f t="array" ref="M60">INDEX(GMW!$A$2:$LR$60,MATCH(1,(GMW!$LQ$2:$LQ$60=M$3)*(GMW!$LP$2:$LP$60=M$4)*(GMW!$LR$2:$LR$60=M$1),0),$C60-1966)</f>
        <v>275136</v>
      </c>
      <c r="N60" s="4" cm="1">
        <f t="array" ref="N60">INDEX(GMW!$A$2:$LR$60,MATCH(1,(GMW!$LQ$2:$LQ$60=N$3)*(GMW!$LP$2:$LP$60=N$4)*(GMW!$LR$2:$LR$60=N$1),0),$C60-1966)</f>
        <v>275136</v>
      </c>
      <c r="O60" s="4" cm="1">
        <f t="array" ref="O60">INDEX(GMW!$A$2:$LR$60,MATCH(1,(GMW!$LQ$2:$LQ$60=O$3)*(GMW!$LP$2:$LP$60=O$4)*(GMW!$LR$2:$LR$60=O$1),0),$C60-1966)</f>
        <v>275136</v>
      </c>
      <c r="P60" s="4" cm="1">
        <f t="array" ref="P60">INDEX(GMW!$A$2:$LR$60,MATCH(1,(GMW!$LQ$2:$LQ$60=P$3)*(GMW!$LP$2:$LP$60=P$4)*(GMW!$LR$2:$LR$60=P$1),0),$C60-1966)</f>
        <v>275136</v>
      </c>
      <c r="Q60" s="4" cm="1">
        <f t="array" ref="Q60">INDEX(GMW!$A$2:$LR$60,MATCH(1,(GMW!$LQ$2:$LQ$60=Q$3)*(GMW!$LP$2:$LP$60=Q$4)*(GMW!$LR$2:$LR$60=Q$1),0),$C60-1966)</f>
        <v>275136</v>
      </c>
      <c r="R60" s="4" cm="1">
        <f t="array" ref="R60">INDEX(GMW!$A$2:$LR$60,MATCH(1,(GMW!$LQ$2:$LQ$60=R$3)*(GMW!$LP$2:$LP$60=R$4)*(GMW!$LR$2:$LR$60=R$1),0),$C60-1966)</f>
        <v>275136</v>
      </c>
      <c r="S60" s="4" cm="1">
        <f t="array" ref="S60">INDEX(GMW!$A$2:$LR$60,MATCH(1,(GMW!$LQ$2:$LQ$60=S$3)*(GMW!$LP$2:$LP$60=S$4)*(GMW!$LR$2:$LR$60=S$1),0),$C60-1966)</f>
        <v>275136</v>
      </c>
      <c r="T60" s="4" cm="1">
        <f t="array" ref="T60">INDEX(GMW!$A$2:$LR$60,MATCH(1,(GMW!$LQ$2:$LQ$60=T$3)*(GMW!$LP$2:$LP$60=T$4)*(GMW!$LR$2:$LR$60=T$1),0),$C60-1966)</f>
        <v>275136</v>
      </c>
      <c r="U60" s="4" cm="1">
        <f t="array" ref="U60">INDEX(GMW!$A$2:$LR$60,MATCH(1,(GMW!$LQ$2:$LQ$60=U$3)*(GMW!$LP$2:$LP$60=U$4)*(GMW!$LR$2:$LR$60=U$1),0),$C60-1966)</f>
        <v>115.3305</v>
      </c>
      <c r="V60" s="4" cm="1">
        <f t="array" ref="V60">INDEX(GMW!$A$2:$LR$60,MATCH(1,(GMW!$LQ$2:$LQ$60=V$3)*(GMW!$LP$2:$LP$60=V$4)*(GMW!$LR$2:$LR$60=V$1),0),$C60-1966)</f>
        <v>46.3508</v>
      </c>
      <c r="W60" s="4" cm="1">
        <f t="array" ref="W60">INDEX(GMW!$A$2:$LR$60,MATCH(1,(GMW!$LQ$2:$LQ$60=W$3)*(GMW!$LP$2:$LP$60=W$4)*(GMW!$LR$2:$LR$60=W$1),0),$C60-1966)</f>
        <v>1E-3</v>
      </c>
      <c r="X60" s="4" cm="1">
        <f t="array" ref="X60">INDEX(GMW!$A$2:$LR$60,MATCH(1,(GMW!$LQ$2:$LQ$60=X$3)*(GMW!$LP$2:$LP$60=X$4)*(GMW!$LR$2:$LR$60=X$1),0),$C60-1966)</f>
        <v>1E-3</v>
      </c>
      <c r="Y60" s="4" cm="1">
        <f t="array" ref="Y60">INDEX(GMW!$A$2:$LR$60,MATCH(1,(GMW!$LQ$2:$LQ$60=Y$3)*(GMW!$LP$2:$LP$60=Y$4)*(GMW!$LR$2:$LR$60=Y$1),0),$C60-1966)</f>
        <v>1E-3</v>
      </c>
      <c r="Z60" s="4" cm="1">
        <f t="array" ref="Z60">INDEX(GMW!$A$2:$LR$60,MATCH(1,(GMW!$LQ$2:$LQ$60=Z$3)*(GMW!$LP$2:$LP$60=Z$4)*(GMW!$LR$2:$LR$60=Z$1),0),$C60-1966)</f>
        <v>1E-3</v>
      </c>
      <c r="AA60" s="4" cm="1">
        <f t="array" ref="AA60">INDEX(GMW!$A$2:$LR$60,MATCH(1,(GMW!$LQ$2:$LQ$60=AA$3)*(GMW!$LP$2:$LP$60=AA$4)*(GMW!$LR$2:$LR$60=AA$1),0),$C60-1966)</f>
        <v>152193</v>
      </c>
      <c r="AB60" s="4" cm="1">
        <f t="array" ref="AB60">INDEX(GMW!$A$2:$LR$60,MATCH(1,(GMW!$LQ$2:$LQ$60=AB$3)*(GMW!$LP$2:$LP$60=AB$4)*(GMW!$LR$2:$LR$60=AB$1),0),$C60-1966)</f>
        <v>46567</v>
      </c>
      <c r="AC60" s="4" cm="1">
        <f t="array" ref="AC60">INDEX(GMW!$A$2:$LR$60,MATCH(1,(GMW!$LQ$2:$LQ$60=AC$3)*(GMW!$LP$2:$LP$60=AC$4)*(GMW!$LR$2:$LR$60=AC$1),0),$C60-1966)</f>
        <v>60280</v>
      </c>
      <c r="AD60" s="4" cm="1">
        <f t="array" ref="AD60">INDEX(GMW!$A$2:$LR$60,MATCH(1,(GMW!$LQ$2:$LQ$60=AD$3)*(GMW!$LP$2:$LP$60=AD$4)*(GMW!$LR$2:$LR$60=AD$1),0),$C60-1966)</f>
        <v>47610</v>
      </c>
      <c r="AE60" s="4" cm="1">
        <f t="array" ref="AE60">INDEX(GMW!$A$2:$LR$60,MATCH(1,(GMW!$LQ$2:$LQ$60=AE$3)*(GMW!$LP$2:$LP$60=AE$4)*(GMW!$LR$2:$LR$60=AE$1),0),$C60-1966)</f>
        <v>41612</v>
      </c>
      <c r="AF60" s="4" cm="1">
        <f t="array" ref="AF60">INDEX(GMW!$A$2:$LR$60,MATCH(1,(GMW!$LQ$2:$LQ$60=AF$3)*(GMW!$LP$2:$LP$60=AF$4)*(GMW!$LR$2:$LR$60=AF$1),0),$C60-1966)</f>
        <v>1E-3</v>
      </c>
      <c r="AG60" s="4" cm="1">
        <f t="array" ref="AG60">INDEX(GMW!$A$2:$LR$60,MATCH(1,(GMW!$LQ$2:$LQ$60=AG$3)*(GMW!$LP$2:$LP$60=AG$4)*(GMW!$LR$2:$LR$60=AG$1),0),$C60-1966)</f>
        <v>1E-3</v>
      </c>
    </row>
    <row r="61" spans="1:33" x14ac:dyDescent="0.25">
      <c r="B61" s="4">
        <f t="shared" si="1"/>
        <v>1986</v>
      </c>
      <c r="C61" s="4">
        <f t="shared" si="2"/>
        <v>2027</v>
      </c>
      <c r="D61" s="4" cm="1">
        <f t="array" ref="D61">INDEX(GMW!$A$2:$LR$60,MATCH(1,(GMW!$LQ$2:$LQ$60=D$3)*(GMW!$LP$2:$LP$60=D$4)*(GMW!$LR$2:$LR$60=D$1),0),$C61-1966)</f>
        <v>276863</v>
      </c>
      <c r="E61" s="4" cm="1">
        <f t="array" ref="E61">INDEX(GMW!$A$2:$LR$60,MATCH(1,(GMW!$LQ$2:$LQ$60=E$3)*(GMW!$LP$2:$LP$60=E$4)*(GMW!$LR$2:$LR$60=E$1),0),$C61-1966)</f>
        <v>276863</v>
      </c>
      <c r="F61" s="4" cm="1">
        <f t="array" ref="F61">INDEX(GMW!$A$2:$LR$60,MATCH(1,(GMW!$LQ$2:$LQ$60=F$3)*(GMW!$LP$2:$LP$60=F$4)*(GMW!$LR$2:$LR$60=F$1),0),$C61-1966)</f>
        <v>276863</v>
      </c>
      <c r="G61" s="4" cm="1">
        <f t="array" ref="G61">INDEX(GMW!$A$2:$LR$60,MATCH(1,(GMW!$LQ$2:$LQ$60=G$3)*(GMW!$LP$2:$LP$60=G$4)*(GMW!$LR$2:$LR$60=G$1),0),$C61-1966)</f>
        <v>276863</v>
      </c>
      <c r="H61" s="4" cm="1">
        <f t="array" ref="H61">INDEX(GMW!$A$2:$LR$60,MATCH(1,(GMW!$LQ$2:$LQ$60=H$3)*(GMW!$LP$2:$LP$60=H$4)*(GMW!$LR$2:$LR$60=H$1),0),$C61-1966)</f>
        <v>276863</v>
      </c>
      <c r="I61" s="4" cm="1">
        <f t="array" ref="I61">INDEX(GMW!$A$2:$LR$60,MATCH(1,(GMW!$LQ$2:$LQ$60=I$3)*(GMW!$LP$2:$LP$60=I$4)*(GMW!$LR$2:$LR$60=I$1),0),$C61-1966)</f>
        <v>276863</v>
      </c>
      <c r="J61" s="4" cm="1">
        <f t="array" ref="J61">INDEX(GMW!$A$2:$LR$60,MATCH(1,(GMW!$LQ$2:$LQ$60=J$3)*(GMW!$LP$2:$LP$60=J$4)*(GMW!$LR$2:$LR$60=J$1),0),$C61-1966)</f>
        <v>276863</v>
      </c>
      <c r="K61" s="4" cm="1">
        <f t="array" ref="K61">INDEX(GMW!$A$2:$LR$60,MATCH(1,(GMW!$LQ$2:$LQ$60=K$3)*(GMW!$LP$2:$LP$60=K$4)*(GMW!$LR$2:$LR$60=K$1),0),$C61-1966)</f>
        <v>276863</v>
      </c>
      <c r="L61" s="4" cm="1">
        <f t="array" ref="L61">INDEX(GMW!$A$2:$LR$60,MATCH(1,(GMW!$LQ$2:$LQ$60=L$3)*(GMW!$LP$2:$LP$60=L$4)*(GMW!$LR$2:$LR$60=L$1),0),$C61-1966)</f>
        <v>276863</v>
      </c>
      <c r="M61" s="4" cm="1">
        <f t="array" ref="M61">INDEX(GMW!$A$2:$LR$60,MATCH(1,(GMW!$LQ$2:$LQ$60=M$3)*(GMW!$LP$2:$LP$60=M$4)*(GMW!$LR$2:$LR$60=M$1),0),$C61-1966)</f>
        <v>276863</v>
      </c>
      <c r="N61" s="4" cm="1">
        <f t="array" ref="N61">INDEX(GMW!$A$2:$LR$60,MATCH(1,(GMW!$LQ$2:$LQ$60=N$3)*(GMW!$LP$2:$LP$60=N$4)*(GMW!$LR$2:$LR$60=N$1),0),$C61-1966)</f>
        <v>276863</v>
      </c>
      <c r="O61" s="4" cm="1">
        <f t="array" ref="O61">INDEX(GMW!$A$2:$LR$60,MATCH(1,(GMW!$LQ$2:$LQ$60=O$3)*(GMW!$LP$2:$LP$60=O$4)*(GMW!$LR$2:$LR$60=O$1),0),$C61-1966)</f>
        <v>276863</v>
      </c>
      <c r="P61" s="4" cm="1">
        <f t="array" ref="P61">INDEX(GMW!$A$2:$LR$60,MATCH(1,(GMW!$LQ$2:$LQ$60=P$3)*(GMW!$LP$2:$LP$60=P$4)*(GMW!$LR$2:$LR$60=P$1),0),$C61-1966)</f>
        <v>276863</v>
      </c>
      <c r="Q61" s="4" cm="1">
        <f t="array" ref="Q61">INDEX(GMW!$A$2:$LR$60,MATCH(1,(GMW!$LQ$2:$LQ$60=Q$3)*(GMW!$LP$2:$LP$60=Q$4)*(GMW!$LR$2:$LR$60=Q$1),0),$C61-1966)</f>
        <v>276863</v>
      </c>
      <c r="R61" s="4" cm="1">
        <f t="array" ref="R61">INDEX(GMW!$A$2:$LR$60,MATCH(1,(GMW!$LQ$2:$LQ$60=R$3)*(GMW!$LP$2:$LP$60=R$4)*(GMW!$LR$2:$LR$60=R$1),0),$C61-1966)</f>
        <v>276863</v>
      </c>
      <c r="S61" s="4" cm="1">
        <f t="array" ref="S61">INDEX(GMW!$A$2:$LR$60,MATCH(1,(GMW!$LQ$2:$LQ$60=S$3)*(GMW!$LP$2:$LP$60=S$4)*(GMW!$LR$2:$LR$60=S$1),0),$C61-1966)</f>
        <v>276863</v>
      </c>
      <c r="T61" s="4" cm="1">
        <f t="array" ref="T61">INDEX(GMW!$A$2:$LR$60,MATCH(1,(GMW!$LQ$2:$LQ$60=T$3)*(GMW!$LP$2:$LP$60=T$4)*(GMW!$LR$2:$LR$60=T$1),0),$C61-1966)</f>
        <v>276863</v>
      </c>
      <c r="U61" s="4" cm="1">
        <f t="array" ref="U61">INDEX(GMW!$A$2:$LR$60,MATCH(1,(GMW!$LQ$2:$LQ$60=U$3)*(GMW!$LP$2:$LP$60=U$4)*(GMW!$LR$2:$LR$60=U$1),0),$C61-1966)</f>
        <v>118.2911</v>
      </c>
      <c r="V61" s="4" cm="1">
        <f t="array" ref="V61">INDEX(GMW!$A$2:$LR$60,MATCH(1,(GMW!$LQ$2:$LQ$60=V$3)*(GMW!$LP$2:$LP$60=V$4)*(GMW!$LR$2:$LR$60=V$1),0),$C61-1966)</f>
        <v>46.533279999999998</v>
      </c>
      <c r="W61" s="4" cm="1">
        <f t="array" ref="W61">INDEX(GMW!$A$2:$LR$60,MATCH(1,(GMW!$LQ$2:$LQ$60=W$3)*(GMW!$LP$2:$LP$60=W$4)*(GMW!$LR$2:$LR$60=W$1),0),$C61-1966)</f>
        <v>1E-3</v>
      </c>
      <c r="X61" s="4" cm="1">
        <f t="array" ref="X61">INDEX(GMW!$A$2:$LR$60,MATCH(1,(GMW!$LQ$2:$LQ$60=X$3)*(GMW!$LP$2:$LP$60=X$4)*(GMW!$LR$2:$LR$60=X$1),0),$C61-1966)</f>
        <v>1E-3</v>
      </c>
      <c r="Y61" s="4" cm="1">
        <f t="array" ref="Y61">INDEX(GMW!$A$2:$LR$60,MATCH(1,(GMW!$LQ$2:$LQ$60=Y$3)*(GMW!$LP$2:$LP$60=Y$4)*(GMW!$LR$2:$LR$60=Y$1),0),$C61-1966)</f>
        <v>1E-3</v>
      </c>
      <c r="Z61" s="4" cm="1">
        <f t="array" ref="Z61">INDEX(GMW!$A$2:$LR$60,MATCH(1,(GMW!$LQ$2:$LQ$60=Z$3)*(GMW!$LP$2:$LP$60=Z$4)*(GMW!$LR$2:$LR$60=Z$1),0),$C61-1966)</f>
        <v>1E-3</v>
      </c>
      <c r="AA61" s="4" cm="1">
        <f t="array" ref="AA61">INDEX(GMW!$A$2:$LR$60,MATCH(1,(GMW!$LQ$2:$LQ$60=AA$3)*(GMW!$LP$2:$LP$60=AA$4)*(GMW!$LR$2:$LR$60=AA$1),0),$C61-1966)</f>
        <v>153185</v>
      </c>
      <c r="AB61" s="4" cm="1">
        <f t="array" ref="AB61">INDEX(GMW!$A$2:$LR$60,MATCH(1,(GMW!$LQ$2:$LQ$60=AB$3)*(GMW!$LP$2:$LP$60=AB$4)*(GMW!$LR$2:$LR$60=AB$1),0),$C61-1966)</f>
        <v>49172</v>
      </c>
      <c r="AC61" s="4" cm="1">
        <f t="array" ref="AC61">INDEX(GMW!$A$2:$LR$60,MATCH(1,(GMW!$LQ$2:$LQ$60=AC$3)*(GMW!$LP$2:$LP$60=AC$4)*(GMW!$LR$2:$LR$60=AC$1),0),$C61-1966)</f>
        <v>59758</v>
      </c>
      <c r="AD61" s="4" cm="1">
        <f t="array" ref="AD61">INDEX(GMW!$A$2:$LR$60,MATCH(1,(GMW!$LQ$2:$LQ$60=AD$3)*(GMW!$LP$2:$LP$60=AD$4)*(GMW!$LR$2:$LR$60=AD$1),0),$C61-1966)</f>
        <v>47659</v>
      </c>
      <c r="AE61" s="4" cm="1">
        <f t="array" ref="AE61">INDEX(GMW!$A$2:$LR$60,MATCH(1,(GMW!$LQ$2:$LQ$60=AE$3)*(GMW!$LP$2:$LP$60=AE$4)*(GMW!$LR$2:$LR$60=AE$1),0),$C61-1966)</f>
        <v>41908</v>
      </c>
      <c r="AF61" s="4" cm="1">
        <f t="array" ref="AF61">INDEX(GMW!$A$2:$LR$60,MATCH(1,(GMW!$LQ$2:$LQ$60=AF$3)*(GMW!$LP$2:$LP$60=AF$4)*(GMW!$LR$2:$LR$60=AF$1),0),$C61-1966)</f>
        <v>1E-3</v>
      </c>
      <c r="AG61" s="4" cm="1">
        <f t="array" ref="AG61">INDEX(GMW!$A$2:$LR$60,MATCH(1,(GMW!$LQ$2:$LQ$60=AG$3)*(GMW!$LP$2:$LP$60=AG$4)*(GMW!$LR$2:$LR$60=AG$1),0),$C61-1966)</f>
        <v>1E-3</v>
      </c>
    </row>
    <row r="62" spans="1:33" x14ac:dyDescent="0.25">
      <c r="B62" s="4">
        <f t="shared" si="1"/>
        <v>1986</v>
      </c>
      <c r="C62" s="4">
        <f t="shared" si="2"/>
        <v>2028</v>
      </c>
      <c r="D62" s="4" cm="1">
        <f t="array" ref="D62">INDEX(GMW!$A$2:$LR$60,MATCH(1,(GMW!$LQ$2:$LQ$60=D$3)*(GMW!$LP$2:$LP$60=D$4)*(GMW!$LR$2:$LR$60=D$1),0),$C62-1966)</f>
        <v>282193</v>
      </c>
      <c r="E62" s="4" cm="1">
        <f t="array" ref="E62">INDEX(GMW!$A$2:$LR$60,MATCH(1,(GMW!$LQ$2:$LQ$60=E$3)*(GMW!$LP$2:$LP$60=E$4)*(GMW!$LR$2:$LR$60=E$1),0),$C62-1966)</f>
        <v>282193</v>
      </c>
      <c r="F62" s="4" cm="1">
        <f t="array" ref="F62">INDEX(GMW!$A$2:$LR$60,MATCH(1,(GMW!$LQ$2:$LQ$60=F$3)*(GMW!$LP$2:$LP$60=F$4)*(GMW!$LR$2:$LR$60=F$1),0),$C62-1966)</f>
        <v>282193</v>
      </c>
      <c r="G62" s="4" cm="1">
        <f t="array" ref="G62">INDEX(GMW!$A$2:$LR$60,MATCH(1,(GMW!$LQ$2:$LQ$60=G$3)*(GMW!$LP$2:$LP$60=G$4)*(GMW!$LR$2:$LR$60=G$1),0),$C62-1966)</f>
        <v>282193</v>
      </c>
      <c r="H62" s="4" cm="1">
        <f t="array" ref="H62">INDEX(GMW!$A$2:$LR$60,MATCH(1,(GMW!$LQ$2:$LQ$60=H$3)*(GMW!$LP$2:$LP$60=H$4)*(GMW!$LR$2:$LR$60=H$1),0),$C62-1966)</f>
        <v>282193</v>
      </c>
      <c r="I62" s="4" cm="1">
        <f t="array" ref="I62">INDEX(GMW!$A$2:$LR$60,MATCH(1,(GMW!$LQ$2:$LQ$60=I$3)*(GMW!$LP$2:$LP$60=I$4)*(GMW!$LR$2:$LR$60=I$1),0),$C62-1966)</f>
        <v>282193</v>
      </c>
      <c r="J62" s="4" cm="1">
        <f t="array" ref="J62">INDEX(GMW!$A$2:$LR$60,MATCH(1,(GMW!$LQ$2:$LQ$60=J$3)*(GMW!$LP$2:$LP$60=J$4)*(GMW!$LR$2:$LR$60=J$1),0),$C62-1966)</f>
        <v>282193</v>
      </c>
      <c r="K62" s="4" cm="1">
        <f t="array" ref="K62">INDEX(GMW!$A$2:$LR$60,MATCH(1,(GMW!$LQ$2:$LQ$60=K$3)*(GMW!$LP$2:$LP$60=K$4)*(GMW!$LR$2:$LR$60=K$1),0),$C62-1966)</f>
        <v>282193</v>
      </c>
      <c r="L62" s="4" cm="1">
        <f t="array" ref="L62">INDEX(GMW!$A$2:$LR$60,MATCH(1,(GMW!$LQ$2:$LQ$60=L$3)*(GMW!$LP$2:$LP$60=L$4)*(GMW!$LR$2:$LR$60=L$1),0),$C62-1966)</f>
        <v>282193</v>
      </c>
      <c r="M62" s="4" cm="1">
        <f t="array" ref="M62">INDEX(GMW!$A$2:$LR$60,MATCH(1,(GMW!$LQ$2:$LQ$60=M$3)*(GMW!$LP$2:$LP$60=M$4)*(GMW!$LR$2:$LR$60=M$1),0),$C62-1966)</f>
        <v>282193</v>
      </c>
      <c r="N62" s="4" cm="1">
        <f t="array" ref="N62">INDEX(GMW!$A$2:$LR$60,MATCH(1,(GMW!$LQ$2:$LQ$60=N$3)*(GMW!$LP$2:$LP$60=N$4)*(GMW!$LR$2:$LR$60=N$1),0),$C62-1966)</f>
        <v>282193</v>
      </c>
      <c r="O62" s="4" cm="1">
        <f t="array" ref="O62">INDEX(GMW!$A$2:$LR$60,MATCH(1,(GMW!$LQ$2:$LQ$60=O$3)*(GMW!$LP$2:$LP$60=O$4)*(GMW!$LR$2:$LR$60=O$1),0),$C62-1966)</f>
        <v>282193</v>
      </c>
      <c r="P62" s="4" cm="1">
        <f t="array" ref="P62">INDEX(GMW!$A$2:$LR$60,MATCH(1,(GMW!$LQ$2:$LQ$60=P$3)*(GMW!$LP$2:$LP$60=P$4)*(GMW!$LR$2:$LR$60=P$1),0),$C62-1966)</f>
        <v>282193</v>
      </c>
      <c r="Q62" s="4" cm="1">
        <f t="array" ref="Q62">INDEX(GMW!$A$2:$LR$60,MATCH(1,(GMW!$LQ$2:$LQ$60=Q$3)*(GMW!$LP$2:$LP$60=Q$4)*(GMW!$LR$2:$LR$60=Q$1),0),$C62-1966)</f>
        <v>282193</v>
      </c>
      <c r="R62" s="4" cm="1">
        <f t="array" ref="R62">INDEX(GMW!$A$2:$LR$60,MATCH(1,(GMW!$LQ$2:$LQ$60=R$3)*(GMW!$LP$2:$LP$60=R$4)*(GMW!$LR$2:$LR$60=R$1),0),$C62-1966)</f>
        <v>282193</v>
      </c>
      <c r="S62" s="4" cm="1">
        <f t="array" ref="S62">INDEX(GMW!$A$2:$LR$60,MATCH(1,(GMW!$LQ$2:$LQ$60=S$3)*(GMW!$LP$2:$LP$60=S$4)*(GMW!$LR$2:$LR$60=S$1),0),$C62-1966)</f>
        <v>282193</v>
      </c>
      <c r="T62" s="4" cm="1">
        <f t="array" ref="T62">INDEX(GMW!$A$2:$LR$60,MATCH(1,(GMW!$LQ$2:$LQ$60=T$3)*(GMW!$LP$2:$LP$60=T$4)*(GMW!$LR$2:$LR$60=T$1),0),$C62-1966)</f>
        <v>282193</v>
      </c>
      <c r="U62" s="4" cm="1">
        <f t="array" ref="U62">INDEX(GMW!$A$2:$LR$60,MATCH(1,(GMW!$LQ$2:$LQ$60=U$3)*(GMW!$LP$2:$LP$60=U$4)*(GMW!$LR$2:$LR$60=U$1),0),$C62-1966)</f>
        <v>120.3198</v>
      </c>
      <c r="V62" s="4" cm="1">
        <f t="array" ref="V62">INDEX(GMW!$A$2:$LR$60,MATCH(1,(GMW!$LQ$2:$LQ$60=V$3)*(GMW!$LP$2:$LP$60=V$4)*(GMW!$LR$2:$LR$60=V$1),0),$C62-1966)</f>
        <v>46.924320000000002</v>
      </c>
      <c r="W62" s="4" cm="1">
        <f t="array" ref="W62">INDEX(GMW!$A$2:$LR$60,MATCH(1,(GMW!$LQ$2:$LQ$60=W$3)*(GMW!$LP$2:$LP$60=W$4)*(GMW!$LR$2:$LR$60=W$1),0),$C62-1966)</f>
        <v>1E-3</v>
      </c>
      <c r="X62" s="4" cm="1">
        <f t="array" ref="X62">INDEX(GMW!$A$2:$LR$60,MATCH(1,(GMW!$LQ$2:$LQ$60=X$3)*(GMW!$LP$2:$LP$60=X$4)*(GMW!$LR$2:$LR$60=X$1),0),$C62-1966)</f>
        <v>1E-3</v>
      </c>
      <c r="Y62" s="4" cm="1">
        <f t="array" ref="Y62">INDEX(GMW!$A$2:$LR$60,MATCH(1,(GMW!$LQ$2:$LQ$60=Y$3)*(GMW!$LP$2:$LP$60=Y$4)*(GMW!$LR$2:$LR$60=Y$1),0),$C62-1966)</f>
        <v>1E-3</v>
      </c>
      <c r="Z62" s="4" cm="1">
        <f t="array" ref="Z62">INDEX(GMW!$A$2:$LR$60,MATCH(1,(GMW!$LQ$2:$LQ$60=Z$3)*(GMW!$LP$2:$LP$60=Z$4)*(GMW!$LR$2:$LR$60=Z$1),0),$C62-1966)</f>
        <v>1E-3</v>
      </c>
      <c r="AA62" s="4" cm="1">
        <f t="array" ref="AA62">INDEX(GMW!$A$2:$LR$60,MATCH(1,(GMW!$LQ$2:$LQ$60=AA$3)*(GMW!$LP$2:$LP$60=AA$4)*(GMW!$LR$2:$LR$60=AA$1),0),$C62-1966)</f>
        <v>153935</v>
      </c>
      <c r="AB62" s="4" cm="1">
        <f t="array" ref="AB62">INDEX(GMW!$A$2:$LR$60,MATCH(1,(GMW!$LQ$2:$LQ$60=AB$3)*(GMW!$LP$2:$LP$60=AB$4)*(GMW!$LR$2:$LR$60=AB$1),0),$C62-1966)</f>
        <v>51554</v>
      </c>
      <c r="AC62" s="4" cm="1">
        <f t="array" ref="AC62">INDEX(GMW!$A$2:$LR$60,MATCH(1,(GMW!$LQ$2:$LQ$60=AC$3)*(GMW!$LP$2:$LP$60=AC$4)*(GMW!$LR$2:$LR$60=AC$1),0),$C62-1966)</f>
        <v>59777</v>
      </c>
      <c r="AD62" s="4" cm="1">
        <f t="array" ref="AD62">INDEX(GMW!$A$2:$LR$60,MATCH(1,(GMW!$LQ$2:$LQ$60=AD$3)*(GMW!$LP$2:$LP$60=AD$4)*(GMW!$LR$2:$LR$60=AD$1),0),$C62-1966)</f>
        <v>48954</v>
      </c>
      <c r="AE62" s="4" cm="1">
        <f t="array" ref="AE62">INDEX(GMW!$A$2:$LR$60,MATCH(1,(GMW!$LQ$2:$LQ$60=AE$3)*(GMW!$LP$2:$LP$60=AE$4)*(GMW!$LR$2:$LR$60=AE$1),0),$C62-1966)</f>
        <v>42495</v>
      </c>
      <c r="AF62" s="4" cm="1">
        <f t="array" ref="AF62">INDEX(GMW!$A$2:$LR$60,MATCH(1,(GMW!$LQ$2:$LQ$60=AF$3)*(GMW!$LP$2:$LP$60=AF$4)*(GMW!$LR$2:$LR$60=AF$1),0),$C62-1966)</f>
        <v>1E-3</v>
      </c>
      <c r="AG62" s="4" cm="1">
        <f t="array" ref="AG62">INDEX(GMW!$A$2:$LR$60,MATCH(1,(GMW!$LQ$2:$LQ$60=AG$3)*(GMW!$LP$2:$LP$60=AG$4)*(GMW!$LR$2:$LR$60=AG$1),0),$C62-1966)</f>
        <v>1E-3</v>
      </c>
    </row>
    <row r="63" spans="1:33" x14ac:dyDescent="0.25">
      <c r="A63" s="4">
        <v>1987</v>
      </c>
      <c r="B63" s="4">
        <f t="shared" si="1"/>
        <v>1987</v>
      </c>
      <c r="C63" s="4">
        <f t="shared" si="2"/>
        <v>2029</v>
      </c>
      <c r="D63" s="4" cm="1">
        <f t="array" ref="D63">INDEX(GMW!$A$2:$LR$60,MATCH(1,(GMW!$LQ$2:$LQ$60=D$3)*(GMW!$LP$2:$LP$60=D$4)*(GMW!$LR$2:$LR$60=D$1),0),$C63-1966)</f>
        <v>284172</v>
      </c>
      <c r="E63" s="4" cm="1">
        <f t="array" ref="E63">INDEX(GMW!$A$2:$LR$60,MATCH(1,(GMW!$LQ$2:$LQ$60=E$3)*(GMW!$LP$2:$LP$60=E$4)*(GMW!$LR$2:$LR$60=E$1),0),$C63-1966)</f>
        <v>284172</v>
      </c>
      <c r="F63" s="4" cm="1">
        <f t="array" ref="F63">INDEX(GMW!$A$2:$LR$60,MATCH(1,(GMW!$LQ$2:$LQ$60=F$3)*(GMW!$LP$2:$LP$60=F$4)*(GMW!$LR$2:$LR$60=F$1),0),$C63-1966)</f>
        <v>284172</v>
      </c>
      <c r="G63" s="4" cm="1">
        <f t="array" ref="G63">INDEX(GMW!$A$2:$LR$60,MATCH(1,(GMW!$LQ$2:$LQ$60=G$3)*(GMW!$LP$2:$LP$60=G$4)*(GMW!$LR$2:$LR$60=G$1),0),$C63-1966)</f>
        <v>284172</v>
      </c>
      <c r="H63" s="4" cm="1">
        <f t="array" ref="H63">INDEX(GMW!$A$2:$LR$60,MATCH(1,(GMW!$LQ$2:$LQ$60=H$3)*(GMW!$LP$2:$LP$60=H$4)*(GMW!$LR$2:$LR$60=H$1),0),$C63-1966)</f>
        <v>284172</v>
      </c>
      <c r="I63" s="4" cm="1">
        <f t="array" ref="I63">INDEX(GMW!$A$2:$LR$60,MATCH(1,(GMW!$LQ$2:$LQ$60=I$3)*(GMW!$LP$2:$LP$60=I$4)*(GMW!$LR$2:$LR$60=I$1),0),$C63-1966)</f>
        <v>284172</v>
      </c>
      <c r="J63" s="4" cm="1">
        <f t="array" ref="J63">INDEX(GMW!$A$2:$LR$60,MATCH(1,(GMW!$LQ$2:$LQ$60=J$3)*(GMW!$LP$2:$LP$60=J$4)*(GMW!$LR$2:$LR$60=J$1),0),$C63-1966)</f>
        <v>284172</v>
      </c>
      <c r="K63" s="4" cm="1">
        <f t="array" ref="K63">INDEX(GMW!$A$2:$LR$60,MATCH(1,(GMW!$LQ$2:$LQ$60=K$3)*(GMW!$LP$2:$LP$60=K$4)*(GMW!$LR$2:$LR$60=K$1),0),$C63-1966)</f>
        <v>284172</v>
      </c>
      <c r="L63" s="4" cm="1">
        <f t="array" ref="L63">INDEX(GMW!$A$2:$LR$60,MATCH(1,(GMW!$LQ$2:$LQ$60=L$3)*(GMW!$LP$2:$LP$60=L$4)*(GMW!$LR$2:$LR$60=L$1),0),$C63-1966)</f>
        <v>284172</v>
      </c>
      <c r="M63" s="4" cm="1">
        <f t="array" ref="M63">INDEX(GMW!$A$2:$LR$60,MATCH(1,(GMW!$LQ$2:$LQ$60=M$3)*(GMW!$LP$2:$LP$60=M$4)*(GMW!$LR$2:$LR$60=M$1),0),$C63-1966)</f>
        <v>284172</v>
      </c>
      <c r="N63" s="4" cm="1">
        <f t="array" ref="N63">INDEX(GMW!$A$2:$LR$60,MATCH(1,(GMW!$LQ$2:$LQ$60=N$3)*(GMW!$LP$2:$LP$60=N$4)*(GMW!$LR$2:$LR$60=N$1),0),$C63-1966)</f>
        <v>284172</v>
      </c>
      <c r="O63" s="4" cm="1">
        <f t="array" ref="O63">INDEX(GMW!$A$2:$LR$60,MATCH(1,(GMW!$LQ$2:$LQ$60=O$3)*(GMW!$LP$2:$LP$60=O$4)*(GMW!$LR$2:$LR$60=O$1),0),$C63-1966)</f>
        <v>284172</v>
      </c>
      <c r="P63" s="4" cm="1">
        <f t="array" ref="P63">INDEX(GMW!$A$2:$LR$60,MATCH(1,(GMW!$LQ$2:$LQ$60=P$3)*(GMW!$LP$2:$LP$60=P$4)*(GMW!$LR$2:$LR$60=P$1),0),$C63-1966)</f>
        <v>284172</v>
      </c>
      <c r="Q63" s="4" cm="1">
        <f t="array" ref="Q63">INDEX(GMW!$A$2:$LR$60,MATCH(1,(GMW!$LQ$2:$LQ$60=Q$3)*(GMW!$LP$2:$LP$60=Q$4)*(GMW!$LR$2:$LR$60=Q$1),0),$C63-1966)</f>
        <v>284172</v>
      </c>
      <c r="R63" s="4" cm="1">
        <f t="array" ref="R63">INDEX(GMW!$A$2:$LR$60,MATCH(1,(GMW!$LQ$2:$LQ$60=R$3)*(GMW!$LP$2:$LP$60=R$4)*(GMW!$LR$2:$LR$60=R$1),0),$C63-1966)</f>
        <v>284172</v>
      </c>
      <c r="S63" s="4" cm="1">
        <f t="array" ref="S63">INDEX(GMW!$A$2:$LR$60,MATCH(1,(GMW!$LQ$2:$LQ$60=S$3)*(GMW!$LP$2:$LP$60=S$4)*(GMW!$LR$2:$LR$60=S$1),0),$C63-1966)</f>
        <v>284172</v>
      </c>
      <c r="T63" s="4" cm="1">
        <f t="array" ref="T63">INDEX(GMW!$A$2:$LR$60,MATCH(1,(GMW!$LQ$2:$LQ$60=T$3)*(GMW!$LP$2:$LP$60=T$4)*(GMW!$LR$2:$LR$60=T$1),0),$C63-1966)</f>
        <v>284172</v>
      </c>
      <c r="U63" s="4" cm="1">
        <f t="array" ref="U63">INDEX(GMW!$A$2:$LR$60,MATCH(1,(GMW!$LQ$2:$LQ$60=U$3)*(GMW!$LP$2:$LP$60=U$4)*(GMW!$LR$2:$LR$60=U$1),0),$C63-1966)</f>
        <v>121.41079999999999</v>
      </c>
      <c r="V63" s="4" cm="1">
        <f t="array" ref="V63">INDEX(GMW!$A$2:$LR$60,MATCH(1,(GMW!$LQ$2:$LQ$60=V$3)*(GMW!$LP$2:$LP$60=V$4)*(GMW!$LR$2:$LR$60=V$1),0),$C63-1966)</f>
        <v>47.237139999999997</v>
      </c>
      <c r="W63" s="4" cm="1">
        <f t="array" ref="W63">INDEX(GMW!$A$2:$LR$60,MATCH(1,(GMW!$LQ$2:$LQ$60=W$3)*(GMW!$LP$2:$LP$60=W$4)*(GMW!$LR$2:$LR$60=W$1),0),$C63-1966)</f>
        <v>1E-3</v>
      </c>
      <c r="X63" s="4" cm="1">
        <f t="array" ref="X63">INDEX(GMW!$A$2:$LR$60,MATCH(1,(GMW!$LQ$2:$LQ$60=X$3)*(GMW!$LP$2:$LP$60=X$4)*(GMW!$LR$2:$LR$60=X$1),0),$C63-1966)</f>
        <v>1E-3</v>
      </c>
      <c r="Y63" s="4" cm="1">
        <f t="array" ref="Y63">INDEX(GMW!$A$2:$LR$60,MATCH(1,(GMW!$LQ$2:$LQ$60=Y$3)*(GMW!$LP$2:$LP$60=Y$4)*(GMW!$LR$2:$LR$60=Y$1),0),$C63-1966)</f>
        <v>1E-3</v>
      </c>
      <c r="Z63" s="4" cm="1">
        <f t="array" ref="Z63">INDEX(GMW!$A$2:$LR$60,MATCH(1,(GMW!$LQ$2:$LQ$60=Z$3)*(GMW!$LP$2:$LP$60=Z$4)*(GMW!$LR$2:$LR$60=Z$1),0),$C63-1966)</f>
        <v>1E-3</v>
      </c>
      <c r="AA63" s="4" cm="1">
        <f t="array" ref="AA63">INDEX(GMW!$A$2:$LR$60,MATCH(1,(GMW!$LQ$2:$LQ$60=AA$3)*(GMW!$LP$2:$LP$60=AA$4)*(GMW!$LR$2:$LR$60=AA$1),0),$C63-1966)</f>
        <v>155770</v>
      </c>
      <c r="AB63" s="4" cm="1">
        <f t="array" ref="AB63">INDEX(GMW!$A$2:$LR$60,MATCH(1,(GMW!$LQ$2:$LQ$60=AB$3)*(GMW!$LP$2:$LP$60=AB$4)*(GMW!$LR$2:$LR$60=AB$1),0),$C63-1966)</f>
        <v>50260</v>
      </c>
      <c r="AC63" s="4" cm="1">
        <f t="array" ref="AC63">INDEX(GMW!$A$2:$LR$60,MATCH(1,(GMW!$LQ$2:$LQ$60=AC$3)*(GMW!$LP$2:$LP$60=AC$4)*(GMW!$LR$2:$LR$60=AC$1),0),$C63-1966)</f>
        <v>59542</v>
      </c>
      <c r="AD63" s="4" cm="1">
        <f t="array" ref="AD63">INDEX(GMW!$A$2:$LR$60,MATCH(1,(GMW!$LQ$2:$LQ$60=AD$3)*(GMW!$LP$2:$LP$60=AD$4)*(GMW!$LR$2:$LR$60=AD$1),0),$C63-1966)</f>
        <v>50280</v>
      </c>
      <c r="AE63" s="4" cm="1">
        <f t="array" ref="AE63">INDEX(GMW!$A$2:$LR$60,MATCH(1,(GMW!$LQ$2:$LQ$60=AE$3)*(GMW!$LP$2:$LP$60=AE$4)*(GMW!$LR$2:$LR$60=AE$1),0),$C63-1966)</f>
        <v>41973</v>
      </c>
      <c r="AF63" s="4" cm="1">
        <f t="array" ref="AF63">INDEX(GMW!$A$2:$LR$60,MATCH(1,(GMW!$LQ$2:$LQ$60=AF$3)*(GMW!$LP$2:$LP$60=AF$4)*(GMW!$LR$2:$LR$60=AF$1),0),$C63-1966)</f>
        <v>1E-3</v>
      </c>
      <c r="AG63" s="4" cm="1">
        <f t="array" ref="AG63">INDEX(GMW!$A$2:$LR$60,MATCH(1,(GMW!$LQ$2:$LQ$60=AG$3)*(GMW!$LP$2:$LP$60=AG$4)*(GMW!$LR$2:$LR$60=AG$1),0),$C63-1966)</f>
        <v>1E-3</v>
      </c>
    </row>
    <row r="64" spans="1:33" x14ac:dyDescent="0.25">
      <c r="B64" s="4">
        <f t="shared" si="1"/>
        <v>1987</v>
      </c>
      <c r="C64" s="4">
        <f t="shared" si="2"/>
        <v>2030</v>
      </c>
      <c r="D64" s="4" cm="1">
        <f t="array" ref="D64">INDEX(GMW!$A$2:$LR$60,MATCH(1,(GMW!$LQ$2:$LQ$60=D$3)*(GMW!$LP$2:$LP$60=D$4)*(GMW!$LR$2:$LR$60=D$1),0),$C64-1966)</f>
        <v>288385</v>
      </c>
      <c r="E64" s="4" cm="1">
        <f t="array" ref="E64">INDEX(GMW!$A$2:$LR$60,MATCH(1,(GMW!$LQ$2:$LQ$60=E$3)*(GMW!$LP$2:$LP$60=E$4)*(GMW!$LR$2:$LR$60=E$1),0),$C64-1966)</f>
        <v>288385</v>
      </c>
      <c r="F64" s="4" cm="1">
        <f t="array" ref="F64">INDEX(GMW!$A$2:$LR$60,MATCH(1,(GMW!$LQ$2:$LQ$60=F$3)*(GMW!$LP$2:$LP$60=F$4)*(GMW!$LR$2:$LR$60=F$1),0),$C64-1966)</f>
        <v>288385</v>
      </c>
      <c r="G64" s="4" cm="1">
        <f t="array" ref="G64">INDEX(GMW!$A$2:$LR$60,MATCH(1,(GMW!$LQ$2:$LQ$60=G$3)*(GMW!$LP$2:$LP$60=G$4)*(GMW!$LR$2:$LR$60=G$1),0),$C64-1966)</f>
        <v>288385</v>
      </c>
      <c r="H64" s="4" cm="1">
        <f t="array" ref="H64">INDEX(GMW!$A$2:$LR$60,MATCH(1,(GMW!$LQ$2:$LQ$60=H$3)*(GMW!$LP$2:$LP$60=H$4)*(GMW!$LR$2:$LR$60=H$1),0),$C64-1966)</f>
        <v>288385</v>
      </c>
      <c r="I64" s="4" cm="1">
        <f t="array" ref="I64">INDEX(GMW!$A$2:$LR$60,MATCH(1,(GMW!$LQ$2:$LQ$60=I$3)*(GMW!$LP$2:$LP$60=I$4)*(GMW!$LR$2:$LR$60=I$1),0),$C64-1966)</f>
        <v>288385</v>
      </c>
      <c r="J64" s="4" cm="1">
        <f t="array" ref="J64">INDEX(GMW!$A$2:$LR$60,MATCH(1,(GMW!$LQ$2:$LQ$60=J$3)*(GMW!$LP$2:$LP$60=J$4)*(GMW!$LR$2:$LR$60=J$1),0),$C64-1966)</f>
        <v>288385</v>
      </c>
      <c r="K64" s="4" cm="1">
        <f t="array" ref="K64">INDEX(GMW!$A$2:$LR$60,MATCH(1,(GMW!$LQ$2:$LQ$60=K$3)*(GMW!$LP$2:$LP$60=K$4)*(GMW!$LR$2:$LR$60=K$1),0),$C64-1966)</f>
        <v>288385</v>
      </c>
      <c r="L64" s="4" cm="1">
        <f t="array" ref="L64">INDEX(GMW!$A$2:$LR$60,MATCH(1,(GMW!$LQ$2:$LQ$60=L$3)*(GMW!$LP$2:$LP$60=L$4)*(GMW!$LR$2:$LR$60=L$1),0),$C64-1966)</f>
        <v>288385</v>
      </c>
      <c r="M64" s="4" cm="1">
        <f t="array" ref="M64">INDEX(GMW!$A$2:$LR$60,MATCH(1,(GMW!$LQ$2:$LQ$60=M$3)*(GMW!$LP$2:$LP$60=M$4)*(GMW!$LR$2:$LR$60=M$1),0),$C64-1966)</f>
        <v>288385</v>
      </c>
      <c r="N64" s="4" cm="1">
        <f t="array" ref="N64">INDEX(GMW!$A$2:$LR$60,MATCH(1,(GMW!$LQ$2:$LQ$60=N$3)*(GMW!$LP$2:$LP$60=N$4)*(GMW!$LR$2:$LR$60=N$1),0),$C64-1966)</f>
        <v>288385</v>
      </c>
      <c r="O64" s="4" cm="1">
        <f t="array" ref="O64">INDEX(GMW!$A$2:$LR$60,MATCH(1,(GMW!$LQ$2:$LQ$60=O$3)*(GMW!$LP$2:$LP$60=O$4)*(GMW!$LR$2:$LR$60=O$1),0),$C64-1966)</f>
        <v>288385</v>
      </c>
      <c r="P64" s="4" cm="1">
        <f t="array" ref="P64">INDEX(GMW!$A$2:$LR$60,MATCH(1,(GMW!$LQ$2:$LQ$60=P$3)*(GMW!$LP$2:$LP$60=P$4)*(GMW!$LR$2:$LR$60=P$1),0),$C64-1966)</f>
        <v>288385</v>
      </c>
      <c r="Q64" s="4" cm="1">
        <f t="array" ref="Q64">INDEX(GMW!$A$2:$LR$60,MATCH(1,(GMW!$LQ$2:$LQ$60=Q$3)*(GMW!$LP$2:$LP$60=Q$4)*(GMW!$LR$2:$LR$60=Q$1),0),$C64-1966)</f>
        <v>288385</v>
      </c>
      <c r="R64" s="4" cm="1">
        <f t="array" ref="R64">INDEX(GMW!$A$2:$LR$60,MATCH(1,(GMW!$LQ$2:$LQ$60=R$3)*(GMW!$LP$2:$LP$60=R$4)*(GMW!$LR$2:$LR$60=R$1),0),$C64-1966)</f>
        <v>288385</v>
      </c>
      <c r="S64" s="4" cm="1">
        <f t="array" ref="S64">INDEX(GMW!$A$2:$LR$60,MATCH(1,(GMW!$LQ$2:$LQ$60=S$3)*(GMW!$LP$2:$LP$60=S$4)*(GMW!$LR$2:$LR$60=S$1),0),$C64-1966)</f>
        <v>288385</v>
      </c>
      <c r="T64" s="4" cm="1">
        <f t="array" ref="T64">INDEX(GMW!$A$2:$LR$60,MATCH(1,(GMW!$LQ$2:$LQ$60=T$3)*(GMW!$LP$2:$LP$60=T$4)*(GMW!$LR$2:$LR$60=T$1),0),$C64-1966)</f>
        <v>288385</v>
      </c>
      <c r="U64" s="4" cm="1">
        <f t="array" ref="U64">INDEX(GMW!$A$2:$LR$60,MATCH(1,(GMW!$LQ$2:$LQ$60=U$3)*(GMW!$LP$2:$LP$60=U$4)*(GMW!$LR$2:$LR$60=U$1),0),$C64-1966)</f>
        <v>125.7916</v>
      </c>
      <c r="V64" s="4" cm="1">
        <f t="array" ref="V64">INDEX(GMW!$A$2:$LR$60,MATCH(1,(GMW!$LQ$2:$LQ$60=V$3)*(GMW!$LP$2:$LP$60=V$4)*(GMW!$LR$2:$LR$60=V$1),0),$C64-1966)</f>
        <v>47.836730000000003</v>
      </c>
      <c r="W64" s="4" cm="1">
        <f t="array" ref="W64">INDEX(GMW!$A$2:$LR$60,MATCH(1,(GMW!$LQ$2:$LQ$60=W$3)*(GMW!$LP$2:$LP$60=W$4)*(GMW!$LR$2:$LR$60=W$1),0),$C64-1966)</f>
        <v>1E-3</v>
      </c>
      <c r="X64" s="4" cm="1">
        <f t="array" ref="X64">INDEX(GMW!$A$2:$LR$60,MATCH(1,(GMW!$LQ$2:$LQ$60=X$3)*(GMW!$LP$2:$LP$60=X$4)*(GMW!$LR$2:$LR$60=X$1),0),$C64-1966)</f>
        <v>1E-3</v>
      </c>
      <c r="Y64" s="4" cm="1">
        <f t="array" ref="Y64">INDEX(GMW!$A$2:$LR$60,MATCH(1,(GMW!$LQ$2:$LQ$60=Y$3)*(GMW!$LP$2:$LP$60=Y$4)*(GMW!$LR$2:$LR$60=Y$1),0),$C64-1966)</f>
        <v>1E-3</v>
      </c>
      <c r="Z64" s="4" cm="1">
        <f t="array" ref="Z64">INDEX(GMW!$A$2:$LR$60,MATCH(1,(GMW!$LQ$2:$LQ$60=Z$3)*(GMW!$LP$2:$LP$60=Z$4)*(GMW!$LR$2:$LR$60=Z$1),0),$C64-1966)</f>
        <v>1E-3</v>
      </c>
      <c r="AA64" s="4" cm="1">
        <f t="array" ref="AA64">INDEX(GMW!$A$2:$LR$60,MATCH(1,(GMW!$LQ$2:$LQ$60=AA$3)*(GMW!$LP$2:$LP$60=AA$4)*(GMW!$LR$2:$LR$60=AA$1),0),$C64-1966)</f>
        <v>158407</v>
      </c>
      <c r="AB64" s="4" cm="1">
        <f t="array" ref="AB64">INDEX(GMW!$A$2:$LR$60,MATCH(1,(GMW!$LQ$2:$LQ$60=AB$3)*(GMW!$LP$2:$LP$60=AB$4)*(GMW!$LR$2:$LR$60=AB$1),0),$C64-1966)</f>
        <v>52682</v>
      </c>
      <c r="AC64" s="4" cm="1">
        <f t="array" ref="AC64">INDEX(GMW!$A$2:$LR$60,MATCH(1,(GMW!$LQ$2:$LQ$60=AC$3)*(GMW!$LP$2:$LP$60=AC$4)*(GMW!$LR$2:$LR$60=AC$1),0),$C64-1966)</f>
        <v>60473</v>
      </c>
      <c r="AD64" s="4" cm="1">
        <f t="array" ref="AD64">INDEX(GMW!$A$2:$LR$60,MATCH(1,(GMW!$LQ$2:$LQ$60=AD$3)*(GMW!$LP$2:$LP$60=AD$4)*(GMW!$LR$2:$LR$60=AD$1),0),$C64-1966)</f>
        <v>49855</v>
      </c>
      <c r="AE64" s="4" cm="1">
        <f t="array" ref="AE64">INDEX(GMW!$A$2:$LR$60,MATCH(1,(GMW!$LQ$2:$LQ$60=AE$3)*(GMW!$LP$2:$LP$60=AE$4)*(GMW!$LR$2:$LR$60=AE$1),0),$C64-1966)</f>
        <v>44067</v>
      </c>
      <c r="AF64" s="4" cm="1">
        <f t="array" ref="AF64">INDEX(GMW!$A$2:$LR$60,MATCH(1,(GMW!$LQ$2:$LQ$60=AF$3)*(GMW!$LP$2:$LP$60=AF$4)*(GMW!$LR$2:$LR$60=AF$1),0),$C64-1966)</f>
        <v>1E-3</v>
      </c>
      <c r="AG64" s="4" cm="1">
        <f t="array" ref="AG64">INDEX(GMW!$A$2:$LR$60,MATCH(1,(GMW!$LQ$2:$LQ$60=AG$3)*(GMW!$LP$2:$LP$60=AG$4)*(GMW!$LR$2:$LR$60=AG$1),0),$C64-1966)</f>
        <v>1E-3</v>
      </c>
    </row>
    <row r="65" spans="1:33" x14ac:dyDescent="0.25">
      <c r="B65" s="4">
        <f t="shared" si="1"/>
        <v>1987</v>
      </c>
      <c r="C65" s="4">
        <f t="shared" si="2"/>
        <v>2031</v>
      </c>
      <c r="D65" s="4" cm="1">
        <f t="array" ref="D65">INDEX(GMW!$A$2:$LR$60,MATCH(1,(GMW!$LQ$2:$LQ$60=D$3)*(GMW!$LP$2:$LP$60=D$4)*(GMW!$LR$2:$LR$60=D$1),0),$C65-1966)</f>
        <v>295493</v>
      </c>
      <c r="E65" s="4" cm="1">
        <f t="array" ref="E65">INDEX(GMW!$A$2:$LR$60,MATCH(1,(GMW!$LQ$2:$LQ$60=E$3)*(GMW!$LP$2:$LP$60=E$4)*(GMW!$LR$2:$LR$60=E$1),0),$C65-1966)</f>
        <v>295493</v>
      </c>
      <c r="F65" s="4" cm="1">
        <f t="array" ref="F65">INDEX(GMW!$A$2:$LR$60,MATCH(1,(GMW!$LQ$2:$LQ$60=F$3)*(GMW!$LP$2:$LP$60=F$4)*(GMW!$LR$2:$LR$60=F$1),0),$C65-1966)</f>
        <v>295493</v>
      </c>
      <c r="G65" s="4" cm="1">
        <f t="array" ref="G65">INDEX(GMW!$A$2:$LR$60,MATCH(1,(GMW!$LQ$2:$LQ$60=G$3)*(GMW!$LP$2:$LP$60=G$4)*(GMW!$LR$2:$LR$60=G$1),0),$C65-1966)</f>
        <v>295493</v>
      </c>
      <c r="H65" s="4" cm="1">
        <f t="array" ref="H65">INDEX(GMW!$A$2:$LR$60,MATCH(1,(GMW!$LQ$2:$LQ$60=H$3)*(GMW!$LP$2:$LP$60=H$4)*(GMW!$LR$2:$LR$60=H$1),0),$C65-1966)</f>
        <v>295493</v>
      </c>
      <c r="I65" s="4" cm="1">
        <f t="array" ref="I65">INDEX(GMW!$A$2:$LR$60,MATCH(1,(GMW!$LQ$2:$LQ$60=I$3)*(GMW!$LP$2:$LP$60=I$4)*(GMW!$LR$2:$LR$60=I$1),0),$C65-1966)</f>
        <v>295493</v>
      </c>
      <c r="J65" s="4" cm="1">
        <f t="array" ref="J65">INDEX(GMW!$A$2:$LR$60,MATCH(1,(GMW!$LQ$2:$LQ$60=J$3)*(GMW!$LP$2:$LP$60=J$4)*(GMW!$LR$2:$LR$60=J$1),0),$C65-1966)</f>
        <v>295493</v>
      </c>
      <c r="K65" s="4" cm="1">
        <f t="array" ref="K65">INDEX(GMW!$A$2:$LR$60,MATCH(1,(GMW!$LQ$2:$LQ$60=K$3)*(GMW!$LP$2:$LP$60=K$4)*(GMW!$LR$2:$LR$60=K$1),0),$C65-1966)</f>
        <v>295493</v>
      </c>
      <c r="L65" s="4" cm="1">
        <f t="array" ref="L65">INDEX(GMW!$A$2:$LR$60,MATCH(1,(GMW!$LQ$2:$LQ$60=L$3)*(GMW!$LP$2:$LP$60=L$4)*(GMW!$LR$2:$LR$60=L$1),0),$C65-1966)</f>
        <v>295493</v>
      </c>
      <c r="M65" s="4" cm="1">
        <f t="array" ref="M65">INDEX(GMW!$A$2:$LR$60,MATCH(1,(GMW!$LQ$2:$LQ$60=M$3)*(GMW!$LP$2:$LP$60=M$4)*(GMW!$LR$2:$LR$60=M$1),0),$C65-1966)</f>
        <v>295493</v>
      </c>
      <c r="N65" s="4" cm="1">
        <f t="array" ref="N65">INDEX(GMW!$A$2:$LR$60,MATCH(1,(GMW!$LQ$2:$LQ$60=N$3)*(GMW!$LP$2:$LP$60=N$4)*(GMW!$LR$2:$LR$60=N$1),0),$C65-1966)</f>
        <v>295493</v>
      </c>
      <c r="O65" s="4" cm="1">
        <f t="array" ref="O65">INDEX(GMW!$A$2:$LR$60,MATCH(1,(GMW!$LQ$2:$LQ$60=O$3)*(GMW!$LP$2:$LP$60=O$4)*(GMW!$LR$2:$LR$60=O$1),0),$C65-1966)</f>
        <v>295493</v>
      </c>
      <c r="P65" s="4" cm="1">
        <f t="array" ref="P65">INDEX(GMW!$A$2:$LR$60,MATCH(1,(GMW!$LQ$2:$LQ$60=P$3)*(GMW!$LP$2:$LP$60=P$4)*(GMW!$LR$2:$LR$60=P$1),0),$C65-1966)</f>
        <v>295493</v>
      </c>
      <c r="Q65" s="4" cm="1">
        <f t="array" ref="Q65">INDEX(GMW!$A$2:$LR$60,MATCH(1,(GMW!$LQ$2:$LQ$60=Q$3)*(GMW!$LP$2:$LP$60=Q$4)*(GMW!$LR$2:$LR$60=Q$1),0),$C65-1966)</f>
        <v>295493</v>
      </c>
      <c r="R65" s="4" cm="1">
        <f t="array" ref="R65">INDEX(GMW!$A$2:$LR$60,MATCH(1,(GMW!$LQ$2:$LQ$60=R$3)*(GMW!$LP$2:$LP$60=R$4)*(GMW!$LR$2:$LR$60=R$1),0),$C65-1966)</f>
        <v>295493</v>
      </c>
      <c r="S65" s="4" cm="1">
        <f t="array" ref="S65">INDEX(GMW!$A$2:$LR$60,MATCH(1,(GMW!$LQ$2:$LQ$60=S$3)*(GMW!$LP$2:$LP$60=S$4)*(GMW!$LR$2:$LR$60=S$1),0),$C65-1966)</f>
        <v>295493</v>
      </c>
      <c r="T65" s="4" cm="1">
        <f t="array" ref="T65">INDEX(GMW!$A$2:$LR$60,MATCH(1,(GMW!$LQ$2:$LQ$60=T$3)*(GMW!$LP$2:$LP$60=T$4)*(GMW!$LR$2:$LR$60=T$1),0),$C65-1966)</f>
        <v>295493</v>
      </c>
      <c r="U65" s="4" cm="1">
        <f t="array" ref="U65">INDEX(GMW!$A$2:$LR$60,MATCH(1,(GMW!$LQ$2:$LQ$60=U$3)*(GMW!$LP$2:$LP$60=U$4)*(GMW!$LR$2:$LR$60=U$1),0),$C65-1966)</f>
        <v>130.0642</v>
      </c>
      <c r="V65" s="4" cm="1">
        <f t="array" ref="V65">INDEX(GMW!$A$2:$LR$60,MATCH(1,(GMW!$LQ$2:$LQ$60=V$3)*(GMW!$LP$2:$LP$60=V$4)*(GMW!$LR$2:$LR$60=V$1),0),$C65-1966)</f>
        <v>47.888869999999997</v>
      </c>
      <c r="W65" s="4" cm="1">
        <f t="array" ref="W65">INDEX(GMW!$A$2:$LR$60,MATCH(1,(GMW!$LQ$2:$LQ$60=W$3)*(GMW!$LP$2:$LP$60=W$4)*(GMW!$LR$2:$LR$60=W$1),0),$C65-1966)</f>
        <v>1E-3</v>
      </c>
      <c r="X65" s="4" cm="1">
        <f t="array" ref="X65">INDEX(GMW!$A$2:$LR$60,MATCH(1,(GMW!$LQ$2:$LQ$60=X$3)*(GMW!$LP$2:$LP$60=X$4)*(GMW!$LR$2:$LR$60=X$1),0),$C65-1966)</f>
        <v>1E-3</v>
      </c>
      <c r="Y65" s="4" cm="1">
        <f t="array" ref="Y65">INDEX(GMW!$A$2:$LR$60,MATCH(1,(GMW!$LQ$2:$LQ$60=Y$3)*(GMW!$LP$2:$LP$60=Y$4)*(GMW!$LR$2:$LR$60=Y$1),0),$C65-1966)</f>
        <v>1E-3</v>
      </c>
      <c r="Z65" s="4" cm="1">
        <f t="array" ref="Z65">INDEX(GMW!$A$2:$LR$60,MATCH(1,(GMW!$LQ$2:$LQ$60=Z$3)*(GMW!$LP$2:$LP$60=Z$4)*(GMW!$LR$2:$LR$60=Z$1),0),$C65-1966)</f>
        <v>1E-3</v>
      </c>
      <c r="AA65" s="4" cm="1">
        <f t="array" ref="AA65">INDEX(GMW!$A$2:$LR$60,MATCH(1,(GMW!$LQ$2:$LQ$60=AA$3)*(GMW!$LP$2:$LP$60=AA$4)*(GMW!$LR$2:$LR$60=AA$1),0),$C65-1966)</f>
        <v>161697</v>
      </c>
      <c r="AB65" s="4" cm="1">
        <f t="array" ref="AB65">INDEX(GMW!$A$2:$LR$60,MATCH(1,(GMW!$LQ$2:$LQ$60=AB$3)*(GMW!$LP$2:$LP$60=AB$4)*(GMW!$LR$2:$LR$60=AB$1),0),$C65-1966)</f>
        <v>57537</v>
      </c>
      <c r="AC65" s="4" cm="1">
        <f t="array" ref="AC65">INDEX(GMW!$A$2:$LR$60,MATCH(1,(GMW!$LQ$2:$LQ$60=AC$3)*(GMW!$LP$2:$LP$60=AC$4)*(GMW!$LR$2:$LR$60=AC$1),0),$C65-1966)</f>
        <v>60248</v>
      </c>
      <c r="AD65" s="4" cm="1">
        <f t="array" ref="AD65">INDEX(GMW!$A$2:$LR$60,MATCH(1,(GMW!$LQ$2:$LQ$60=AD$3)*(GMW!$LP$2:$LP$60=AD$4)*(GMW!$LR$2:$LR$60=AD$1),0),$C65-1966)</f>
        <v>51694</v>
      </c>
      <c r="AE65" s="4" cm="1">
        <f t="array" ref="AE65">INDEX(GMW!$A$2:$LR$60,MATCH(1,(GMW!$LQ$2:$LQ$60=AE$3)*(GMW!$LP$2:$LP$60=AE$4)*(GMW!$LR$2:$LR$60=AE$1),0),$C65-1966)</f>
        <v>46106</v>
      </c>
      <c r="AF65" s="4" cm="1">
        <f t="array" ref="AF65">INDEX(GMW!$A$2:$LR$60,MATCH(1,(GMW!$LQ$2:$LQ$60=AF$3)*(GMW!$LP$2:$LP$60=AF$4)*(GMW!$LR$2:$LR$60=AF$1),0),$C65-1966)</f>
        <v>1E-3</v>
      </c>
      <c r="AG65" s="4" cm="1">
        <f t="array" ref="AG65">INDEX(GMW!$A$2:$LR$60,MATCH(1,(GMW!$LQ$2:$LQ$60=AG$3)*(GMW!$LP$2:$LP$60=AG$4)*(GMW!$LR$2:$LR$60=AG$1),0),$C65-1966)</f>
        <v>1E-3</v>
      </c>
    </row>
    <row r="66" spans="1:33" x14ac:dyDescent="0.25">
      <c r="B66" s="4">
        <f t="shared" si="1"/>
        <v>1987</v>
      </c>
      <c r="C66" s="4">
        <f t="shared" si="2"/>
        <v>2032</v>
      </c>
      <c r="D66" s="4" cm="1">
        <f t="array" ref="D66">INDEX(GMW!$A$2:$LR$60,MATCH(1,(GMW!$LQ$2:$LQ$60=D$3)*(GMW!$LP$2:$LP$60=D$4)*(GMW!$LR$2:$LR$60=D$1),0),$C66-1966)</f>
        <v>298855</v>
      </c>
      <c r="E66" s="4" cm="1">
        <f t="array" ref="E66">INDEX(GMW!$A$2:$LR$60,MATCH(1,(GMW!$LQ$2:$LQ$60=E$3)*(GMW!$LP$2:$LP$60=E$4)*(GMW!$LR$2:$LR$60=E$1),0),$C66-1966)</f>
        <v>298855</v>
      </c>
      <c r="F66" s="4" cm="1">
        <f t="array" ref="F66">INDEX(GMW!$A$2:$LR$60,MATCH(1,(GMW!$LQ$2:$LQ$60=F$3)*(GMW!$LP$2:$LP$60=F$4)*(GMW!$LR$2:$LR$60=F$1),0),$C66-1966)</f>
        <v>298855</v>
      </c>
      <c r="G66" s="4" cm="1">
        <f t="array" ref="G66">INDEX(GMW!$A$2:$LR$60,MATCH(1,(GMW!$LQ$2:$LQ$60=G$3)*(GMW!$LP$2:$LP$60=G$4)*(GMW!$LR$2:$LR$60=G$1),0),$C66-1966)</f>
        <v>298855</v>
      </c>
      <c r="H66" s="4" cm="1">
        <f t="array" ref="H66">INDEX(GMW!$A$2:$LR$60,MATCH(1,(GMW!$LQ$2:$LQ$60=H$3)*(GMW!$LP$2:$LP$60=H$4)*(GMW!$LR$2:$LR$60=H$1),0),$C66-1966)</f>
        <v>298855</v>
      </c>
      <c r="I66" s="4" cm="1">
        <f t="array" ref="I66">INDEX(GMW!$A$2:$LR$60,MATCH(1,(GMW!$LQ$2:$LQ$60=I$3)*(GMW!$LP$2:$LP$60=I$4)*(GMW!$LR$2:$LR$60=I$1),0),$C66-1966)</f>
        <v>298855</v>
      </c>
      <c r="J66" s="4" cm="1">
        <f t="array" ref="J66">INDEX(GMW!$A$2:$LR$60,MATCH(1,(GMW!$LQ$2:$LQ$60=J$3)*(GMW!$LP$2:$LP$60=J$4)*(GMW!$LR$2:$LR$60=J$1),0),$C66-1966)</f>
        <v>298855</v>
      </c>
      <c r="K66" s="4" cm="1">
        <f t="array" ref="K66">INDEX(GMW!$A$2:$LR$60,MATCH(1,(GMW!$LQ$2:$LQ$60=K$3)*(GMW!$LP$2:$LP$60=K$4)*(GMW!$LR$2:$LR$60=K$1),0),$C66-1966)</f>
        <v>298855</v>
      </c>
      <c r="L66" s="4" cm="1">
        <f t="array" ref="L66">INDEX(GMW!$A$2:$LR$60,MATCH(1,(GMW!$LQ$2:$LQ$60=L$3)*(GMW!$LP$2:$LP$60=L$4)*(GMW!$LR$2:$LR$60=L$1),0),$C66-1966)</f>
        <v>298855</v>
      </c>
      <c r="M66" s="4" cm="1">
        <f t="array" ref="M66">INDEX(GMW!$A$2:$LR$60,MATCH(1,(GMW!$LQ$2:$LQ$60=M$3)*(GMW!$LP$2:$LP$60=M$4)*(GMW!$LR$2:$LR$60=M$1),0),$C66-1966)</f>
        <v>298855</v>
      </c>
      <c r="N66" s="4" cm="1">
        <f t="array" ref="N66">INDEX(GMW!$A$2:$LR$60,MATCH(1,(GMW!$LQ$2:$LQ$60=N$3)*(GMW!$LP$2:$LP$60=N$4)*(GMW!$LR$2:$LR$60=N$1),0),$C66-1966)</f>
        <v>298855</v>
      </c>
      <c r="O66" s="4" cm="1">
        <f t="array" ref="O66">INDEX(GMW!$A$2:$LR$60,MATCH(1,(GMW!$LQ$2:$LQ$60=O$3)*(GMW!$LP$2:$LP$60=O$4)*(GMW!$LR$2:$LR$60=O$1),0),$C66-1966)</f>
        <v>298855</v>
      </c>
      <c r="P66" s="4" cm="1">
        <f t="array" ref="P66">INDEX(GMW!$A$2:$LR$60,MATCH(1,(GMW!$LQ$2:$LQ$60=P$3)*(GMW!$LP$2:$LP$60=P$4)*(GMW!$LR$2:$LR$60=P$1),0),$C66-1966)</f>
        <v>298855</v>
      </c>
      <c r="Q66" s="4" cm="1">
        <f t="array" ref="Q66">INDEX(GMW!$A$2:$LR$60,MATCH(1,(GMW!$LQ$2:$LQ$60=Q$3)*(GMW!$LP$2:$LP$60=Q$4)*(GMW!$LR$2:$LR$60=Q$1),0),$C66-1966)</f>
        <v>298855</v>
      </c>
      <c r="R66" s="4" cm="1">
        <f t="array" ref="R66">INDEX(GMW!$A$2:$LR$60,MATCH(1,(GMW!$LQ$2:$LQ$60=R$3)*(GMW!$LP$2:$LP$60=R$4)*(GMW!$LR$2:$LR$60=R$1),0),$C66-1966)</f>
        <v>298855</v>
      </c>
      <c r="S66" s="4" cm="1">
        <f t="array" ref="S66">INDEX(GMW!$A$2:$LR$60,MATCH(1,(GMW!$LQ$2:$LQ$60=S$3)*(GMW!$LP$2:$LP$60=S$4)*(GMW!$LR$2:$LR$60=S$1),0),$C66-1966)</f>
        <v>298855</v>
      </c>
      <c r="T66" s="4" cm="1">
        <f t="array" ref="T66">INDEX(GMW!$A$2:$LR$60,MATCH(1,(GMW!$LQ$2:$LQ$60=T$3)*(GMW!$LP$2:$LP$60=T$4)*(GMW!$LR$2:$LR$60=T$1),0),$C66-1966)</f>
        <v>298855</v>
      </c>
      <c r="U66" s="4" cm="1">
        <f t="array" ref="U66">INDEX(GMW!$A$2:$LR$60,MATCH(1,(GMW!$LQ$2:$LQ$60=U$3)*(GMW!$LP$2:$LP$60=U$4)*(GMW!$LR$2:$LR$60=U$1),0),$C66-1966)</f>
        <v>132.7039</v>
      </c>
      <c r="V66" s="4" cm="1">
        <f t="array" ref="V66">INDEX(GMW!$A$2:$LR$60,MATCH(1,(GMW!$LQ$2:$LQ$60=V$3)*(GMW!$LP$2:$LP$60=V$4)*(GMW!$LR$2:$LR$60=V$1),0),$C66-1966)</f>
        <v>48.436320000000002</v>
      </c>
      <c r="W66" s="4" cm="1">
        <f t="array" ref="W66">INDEX(GMW!$A$2:$LR$60,MATCH(1,(GMW!$LQ$2:$LQ$60=W$3)*(GMW!$LP$2:$LP$60=W$4)*(GMW!$LR$2:$LR$60=W$1),0),$C66-1966)</f>
        <v>1E-3</v>
      </c>
      <c r="X66" s="4" cm="1">
        <f t="array" ref="X66">INDEX(GMW!$A$2:$LR$60,MATCH(1,(GMW!$LQ$2:$LQ$60=X$3)*(GMW!$LP$2:$LP$60=X$4)*(GMW!$LR$2:$LR$60=X$1),0),$C66-1966)</f>
        <v>1E-3</v>
      </c>
      <c r="Y66" s="4" cm="1">
        <f t="array" ref="Y66">INDEX(GMW!$A$2:$LR$60,MATCH(1,(GMW!$LQ$2:$LQ$60=Y$3)*(GMW!$LP$2:$LP$60=Y$4)*(GMW!$LR$2:$LR$60=Y$1),0),$C66-1966)</f>
        <v>1E-3</v>
      </c>
      <c r="Z66" s="4" cm="1">
        <f t="array" ref="Z66">INDEX(GMW!$A$2:$LR$60,MATCH(1,(GMW!$LQ$2:$LQ$60=Z$3)*(GMW!$LP$2:$LP$60=Z$4)*(GMW!$LR$2:$LR$60=Z$1),0),$C66-1966)</f>
        <v>1E-3</v>
      </c>
      <c r="AA66" s="4" cm="1">
        <f t="array" ref="AA66">INDEX(GMW!$A$2:$LR$60,MATCH(1,(GMW!$LQ$2:$LQ$60=AA$3)*(GMW!$LP$2:$LP$60=AA$4)*(GMW!$LR$2:$LR$60=AA$1),0),$C66-1966)</f>
        <v>165212</v>
      </c>
      <c r="AB66" s="4" cm="1">
        <f t="array" ref="AB66">INDEX(GMW!$A$2:$LR$60,MATCH(1,(GMW!$LQ$2:$LQ$60=AB$3)*(GMW!$LP$2:$LP$60=AB$4)*(GMW!$LR$2:$LR$60=AB$1),0),$C66-1966)</f>
        <v>58922</v>
      </c>
      <c r="AC66" s="4" cm="1">
        <f t="array" ref="AC66">INDEX(GMW!$A$2:$LR$60,MATCH(1,(GMW!$LQ$2:$LQ$60=AC$3)*(GMW!$LP$2:$LP$60=AC$4)*(GMW!$LR$2:$LR$60=AC$1),0),$C66-1966)</f>
        <v>60075</v>
      </c>
      <c r="AD66" s="4" cm="1">
        <f t="array" ref="AD66">INDEX(GMW!$A$2:$LR$60,MATCH(1,(GMW!$LQ$2:$LQ$60=AD$3)*(GMW!$LP$2:$LP$60=AD$4)*(GMW!$LR$2:$LR$60=AD$1),0),$C66-1966)</f>
        <v>51486</v>
      </c>
      <c r="AE66" s="4" cm="1">
        <f t="array" ref="AE66">INDEX(GMW!$A$2:$LR$60,MATCH(1,(GMW!$LQ$2:$LQ$60=AE$3)*(GMW!$LP$2:$LP$60=AE$4)*(GMW!$LR$2:$LR$60=AE$1),0),$C66-1966)</f>
        <v>46998</v>
      </c>
      <c r="AF66" s="4" cm="1">
        <f t="array" ref="AF66">INDEX(GMW!$A$2:$LR$60,MATCH(1,(GMW!$LQ$2:$LQ$60=AF$3)*(GMW!$LP$2:$LP$60=AF$4)*(GMW!$LR$2:$LR$60=AF$1),0),$C66-1966)</f>
        <v>1E-3</v>
      </c>
      <c r="AG66" s="4" cm="1">
        <f t="array" ref="AG66">INDEX(GMW!$A$2:$LR$60,MATCH(1,(GMW!$LQ$2:$LQ$60=AG$3)*(GMW!$LP$2:$LP$60=AG$4)*(GMW!$LR$2:$LR$60=AG$1),0),$C66-1966)</f>
        <v>1E-3</v>
      </c>
    </row>
    <row r="67" spans="1:33" x14ac:dyDescent="0.25">
      <c r="A67" s="4">
        <v>1988</v>
      </c>
      <c r="B67" s="4">
        <f t="shared" si="1"/>
        <v>1988</v>
      </c>
      <c r="C67" s="4">
        <f t="shared" si="2"/>
        <v>2033</v>
      </c>
      <c r="D67" s="4" cm="1">
        <f t="array" ref="D67">INDEX(GMW!$A$2:$LR$60,MATCH(1,(GMW!$LQ$2:$LQ$60=D$3)*(GMW!$LP$2:$LP$60=D$4)*(GMW!$LR$2:$LR$60=D$1),0),$C67-1966)</f>
        <v>303698</v>
      </c>
      <c r="E67" s="4" cm="1">
        <f t="array" ref="E67">INDEX(GMW!$A$2:$LR$60,MATCH(1,(GMW!$LQ$2:$LQ$60=E$3)*(GMW!$LP$2:$LP$60=E$4)*(GMW!$LR$2:$LR$60=E$1),0),$C67-1966)</f>
        <v>303698</v>
      </c>
      <c r="F67" s="4" cm="1">
        <f t="array" ref="F67">INDEX(GMW!$A$2:$LR$60,MATCH(1,(GMW!$LQ$2:$LQ$60=F$3)*(GMW!$LP$2:$LP$60=F$4)*(GMW!$LR$2:$LR$60=F$1),0),$C67-1966)</f>
        <v>303698</v>
      </c>
      <c r="G67" s="4" cm="1">
        <f t="array" ref="G67">INDEX(GMW!$A$2:$LR$60,MATCH(1,(GMW!$LQ$2:$LQ$60=G$3)*(GMW!$LP$2:$LP$60=G$4)*(GMW!$LR$2:$LR$60=G$1),0),$C67-1966)</f>
        <v>303698</v>
      </c>
      <c r="H67" s="4" cm="1">
        <f t="array" ref="H67">INDEX(GMW!$A$2:$LR$60,MATCH(1,(GMW!$LQ$2:$LQ$60=H$3)*(GMW!$LP$2:$LP$60=H$4)*(GMW!$LR$2:$LR$60=H$1),0),$C67-1966)</f>
        <v>303698</v>
      </c>
      <c r="I67" s="4" cm="1">
        <f t="array" ref="I67">INDEX(GMW!$A$2:$LR$60,MATCH(1,(GMW!$LQ$2:$LQ$60=I$3)*(GMW!$LP$2:$LP$60=I$4)*(GMW!$LR$2:$LR$60=I$1),0),$C67-1966)</f>
        <v>303698</v>
      </c>
      <c r="J67" s="4" cm="1">
        <f t="array" ref="J67">INDEX(GMW!$A$2:$LR$60,MATCH(1,(GMW!$LQ$2:$LQ$60=J$3)*(GMW!$LP$2:$LP$60=J$4)*(GMW!$LR$2:$LR$60=J$1),0),$C67-1966)</f>
        <v>303698</v>
      </c>
      <c r="K67" s="4" cm="1">
        <f t="array" ref="K67">INDEX(GMW!$A$2:$LR$60,MATCH(1,(GMW!$LQ$2:$LQ$60=K$3)*(GMW!$LP$2:$LP$60=K$4)*(GMW!$LR$2:$LR$60=K$1),0),$C67-1966)</f>
        <v>303698</v>
      </c>
      <c r="L67" s="4" cm="1">
        <f t="array" ref="L67">INDEX(GMW!$A$2:$LR$60,MATCH(1,(GMW!$LQ$2:$LQ$60=L$3)*(GMW!$LP$2:$LP$60=L$4)*(GMW!$LR$2:$LR$60=L$1),0),$C67-1966)</f>
        <v>303698</v>
      </c>
      <c r="M67" s="4" cm="1">
        <f t="array" ref="M67">INDEX(GMW!$A$2:$LR$60,MATCH(1,(GMW!$LQ$2:$LQ$60=M$3)*(GMW!$LP$2:$LP$60=M$4)*(GMW!$LR$2:$LR$60=M$1),0),$C67-1966)</f>
        <v>303698</v>
      </c>
      <c r="N67" s="4" cm="1">
        <f t="array" ref="N67">INDEX(GMW!$A$2:$LR$60,MATCH(1,(GMW!$LQ$2:$LQ$60=N$3)*(GMW!$LP$2:$LP$60=N$4)*(GMW!$LR$2:$LR$60=N$1),0),$C67-1966)</f>
        <v>303698</v>
      </c>
      <c r="O67" s="4" cm="1">
        <f t="array" ref="O67">INDEX(GMW!$A$2:$LR$60,MATCH(1,(GMW!$LQ$2:$LQ$60=O$3)*(GMW!$LP$2:$LP$60=O$4)*(GMW!$LR$2:$LR$60=O$1),0),$C67-1966)</f>
        <v>303698</v>
      </c>
      <c r="P67" s="4" cm="1">
        <f t="array" ref="P67">INDEX(GMW!$A$2:$LR$60,MATCH(1,(GMW!$LQ$2:$LQ$60=P$3)*(GMW!$LP$2:$LP$60=P$4)*(GMW!$LR$2:$LR$60=P$1),0),$C67-1966)</f>
        <v>303698</v>
      </c>
      <c r="Q67" s="4" cm="1">
        <f t="array" ref="Q67">INDEX(GMW!$A$2:$LR$60,MATCH(1,(GMW!$LQ$2:$LQ$60=Q$3)*(GMW!$LP$2:$LP$60=Q$4)*(GMW!$LR$2:$LR$60=Q$1),0),$C67-1966)</f>
        <v>303698</v>
      </c>
      <c r="R67" s="4" cm="1">
        <f t="array" ref="R67">INDEX(GMW!$A$2:$LR$60,MATCH(1,(GMW!$LQ$2:$LQ$60=R$3)*(GMW!$LP$2:$LP$60=R$4)*(GMW!$LR$2:$LR$60=R$1),0),$C67-1966)</f>
        <v>303698</v>
      </c>
      <c r="S67" s="4" cm="1">
        <f t="array" ref="S67">INDEX(GMW!$A$2:$LR$60,MATCH(1,(GMW!$LQ$2:$LQ$60=S$3)*(GMW!$LP$2:$LP$60=S$4)*(GMW!$LR$2:$LR$60=S$1),0),$C67-1966)</f>
        <v>303698</v>
      </c>
      <c r="T67" s="4" cm="1">
        <f t="array" ref="T67">INDEX(GMW!$A$2:$LR$60,MATCH(1,(GMW!$LQ$2:$LQ$60=T$3)*(GMW!$LP$2:$LP$60=T$4)*(GMW!$LR$2:$LR$60=T$1),0),$C67-1966)</f>
        <v>303698</v>
      </c>
      <c r="U67" s="4" cm="1">
        <f t="array" ref="U67">INDEX(GMW!$A$2:$LR$60,MATCH(1,(GMW!$LQ$2:$LQ$60=U$3)*(GMW!$LP$2:$LP$60=U$4)*(GMW!$LR$2:$LR$60=U$1),0),$C67-1966)</f>
        <v>134.46860000000001</v>
      </c>
      <c r="V67" s="4" cm="1">
        <f t="array" ref="V67">INDEX(GMW!$A$2:$LR$60,MATCH(1,(GMW!$LQ$2:$LQ$60=V$3)*(GMW!$LP$2:$LP$60=V$4)*(GMW!$LR$2:$LR$60=V$1),0),$C67-1966)</f>
        <v>48.566670000000002</v>
      </c>
      <c r="W67" s="4" cm="1">
        <f t="array" ref="W67">INDEX(GMW!$A$2:$LR$60,MATCH(1,(GMW!$LQ$2:$LQ$60=W$3)*(GMW!$LP$2:$LP$60=W$4)*(GMW!$LR$2:$LR$60=W$1),0),$C67-1966)</f>
        <v>40.666670000000003</v>
      </c>
      <c r="X67" s="4" cm="1">
        <f t="array" ref="X67">INDEX(GMW!$A$2:$LR$60,MATCH(1,(GMW!$LQ$2:$LQ$60=X$3)*(GMW!$LP$2:$LP$60=X$4)*(GMW!$LR$2:$LR$60=X$1),0),$C67-1966)</f>
        <v>30.2</v>
      </c>
      <c r="Y67" s="4" cm="1">
        <f t="array" ref="Y67">INDEX(GMW!$A$2:$LR$60,MATCH(1,(GMW!$LQ$2:$LQ$60=Y$3)*(GMW!$LP$2:$LP$60=Y$4)*(GMW!$LR$2:$LR$60=Y$1),0),$C67-1966)</f>
        <v>29.2</v>
      </c>
      <c r="Z67" s="4" cm="1">
        <f t="array" ref="Z67">INDEX(GMW!$A$2:$LR$60,MATCH(1,(GMW!$LQ$2:$LQ$60=Z$3)*(GMW!$LP$2:$LP$60=Z$4)*(GMW!$LR$2:$LR$60=Z$1),0),$C67-1966)</f>
        <v>53.133339999999997</v>
      </c>
      <c r="AA67" s="4" cm="1">
        <f t="array" ref="AA67">INDEX(GMW!$A$2:$LR$60,MATCH(1,(GMW!$LQ$2:$LQ$60=AA$3)*(GMW!$LP$2:$LP$60=AA$4)*(GMW!$LR$2:$LR$60=AA$1),0),$C67-1966)</f>
        <v>167485</v>
      </c>
      <c r="AB67" s="4" cm="1">
        <f t="array" ref="AB67">INDEX(GMW!$A$2:$LR$60,MATCH(1,(GMW!$LQ$2:$LQ$60=AB$3)*(GMW!$LP$2:$LP$60=AB$4)*(GMW!$LR$2:$LR$60=AB$1),0),$C67-1966)</f>
        <v>61847</v>
      </c>
      <c r="AC67" s="4" cm="1">
        <f t="array" ref="AC67">INDEX(GMW!$A$2:$LR$60,MATCH(1,(GMW!$LQ$2:$LQ$60=AC$3)*(GMW!$LP$2:$LP$60=AC$4)*(GMW!$LR$2:$LR$60=AC$1),0),$C67-1966)</f>
        <v>60296</v>
      </c>
      <c r="AD67" s="4" cm="1">
        <f t="array" ref="AD67">INDEX(GMW!$A$2:$LR$60,MATCH(1,(GMW!$LQ$2:$LQ$60=AD$3)*(GMW!$LP$2:$LP$60=AD$4)*(GMW!$LR$2:$LR$60=AD$1),0),$C67-1966)</f>
        <v>50622</v>
      </c>
      <c r="AE67" s="4" cm="1">
        <f t="array" ref="AE67">INDEX(GMW!$A$2:$LR$60,MATCH(1,(GMW!$LQ$2:$LQ$60=AE$3)*(GMW!$LP$2:$LP$60=AE$4)*(GMW!$LR$2:$LR$60=AE$1),0),$C67-1966)</f>
        <v>47470</v>
      </c>
      <c r="AF67" s="4" cm="1">
        <f t="array" ref="AF67">INDEX(GMW!$A$2:$LR$60,MATCH(1,(GMW!$LQ$2:$LQ$60=AF$3)*(GMW!$LP$2:$LP$60=AF$4)*(GMW!$LR$2:$LR$60=AF$1),0),$C67-1966)</f>
        <v>1E-3</v>
      </c>
      <c r="AG67" s="4" cm="1">
        <f t="array" ref="AG67">INDEX(GMW!$A$2:$LR$60,MATCH(1,(GMW!$LQ$2:$LQ$60=AG$3)*(GMW!$LP$2:$LP$60=AG$4)*(GMW!$LR$2:$LR$60=AG$1),0),$C67-1966)</f>
        <v>1E-3</v>
      </c>
    </row>
    <row r="68" spans="1:33" x14ac:dyDescent="0.25">
      <c r="B68" s="4">
        <f t="shared" si="1"/>
        <v>1988</v>
      </c>
      <c r="C68" s="4">
        <f t="shared" si="2"/>
        <v>2034</v>
      </c>
      <c r="D68" s="4" cm="1">
        <f t="array" ref="D68">INDEX(GMW!$A$2:$LR$60,MATCH(1,(GMW!$LQ$2:$LQ$60=D$3)*(GMW!$LP$2:$LP$60=D$4)*(GMW!$LR$2:$LR$60=D$1),0),$C68-1966)</f>
        <v>305281</v>
      </c>
      <c r="E68" s="4" cm="1">
        <f t="array" ref="E68">INDEX(GMW!$A$2:$LR$60,MATCH(1,(GMW!$LQ$2:$LQ$60=E$3)*(GMW!$LP$2:$LP$60=E$4)*(GMW!$LR$2:$LR$60=E$1),0),$C68-1966)</f>
        <v>305281</v>
      </c>
      <c r="F68" s="4" cm="1">
        <f t="array" ref="F68">INDEX(GMW!$A$2:$LR$60,MATCH(1,(GMW!$LQ$2:$LQ$60=F$3)*(GMW!$LP$2:$LP$60=F$4)*(GMW!$LR$2:$LR$60=F$1),0),$C68-1966)</f>
        <v>305281</v>
      </c>
      <c r="G68" s="4" cm="1">
        <f t="array" ref="G68">INDEX(GMW!$A$2:$LR$60,MATCH(1,(GMW!$LQ$2:$LQ$60=G$3)*(GMW!$LP$2:$LP$60=G$4)*(GMW!$LR$2:$LR$60=G$1),0),$C68-1966)</f>
        <v>305281</v>
      </c>
      <c r="H68" s="4" cm="1">
        <f t="array" ref="H68">INDEX(GMW!$A$2:$LR$60,MATCH(1,(GMW!$LQ$2:$LQ$60=H$3)*(GMW!$LP$2:$LP$60=H$4)*(GMW!$LR$2:$LR$60=H$1),0),$C68-1966)</f>
        <v>305281</v>
      </c>
      <c r="I68" s="4" cm="1">
        <f t="array" ref="I68">INDEX(GMW!$A$2:$LR$60,MATCH(1,(GMW!$LQ$2:$LQ$60=I$3)*(GMW!$LP$2:$LP$60=I$4)*(GMW!$LR$2:$LR$60=I$1),0),$C68-1966)</f>
        <v>305281</v>
      </c>
      <c r="J68" s="4" cm="1">
        <f t="array" ref="J68">INDEX(GMW!$A$2:$LR$60,MATCH(1,(GMW!$LQ$2:$LQ$60=J$3)*(GMW!$LP$2:$LP$60=J$4)*(GMW!$LR$2:$LR$60=J$1),0),$C68-1966)</f>
        <v>305281</v>
      </c>
      <c r="K68" s="4" cm="1">
        <f t="array" ref="K68">INDEX(GMW!$A$2:$LR$60,MATCH(1,(GMW!$LQ$2:$LQ$60=K$3)*(GMW!$LP$2:$LP$60=K$4)*(GMW!$LR$2:$LR$60=K$1),0),$C68-1966)</f>
        <v>305281</v>
      </c>
      <c r="L68" s="4" cm="1">
        <f t="array" ref="L68">INDEX(GMW!$A$2:$LR$60,MATCH(1,(GMW!$LQ$2:$LQ$60=L$3)*(GMW!$LP$2:$LP$60=L$4)*(GMW!$LR$2:$LR$60=L$1),0),$C68-1966)</f>
        <v>305281</v>
      </c>
      <c r="M68" s="4" cm="1">
        <f t="array" ref="M68">INDEX(GMW!$A$2:$LR$60,MATCH(1,(GMW!$LQ$2:$LQ$60=M$3)*(GMW!$LP$2:$LP$60=M$4)*(GMW!$LR$2:$LR$60=M$1),0),$C68-1966)</f>
        <v>305281</v>
      </c>
      <c r="N68" s="4" cm="1">
        <f t="array" ref="N68">INDEX(GMW!$A$2:$LR$60,MATCH(1,(GMW!$LQ$2:$LQ$60=N$3)*(GMW!$LP$2:$LP$60=N$4)*(GMW!$LR$2:$LR$60=N$1),0),$C68-1966)</f>
        <v>305281</v>
      </c>
      <c r="O68" s="4" cm="1">
        <f t="array" ref="O68">INDEX(GMW!$A$2:$LR$60,MATCH(1,(GMW!$LQ$2:$LQ$60=O$3)*(GMW!$LP$2:$LP$60=O$4)*(GMW!$LR$2:$LR$60=O$1),0),$C68-1966)</f>
        <v>305281</v>
      </c>
      <c r="P68" s="4" cm="1">
        <f t="array" ref="P68">INDEX(GMW!$A$2:$LR$60,MATCH(1,(GMW!$LQ$2:$LQ$60=P$3)*(GMW!$LP$2:$LP$60=P$4)*(GMW!$LR$2:$LR$60=P$1),0),$C68-1966)</f>
        <v>305281</v>
      </c>
      <c r="Q68" s="4" cm="1">
        <f t="array" ref="Q68">INDEX(GMW!$A$2:$LR$60,MATCH(1,(GMW!$LQ$2:$LQ$60=Q$3)*(GMW!$LP$2:$LP$60=Q$4)*(GMW!$LR$2:$LR$60=Q$1),0),$C68-1966)</f>
        <v>305281</v>
      </c>
      <c r="R68" s="4" cm="1">
        <f t="array" ref="R68">INDEX(GMW!$A$2:$LR$60,MATCH(1,(GMW!$LQ$2:$LQ$60=R$3)*(GMW!$LP$2:$LP$60=R$4)*(GMW!$LR$2:$LR$60=R$1),0),$C68-1966)</f>
        <v>305281</v>
      </c>
      <c r="S68" s="4" cm="1">
        <f t="array" ref="S68">INDEX(GMW!$A$2:$LR$60,MATCH(1,(GMW!$LQ$2:$LQ$60=S$3)*(GMW!$LP$2:$LP$60=S$4)*(GMW!$LR$2:$LR$60=S$1),0),$C68-1966)</f>
        <v>305281</v>
      </c>
      <c r="T68" s="4" cm="1">
        <f t="array" ref="T68">INDEX(GMW!$A$2:$LR$60,MATCH(1,(GMW!$LQ$2:$LQ$60=T$3)*(GMW!$LP$2:$LP$60=T$4)*(GMW!$LR$2:$LR$60=T$1),0),$C68-1966)</f>
        <v>305281</v>
      </c>
      <c r="U68" s="4" cm="1">
        <f t="array" ref="U68">INDEX(GMW!$A$2:$LR$60,MATCH(1,(GMW!$LQ$2:$LQ$60=U$3)*(GMW!$LP$2:$LP$60=U$4)*(GMW!$LR$2:$LR$60=U$1),0),$C68-1966)</f>
        <v>139.05330000000001</v>
      </c>
      <c r="V68" s="4" cm="1">
        <f t="array" ref="V68">INDEX(GMW!$A$2:$LR$60,MATCH(1,(GMW!$LQ$2:$LQ$60=V$3)*(GMW!$LP$2:$LP$60=V$4)*(GMW!$LR$2:$LR$60=V$1),0),$C68-1966)</f>
        <v>49.5</v>
      </c>
      <c r="W68" s="4" cm="1">
        <f t="array" ref="W68">INDEX(GMW!$A$2:$LR$60,MATCH(1,(GMW!$LQ$2:$LQ$60=W$3)*(GMW!$LP$2:$LP$60=W$4)*(GMW!$LR$2:$LR$60=W$1),0),$C68-1966)</f>
        <v>41.2</v>
      </c>
      <c r="X68" s="4" cm="1">
        <f t="array" ref="X68">INDEX(GMW!$A$2:$LR$60,MATCH(1,(GMW!$LQ$2:$LQ$60=X$3)*(GMW!$LP$2:$LP$60=X$4)*(GMW!$LR$2:$LR$60=X$1),0),$C68-1966)</f>
        <v>30.8</v>
      </c>
      <c r="Y68" s="4" cm="1">
        <f t="array" ref="Y68">INDEX(GMW!$A$2:$LR$60,MATCH(1,(GMW!$LQ$2:$LQ$60=Y$3)*(GMW!$LP$2:$LP$60=Y$4)*(GMW!$LR$2:$LR$60=Y$1),0),$C68-1966)</f>
        <v>30</v>
      </c>
      <c r="Z68" s="4" cm="1">
        <f t="array" ref="Z68">INDEX(GMW!$A$2:$LR$60,MATCH(1,(GMW!$LQ$2:$LQ$60=Z$3)*(GMW!$LP$2:$LP$60=Z$4)*(GMW!$LR$2:$LR$60=Z$1),0),$C68-1966)</f>
        <v>54.266669999999998</v>
      </c>
      <c r="AA68" s="4" cm="1">
        <f t="array" ref="AA68">INDEX(GMW!$A$2:$LR$60,MATCH(1,(GMW!$LQ$2:$LQ$60=AA$3)*(GMW!$LP$2:$LP$60=AA$4)*(GMW!$LR$2:$LR$60=AA$1),0),$C68-1966)</f>
        <v>169883</v>
      </c>
      <c r="AB68" s="4" cm="1">
        <f t="array" ref="AB68">INDEX(GMW!$A$2:$LR$60,MATCH(1,(GMW!$LQ$2:$LQ$60=AB$3)*(GMW!$LP$2:$LP$60=AB$4)*(GMW!$LR$2:$LR$60=AB$1),0),$C68-1966)</f>
        <v>63501</v>
      </c>
      <c r="AC68" s="4" cm="1">
        <f t="array" ref="AC68">INDEX(GMW!$A$2:$LR$60,MATCH(1,(GMW!$LQ$2:$LQ$60=AC$3)*(GMW!$LP$2:$LP$60=AC$4)*(GMW!$LR$2:$LR$60=AC$1),0),$C68-1966)</f>
        <v>60208</v>
      </c>
      <c r="AD68" s="4" cm="1">
        <f t="array" ref="AD68">INDEX(GMW!$A$2:$LR$60,MATCH(1,(GMW!$LQ$2:$LQ$60=AD$3)*(GMW!$LP$2:$LP$60=AD$4)*(GMW!$LR$2:$LR$60=AD$1),0),$C68-1966)</f>
        <v>51653</v>
      </c>
      <c r="AE68" s="4" cm="1">
        <f t="array" ref="AE68">INDEX(GMW!$A$2:$LR$60,MATCH(1,(GMW!$LQ$2:$LQ$60=AE$3)*(GMW!$LP$2:$LP$60=AE$4)*(GMW!$LR$2:$LR$60=AE$1),0),$C68-1966)</f>
        <v>49433</v>
      </c>
      <c r="AF68" s="4" cm="1">
        <f t="array" ref="AF68">INDEX(GMW!$A$2:$LR$60,MATCH(1,(GMW!$LQ$2:$LQ$60=AF$3)*(GMW!$LP$2:$LP$60=AF$4)*(GMW!$LR$2:$LR$60=AF$1),0),$C68-1966)</f>
        <v>1E-3</v>
      </c>
      <c r="AG68" s="4" cm="1">
        <f t="array" ref="AG68">INDEX(GMW!$A$2:$LR$60,MATCH(1,(GMW!$LQ$2:$LQ$60=AG$3)*(GMW!$LP$2:$LP$60=AG$4)*(GMW!$LR$2:$LR$60=AG$1),0),$C68-1966)</f>
        <v>1E-3</v>
      </c>
    </row>
    <row r="69" spans="1:33" x14ac:dyDescent="0.25">
      <c r="B69" s="4">
        <f t="shared" si="1"/>
        <v>1988</v>
      </c>
      <c r="C69" s="4">
        <f t="shared" si="2"/>
        <v>2035</v>
      </c>
      <c r="D69" s="4" cm="1">
        <f t="array" ref="D69">INDEX(GMW!$A$2:$LR$60,MATCH(1,(GMW!$LQ$2:$LQ$60=D$3)*(GMW!$LP$2:$LP$60=D$4)*(GMW!$LR$2:$LR$60=D$1),0),$C69-1966)</f>
        <v>309097</v>
      </c>
      <c r="E69" s="4" cm="1">
        <f t="array" ref="E69">INDEX(GMW!$A$2:$LR$60,MATCH(1,(GMW!$LQ$2:$LQ$60=E$3)*(GMW!$LP$2:$LP$60=E$4)*(GMW!$LR$2:$LR$60=E$1),0),$C69-1966)</f>
        <v>309097</v>
      </c>
      <c r="F69" s="4" cm="1">
        <f t="array" ref="F69">INDEX(GMW!$A$2:$LR$60,MATCH(1,(GMW!$LQ$2:$LQ$60=F$3)*(GMW!$LP$2:$LP$60=F$4)*(GMW!$LR$2:$LR$60=F$1),0),$C69-1966)</f>
        <v>309097</v>
      </c>
      <c r="G69" s="4" cm="1">
        <f t="array" ref="G69">INDEX(GMW!$A$2:$LR$60,MATCH(1,(GMW!$LQ$2:$LQ$60=G$3)*(GMW!$LP$2:$LP$60=G$4)*(GMW!$LR$2:$LR$60=G$1),0),$C69-1966)</f>
        <v>309097</v>
      </c>
      <c r="H69" s="4" cm="1">
        <f t="array" ref="H69">INDEX(GMW!$A$2:$LR$60,MATCH(1,(GMW!$LQ$2:$LQ$60=H$3)*(GMW!$LP$2:$LP$60=H$4)*(GMW!$LR$2:$LR$60=H$1),0),$C69-1966)</f>
        <v>309097</v>
      </c>
      <c r="I69" s="4" cm="1">
        <f t="array" ref="I69">INDEX(GMW!$A$2:$LR$60,MATCH(1,(GMW!$LQ$2:$LQ$60=I$3)*(GMW!$LP$2:$LP$60=I$4)*(GMW!$LR$2:$LR$60=I$1),0),$C69-1966)</f>
        <v>309097</v>
      </c>
      <c r="J69" s="4" cm="1">
        <f t="array" ref="J69">INDEX(GMW!$A$2:$LR$60,MATCH(1,(GMW!$LQ$2:$LQ$60=J$3)*(GMW!$LP$2:$LP$60=J$4)*(GMW!$LR$2:$LR$60=J$1),0),$C69-1966)</f>
        <v>309097</v>
      </c>
      <c r="K69" s="4" cm="1">
        <f t="array" ref="K69">INDEX(GMW!$A$2:$LR$60,MATCH(1,(GMW!$LQ$2:$LQ$60=K$3)*(GMW!$LP$2:$LP$60=K$4)*(GMW!$LR$2:$LR$60=K$1),0),$C69-1966)</f>
        <v>309097</v>
      </c>
      <c r="L69" s="4" cm="1">
        <f t="array" ref="L69">INDEX(GMW!$A$2:$LR$60,MATCH(1,(GMW!$LQ$2:$LQ$60=L$3)*(GMW!$LP$2:$LP$60=L$4)*(GMW!$LR$2:$LR$60=L$1),0),$C69-1966)</f>
        <v>309097</v>
      </c>
      <c r="M69" s="4" cm="1">
        <f t="array" ref="M69">INDEX(GMW!$A$2:$LR$60,MATCH(1,(GMW!$LQ$2:$LQ$60=M$3)*(GMW!$LP$2:$LP$60=M$4)*(GMW!$LR$2:$LR$60=M$1),0),$C69-1966)</f>
        <v>309097</v>
      </c>
      <c r="N69" s="4" cm="1">
        <f t="array" ref="N69">INDEX(GMW!$A$2:$LR$60,MATCH(1,(GMW!$LQ$2:$LQ$60=N$3)*(GMW!$LP$2:$LP$60=N$4)*(GMW!$LR$2:$LR$60=N$1),0),$C69-1966)</f>
        <v>309097</v>
      </c>
      <c r="O69" s="4" cm="1">
        <f t="array" ref="O69">INDEX(GMW!$A$2:$LR$60,MATCH(1,(GMW!$LQ$2:$LQ$60=O$3)*(GMW!$LP$2:$LP$60=O$4)*(GMW!$LR$2:$LR$60=O$1),0),$C69-1966)</f>
        <v>309097</v>
      </c>
      <c r="P69" s="4" cm="1">
        <f t="array" ref="P69">INDEX(GMW!$A$2:$LR$60,MATCH(1,(GMW!$LQ$2:$LQ$60=P$3)*(GMW!$LP$2:$LP$60=P$4)*(GMW!$LR$2:$LR$60=P$1),0),$C69-1966)</f>
        <v>309097</v>
      </c>
      <c r="Q69" s="4" cm="1">
        <f t="array" ref="Q69">INDEX(GMW!$A$2:$LR$60,MATCH(1,(GMW!$LQ$2:$LQ$60=Q$3)*(GMW!$LP$2:$LP$60=Q$4)*(GMW!$LR$2:$LR$60=Q$1),0),$C69-1966)</f>
        <v>309097</v>
      </c>
      <c r="R69" s="4" cm="1">
        <f t="array" ref="R69">INDEX(GMW!$A$2:$LR$60,MATCH(1,(GMW!$LQ$2:$LQ$60=R$3)*(GMW!$LP$2:$LP$60=R$4)*(GMW!$LR$2:$LR$60=R$1),0),$C69-1966)</f>
        <v>309097</v>
      </c>
      <c r="S69" s="4" cm="1">
        <f t="array" ref="S69">INDEX(GMW!$A$2:$LR$60,MATCH(1,(GMW!$LQ$2:$LQ$60=S$3)*(GMW!$LP$2:$LP$60=S$4)*(GMW!$LR$2:$LR$60=S$1),0),$C69-1966)</f>
        <v>309097</v>
      </c>
      <c r="T69" s="4" cm="1">
        <f t="array" ref="T69">INDEX(GMW!$A$2:$LR$60,MATCH(1,(GMW!$LQ$2:$LQ$60=T$3)*(GMW!$LP$2:$LP$60=T$4)*(GMW!$LR$2:$LR$60=T$1),0),$C69-1966)</f>
        <v>309097</v>
      </c>
      <c r="U69" s="4" cm="1">
        <f t="array" ref="U69">INDEX(GMW!$A$2:$LR$60,MATCH(1,(GMW!$LQ$2:$LQ$60=U$3)*(GMW!$LP$2:$LP$60=U$4)*(GMW!$LR$2:$LR$60=U$1),0),$C69-1966)</f>
        <v>144.16399999999999</v>
      </c>
      <c r="V69" s="4" cm="1">
        <f t="array" ref="V69">INDEX(GMW!$A$2:$LR$60,MATCH(1,(GMW!$LQ$2:$LQ$60=V$3)*(GMW!$LP$2:$LP$60=V$4)*(GMW!$LR$2:$LR$60=V$1),0),$C69-1966)</f>
        <v>49.9</v>
      </c>
      <c r="W69" s="4" cm="1">
        <f t="array" ref="W69">INDEX(GMW!$A$2:$LR$60,MATCH(1,(GMW!$LQ$2:$LQ$60=W$3)*(GMW!$LP$2:$LP$60=W$4)*(GMW!$LR$2:$LR$60=W$1),0),$C69-1966)</f>
        <v>41.166670000000003</v>
      </c>
      <c r="X69" s="4" cm="1">
        <f t="array" ref="X69">INDEX(GMW!$A$2:$LR$60,MATCH(1,(GMW!$LQ$2:$LQ$60=X$3)*(GMW!$LP$2:$LP$60=X$4)*(GMW!$LR$2:$LR$60=X$1),0),$C69-1966)</f>
        <v>30.966670000000001</v>
      </c>
      <c r="Y69" s="4" cm="1">
        <f t="array" ref="Y69">INDEX(GMW!$A$2:$LR$60,MATCH(1,(GMW!$LQ$2:$LQ$60=Y$3)*(GMW!$LP$2:$LP$60=Y$4)*(GMW!$LR$2:$LR$60=Y$1),0),$C69-1966)</f>
        <v>30.8</v>
      </c>
      <c r="Z69" s="4" cm="1">
        <f t="array" ref="Z69">INDEX(GMW!$A$2:$LR$60,MATCH(1,(GMW!$LQ$2:$LQ$60=Z$3)*(GMW!$LP$2:$LP$60=Z$4)*(GMW!$LR$2:$LR$60=Z$1),0),$C69-1966)</f>
        <v>54.833329999999997</v>
      </c>
      <c r="AA69" s="4" cm="1">
        <f t="array" ref="AA69">INDEX(GMW!$A$2:$LR$60,MATCH(1,(GMW!$LQ$2:$LQ$60=AA$3)*(GMW!$LP$2:$LP$60=AA$4)*(GMW!$LR$2:$LR$60=AA$1),0),$C69-1966)</f>
        <v>173832</v>
      </c>
      <c r="AB69" s="4" cm="1">
        <f t="array" ref="AB69">INDEX(GMW!$A$2:$LR$60,MATCH(1,(GMW!$LQ$2:$LQ$60=AB$3)*(GMW!$LP$2:$LP$60=AB$4)*(GMW!$LR$2:$LR$60=AB$1),0),$C69-1966)</f>
        <v>64054</v>
      </c>
      <c r="AC69" s="4" cm="1">
        <f t="array" ref="AC69">INDEX(GMW!$A$2:$LR$60,MATCH(1,(GMW!$LQ$2:$LQ$60=AC$3)*(GMW!$LP$2:$LP$60=AC$4)*(GMW!$LR$2:$LR$60=AC$1),0),$C69-1966)</f>
        <v>59687</v>
      </c>
      <c r="AD69" s="4" cm="1">
        <f t="array" ref="AD69">INDEX(GMW!$A$2:$LR$60,MATCH(1,(GMW!$LQ$2:$LQ$60=AD$3)*(GMW!$LP$2:$LP$60=AD$4)*(GMW!$LR$2:$LR$60=AD$1),0),$C69-1966)</f>
        <v>51954</v>
      </c>
      <c r="AE69" s="4" cm="1">
        <f t="array" ref="AE69">INDEX(GMW!$A$2:$LR$60,MATCH(1,(GMW!$LQ$2:$LQ$60=AE$3)*(GMW!$LP$2:$LP$60=AE$4)*(GMW!$LR$2:$LR$60=AE$1),0),$C69-1966)</f>
        <v>50733</v>
      </c>
      <c r="AF69" s="4" cm="1">
        <f t="array" ref="AF69">INDEX(GMW!$A$2:$LR$60,MATCH(1,(GMW!$LQ$2:$LQ$60=AF$3)*(GMW!$LP$2:$LP$60=AF$4)*(GMW!$LR$2:$LR$60=AF$1),0),$C69-1966)</f>
        <v>1E-3</v>
      </c>
      <c r="AG69" s="4" cm="1">
        <f t="array" ref="AG69">INDEX(GMW!$A$2:$LR$60,MATCH(1,(GMW!$LQ$2:$LQ$60=AG$3)*(GMW!$LP$2:$LP$60=AG$4)*(GMW!$LR$2:$LR$60=AG$1),0),$C69-1966)</f>
        <v>1E-3</v>
      </c>
    </row>
    <row r="70" spans="1:33" x14ac:dyDescent="0.25">
      <c r="B70" s="4">
        <f t="shared" si="1"/>
        <v>1988</v>
      </c>
      <c r="C70" s="4">
        <f t="shared" si="2"/>
        <v>2036</v>
      </c>
      <c r="D70" s="4" cm="1">
        <f t="array" ref="D70">INDEX(GMW!$A$2:$LR$60,MATCH(1,(GMW!$LQ$2:$LQ$60=D$3)*(GMW!$LP$2:$LP$60=D$4)*(GMW!$LR$2:$LR$60=D$1),0),$C70-1966)</f>
        <v>311574</v>
      </c>
      <c r="E70" s="4" cm="1">
        <f t="array" ref="E70">INDEX(GMW!$A$2:$LR$60,MATCH(1,(GMW!$LQ$2:$LQ$60=E$3)*(GMW!$LP$2:$LP$60=E$4)*(GMW!$LR$2:$LR$60=E$1),0),$C70-1966)</f>
        <v>311574</v>
      </c>
      <c r="F70" s="4" cm="1">
        <f t="array" ref="F70">INDEX(GMW!$A$2:$LR$60,MATCH(1,(GMW!$LQ$2:$LQ$60=F$3)*(GMW!$LP$2:$LP$60=F$4)*(GMW!$LR$2:$LR$60=F$1),0),$C70-1966)</f>
        <v>311574</v>
      </c>
      <c r="G70" s="4" cm="1">
        <f t="array" ref="G70">INDEX(GMW!$A$2:$LR$60,MATCH(1,(GMW!$LQ$2:$LQ$60=G$3)*(GMW!$LP$2:$LP$60=G$4)*(GMW!$LR$2:$LR$60=G$1),0),$C70-1966)</f>
        <v>311574</v>
      </c>
      <c r="H70" s="4" cm="1">
        <f t="array" ref="H70">INDEX(GMW!$A$2:$LR$60,MATCH(1,(GMW!$LQ$2:$LQ$60=H$3)*(GMW!$LP$2:$LP$60=H$4)*(GMW!$LR$2:$LR$60=H$1),0),$C70-1966)</f>
        <v>311574</v>
      </c>
      <c r="I70" s="4" cm="1">
        <f t="array" ref="I70">INDEX(GMW!$A$2:$LR$60,MATCH(1,(GMW!$LQ$2:$LQ$60=I$3)*(GMW!$LP$2:$LP$60=I$4)*(GMW!$LR$2:$LR$60=I$1),0),$C70-1966)</f>
        <v>311574</v>
      </c>
      <c r="J70" s="4" cm="1">
        <f t="array" ref="J70">INDEX(GMW!$A$2:$LR$60,MATCH(1,(GMW!$LQ$2:$LQ$60=J$3)*(GMW!$LP$2:$LP$60=J$4)*(GMW!$LR$2:$LR$60=J$1),0),$C70-1966)</f>
        <v>311574</v>
      </c>
      <c r="K70" s="4" cm="1">
        <f t="array" ref="K70">INDEX(GMW!$A$2:$LR$60,MATCH(1,(GMW!$LQ$2:$LQ$60=K$3)*(GMW!$LP$2:$LP$60=K$4)*(GMW!$LR$2:$LR$60=K$1),0),$C70-1966)</f>
        <v>311574</v>
      </c>
      <c r="L70" s="4" cm="1">
        <f t="array" ref="L70">INDEX(GMW!$A$2:$LR$60,MATCH(1,(GMW!$LQ$2:$LQ$60=L$3)*(GMW!$LP$2:$LP$60=L$4)*(GMW!$LR$2:$LR$60=L$1),0),$C70-1966)</f>
        <v>311574</v>
      </c>
      <c r="M70" s="4" cm="1">
        <f t="array" ref="M70">INDEX(GMW!$A$2:$LR$60,MATCH(1,(GMW!$LQ$2:$LQ$60=M$3)*(GMW!$LP$2:$LP$60=M$4)*(GMW!$LR$2:$LR$60=M$1),0),$C70-1966)</f>
        <v>311574</v>
      </c>
      <c r="N70" s="4" cm="1">
        <f t="array" ref="N70">INDEX(GMW!$A$2:$LR$60,MATCH(1,(GMW!$LQ$2:$LQ$60=N$3)*(GMW!$LP$2:$LP$60=N$4)*(GMW!$LR$2:$LR$60=N$1),0),$C70-1966)</f>
        <v>311574</v>
      </c>
      <c r="O70" s="4" cm="1">
        <f t="array" ref="O70">INDEX(GMW!$A$2:$LR$60,MATCH(1,(GMW!$LQ$2:$LQ$60=O$3)*(GMW!$LP$2:$LP$60=O$4)*(GMW!$LR$2:$LR$60=O$1),0),$C70-1966)</f>
        <v>311574</v>
      </c>
      <c r="P70" s="4" cm="1">
        <f t="array" ref="P70">INDEX(GMW!$A$2:$LR$60,MATCH(1,(GMW!$LQ$2:$LQ$60=P$3)*(GMW!$LP$2:$LP$60=P$4)*(GMW!$LR$2:$LR$60=P$1),0),$C70-1966)</f>
        <v>311574</v>
      </c>
      <c r="Q70" s="4" cm="1">
        <f t="array" ref="Q70">INDEX(GMW!$A$2:$LR$60,MATCH(1,(GMW!$LQ$2:$LQ$60=Q$3)*(GMW!$LP$2:$LP$60=Q$4)*(GMW!$LR$2:$LR$60=Q$1),0),$C70-1966)</f>
        <v>311574</v>
      </c>
      <c r="R70" s="4" cm="1">
        <f t="array" ref="R70">INDEX(GMW!$A$2:$LR$60,MATCH(1,(GMW!$LQ$2:$LQ$60=R$3)*(GMW!$LP$2:$LP$60=R$4)*(GMW!$LR$2:$LR$60=R$1),0),$C70-1966)</f>
        <v>311574</v>
      </c>
      <c r="S70" s="4" cm="1">
        <f t="array" ref="S70">INDEX(GMW!$A$2:$LR$60,MATCH(1,(GMW!$LQ$2:$LQ$60=S$3)*(GMW!$LP$2:$LP$60=S$4)*(GMW!$LR$2:$LR$60=S$1),0),$C70-1966)</f>
        <v>311574</v>
      </c>
      <c r="T70" s="4" cm="1">
        <f t="array" ref="T70">INDEX(GMW!$A$2:$LR$60,MATCH(1,(GMW!$LQ$2:$LQ$60=T$3)*(GMW!$LP$2:$LP$60=T$4)*(GMW!$LR$2:$LR$60=T$1),0),$C70-1966)</f>
        <v>311574</v>
      </c>
      <c r="U70" s="4" cm="1">
        <f t="array" ref="U70">INDEX(GMW!$A$2:$LR$60,MATCH(1,(GMW!$LQ$2:$LQ$60=U$3)*(GMW!$LP$2:$LP$60=U$4)*(GMW!$LR$2:$LR$60=U$1),0),$C70-1966)</f>
        <v>148.042</v>
      </c>
      <c r="V70" s="4" cm="1">
        <f t="array" ref="V70">INDEX(GMW!$A$2:$LR$60,MATCH(1,(GMW!$LQ$2:$LQ$60=V$3)*(GMW!$LP$2:$LP$60=V$4)*(GMW!$LR$2:$LR$60=V$1),0),$C70-1966)</f>
        <v>50.466670000000001</v>
      </c>
      <c r="W70" s="4" cm="1">
        <f t="array" ref="W70">INDEX(GMW!$A$2:$LR$60,MATCH(1,(GMW!$LQ$2:$LQ$60=W$3)*(GMW!$LP$2:$LP$60=W$4)*(GMW!$LR$2:$LR$60=W$1),0),$C70-1966)</f>
        <v>41.6</v>
      </c>
      <c r="X70" s="4" cm="1">
        <f t="array" ref="X70">INDEX(GMW!$A$2:$LR$60,MATCH(1,(GMW!$LQ$2:$LQ$60=X$3)*(GMW!$LP$2:$LP$60=X$4)*(GMW!$LR$2:$LR$60=X$1),0),$C70-1966)</f>
        <v>30.733329999999999</v>
      </c>
      <c r="Y70" s="4" cm="1">
        <f t="array" ref="Y70">INDEX(GMW!$A$2:$LR$60,MATCH(1,(GMW!$LQ$2:$LQ$60=Y$3)*(GMW!$LP$2:$LP$60=Y$4)*(GMW!$LR$2:$LR$60=Y$1),0),$C70-1966)</f>
        <v>30.933330000000002</v>
      </c>
      <c r="Z70" s="4" cm="1">
        <f t="array" ref="Z70">INDEX(GMW!$A$2:$LR$60,MATCH(1,(GMW!$LQ$2:$LQ$60=Z$3)*(GMW!$LP$2:$LP$60=Z$4)*(GMW!$LR$2:$LR$60=Z$1),0),$C70-1966)</f>
        <v>55.566670000000002</v>
      </c>
      <c r="AA70" s="4" cm="1">
        <f t="array" ref="AA70">INDEX(GMW!$A$2:$LR$60,MATCH(1,(GMW!$LQ$2:$LQ$60=AA$3)*(GMW!$LP$2:$LP$60=AA$4)*(GMW!$LR$2:$LR$60=AA$1),0),$C70-1966)</f>
        <v>175394</v>
      </c>
      <c r="AB70" s="4" cm="1">
        <f t="array" ref="AB70">INDEX(GMW!$A$2:$LR$60,MATCH(1,(GMW!$LQ$2:$LQ$60=AB$3)*(GMW!$LP$2:$LP$60=AB$4)*(GMW!$LR$2:$LR$60=AB$1),0),$C70-1966)</f>
        <v>63988</v>
      </c>
      <c r="AC70" s="4" cm="1">
        <f t="array" ref="AC70">INDEX(GMW!$A$2:$LR$60,MATCH(1,(GMW!$LQ$2:$LQ$60=AC$3)*(GMW!$LP$2:$LP$60=AC$4)*(GMW!$LR$2:$LR$60=AC$1),0),$C70-1966)</f>
        <v>60530</v>
      </c>
      <c r="AD70" s="4" cm="1">
        <f t="array" ref="AD70">INDEX(GMW!$A$2:$LR$60,MATCH(1,(GMW!$LQ$2:$LQ$60=AD$3)*(GMW!$LP$2:$LP$60=AD$4)*(GMW!$LR$2:$LR$60=AD$1),0),$C70-1966)</f>
        <v>50899</v>
      </c>
      <c r="AE70" s="4" cm="1">
        <f t="array" ref="AE70">INDEX(GMW!$A$2:$LR$60,MATCH(1,(GMW!$LQ$2:$LQ$60=AE$3)*(GMW!$LP$2:$LP$60=AE$4)*(GMW!$LR$2:$LR$60=AE$1),0),$C70-1966)</f>
        <v>53644</v>
      </c>
      <c r="AF70" s="4" cm="1">
        <f t="array" ref="AF70">INDEX(GMW!$A$2:$LR$60,MATCH(1,(GMW!$LQ$2:$LQ$60=AF$3)*(GMW!$LP$2:$LP$60=AF$4)*(GMW!$LR$2:$LR$60=AF$1),0),$C70-1966)</f>
        <v>1E-3</v>
      </c>
      <c r="AG70" s="4" cm="1">
        <f t="array" ref="AG70">INDEX(GMW!$A$2:$LR$60,MATCH(1,(GMW!$LQ$2:$LQ$60=AG$3)*(GMW!$LP$2:$LP$60=AG$4)*(GMW!$LR$2:$LR$60=AG$1),0),$C70-1966)</f>
        <v>1E-3</v>
      </c>
    </row>
    <row r="71" spans="1:33" x14ac:dyDescent="0.25">
      <c r="A71" s="4">
        <v>1989</v>
      </c>
      <c r="B71" s="4">
        <f t="shared" si="1"/>
        <v>1989</v>
      </c>
      <c r="C71" s="4">
        <f t="shared" si="2"/>
        <v>2037</v>
      </c>
      <c r="D71" s="4" cm="1">
        <f t="array" ref="D71">INDEX(GMW!$A$2:$LR$60,MATCH(1,(GMW!$LQ$2:$LQ$60=D$3)*(GMW!$LP$2:$LP$60=D$4)*(GMW!$LR$2:$LR$60=D$1),0),$C71-1966)</f>
        <v>313083</v>
      </c>
      <c r="E71" s="4" cm="1">
        <f t="array" ref="E71">INDEX(GMW!$A$2:$LR$60,MATCH(1,(GMW!$LQ$2:$LQ$60=E$3)*(GMW!$LP$2:$LP$60=E$4)*(GMW!$LR$2:$LR$60=E$1),0),$C71-1966)</f>
        <v>313083</v>
      </c>
      <c r="F71" s="4" cm="1">
        <f t="array" ref="F71">INDEX(GMW!$A$2:$LR$60,MATCH(1,(GMW!$LQ$2:$LQ$60=F$3)*(GMW!$LP$2:$LP$60=F$4)*(GMW!$LR$2:$LR$60=F$1),0),$C71-1966)</f>
        <v>313083</v>
      </c>
      <c r="G71" s="4" cm="1">
        <f t="array" ref="G71">INDEX(GMW!$A$2:$LR$60,MATCH(1,(GMW!$LQ$2:$LQ$60=G$3)*(GMW!$LP$2:$LP$60=G$4)*(GMW!$LR$2:$LR$60=G$1),0),$C71-1966)</f>
        <v>313083</v>
      </c>
      <c r="H71" s="4" cm="1">
        <f t="array" ref="H71">INDEX(GMW!$A$2:$LR$60,MATCH(1,(GMW!$LQ$2:$LQ$60=H$3)*(GMW!$LP$2:$LP$60=H$4)*(GMW!$LR$2:$LR$60=H$1),0),$C71-1966)</f>
        <v>313083</v>
      </c>
      <c r="I71" s="4" cm="1">
        <f t="array" ref="I71">INDEX(GMW!$A$2:$LR$60,MATCH(1,(GMW!$LQ$2:$LQ$60=I$3)*(GMW!$LP$2:$LP$60=I$4)*(GMW!$LR$2:$LR$60=I$1),0),$C71-1966)</f>
        <v>313083</v>
      </c>
      <c r="J71" s="4" cm="1">
        <f t="array" ref="J71">INDEX(GMW!$A$2:$LR$60,MATCH(1,(GMW!$LQ$2:$LQ$60=J$3)*(GMW!$LP$2:$LP$60=J$4)*(GMW!$LR$2:$LR$60=J$1),0),$C71-1966)</f>
        <v>313083</v>
      </c>
      <c r="K71" s="4" cm="1">
        <f t="array" ref="K71">INDEX(GMW!$A$2:$LR$60,MATCH(1,(GMW!$LQ$2:$LQ$60=K$3)*(GMW!$LP$2:$LP$60=K$4)*(GMW!$LR$2:$LR$60=K$1),0),$C71-1966)</f>
        <v>313083</v>
      </c>
      <c r="L71" s="4" cm="1">
        <f t="array" ref="L71">INDEX(GMW!$A$2:$LR$60,MATCH(1,(GMW!$LQ$2:$LQ$60=L$3)*(GMW!$LP$2:$LP$60=L$4)*(GMW!$LR$2:$LR$60=L$1),0),$C71-1966)</f>
        <v>313083</v>
      </c>
      <c r="M71" s="4" cm="1">
        <f t="array" ref="M71">INDEX(GMW!$A$2:$LR$60,MATCH(1,(GMW!$LQ$2:$LQ$60=M$3)*(GMW!$LP$2:$LP$60=M$4)*(GMW!$LR$2:$LR$60=M$1),0),$C71-1966)</f>
        <v>313083</v>
      </c>
      <c r="N71" s="4" cm="1">
        <f t="array" ref="N71">INDEX(GMW!$A$2:$LR$60,MATCH(1,(GMW!$LQ$2:$LQ$60=N$3)*(GMW!$LP$2:$LP$60=N$4)*(GMW!$LR$2:$LR$60=N$1),0),$C71-1966)</f>
        <v>313083</v>
      </c>
      <c r="O71" s="4" cm="1">
        <f t="array" ref="O71">INDEX(GMW!$A$2:$LR$60,MATCH(1,(GMW!$LQ$2:$LQ$60=O$3)*(GMW!$LP$2:$LP$60=O$4)*(GMW!$LR$2:$LR$60=O$1),0),$C71-1966)</f>
        <v>313083</v>
      </c>
      <c r="P71" s="4" cm="1">
        <f t="array" ref="P71">INDEX(GMW!$A$2:$LR$60,MATCH(1,(GMW!$LQ$2:$LQ$60=P$3)*(GMW!$LP$2:$LP$60=P$4)*(GMW!$LR$2:$LR$60=P$1),0),$C71-1966)</f>
        <v>313083</v>
      </c>
      <c r="Q71" s="4" cm="1">
        <f t="array" ref="Q71">INDEX(GMW!$A$2:$LR$60,MATCH(1,(GMW!$LQ$2:$LQ$60=Q$3)*(GMW!$LP$2:$LP$60=Q$4)*(GMW!$LR$2:$LR$60=Q$1),0),$C71-1966)</f>
        <v>313083</v>
      </c>
      <c r="R71" s="4" cm="1">
        <f t="array" ref="R71">INDEX(GMW!$A$2:$LR$60,MATCH(1,(GMW!$LQ$2:$LQ$60=R$3)*(GMW!$LP$2:$LP$60=R$4)*(GMW!$LR$2:$LR$60=R$1),0),$C71-1966)</f>
        <v>313083</v>
      </c>
      <c r="S71" s="4" cm="1">
        <f t="array" ref="S71">INDEX(GMW!$A$2:$LR$60,MATCH(1,(GMW!$LQ$2:$LQ$60=S$3)*(GMW!$LP$2:$LP$60=S$4)*(GMW!$LR$2:$LR$60=S$1),0),$C71-1966)</f>
        <v>313083</v>
      </c>
      <c r="T71" s="4" cm="1">
        <f t="array" ref="T71">INDEX(GMW!$A$2:$LR$60,MATCH(1,(GMW!$LQ$2:$LQ$60=T$3)*(GMW!$LP$2:$LP$60=T$4)*(GMW!$LR$2:$LR$60=T$1),0),$C71-1966)</f>
        <v>313083</v>
      </c>
      <c r="U71" s="4" cm="1">
        <f t="array" ref="U71">INDEX(GMW!$A$2:$LR$60,MATCH(1,(GMW!$LQ$2:$LQ$60=U$3)*(GMW!$LP$2:$LP$60=U$4)*(GMW!$LR$2:$LR$60=U$1),0),$C71-1966)</f>
        <v>150.62790000000001</v>
      </c>
      <c r="V71" s="4" cm="1">
        <f t="array" ref="V71">INDEX(GMW!$A$2:$LR$60,MATCH(1,(GMW!$LQ$2:$LQ$60=V$3)*(GMW!$LP$2:$LP$60=V$4)*(GMW!$LR$2:$LR$60=V$1),0),$C71-1966)</f>
        <v>51</v>
      </c>
      <c r="W71" s="4" cm="1">
        <f t="array" ref="W71">INDEX(GMW!$A$2:$LR$60,MATCH(1,(GMW!$LQ$2:$LQ$60=W$3)*(GMW!$LP$2:$LP$60=W$4)*(GMW!$LR$2:$LR$60=W$1),0),$C71-1966)</f>
        <v>42.333329999999997</v>
      </c>
      <c r="X71" s="4" cm="1">
        <f t="array" ref="X71">INDEX(GMW!$A$2:$LR$60,MATCH(1,(GMW!$LQ$2:$LQ$60=X$3)*(GMW!$LP$2:$LP$60=X$4)*(GMW!$LR$2:$LR$60=X$1),0),$C71-1966)</f>
        <v>31.16667</v>
      </c>
      <c r="Y71" s="4" cm="1">
        <f t="array" ref="Y71">INDEX(GMW!$A$2:$LR$60,MATCH(1,(GMW!$LQ$2:$LQ$60=Y$3)*(GMW!$LP$2:$LP$60=Y$4)*(GMW!$LR$2:$LR$60=Y$1),0),$C71-1966)</f>
        <v>31</v>
      </c>
      <c r="Z71" s="4" cm="1">
        <f t="array" ref="Z71">INDEX(GMW!$A$2:$LR$60,MATCH(1,(GMW!$LQ$2:$LQ$60=Z$3)*(GMW!$LP$2:$LP$60=Z$4)*(GMW!$LR$2:$LR$60=Z$1),0),$C71-1966)</f>
        <v>55.9</v>
      </c>
      <c r="AA71" s="4" cm="1">
        <f t="array" ref="AA71">INDEX(GMW!$A$2:$LR$60,MATCH(1,(GMW!$LQ$2:$LQ$60=AA$3)*(GMW!$LP$2:$LP$60=AA$4)*(GMW!$LR$2:$LR$60=AA$1),0),$C71-1966)</f>
        <v>176901</v>
      </c>
      <c r="AB71" s="4" cm="1">
        <f t="array" ref="AB71">INDEX(GMW!$A$2:$LR$60,MATCH(1,(GMW!$LQ$2:$LQ$60=AB$3)*(GMW!$LP$2:$LP$60=AB$4)*(GMW!$LR$2:$LR$60=AB$1),0),$C71-1966)</f>
        <v>67398</v>
      </c>
      <c r="AC71" s="4" cm="1">
        <f t="array" ref="AC71">INDEX(GMW!$A$2:$LR$60,MATCH(1,(GMW!$LQ$2:$LQ$60=AC$3)*(GMW!$LP$2:$LP$60=AC$4)*(GMW!$LR$2:$LR$60=AC$1),0),$C71-1966)</f>
        <v>60084</v>
      </c>
      <c r="AD71" s="4" cm="1">
        <f t="array" ref="AD71">INDEX(GMW!$A$2:$LR$60,MATCH(1,(GMW!$LQ$2:$LQ$60=AD$3)*(GMW!$LP$2:$LP$60=AD$4)*(GMW!$LR$2:$LR$60=AD$1),0),$C71-1966)</f>
        <v>53240</v>
      </c>
      <c r="AE71" s="4" cm="1">
        <f t="array" ref="AE71">INDEX(GMW!$A$2:$LR$60,MATCH(1,(GMW!$LQ$2:$LQ$60=AE$3)*(GMW!$LP$2:$LP$60=AE$4)*(GMW!$LR$2:$LR$60=AE$1),0),$C71-1966)</f>
        <v>54330</v>
      </c>
      <c r="AF71" s="4" cm="1">
        <f t="array" ref="AF71">INDEX(GMW!$A$2:$LR$60,MATCH(1,(GMW!$LQ$2:$LQ$60=AF$3)*(GMW!$LP$2:$LP$60=AF$4)*(GMW!$LR$2:$LR$60=AF$1),0),$C71-1966)</f>
        <v>1E-3</v>
      </c>
      <c r="AG71" s="4" cm="1">
        <f t="array" ref="AG71">INDEX(GMW!$A$2:$LR$60,MATCH(1,(GMW!$LQ$2:$LQ$60=AG$3)*(GMW!$LP$2:$LP$60=AG$4)*(GMW!$LR$2:$LR$60=AG$1),0),$C71-1966)</f>
        <v>1E-3</v>
      </c>
    </row>
    <row r="72" spans="1:33" x14ac:dyDescent="0.25">
      <c r="B72" s="4">
        <f t="shared" si="1"/>
        <v>1989</v>
      </c>
      <c r="C72" s="4">
        <f t="shared" si="2"/>
        <v>2038</v>
      </c>
      <c r="D72" s="4" cm="1">
        <f t="array" ref="D72">INDEX(GMW!$A$2:$LR$60,MATCH(1,(GMW!$LQ$2:$LQ$60=D$3)*(GMW!$LP$2:$LP$60=D$4)*(GMW!$LR$2:$LR$60=D$1),0),$C72-1966)</f>
        <v>315039</v>
      </c>
      <c r="E72" s="4" cm="1">
        <f t="array" ref="E72">INDEX(GMW!$A$2:$LR$60,MATCH(1,(GMW!$LQ$2:$LQ$60=E$3)*(GMW!$LP$2:$LP$60=E$4)*(GMW!$LR$2:$LR$60=E$1),0),$C72-1966)</f>
        <v>315039</v>
      </c>
      <c r="F72" s="4" cm="1">
        <f t="array" ref="F72">INDEX(GMW!$A$2:$LR$60,MATCH(1,(GMW!$LQ$2:$LQ$60=F$3)*(GMW!$LP$2:$LP$60=F$4)*(GMW!$LR$2:$LR$60=F$1),0),$C72-1966)</f>
        <v>315039</v>
      </c>
      <c r="G72" s="4" cm="1">
        <f t="array" ref="G72">INDEX(GMW!$A$2:$LR$60,MATCH(1,(GMW!$LQ$2:$LQ$60=G$3)*(GMW!$LP$2:$LP$60=G$4)*(GMW!$LR$2:$LR$60=G$1),0),$C72-1966)</f>
        <v>315039</v>
      </c>
      <c r="H72" s="4" cm="1">
        <f t="array" ref="H72">INDEX(GMW!$A$2:$LR$60,MATCH(1,(GMW!$LQ$2:$LQ$60=H$3)*(GMW!$LP$2:$LP$60=H$4)*(GMW!$LR$2:$LR$60=H$1),0),$C72-1966)</f>
        <v>315039</v>
      </c>
      <c r="I72" s="4" cm="1">
        <f t="array" ref="I72">INDEX(GMW!$A$2:$LR$60,MATCH(1,(GMW!$LQ$2:$LQ$60=I$3)*(GMW!$LP$2:$LP$60=I$4)*(GMW!$LR$2:$LR$60=I$1),0),$C72-1966)</f>
        <v>315039</v>
      </c>
      <c r="J72" s="4" cm="1">
        <f t="array" ref="J72">INDEX(GMW!$A$2:$LR$60,MATCH(1,(GMW!$LQ$2:$LQ$60=J$3)*(GMW!$LP$2:$LP$60=J$4)*(GMW!$LR$2:$LR$60=J$1),0),$C72-1966)</f>
        <v>315039</v>
      </c>
      <c r="K72" s="4" cm="1">
        <f t="array" ref="K72">INDEX(GMW!$A$2:$LR$60,MATCH(1,(GMW!$LQ$2:$LQ$60=K$3)*(GMW!$LP$2:$LP$60=K$4)*(GMW!$LR$2:$LR$60=K$1),0),$C72-1966)</f>
        <v>315039</v>
      </c>
      <c r="L72" s="4" cm="1">
        <f t="array" ref="L72">INDEX(GMW!$A$2:$LR$60,MATCH(1,(GMW!$LQ$2:$LQ$60=L$3)*(GMW!$LP$2:$LP$60=L$4)*(GMW!$LR$2:$LR$60=L$1),0),$C72-1966)</f>
        <v>315039</v>
      </c>
      <c r="M72" s="4" cm="1">
        <f t="array" ref="M72">INDEX(GMW!$A$2:$LR$60,MATCH(1,(GMW!$LQ$2:$LQ$60=M$3)*(GMW!$LP$2:$LP$60=M$4)*(GMW!$LR$2:$LR$60=M$1),0),$C72-1966)</f>
        <v>315039</v>
      </c>
      <c r="N72" s="4" cm="1">
        <f t="array" ref="N72">INDEX(GMW!$A$2:$LR$60,MATCH(1,(GMW!$LQ$2:$LQ$60=N$3)*(GMW!$LP$2:$LP$60=N$4)*(GMW!$LR$2:$LR$60=N$1),0),$C72-1966)</f>
        <v>315039</v>
      </c>
      <c r="O72" s="4" cm="1">
        <f t="array" ref="O72">INDEX(GMW!$A$2:$LR$60,MATCH(1,(GMW!$LQ$2:$LQ$60=O$3)*(GMW!$LP$2:$LP$60=O$4)*(GMW!$LR$2:$LR$60=O$1),0),$C72-1966)</f>
        <v>315039</v>
      </c>
      <c r="P72" s="4" cm="1">
        <f t="array" ref="P72">INDEX(GMW!$A$2:$LR$60,MATCH(1,(GMW!$LQ$2:$LQ$60=P$3)*(GMW!$LP$2:$LP$60=P$4)*(GMW!$LR$2:$LR$60=P$1),0),$C72-1966)</f>
        <v>315039</v>
      </c>
      <c r="Q72" s="4" cm="1">
        <f t="array" ref="Q72">INDEX(GMW!$A$2:$LR$60,MATCH(1,(GMW!$LQ$2:$LQ$60=Q$3)*(GMW!$LP$2:$LP$60=Q$4)*(GMW!$LR$2:$LR$60=Q$1),0),$C72-1966)</f>
        <v>315039</v>
      </c>
      <c r="R72" s="4" cm="1">
        <f t="array" ref="R72">INDEX(GMW!$A$2:$LR$60,MATCH(1,(GMW!$LQ$2:$LQ$60=R$3)*(GMW!$LP$2:$LP$60=R$4)*(GMW!$LR$2:$LR$60=R$1),0),$C72-1966)</f>
        <v>315039</v>
      </c>
      <c r="S72" s="4" cm="1">
        <f t="array" ref="S72">INDEX(GMW!$A$2:$LR$60,MATCH(1,(GMW!$LQ$2:$LQ$60=S$3)*(GMW!$LP$2:$LP$60=S$4)*(GMW!$LR$2:$LR$60=S$1),0),$C72-1966)</f>
        <v>315039</v>
      </c>
      <c r="T72" s="4" cm="1">
        <f t="array" ref="T72">INDEX(GMW!$A$2:$LR$60,MATCH(1,(GMW!$LQ$2:$LQ$60=T$3)*(GMW!$LP$2:$LP$60=T$4)*(GMW!$LR$2:$LR$60=T$1),0),$C72-1966)</f>
        <v>315039</v>
      </c>
      <c r="U72" s="4" cm="1">
        <f t="array" ref="U72">INDEX(GMW!$A$2:$LR$60,MATCH(1,(GMW!$LQ$2:$LQ$60=U$3)*(GMW!$LP$2:$LP$60=U$4)*(GMW!$LR$2:$LR$60=U$1),0),$C72-1966)</f>
        <v>155.5334</v>
      </c>
      <c r="V72" s="4" cm="1">
        <f t="array" ref="V72">INDEX(GMW!$A$2:$LR$60,MATCH(1,(GMW!$LQ$2:$LQ$60=V$3)*(GMW!$LP$2:$LP$60=V$4)*(GMW!$LR$2:$LR$60=V$1),0),$C72-1966)</f>
        <v>52.133339999999997</v>
      </c>
      <c r="W72" s="4" cm="1">
        <f t="array" ref="W72">INDEX(GMW!$A$2:$LR$60,MATCH(1,(GMW!$LQ$2:$LQ$60=W$3)*(GMW!$LP$2:$LP$60=W$4)*(GMW!$LR$2:$LR$60=W$1),0),$C72-1966)</f>
        <v>43.1</v>
      </c>
      <c r="X72" s="4" cm="1">
        <f t="array" ref="X72">INDEX(GMW!$A$2:$LR$60,MATCH(1,(GMW!$LQ$2:$LQ$60=X$3)*(GMW!$LP$2:$LP$60=X$4)*(GMW!$LR$2:$LR$60=X$1),0),$C72-1966)</f>
        <v>33.966670000000001</v>
      </c>
      <c r="Y72" s="4" cm="1">
        <f t="array" ref="Y72">INDEX(GMW!$A$2:$LR$60,MATCH(1,(GMW!$LQ$2:$LQ$60=Y$3)*(GMW!$LP$2:$LP$60=Y$4)*(GMW!$LR$2:$LR$60=Y$1),0),$C72-1966)</f>
        <v>31.633330000000001</v>
      </c>
      <c r="Z72" s="4" cm="1">
        <f t="array" ref="Z72">INDEX(GMW!$A$2:$LR$60,MATCH(1,(GMW!$LQ$2:$LQ$60=Z$3)*(GMW!$LP$2:$LP$60=Z$4)*(GMW!$LR$2:$LR$60=Z$1),0),$C72-1966)</f>
        <v>57.1</v>
      </c>
      <c r="AA72" s="4" cm="1">
        <f t="array" ref="AA72">INDEX(GMW!$A$2:$LR$60,MATCH(1,(GMW!$LQ$2:$LQ$60=AA$3)*(GMW!$LP$2:$LP$60=AA$4)*(GMW!$LR$2:$LR$60=AA$1),0),$C72-1966)</f>
        <v>178428</v>
      </c>
      <c r="AB72" s="4" cm="1">
        <f t="array" ref="AB72">INDEX(GMW!$A$2:$LR$60,MATCH(1,(GMW!$LQ$2:$LQ$60=AB$3)*(GMW!$LP$2:$LP$60=AB$4)*(GMW!$LR$2:$LR$60=AB$1),0),$C72-1966)</f>
        <v>66073</v>
      </c>
      <c r="AC72" s="4" cm="1">
        <f t="array" ref="AC72">INDEX(GMW!$A$2:$LR$60,MATCH(1,(GMW!$LQ$2:$LQ$60=AC$3)*(GMW!$LP$2:$LP$60=AC$4)*(GMW!$LR$2:$LR$60=AC$1),0),$C72-1966)</f>
        <v>60355</v>
      </c>
      <c r="AD72" s="4" cm="1">
        <f t="array" ref="AD72">INDEX(GMW!$A$2:$LR$60,MATCH(1,(GMW!$LQ$2:$LQ$60=AD$3)*(GMW!$LP$2:$LP$60=AD$4)*(GMW!$LR$2:$LR$60=AD$1),0),$C72-1966)</f>
        <v>52396</v>
      </c>
      <c r="AE72" s="4" cm="1">
        <f t="array" ref="AE72">INDEX(GMW!$A$2:$LR$60,MATCH(1,(GMW!$LQ$2:$LQ$60=AE$3)*(GMW!$LP$2:$LP$60=AE$4)*(GMW!$LR$2:$LR$60=AE$1),0),$C72-1966)</f>
        <v>53221</v>
      </c>
      <c r="AF72" s="4" cm="1">
        <f t="array" ref="AF72">INDEX(GMW!$A$2:$LR$60,MATCH(1,(GMW!$LQ$2:$LQ$60=AF$3)*(GMW!$LP$2:$LP$60=AF$4)*(GMW!$LR$2:$LR$60=AF$1),0),$C72-1966)</f>
        <v>1E-3</v>
      </c>
      <c r="AG72" s="4" cm="1">
        <f t="array" ref="AG72">INDEX(GMW!$A$2:$LR$60,MATCH(1,(GMW!$LQ$2:$LQ$60=AG$3)*(GMW!$LP$2:$LP$60=AG$4)*(GMW!$LR$2:$LR$60=AG$1),0),$C72-1966)</f>
        <v>1E-3</v>
      </c>
    </row>
    <row r="73" spans="1:33" x14ac:dyDescent="0.25">
      <c r="B73" s="4">
        <f t="shared" si="1"/>
        <v>1989</v>
      </c>
      <c r="C73" s="4">
        <f t="shared" si="2"/>
        <v>2039</v>
      </c>
      <c r="D73" s="4" cm="1">
        <f t="array" ref="D73">INDEX(GMW!$A$2:$LR$60,MATCH(1,(GMW!$LQ$2:$LQ$60=D$3)*(GMW!$LP$2:$LP$60=D$4)*(GMW!$LR$2:$LR$60=D$1),0),$C73-1966)</f>
        <v>315554</v>
      </c>
      <c r="E73" s="4" cm="1">
        <f t="array" ref="E73">INDEX(GMW!$A$2:$LR$60,MATCH(1,(GMW!$LQ$2:$LQ$60=E$3)*(GMW!$LP$2:$LP$60=E$4)*(GMW!$LR$2:$LR$60=E$1),0),$C73-1966)</f>
        <v>315554</v>
      </c>
      <c r="F73" s="4" cm="1">
        <f t="array" ref="F73">INDEX(GMW!$A$2:$LR$60,MATCH(1,(GMW!$LQ$2:$LQ$60=F$3)*(GMW!$LP$2:$LP$60=F$4)*(GMW!$LR$2:$LR$60=F$1),0),$C73-1966)</f>
        <v>315554</v>
      </c>
      <c r="G73" s="4" cm="1">
        <f t="array" ref="G73">INDEX(GMW!$A$2:$LR$60,MATCH(1,(GMW!$LQ$2:$LQ$60=G$3)*(GMW!$LP$2:$LP$60=G$4)*(GMW!$LR$2:$LR$60=G$1),0),$C73-1966)</f>
        <v>315554</v>
      </c>
      <c r="H73" s="4" cm="1">
        <f t="array" ref="H73">INDEX(GMW!$A$2:$LR$60,MATCH(1,(GMW!$LQ$2:$LQ$60=H$3)*(GMW!$LP$2:$LP$60=H$4)*(GMW!$LR$2:$LR$60=H$1),0),$C73-1966)</f>
        <v>315554</v>
      </c>
      <c r="I73" s="4" cm="1">
        <f t="array" ref="I73">INDEX(GMW!$A$2:$LR$60,MATCH(1,(GMW!$LQ$2:$LQ$60=I$3)*(GMW!$LP$2:$LP$60=I$4)*(GMW!$LR$2:$LR$60=I$1),0),$C73-1966)</f>
        <v>315554</v>
      </c>
      <c r="J73" s="4" cm="1">
        <f t="array" ref="J73">INDEX(GMW!$A$2:$LR$60,MATCH(1,(GMW!$LQ$2:$LQ$60=J$3)*(GMW!$LP$2:$LP$60=J$4)*(GMW!$LR$2:$LR$60=J$1),0),$C73-1966)</f>
        <v>315554</v>
      </c>
      <c r="K73" s="4" cm="1">
        <f t="array" ref="K73">INDEX(GMW!$A$2:$LR$60,MATCH(1,(GMW!$LQ$2:$LQ$60=K$3)*(GMW!$LP$2:$LP$60=K$4)*(GMW!$LR$2:$LR$60=K$1),0),$C73-1966)</f>
        <v>315554</v>
      </c>
      <c r="L73" s="4" cm="1">
        <f t="array" ref="L73">INDEX(GMW!$A$2:$LR$60,MATCH(1,(GMW!$LQ$2:$LQ$60=L$3)*(GMW!$LP$2:$LP$60=L$4)*(GMW!$LR$2:$LR$60=L$1),0),$C73-1966)</f>
        <v>315554</v>
      </c>
      <c r="M73" s="4" cm="1">
        <f t="array" ref="M73">INDEX(GMW!$A$2:$LR$60,MATCH(1,(GMW!$LQ$2:$LQ$60=M$3)*(GMW!$LP$2:$LP$60=M$4)*(GMW!$LR$2:$LR$60=M$1),0),$C73-1966)</f>
        <v>315554</v>
      </c>
      <c r="N73" s="4" cm="1">
        <f t="array" ref="N73">INDEX(GMW!$A$2:$LR$60,MATCH(1,(GMW!$LQ$2:$LQ$60=N$3)*(GMW!$LP$2:$LP$60=N$4)*(GMW!$LR$2:$LR$60=N$1),0),$C73-1966)</f>
        <v>315554</v>
      </c>
      <c r="O73" s="4" cm="1">
        <f t="array" ref="O73">INDEX(GMW!$A$2:$LR$60,MATCH(1,(GMW!$LQ$2:$LQ$60=O$3)*(GMW!$LP$2:$LP$60=O$4)*(GMW!$LR$2:$LR$60=O$1),0),$C73-1966)</f>
        <v>315554</v>
      </c>
      <c r="P73" s="4" cm="1">
        <f t="array" ref="P73">INDEX(GMW!$A$2:$LR$60,MATCH(1,(GMW!$LQ$2:$LQ$60=P$3)*(GMW!$LP$2:$LP$60=P$4)*(GMW!$LR$2:$LR$60=P$1),0),$C73-1966)</f>
        <v>315554</v>
      </c>
      <c r="Q73" s="4" cm="1">
        <f t="array" ref="Q73">INDEX(GMW!$A$2:$LR$60,MATCH(1,(GMW!$LQ$2:$LQ$60=Q$3)*(GMW!$LP$2:$LP$60=Q$4)*(GMW!$LR$2:$LR$60=Q$1),0),$C73-1966)</f>
        <v>315554</v>
      </c>
      <c r="R73" s="4" cm="1">
        <f t="array" ref="R73">INDEX(GMW!$A$2:$LR$60,MATCH(1,(GMW!$LQ$2:$LQ$60=R$3)*(GMW!$LP$2:$LP$60=R$4)*(GMW!$LR$2:$LR$60=R$1),0),$C73-1966)</f>
        <v>315554</v>
      </c>
      <c r="S73" s="4" cm="1">
        <f t="array" ref="S73">INDEX(GMW!$A$2:$LR$60,MATCH(1,(GMW!$LQ$2:$LQ$60=S$3)*(GMW!$LP$2:$LP$60=S$4)*(GMW!$LR$2:$LR$60=S$1),0),$C73-1966)</f>
        <v>315554</v>
      </c>
      <c r="T73" s="4" cm="1">
        <f t="array" ref="T73">INDEX(GMW!$A$2:$LR$60,MATCH(1,(GMW!$LQ$2:$LQ$60=T$3)*(GMW!$LP$2:$LP$60=T$4)*(GMW!$LR$2:$LR$60=T$1),0),$C73-1966)</f>
        <v>315554</v>
      </c>
      <c r="U73" s="4" cm="1">
        <f t="array" ref="U73">INDEX(GMW!$A$2:$LR$60,MATCH(1,(GMW!$LQ$2:$LQ$60=U$3)*(GMW!$LP$2:$LP$60=U$4)*(GMW!$LR$2:$LR$60=U$1),0),$C73-1966)</f>
        <v>160.64189999999999</v>
      </c>
      <c r="V73" s="4" cm="1">
        <f t="array" ref="V73">INDEX(GMW!$A$2:$LR$60,MATCH(1,(GMW!$LQ$2:$LQ$60=V$3)*(GMW!$LP$2:$LP$60=V$4)*(GMW!$LR$2:$LR$60=V$1),0),$C73-1966)</f>
        <v>52.466670000000001</v>
      </c>
      <c r="W73" s="4" cm="1">
        <f t="array" ref="W73">INDEX(GMW!$A$2:$LR$60,MATCH(1,(GMW!$LQ$2:$LQ$60=W$3)*(GMW!$LP$2:$LP$60=W$4)*(GMW!$LR$2:$LR$60=W$1),0),$C73-1966)</f>
        <v>43.266669999999998</v>
      </c>
      <c r="X73" s="4" cm="1">
        <f t="array" ref="X73">INDEX(GMW!$A$2:$LR$60,MATCH(1,(GMW!$LQ$2:$LQ$60=X$3)*(GMW!$LP$2:$LP$60=X$4)*(GMW!$LR$2:$LR$60=X$1),0),$C73-1966)</f>
        <v>33.266669999999998</v>
      </c>
      <c r="Y73" s="4" cm="1">
        <f t="array" ref="Y73">INDEX(GMW!$A$2:$LR$60,MATCH(1,(GMW!$LQ$2:$LQ$60=Y$3)*(GMW!$LP$2:$LP$60=Y$4)*(GMW!$LR$2:$LR$60=Y$1),0),$C73-1966)</f>
        <v>32.299999999999997</v>
      </c>
      <c r="Z73" s="4" cm="1">
        <f t="array" ref="Z73">INDEX(GMW!$A$2:$LR$60,MATCH(1,(GMW!$LQ$2:$LQ$60=Z$3)*(GMW!$LP$2:$LP$60=Z$4)*(GMW!$LR$2:$LR$60=Z$1),0),$C73-1966)</f>
        <v>57.566670000000002</v>
      </c>
      <c r="AA73" s="4" cm="1">
        <f t="array" ref="AA73">INDEX(GMW!$A$2:$LR$60,MATCH(1,(GMW!$LQ$2:$LQ$60=AA$3)*(GMW!$LP$2:$LP$60=AA$4)*(GMW!$LR$2:$LR$60=AA$1),0),$C73-1966)</f>
        <v>178277</v>
      </c>
      <c r="AB73" s="4" cm="1">
        <f t="array" ref="AB73">INDEX(GMW!$A$2:$LR$60,MATCH(1,(GMW!$LQ$2:$LQ$60=AB$3)*(GMW!$LP$2:$LP$60=AB$4)*(GMW!$LR$2:$LR$60=AB$1),0),$C73-1966)</f>
        <v>66800</v>
      </c>
      <c r="AC73" s="4" cm="1">
        <f t="array" ref="AC73">INDEX(GMW!$A$2:$LR$60,MATCH(1,(GMW!$LQ$2:$LQ$60=AC$3)*(GMW!$LP$2:$LP$60=AC$4)*(GMW!$LR$2:$LR$60=AC$1),0),$C73-1966)</f>
        <v>61294</v>
      </c>
      <c r="AD73" s="4" cm="1">
        <f t="array" ref="AD73">INDEX(GMW!$A$2:$LR$60,MATCH(1,(GMW!$LQ$2:$LQ$60=AD$3)*(GMW!$LP$2:$LP$60=AD$4)*(GMW!$LR$2:$LR$60=AD$1),0),$C73-1966)</f>
        <v>53714</v>
      </c>
      <c r="AE73" s="4" cm="1">
        <f t="array" ref="AE73">INDEX(GMW!$A$2:$LR$60,MATCH(1,(GMW!$LQ$2:$LQ$60=AE$3)*(GMW!$LP$2:$LP$60=AE$4)*(GMW!$LR$2:$LR$60=AE$1),0),$C73-1966)</f>
        <v>54463</v>
      </c>
      <c r="AF73" s="4" cm="1">
        <f t="array" ref="AF73">INDEX(GMW!$A$2:$LR$60,MATCH(1,(GMW!$LQ$2:$LQ$60=AF$3)*(GMW!$LP$2:$LP$60=AF$4)*(GMW!$LR$2:$LR$60=AF$1),0),$C73-1966)</f>
        <v>1E-3</v>
      </c>
      <c r="AG73" s="4" cm="1">
        <f t="array" ref="AG73">INDEX(GMW!$A$2:$LR$60,MATCH(1,(GMW!$LQ$2:$LQ$60=AG$3)*(GMW!$LP$2:$LP$60=AG$4)*(GMW!$LR$2:$LR$60=AG$1),0),$C73-1966)</f>
        <v>1E-3</v>
      </c>
    </row>
    <row r="74" spans="1:33" x14ac:dyDescent="0.25">
      <c r="B74" s="4">
        <f t="shared" si="1"/>
        <v>1989</v>
      </c>
      <c r="C74" s="4">
        <f t="shared" si="2"/>
        <v>2040</v>
      </c>
      <c r="D74" s="4" cm="1">
        <f t="array" ref="D74">INDEX(GMW!$A$2:$LR$60,MATCH(1,(GMW!$LQ$2:$LQ$60=D$3)*(GMW!$LP$2:$LP$60=D$4)*(GMW!$LR$2:$LR$60=D$1),0),$C74-1966)</f>
        <v>315515</v>
      </c>
      <c r="E74" s="4" cm="1">
        <f t="array" ref="E74">INDEX(GMW!$A$2:$LR$60,MATCH(1,(GMW!$LQ$2:$LQ$60=E$3)*(GMW!$LP$2:$LP$60=E$4)*(GMW!$LR$2:$LR$60=E$1),0),$C74-1966)</f>
        <v>315515</v>
      </c>
      <c r="F74" s="4" cm="1">
        <f t="array" ref="F74">INDEX(GMW!$A$2:$LR$60,MATCH(1,(GMW!$LQ$2:$LQ$60=F$3)*(GMW!$LP$2:$LP$60=F$4)*(GMW!$LR$2:$LR$60=F$1),0),$C74-1966)</f>
        <v>315515</v>
      </c>
      <c r="G74" s="4" cm="1">
        <f t="array" ref="G74">INDEX(GMW!$A$2:$LR$60,MATCH(1,(GMW!$LQ$2:$LQ$60=G$3)*(GMW!$LP$2:$LP$60=G$4)*(GMW!$LR$2:$LR$60=G$1),0),$C74-1966)</f>
        <v>315515</v>
      </c>
      <c r="H74" s="4" cm="1">
        <f t="array" ref="H74">INDEX(GMW!$A$2:$LR$60,MATCH(1,(GMW!$LQ$2:$LQ$60=H$3)*(GMW!$LP$2:$LP$60=H$4)*(GMW!$LR$2:$LR$60=H$1),0),$C74-1966)</f>
        <v>315515</v>
      </c>
      <c r="I74" s="4" cm="1">
        <f t="array" ref="I74">INDEX(GMW!$A$2:$LR$60,MATCH(1,(GMW!$LQ$2:$LQ$60=I$3)*(GMW!$LP$2:$LP$60=I$4)*(GMW!$LR$2:$LR$60=I$1),0),$C74-1966)</f>
        <v>315515</v>
      </c>
      <c r="J74" s="4" cm="1">
        <f t="array" ref="J74">INDEX(GMW!$A$2:$LR$60,MATCH(1,(GMW!$LQ$2:$LQ$60=J$3)*(GMW!$LP$2:$LP$60=J$4)*(GMW!$LR$2:$LR$60=J$1),0),$C74-1966)</f>
        <v>315515</v>
      </c>
      <c r="K74" s="4" cm="1">
        <f t="array" ref="K74">INDEX(GMW!$A$2:$LR$60,MATCH(1,(GMW!$LQ$2:$LQ$60=K$3)*(GMW!$LP$2:$LP$60=K$4)*(GMW!$LR$2:$LR$60=K$1),0),$C74-1966)</f>
        <v>315515</v>
      </c>
      <c r="L74" s="4" cm="1">
        <f t="array" ref="L74">INDEX(GMW!$A$2:$LR$60,MATCH(1,(GMW!$LQ$2:$LQ$60=L$3)*(GMW!$LP$2:$LP$60=L$4)*(GMW!$LR$2:$LR$60=L$1),0),$C74-1966)</f>
        <v>315515</v>
      </c>
      <c r="M74" s="4" cm="1">
        <f t="array" ref="M74">INDEX(GMW!$A$2:$LR$60,MATCH(1,(GMW!$LQ$2:$LQ$60=M$3)*(GMW!$LP$2:$LP$60=M$4)*(GMW!$LR$2:$LR$60=M$1),0),$C74-1966)</f>
        <v>315515</v>
      </c>
      <c r="N74" s="4" cm="1">
        <f t="array" ref="N74">INDEX(GMW!$A$2:$LR$60,MATCH(1,(GMW!$LQ$2:$LQ$60=N$3)*(GMW!$LP$2:$LP$60=N$4)*(GMW!$LR$2:$LR$60=N$1),0),$C74-1966)</f>
        <v>315515</v>
      </c>
      <c r="O74" s="4" cm="1">
        <f t="array" ref="O74">INDEX(GMW!$A$2:$LR$60,MATCH(1,(GMW!$LQ$2:$LQ$60=O$3)*(GMW!$LP$2:$LP$60=O$4)*(GMW!$LR$2:$LR$60=O$1),0),$C74-1966)</f>
        <v>315515</v>
      </c>
      <c r="P74" s="4" cm="1">
        <f t="array" ref="P74">INDEX(GMW!$A$2:$LR$60,MATCH(1,(GMW!$LQ$2:$LQ$60=P$3)*(GMW!$LP$2:$LP$60=P$4)*(GMW!$LR$2:$LR$60=P$1),0),$C74-1966)</f>
        <v>315515</v>
      </c>
      <c r="Q74" s="4" cm="1">
        <f t="array" ref="Q74">INDEX(GMW!$A$2:$LR$60,MATCH(1,(GMW!$LQ$2:$LQ$60=Q$3)*(GMW!$LP$2:$LP$60=Q$4)*(GMW!$LR$2:$LR$60=Q$1),0),$C74-1966)</f>
        <v>315515</v>
      </c>
      <c r="R74" s="4" cm="1">
        <f t="array" ref="R74">INDEX(GMW!$A$2:$LR$60,MATCH(1,(GMW!$LQ$2:$LQ$60=R$3)*(GMW!$LP$2:$LP$60=R$4)*(GMW!$LR$2:$LR$60=R$1),0),$C74-1966)</f>
        <v>315515</v>
      </c>
      <c r="S74" s="4" cm="1">
        <f t="array" ref="S74">INDEX(GMW!$A$2:$LR$60,MATCH(1,(GMW!$LQ$2:$LQ$60=S$3)*(GMW!$LP$2:$LP$60=S$4)*(GMW!$LR$2:$LR$60=S$1),0),$C74-1966)</f>
        <v>315515</v>
      </c>
      <c r="T74" s="4" cm="1">
        <f t="array" ref="T74">INDEX(GMW!$A$2:$LR$60,MATCH(1,(GMW!$LQ$2:$LQ$60=T$3)*(GMW!$LP$2:$LP$60=T$4)*(GMW!$LR$2:$LR$60=T$1),0),$C74-1966)</f>
        <v>315515</v>
      </c>
      <c r="U74" s="4" cm="1">
        <f t="array" ref="U74">INDEX(GMW!$A$2:$LR$60,MATCH(1,(GMW!$LQ$2:$LQ$60=U$3)*(GMW!$LP$2:$LP$60=U$4)*(GMW!$LR$2:$LR$60=U$1),0),$C74-1966)</f>
        <v>165.39500000000001</v>
      </c>
      <c r="V74" s="4" cm="1">
        <f t="array" ref="V74">INDEX(GMW!$A$2:$LR$60,MATCH(1,(GMW!$LQ$2:$LQ$60=V$3)*(GMW!$LP$2:$LP$60=V$4)*(GMW!$LR$2:$LR$60=V$1),0),$C74-1966)</f>
        <v>53.266669999999998</v>
      </c>
      <c r="W74" s="4" cm="1">
        <f t="array" ref="W74">INDEX(GMW!$A$2:$LR$60,MATCH(1,(GMW!$LQ$2:$LQ$60=W$3)*(GMW!$LP$2:$LP$60=W$4)*(GMW!$LR$2:$LR$60=W$1),0),$C74-1966)</f>
        <v>44.266669999999998</v>
      </c>
      <c r="X74" s="4" cm="1">
        <f t="array" ref="X74">INDEX(GMW!$A$2:$LR$60,MATCH(1,(GMW!$LQ$2:$LQ$60=X$3)*(GMW!$LP$2:$LP$60=X$4)*(GMW!$LR$2:$LR$60=X$1),0),$C74-1966)</f>
        <v>33.166670000000003</v>
      </c>
      <c r="Y74" s="4" cm="1">
        <f t="array" ref="Y74">INDEX(GMW!$A$2:$LR$60,MATCH(1,(GMW!$LQ$2:$LQ$60=Y$3)*(GMW!$LP$2:$LP$60=Y$4)*(GMW!$LR$2:$LR$60=Y$1),0),$C74-1966)</f>
        <v>32.6</v>
      </c>
      <c r="Z74" s="4" cm="1">
        <f t="array" ref="Z74">INDEX(GMW!$A$2:$LR$60,MATCH(1,(GMW!$LQ$2:$LQ$60=Z$3)*(GMW!$LP$2:$LP$60=Z$4)*(GMW!$LR$2:$LR$60=Z$1),0),$C74-1966)</f>
        <v>58.433329999999998</v>
      </c>
      <c r="AA74" s="4" cm="1">
        <f t="array" ref="AA74">INDEX(GMW!$A$2:$LR$60,MATCH(1,(GMW!$LQ$2:$LQ$60=AA$3)*(GMW!$LP$2:$LP$60=AA$4)*(GMW!$LR$2:$LR$60=AA$1),0),$C74-1966)</f>
        <v>179012</v>
      </c>
      <c r="AB74" s="4" cm="1">
        <f t="array" ref="AB74">INDEX(GMW!$A$2:$LR$60,MATCH(1,(GMW!$LQ$2:$LQ$60=AB$3)*(GMW!$LP$2:$LP$60=AB$4)*(GMW!$LR$2:$LR$60=AB$1),0),$C74-1966)</f>
        <v>65488</v>
      </c>
      <c r="AC74" s="4" cm="1">
        <f t="array" ref="AC74">INDEX(GMW!$A$2:$LR$60,MATCH(1,(GMW!$LQ$2:$LQ$60=AC$3)*(GMW!$LP$2:$LP$60=AC$4)*(GMW!$LR$2:$LR$60=AC$1),0),$C74-1966)</f>
        <v>61014</v>
      </c>
      <c r="AD74" s="4" cm="1">
        <f t="array" ref="AD74">INDEX(GMW!$A$2:$LR$60,MATCH(1,(GMW!$LQ$2:$LQ$60=AD$3)*(GMW!$LP$2:$LP$60=AD$4)*(GMW!$LR$2:$LR$60=AD$1),0),$C74-1966)</f>
        <v>55182</v>
      </c>
      <c r="AE74" s="4" cm="1">
        <f t="array" ref="AE74">INDEX(GMW!$A$2:$LR$60,MATCH(1,(GMW!$LQ$2:$LQ$60=AE$3)*(GMW!$LP$2:$LP$60=AE$4)*(GMW!$LR$2:$LR$60=AE$1),0),$C74-1966)</f>
        <v>53591</v>
      </c>
      <c r="AF74" s="4" cm="1">
        <f t="array" ref="AF74">INDEX(GMW!$A$2:$LR$60,MATCH(1,(GMW!$LQ$2:$LQ$60=AF$3)*(GMW!$LP$2:$LP$60=AF$4)*(GMW!$LR$2:$LR$60=AF$1),0),$C74-1966)</f>
        <v>1E-3</v>
      </c>
      <c r="AG74" s="4" cm="1">
        <f t="array" ref="AG74">INDEX(GMW!$A$2:$LR$60,MATCH(1,(GMW!$LQ$2:$LQ$60=AG$3)*(GMW!$LP$2:$LP$60=AG$4)*(GMW!$LR$2:$LR$60=AG$1),0),$C74-1966)</f>
        <v>1E-3</v>
      </c>
    </row>
    <row r="75" spans="1:33" x14ac:dyDescent="0.25">
      <c r="A75" s="4">
        <v>1990</v>
      </c>
      <c r="B75" s="4">
        <f t="shared" si="1"/>
        <v>1990</v>
      </c>
      <c r="C75" s="4">
        <f t="shared" si="2"/>
        <v>2041</v>
      </c>
      <c r="D75" s="4" cm="1">
        <f t="array" ref="D75">INDEX(GMW!$A$2:$LR$60,MATCH(1,(GMW!$LQ$2:$LQ$60=D$3)*(GMW!$LP$2:$LP$60=D$4)*(GMW!$LR$2:$LR$60=D$1),0),$C75-1966)</f>
        <v>317117</v>
      </c>
      <c r="E75" s="4" cm="1">
        <f t="array" ref="E75">INDEX(GMW!$A$2:$LR$60,MATCH(1,(GMW!$LQ$2:$LQ$60=E$3)*(GMW!$LP$2:$LP$60=E$4)*(GMW!$LR$2:$LR$60=E$1),0),$C75-1966)</f>
        <v>317117</v>
      </c>
      <c r="F75" s="4" cm="1">
        <f t="array" ref="F75">INDEX(GMW!$A$2:$LR$60,MATCH(1,(GMW!$LQ$2:$LQ$60=F$3)*(GMW!$LP$2:$LP$60=F$4)*(GMW!$LR$2:$LR$60=F$1),0),$C75-1966)</f>
        <v>317117</v>
      </c>
      <c r="G75" s="4" cm="1">
        <f t="array" ref="G75">INDEX(GMW!$A$2:$LR$60,MATCH(1,(GMW!$LQ$2:$LQ$60=G$3)*(GMW!$LP$2:$LP$60=G$4)*(GMW!$LR$2:$LR$60=G$1),0),$C75-1966)</f>
        <v>317117</v>
      </c>
      <c r="H75" s="4" cm="1">
        <f t="array" ref="H75">INDEX(GMW!$A$2:$LR$60,MATCH(1,(GMW!$LQ$2:$LQ$60=H$3)*(GMW!$LP$2:$LP$60=H$4)*(GMW!$LR$2:$LR$60=H$1),0),$C75-1966)</f>
        <v>317117</v>
      </c>
      <c r="I75" s="4" cm="1">
        <f t="array" ref="I75">INDEX(GMW!$A$2:$LR$60,MATCH(1,(GMW!$LQ$2:$LQ$60=I$3)*(GMW!$LP$2:$LP$60=I$4)*(GMW!$LR$2:$LR$60=I$1),0),$C75-1966)</f>
        <v>317117</v>
      </c>
      <c r="J75" s="4" cm="1">
        <f t="array" ref="J75">INDEX(GMW!$A$2:$LR$60,MATCH(1,(GMW!$LQ$2:$LQ$60=J$3)*(GMW!$LP$2:$LP$60=J$4)*(GMW!$LR$2:$LR$60=J$1),0),$C75-1966)</f>
        <v>317117</v>
      </c>
      <c r="K75" s="4" cm="1">
        <f t="array" ref="K75">INDEX(GMW!$A$2:$LR$60,MATCH(1,(GMW!$LQ$2:$LQ$60=K$3)*(GMW!$LP$2:$LP$60=K$4)*(GMW!$LR$2:$LR$60=K$1),0),$C75-1966)</f>
        <v>317117</v>
      </c>
      <c r="L75" s="4" cm="1">
        <f t="array" ref="L75">INDEX(GMW!$A$2:$LR$60,MATCH(1,(GMW!$LQ$2:$LQ$60=L$3)*(GMW!$LP$2:$LP$60=L$4)*(GMW!$LR$2:$LR$60=L$1),0),$C75-1966)</f>
        <v>317117</v>
      </c>
      <c r="M75" s="4" cm="1">
        <f t="array" ref="M75">INDEX(GMW!$A$2:$LR$60,MATCH(1,(GMW!$LQ$2:$LQ$60=M$3)*(GMW!$LP$2:$LP$60=M$4)*(GMW!$LR$2:$LR$60=M$1),0),$C75-1966)</f>
        <v>317117</v>
      </c>
      <c r="N75" s="4" cm="1">
        <f t="array" ref="N75">INDEX(GMW!$A$2:$LR$60,MATCH(1,(GMW!$LQ$2:$LQ$60=N$3)*(GMW!$LP$2:$LP$60=N$4)*(GMW!$LR$2:$LR$60=N$1),0),$C75-1966)</f>
        <v>317117</v>
      </c>
      <c r="O75" s="4" cm="1">
        <f t="array" ref="O75">INDEX(GMW!$A$2:$LR$60,MATCH(1,(GMW!$LQ$2:$LQ$60=O$3)*(GMW!$LP$2:$LP$60=O$4)*(GMW!$LR$2:$LR$60=O$1),0),$C75-1966)</f>
        <v>317117</v>
      </c>
      <c r="P75" s="4" cm="1">
        <f t="array" ref="P75">INDEX(GMW!$A$2:$LR$60,MATCH(1,(GMW!$LQ$2:$LQ$60=P$3)*(GMW!$LP$2:$LP$60=P$4)*(GMW!$LR$2:$LR$60=P$1),0),$C75-1966)</f>
        <v>317117</v>
      </c>
      <c r="Q75" s="4" cm="1">
        <f t="array" ref="Q75">INDEX(GMW!$A$2:$LR$60,MATCH(1,(GMW!$LQ$2:$LQ$60=Q$3)*(GMW!$LP$2:$LP$60=Q$4)*(GMW!$LR$2:$LR$60=Q$1),0),$C75-1966)</f>
        <v>317117</v>
      </c>
      <c r="R75" s="4" cm="1">
        <f t="array" ref="R75">INDEX(GMW!$A$2:$LR$60,MATCH(1,(GMW!$LQ$2:$LQ$60=R$3)*(GMW!$LP$2:$LP$60=R$4)*(GMW!$LR$2:$LR$60=R$1),0),$C75-1966)</f>
        <v>317117</v>
      </c>
      <c r="S75" s="4" cm="1">
        <f t="array" ref="S75">INDEX(GMW!$A$2:$LR$60,MATCH(1,(GMW!$LQ$2:$LQ$60=S$3)*(GMW!$LP$2:$LP$60=S$4)*(GMW!$LR$2:$LR$60=S$1),0),$C75-1966)</f>
        <v>317117</v>
      </c>
      <c r="T75" s="4" cm="1">
        <f t="array" ref="T75">INDEX(GMW!$A$2:$LR$60,MATCH(1,(GMW!$LQ$2:$LQ$60=T$3)*(GMW!$LP$2:$LP$60=T$4)*(GMW!$LR$2:$LR$60=T$1),0),$C75-1966)</f>
        <v>317117</v>
      </c>
      <c r="U75" s="4" cm="1">
        <f t="array" ref="U75">INDEX(GMW!$A$2:$LR$60,MATCH(1,(GMW!$LQ$2:$LQ$60=U$3)*(GMW!$LP$2:$LP$60=U$4)*(GMW!$LR$2:$LR$60=U$1),0),$C75-1966)</f>
        <v>167.1534</v>
      </c>
      <c r="V75" s="4" cm="1">
        <f t="array" ref="V75">INDEX(GMW!$A$2:$LR$60,MATCH(1,(GMW!$LQ$2:$LQ$60=V$3)*(GMW!$LP$2:$LP$60=V$4)*(GMW!$LR$2:$LR$60=V$1),0),$C75-1966)</f>
        <v>53.933329999999998</v>
      </c>
      <c r="W75" s="4" cm="1">
        <f t="array" ref="W75">INDEX(GMW!$A$2:$LR$60,MATCH(1,(GMW!$LQ$2:$LQ$60=W$3)*(GMW!$LP$2:$LP$60=W$4)*(GMW!$LR$2:$LR$60=W$1),0),$C75-1966)</f>
        <v>45.333329999999997</v>
      </c>
      <c r="X75" s="4" cm="1">
        <f t="array" ref="X75">INDEX(GMW!$A$2:$LR$60,MATCH(1,(GMW!$LQ$2:$LQ$60=X$3)*(GMW!$LP$2:$LP$60=X$4)*(GMW!$LR$2:$LR$60=X$1),0),$C75-1966)</f>
        <v>33.433329999999998</v>
      </c>
      <c r="Y75" s="4" cm="1">
        <f t="array" ref="Y75">INDEX(GMW!$A$2:$LR$60,MATCH(1,(GMW!$LQ$2:$LQ$60=Y$3)*(GMW!$LP$2:$LP$60=Y$4)*(GMW!$LR$2:$LR$60=Y$1),0),$C75-1966)</f>
        <v>32.799999999999997</v>
      </c>
      <c r="Z75" s="4" cm="1">
        <f t="array" ref="Z75">INDEX(GMW!$A$2:$LR$60,MATCH(1,(GMW!$LQ$2:$LQ$60=Z$3)*(GMW!$LP$2:$LP$60=Z$4)*(GMW!$LR$2:$LR$60=Z$1),0),$C75-1966)</f>
        <v>58.866660000000003</v>
      </c>
      <c r="AA75" s="4" cm="1">
        <f t="array" ref="AA75">INDEX(GMW!$A$2:$LR$60,MATCH(1,(GMW!$LQ$2:$LQ$60=AA$3)*(GMW!$LP$2:$LP$60=AA$4)*(GMW!$LR$2:$LR$60=AA$1),0),$C75-1966)</f>
        <v>180832</v>
      </c>
      <c r="AB75" s="4" cm="1">
        <f t="array" ref="AB75">INDEX(GMW!$A$2:$LR$60,MATCH(1,(GMW!$LQ$2:$LQ$60=AB$3)*(GMW!$LP$2:$LP$60=AB$4)*(GMW!$LR$2:$LR$60=AB$1),0),$C75-1966)</f>
        <v>65910</v>
      </c>
      <c r="AC75" s="4" cm="1">
        <f t="array" ref="AC75">INDEX(GMW!$A$2:$LR$60,MATCH(1,(GMW!$LQ$2:$LQ$60=AC$3)*(GMW!$LP$2:$LP$60=AC$4)*(GMW!$LR$2:$LR$60=AC$1),0),$C75-1966)</f>
        <v>61555</v>
      </c>
      <c r="AD75" s="4" cm="1">
        <f t="array" ref="AD75">INDEX(GMW!$A$2:$LR$60,MATCH(1,(GMW!$LQ$2:$LQ$60=AD$3)*(GMW!$LP$2:$LP$60=AD$4)*(GMW!$LR$2:$LR$60=AD$1),0),$C75-1966)</f>
        <v>56416</v>
      </c>
      <c r="AE75" s="4" cm="1">
        <f t="array" ref="AE75">INDEX(GMW!$A$2:$LR$60,MATCH(1,(GMW!$LQ$2:$LQ$60=AE$3)*(GMW!$LP$2:$LP$60=AE$4)*(GMW!$LR$2:$LR$60=AE$1),0),$C75-1966)</f>
        <v>54926</v>
      </c>
      <c r="AF75" s="4" cm="1">
        <f t="array" ref="AF75">INDEX(GMW!$A$2:$LR$60,MATCH(1,(GMW!$LQ$2:$LQ$60=AF$3)*(GMW!$LP$2:$LP$60=AF$4)*(GMW!$LR$2:$LR$60=AF$1),0),$C75-1966)</f>
        <v>1E-3</v>
      </c>
      <c r="AG75" s="4" cm="1">
        <f t="array" ref="AG75">INDEX(GMW!$A$2:$LR$60,MATCH(1,(GMW!$LQ$2:$LQ$60=AG$3)*(GMW!$LP$2:$LP$60=AG$4)*(GMW!$LR$2:$LR$60=AG$1),0),$C75-1966)</f>
        <v>1E-3</v>
      </c>
    </row>
    <row r="76" spans="1:33" x14ac:dyDescent="0.25">
      <c r="B76" s="4">
        <f t="shared" ref="B76:B139" si="3">B72+1</f>
        <v>1990</v>
      </c>
      <c r="C76" s="4">
        <f t="shared" si="2"/>
        <v>2042</v>
      </c>
      <c r="D76" s="4" cm="1">
        <f t="array" ref="D76">INDEX(GMW!$A$2:$LR$60,MATCH(1,(GMW!$LQ$2:$LQ$60=D$3)*(GMW!$LP$2:$LP$60=D$4)*(GMW!$LR$2:$LR$60=D$1),0),$C76-1966)</f>
        <v>319239</v>
      </c>
      <c r="E76" s="4" cm="1">
        <f t="array" ref="E76">INDEX(GMW!$A$2:$LR$60,MATCH(1,(GMW!$LQ$2:$LQ$60=E$3)*(GMW!$LP$2:$LP$60=E$4)*(GMW!$LR$2:$LR$60=E$1),0),$C76-1966)</f>
        <v>319239</v>
      </c>
      <c r="F76" s="4" cm="1">
        <f t="array" ref="F76">INDEX(GMW!$A$2:$LR$60,MATCH(1,(GMW!$LQ$2:$LQ$60=F$3)*(GMW!$LP$2:$LP$60=F$4)*(GMW!$LR$2:$LR$60=F$1),0),$C76-1966)</f>
        <v>319239</v>
      </c>
      <c r="G76" s="4" cm="1">
        <f t="array" ref="G76">INDEX(GMW!$A$2:$LR$60,MATCH(1,(GMW!$LQ$2:$LQ$60=G$3)*(GMW!$LP$2:$LP$60=G$4)*(GMW!$LR$2:$LR$60=G$1),0),$C76-1966)</f>
        <v>319239</v>
      </c>
      <c r="H76" s="4" cm="1">
        <f t="array" ref="H76">INDEX(GMW!$A$2:$LR$60,MATCH(1,(GMW!$LQ$2:$LQ$60=H$3)*(GMW!$LP$2:$LP$60=H$4)*(GMW!$LR$2:$LR$60=H$1),0),$C76-1966)</f>
        <v>319239</v>
      </c>
      <c r="I76" s="4" cm="1">
        <f t="array" ref="I76">INDEX(GMW!$A$2:$LR$60,MATCH(1,(GMW!$LQ$2:$LQ$60=I$3)*(GMW!$LP$2:$LP$60=I$4)*(GMW!$LR$2:$LR$60=I$1),0),$C76-1966)</f>
        <v>319239</v>
      </c>
      <c r="J76" s="4" cm="1">
        <f t="array" ref="J76">INDEX(GMW!$A$2:$LR$60,MATCH(1,(GMW!$LQ$2:$LQ$60=J$3)*(GMW!$LP$2:$LP$60=J$4)*(GMW!$LR$2:$LR$60=J$1),0),$C76-1966)</f>
        <v>319239</v>
      </c>
      <c r="K76" s="4" cm="1">
        <f t="array" ref="K76">INDEX(GMW!$A$2:$LR$60,MATCH(1,(GMW!$LQ$2:$LQ$60=K$3)*(GMW!$LP$2:$LP$60=K$4)*(GMW!$LR$2:$LR$60=K$1),0),$C76-1966)</f>
        <v>319239</v>
      </c>
      <c r="L76" s="4" cm="1">
        <f t="array" ref="L76">INDEX(GMW!$A$2:$LR$60,MATCH(1,(GMW!$LQ$2:$LQ$60=L$3)*(GMW!$LP$2:$LP$60=L$4)*(GMW!$LR$2:$LR$60=L$1),0),$C76-1966)</f>
        <v>319239</v>
      </c>
      <c r="M76" s="4" cm="1">
        <f t="array" ref="M76">INDEX(GMW!$A$2:$LR$60,MATCH(1,(GMW!$LQ$2:$LQ$60=M$3)*(GMW!$LP$2:$LP$60=M$4)*(GMW!$LR$2:$LR$60=M$1),0),$C76-1966)</f>
        <v>319239</v>
      </c>
      <c r="N76" s="4" cm="1">
        <f t="array" ref="N76">INDEX(GMW!$A$2:$LR$60,MATCH(1,(GMW!$LQ$2:$LQ$60=N$3)*(GMW!$LP$2:$LP$60=N$4)*(GMW!$LR$2:$LR$60=N$1),0),$C76-1966)</f>
        <v>319239</v>
      </c>
      <c r="O76" s="4" cm="1">
        <f t="array" ref="O76">INDEX(GMW!$A$2:$LR$60,MATCH(1,(GMW!$LQ$2:$LQ$60=O$3)*(GMW!$LP$2:$LP$60=O$4)*(GMW!$LR$2:$LR$60=O$1),0),$C76-1966)</f>
        <v>319239</v>
      </c>
      <c r="P76" s="4" cm="1">
        <f t="array" ref="P76">INDEX(GMW!$A$2:$LR$60,MATCH(1,(GMW!$LQ$2:$LQ$60=P$3)*(GMW!$LP$2:$LP$60=P$4)*(GMW!$LR$2:$LR$60=P$1),0),$C76-1966)</f>
        <v>319239</v>
      </c>
      <c r="Q76" s="4" cm="1">
        <f t="array" ref="Q76">INDEX(GMW!$A$2:$LR$60,MATCH(1,(GMW!$LQ$2:$LQ$60=Q$3)*(GMW!$LP$2:$LP$60=Q$4)*(GMW!$LR$2:$LR$60=Q$1),0),$C76-1966)</f>
        <v>319239</v>
      </c>
      <c r="R76" s="4" cm="1">
        <f t="array" ref="R76">INDEX(GMW!$A$2:$LR$60,MATCH(1,(GMW!$LQ$2:$LQ$60=R$3)*(GMW!$LP$2:$LP$60=R$4)*(GMW!$LR$2:$LR$60=R$1),0),$C76-1966)</f>
        <v>319239</v>
      </c>
      <c r="S76" s="4" cm="1">
        <f t="array" ref="S76">INDEX(GMW!$A$2:$LR$60,MATCH(1,(GMW!$LQ$2:$LQ$60=S$3)*(GMW!$LP$2:$LP$60=S$4)*(GMW!$LR$2:$LR$60=S$1),0),$C76-1966)</f>
        <v>319239</v>
      </c>
      <c r="T76" s="4" cm="1">
        <f t="array" ref="T76">INDEX(GMW!$A$2:$LR$60,MATCH(1,(GMW!$LQ$2:$LQ$60=T$3)*(GMW!$LP$2:$LP$60=T$4)*(GMW!$LR$2:$LR$60=T$1),0),$C76-1966)</f>
        <v>319239</v>
      </c>
      <c r="U76" s="4" cm="1">
        <f t="array" ref="U76">INDEX(GMW!$A$2:$LR$60,MATCH(1,(GMW!$LQ$2:$LQ$60=U$3)*(GMW!$LP$2:$LP$60=U$4)*(GMW!$LR$2:$LR$60=U$1),0),$C76-1966)</f>
        <v>174.4332</v>
      </c>
      <c r="V76" s="4" cm="1">
        <f t="array" ref="V76">INDEX(GMW!$A$2:$LR$60,MATCH(1,(GMW!$LQ$2:$LQ$60=V$3)*(GMW!$LP$2:$LP$60=V$4)*(GMW!$LR$2:$LR$60=V$1),0),$C76-1966)</f>
        <v>55.6</v>
      </c>
      <c r="W76" s="4" cm="1">
        <f t="array" ref="W76">INDEX(GMW!$A$2:$LR$60,MATCH(1,(GMW!$LQ$2:$LQ$60=W$3)*(GMW!$LP$2:$LP$60=W$4)*(GMW!$LR$2:$LR$60=W$1),0),$C76-1966)</f>
        <v>46.766669999999998</v>
      </c>
      <c r="X76" s="4" cm="1">
        <f t="array" ref="X76">INDEX(GMW!$A$2:$LR$60,MATCH(1,(GMW!$LQ$2:$LQ$60=X$3)*(GMW!$LP$2:$LP$60=X$4)*(GMW!$LR$2:$LR$60=X$1),0),$C76-1966)</f>
        <v>35.666670000000003</v>
      </c>
      <c r="Y76" s="4" cm="1">
        <f t="array" ref="Y76">INDEX(GMW!$A$2:$LR$60,MATCH(1,(GMW!$LQ$2:$LQ$60=Y$3)*(GMW!$LP$2:$LP$60=Y$4)*(GMW!$LR$2:$LR$60=Y$1),0),$C76-1966)</f>
        <v>33.933329999999998</v>
      </c>
      <c r="Z76" s="4" cm="1">
        <f t="array" ref="Z76">INDEX(GMW!$A$2:$LR$60,MATCH(1,(GMW!$LQ$2:$LQ$60=Z$3)*(GMW!$LP$2:$LP$60=Z$4)*(GMW!$LR$2:$LR$60=Z$1),0),$C76-1966)</f>
        <v>60.6</v>
      </c>
      <c r="AA76" s="4" cm="1">
        <f t="array" ref="AA76">INDEX(GMW!$A$2:$LR$60,MATCH(1,(GMW!$LQ$2:$LQ$60=AA$3)*(GMW!$LP$2:$LP$60=AA$4)*(GMW!$LR$2:$LR$60=AA$1),0),$C76-1966)</f>
        <v>181430</v>
      </c>
      <c r="AB76" s="4" cm="1">
        <f t="array" ref="AB76">INDEX(GMW!$A$2:$LR$60,MATCH(1,(GMW!$LQ$2:$LQ$60=AB$3)*(GMW!$LP$2:$LP$60=AB$4)*(GMW!$LR$2:$LR$60=AB$1),0),$C76-1966)</f>
        <v>64970</v>
      </c>
      <c r="AC76" s="4" cm="1">
        <f t="array" ref="AC76">INDEX(GMW!$A$2:$LR$60,MATCH(1,(GMW!$LQ$2:$LQ$60=AC$3)*(GMW!$LP$2:$LP$60=AC$4)*(GMW!$LR$2:$LR$60=AC$1),0),$C76-1966)</f>
        <v>61782</v>
      </c>
      <c r="AD76" s="4" cm="1">
        <f t="array" ref="AD76">INDEX(GMW!$A$2:$LR$60,MATCH(1,(GMW!$LQ$2:$LQ$60=AD$3)*(GMW!$LP$2:$LP$60=AD$4)*(GMW!$LR$2:$LR$60=AD$1),0),$C76-1966)</f>
        <v>56289</v>
      </c>
      <c r="AE76" s="4" cm="1">
        <f t="array" ref="AE76">INDEX(GMW!$A$2:$LR$60,MATCH(1,(GMW!$LQ$2:$LQ$60=AE$3)*(GMW!$LP$2:$LP$60=AE$4)*(GMW!$LR$2:$LR$60=AE$1),0),$C76-1966)</f>
        <v>54779</v>
      </c>
      <c r="AF76" s="4" cm="1">
        <f t="array" ref="AF76">INDEX(GMW!$A$2:$LR$60,MATCH(1,(GMW!$LQ$2:$LQ$60=AF$3)*(GMW!$LP$2:$LP$60=AF$4)*(GMW!$LR$2:$LR$60=AF$1),0),$C76-1966)</f>
        <v>1E-3</v>
      </c>
      <c r="AG76" s="4" cm="1">
        <f t="array" ref="AG76">INDEX(GMW!$A$2:$LR$60,MATCH(1,(GMW!$LQ$2:$LQ$60=AG$3)*(GMW!$LP$2:$LP$60=AG$4)*(GMW!$LR$2:$LR$60=AG$1),0),$C76-1966)</f>
        <v>1E-3</v>
      </c>
    </row>
    <row r="77" spans="1:33" x14ac:dyDescent="0.25">
      <c r="B77" s="4">
        <f t="shared" si="3"/>
        <v>1990</v>
      </c>
      <c r="C77" s="4">
        <f t="shared" si="2"/>
        <v>2043</v>
      </c>
      <c r="D77" s="4" cm="1">
        <f t="array" ref="D77">INDEX(GMW!$A$2:$LR$60,MATCH(1,(GMW!$LQ$2:$LQ$60=D$3)*(GMW!$LP$2:$LP$60=D$4)*(GMW!$LR$2:$LR$60=D$1),0),$C77-1966)</f>
        <v>315744</v>
      </c>
      <c r="E77" s="4" cm="1">
        <f t="array" ref="E77">INDEX(GMW!$A$2:$LR$60,MATCH(1,(GMW!$LQ$2:$LQ$60=E$3)*(GMW!$LP$2:$LP$60=E$4)*(GMW!$LR$2:$LR$60=E$1),0),$C77-1966)</f>
        <v>315744</v>
      </c>
      <c r="F77" s="4" cm="1">
        <f t="array" ref="F77">INDEX(GMW!$A$2:$LR$60,MATCH(1,(GMW!$LQ$2:$LQ$60=F$3)*(GMW!$LP$2:$LP$60=F$4)*(GMW!$LR$2:$LR$60=F$1),0),$C77-1966)</f>
        <v>315744</v>
      </c>
      <c r="G77" s="4" cm="1">
        <f t="array" ref="G77">INDEX(GMW!$A$2:$LR$60,MATCH(1,(GMW!$LQ$2:$LQ$60=G$3)*(GMW!$LP$2:$LP$60=G$4)*(GMW!$LR$2:$LR$60=G$1),0),$C77-1966)</f>
        <v>315744</v>
      </c>
      <c r="H77" s="4" cm="1">
        <f t="array" ref="H77">INDEX(GMW!$A$2:$LR$60,MATCH(1,(GMW!$LQ$2:$LQ$60=H$3)*(GMW!$LP$2:$LP$60=H$4)*(GMW!$LR$2:$LR$60=H$1),0),$C77-1966)</f>
        <v>315744</v>
      </c>
      <c r="I77" s="4" cm="1">
        <f t="array" ref="I77">INDEX(GMW!$A$2:$LR$60,MATCH(1,(GMW!$LQ$2:$LQ$60=I$3)*(GMW!$LP$2:$LP$60=I$4)*(GMW!$LR$2:$LR$60=I$1),0),$C77-1966)</f>
        <v>315744</v>
      </c>
      <c r="J77" s="4" cm="1">
        <f t="array" ref="J77">INDEX(GMW!$A$2:$LR$60,MATCH(1,(GMW!$LQ$2:$LQ$60=J$3)*(GMW!$LP$2:$LP$60=J$4)*(GMW!$LR$2:$LR$60=J$1),0),$C77-1966)</f>
        <v>315744</v>
      </c>
      <c r="K77" s="4" cm="1">
        <f t="array" ref="K77">INDEX(GMW!$A$2:$LR$60,MATCH(1,(GMW!$LQ$2:$LQ$60=K$3)*(GMW!$LP$2:$LP$60=K$4)*(GMW!$LR$2:$LR$60=K$1),0),$C77-1966)</f>
        <v>315744</v>
      </c>
      <c r="L77" s="4" cm="1">
        <f t="array" ref="L77">INDEX(GMW!$A$2:$LR$60,MATCH(1,(GMW!$LQ$2:$LQ$60=L$3)*(GMW!$LP$2:$LP$60=L$4)*(GMW!$LR$2:$LR$60=L$1),0),$C77-1966)</f>
        <v>315744</v>
      </c>
      <c r="M77" s="4" cm="1">
        <f t="array" ref="M77">INDEX(GMW!$A$2:$LR$60,MATCH(1,(GMW!$LQ$2:$LQ$60=M$3)*(GMW!$LP$2:$LP$60=M$4)*(GMW!$LR$2:$LR$60=M$1),0),$C77-1966)</f>
        <v>315744</v>
      </c>
      <c r="N77" s="4" cm="1">
        <f t="array" ref="N77">INDEX(GMW!$A$2:$LR$60,MATCH(1,(GMW!$LQ$2:$LQ$60=N$3)*(GMW!$LP$2:$LP$60=N$4)*(GMW!$LR$2:$LR$60=N$1),0),$C77-1966)</f>
        <v>315744</v>
      </c>
      <c r="O77" s="4" cm="1">
        <f t="array" ref="O77">INDEX(GMW!$A$2:$LR$60,MATCH(1,(GMW!$LQ$2:$LQ$60=O$3)*(GMW!$LP$2:$LP$60=O$4)*(GMW!$LR$2:$LR$60=O$1),0),$C77-1966)</f>
        <v>315744</v>
      </c>
      <c r="P77" s="4" cm="1">
        <f t="array" ref="P77">INDEX(GMW!$A$2:$LR$60,MATCH(1,(GMW!$LQ$2:$LQ$60=P$3)*(GMW!$LP$2:$LP$60=P$4)*(GMW!$LR$2:$LR$60=P$1),0),$C77-1966)</f>
        <v>315744</v>
      </c>
      <c r="Q77" s="4" cm="1">
        <f t="array" ref="Q77">INDEX(GMW!$A$2:$LR$60,MATCH(1,(GMW!$LQ$2:$LQ$60=Q$3)*(GMW!$LP$2:$LP$60=Q$4)*(GMW!$LR$2:$LR$60=Q$1),0),$C77-1966)</f>
        <v>315744</v>
      </c>
      <c r="R77" s="4" cm="1">
        <f t="array" ref="R77">INDEX(GMW!$A$2:$LR$60,MATCH(1,(GMW!$LQ$2:$LQ$60=R$3)*(GMW!$LP$2:$LP$60=R$4)*(GMW!$LR$2:$LR$60=R$1),0),$C77-1966)</f>
        <v>315744</v>
      </c>
      <c r="S77" s="4" cm="1">
        <f t="array" ref="S77">INDEX(GMW!$A$2:$LR$60,MATCH(1,(GMW!$LQ$2:$LQ$60=S$3)*(GMW!$LP$2:$LP$60=S$4)*(GMW!$LR$2:$LR$60=S$1),0),$C77-1966)</f>
        <v>315744</v>
      </c>
      <c r="T77" s="4" cm="1">
        <f t="array" ref="T77">INDEX(GMW!$A$2:$LR$60,MATCH(1,(GMW!$LQ$2:$LQ$60=T$3)*(GMW!$LP$2:$LP$60=T$4)*(GMW!$LR$2:$LR$60=T$1),0),$C77-1966)</f>
        <v>315744</v>
      </c>
      <c r="U77" s="4" cm="1">
        <f t="array" ref="U77">INDEX(GMW!$A$2:$LR$60,MATCH(1,(GMW!$LQ$2:$LQ$60=U$3)*(GMW!$LP$2:$LP$60=U$4)*(GMW!$LR$2:$LR$60=U$1),0),$C77-1966)</f>
        <v>181.6447</v>
      </c>
      <c r="V77" s="4" cm="1">
        <f t="array" ref="V77">INDEX(GMW!$A$2:$LR$60,MATCH(1,(GMW!$LQ$2:$LQ$60=V$3)*(GMW!$LP$2:$LP$60=V$4)*(GMW!$LR$2:$LR$60=V$1),0),$C77-1966)</f>
        <v>56.4</v>
      </c>
      <c r="W77" s="4" cm="1">
        <f t="array" ref="W77">INDEX(GMW!$A$2:$LR$60,MATCH(1,(GMW!$LQ$2:$LQ$60=W$3)*(GMW!$LP$2:$LP$60=W$4)*(GMW!$LR$2:$LR$60=W$1),0),$C77-1966)</f>
        <v>46.966670000000001</v>
      </c>
      <c r="X77" s="4" cm="1">
        <f t="array" ref="X77">INDEX(GMW!$A$2:$LR$60,MATCH(1,(GMW!$LQ$2:$LQ$60=X$3)*(GMW!$LP$2:$LP$60=X$4)*(GMW!$LR$2:$LR$60=X$1),0),$C77-1966)</f>
        <v>38.033329999999999</v>
      </c>
      <c r="Y77" s="4" cm="1">
        <f t="array" ref="Y77">INDEX(GMW!$A$2:$LR$60,MATCH(1,(GMW!$LQ$2:$LQ$60=Y$3)*(GMW!$LP$2:$LP$60=Y$4)*(GMW!$LR$2:$LR$60=Y$1),0),$C77-1966)</f>
        <v>35.200000000000003</v>
      </c>
      <c r="Z77" s="4" cm="1">
        <f t="array" ref="Z77">INDEX(GMW!$A$2:$LR$60,MATCH(1,(GMW!$LQ$2:$LQ$60=Z$3)*(GMW!$LP$2:$LP$60=Z$4)*(GMW!$LR$2:$LR$60=Z$1),0),$C77-1966)</f>
        <v>61.366660000000003</v>
      </c>
      <c r="AA77" s="4" cm="1">
        <f t="array" ref="AA77">INDEX(GMW!$A$2:$LR$60,MATCH(1,(GMW!$LQ$2:$LQ$60=AA$3)*(GMW!$LP$2:$LP$60=AA$4)*(GMW!$LR$2:$LR$60=AA$1),0),$C77-1966)</f>
        <v>180289</v>
      </c>
      <c r="AB77" s="4" cm="1">
        <f t="array" ref="AB77">INDEX(GMW!$A$2:$LR$60,MATCH(1,(GMW!$LQ$2:$LQ$60=AB$3)*(GMW!$LP$2:$LP$60=AB$4)*(GMW!$LR$2:$LR$60=AB$1),0),$C77-1966)</f>
        <v>64376</v>
      </c>
      <c r="AC77" s="4" cm="1">
        <f t="array" ref="AC77">INDEX(GMW!$A$2:$LR$60,MATCH(1,(GMW!$LQ$2:$LQ$60=AC$3)*(GMW!$LP$2:$LP$60=AC$4)*(GMW!$LR$2:$LR$60=AC$1),0),$C77-1966)</f>
        <v>62278</v>
      </c>
      <c r="AD77" s="4" cm="1">
        <f t="array" ref="AD77">INDEX(GMW!$A$2:$LR$60,MATCH(1,(GMW!$LQ$2:$LQ$60=AD$3)*(GMW!$LP$2:$LP$60=AD$4)*(GMW!$LR$2:$LR$60=AD$1),0),$C77-1966)</f>
        <v>56222</v>
      </c>
      <c r="AE77" s="4" cm="1">
        <f t="array" ref="AE77">INDEX(GMW!$A$2:$LR$60,MATCH(1,(GMW!$LQ$2:$LQ$60=AE$3)*(GMW!$LP$2:$LP$60=AE$4)*(GMW!$LR$2:$LR$60=AE$1),0),$C77-1966)</f>
        <v>53850</v>
      </c>
      <c r="AF77" s="4" cm="1">
        <f t="array" ref="AF77">INDEX(GMW!$A$2:$LR$60,MATCH(1,(GMW!$LQ$2:$LQ$60=AF$3)*(GMW!$LP$2:$LP$60=AF$4)*(GMW!$LR$2:$LR$60=AF$1),0),$C77-1966)</f>
        <v>1E-3</v>
      </c>
      <c r="AG77" s="4" cm="1">
        <f t="array" ref="AG77">INDEX(GMW!$A$2:$LR$60,MATCH(1,(GMW!$LQ$2:$LQ$60=AG$3)*(GMW!$LP$2:$LP$60=AG$4)*(GMW!$LR$2:$LR$60=AG$1),0),$C77-1966)</f>
        <v>1E-3</v>
      </c>
    </row>
    <row r="78" spans="1:33" x14ac:dyDescent="0.25">
      <c r="B78" s="4">
        <f t="shared" si="3"/>
        <v>1990</v>
      </c>
      <c r="C78" s="4">
        <f t="shared" si="2"/>
        <v>2044</v>
      </c>
      <c r="D78" s="4" cm="1">
        <f t="array" ref="D78">INDEX(GMW!$A$2:$LR$60,MATCH(1,(GMW!$LQ$2:$LQ$60=D$3)*(GMW!$LP$2:$LP$60=D$4)*(GMW!$LR$2:$LR$60=D$1),0),$C78-1966)</f>
        <v>314148</v>
      </c>
      <c r="E78" s="4" cm="1">
        <f t="array" ref="E78">INDEX(GMW!$A$2:$LR$60,MATCH(1,(GMW!$LQ$2:$LQ$60=E$3)*(GMW!$LP$2:$LP$60=E$4)*(GMW!$LR$2:$LR$60=E$1),0),$C78-1966)</f>
        <v>314148</v>
      </c>
      <c r="F78" s="4" cm="1">
        <f t="array" ref="F78">INDEX(GMW!$A$2:$LR$60,MATCH(1,(GMW!$LQ$2:$LQ$60=F$3)*(GMW!$LP$2:$LP$60=F$4)*(GMW!$LR$2:$LR$60=F$1),0),$C78-1966)</f>
        <v>314148</v>
      </c>
      <c r="G78" s="4" cm="1">
        <f t="array" ref="G78">INDEX(GMW!$A$2:$LR$60,MATCH(1,(GMW!$LQ$2:$LQ$60=G$3)*(GMW!$LP$2:$LP$60=G$4)*(GMW!$LR$2:$LR$60=G$1),0),$C78-1966)</f>
        <v>314148</v>
      </c>
      <c r="H78" s="4" cm="1">
        <f t="array" ref="H78">INDEX(GMW!$A$2:$LR$60,MATCH(1,(GMW!$LQ$2:$LQ$60=H$3)*(GMW!$LP$2:$LP$60=H$4)*(GMW!$LR$2:$LR$60=H$1),0),$C78-1966)</f>
        <v>314148</v>
      </c>
      <c r="I78" s="4" cm="1">
        <f t="array" ref="I78">INDEX(GMW!$A$2:$LR$60,MATCH(1,(GMW!$LQ$2:$LQ$60=I$3)*(GMW!$LP$2:$LP$60=I$4)*(GMW!$LR$2:$LR$60=I$1),0),$C78-1966)</f>
        <v>314148</v>
      </c>
      <c r="J78" s="4" cm="1">
        <f t="array" ref="J78">INDEX(GMW!$A$2:$LR$60,MATCH(1,(GMW!$LQ$2:$LQ$60=J$3)*(GMW!$LP$2:$LP$60=J$4)*(GMW!$LR$2:$LR$60=J$1),0),$C78-1966)</f>
        <v>314148</v>
      </c>
      <c r="K78" s="4" cm="1">
        <f t="array" ref="K78">INDEX(GMW!$A$2:$LR$60,MATCH(1,(GMW!$LQ$2:$LQ$60=K$3)*(GMW!$LP$2:$LP$60=K$4)*(GMW!$LR$2:$LR$60=K$1),0),$C78-1966)</f>
        <v>314148</v>
      </c>
      <c r="L78" s="4" cm="1">
        <f t="array" ref="L78">INDEX(GMW!$A$2:$LR$60,MATCH(1,(GMW!$LQ$2:$LQ$60=L$3)*(GMW!$LP$2:$LP$60=L$4)*(GMW!$LR$2:$LR$60=L$1),0),$C78-1966)</f>
        <v>314148</v>
      </c>
      <c r="M78" s="4" cm="1">
        <f t="array" ref="M78">INDEX(GMW!$A$2:$LR$60,MATCH(1,(GMW!$LQ$2:$LQ$60=M$3)*(GMW!$LP$2:$LP$60=M$4)*(GMW!$LR$2:$LR$60=M$1),0),$C78-1966)</f>
        <v>314148</v>
      </c>
      <c r="N78" s="4" cm="1">
        <f t="array" ref="N78">INDEX(GMW!$A$2:$LR$60,MATCH(1,(GMW!$LQ$2:$LQ$60=N$3)*(GMW!$LP$2:$LP$60=N$4)*(GMW!$LR$2:$LR$60=N$1),0),$C78-1966)</f>
        <v>314148</v>
      </c>
      <c r="O78" s="4" cm="1">
        <f t="array" ref="O78">INDEX(GMW!$A$2:$LR$60,MATCH(1,(GMW!$LQ$2:$LQ$60=O$3)*(GMW!$LP$2:$LP$60=O$4)*(GMW!$LR$2:$LR$60=O$1),0),$C78-1966)</f>
        <v>314148</v>
      </c>
      <c r="P78" s="4" cm="1">
        <f t="array" ref="P78">INDEX(GMW!$A$2:$LR$60,MATCH(1,(GMW!$LQ$2:$LQ$60=P$3)*(GMW!$LP$2:$LP$60=P$4)*(GMW!$LR$2:$LR$60=P$1),0),$C78-1966)</f>
        <v>314148</v>
      </c>
      <c r="Q78" s="4" cm="1">
        <f t="array" ref="Q78">INDEX(GMW!$A$2:$LR$60,MATCH(1,(GMW!$LQ$2:$LQ$60=Q$3)*(GMW!$LP$2:$LP$60=Q$4)*(GMW!$LR$2:$LR$60=Q$1),0),$C78-1966)</f>
        <v>314148</v>
      </c>
      <c r="R78" s="4" cm="1">
        <f t="array" ref="R78">INDEX(GMW!$A$2:$LR$60,MATCH(1,(GMW!$LQ$2:$LQ$60=R$3)*(GMW!$LP$2:$LP$60=R$4)*(GMW!$LR$2:$LR$60=R$1),0),$C78-1966)</f>
        <v>314148</v>
      </c>
      <c r="S78" s="4" cm="1">
        <f t="array" ref="S78">INDEX(GMW!$A$2:$LR$60,MATCH(1,(GMW!$LQ$2:$LQ$60=S$3)*(GMW!$LP$2:$LP$60=S$4)*(GMW!$LR$2:$LR$60=S$1),0),$C78-1966)</f>
        <v>314148</v>
      </c>
      <c r="T78" s="4" cm="1">
        <f t="array" ref="T78">INDEX(GMW!$A$2:$LR$60,MATCH(1,(GMW!$LQ$2:$LQ$60=T$3)*(GMW!$LP$2:$LP$60=T$4)*(GMW!$LR$2:$LR$60=T$1),0),$C78-1966)</f>
        <v>314148</v>
      </c>
      <c r="U78" s="4" cm="1">
        <f t="array" ref="U78">INDEX(GMW!$A$2:$LR$60,MATCH(1,(GMW!$LQ$2:$LQ$60=U$3)*(GMW!$LP$2:$LP$60=U$4)*(GMW!$LR$2:$LR$60=U$1),0),$C78-1966)</f>
        <v>185.41390000000001</v>
      </c>
      <c r="V78" s="4" cm="1">
        <f t="array" ref="V78">INDEX(GMW!$A$2:$LR$60,MATCH(1,(GMW!$LQ$2:$LQ$60=V$3)*(GMW!$LP$2:$LP$60=V$4)*(GMW!$LR$2:$LR$60=V$1),0),$C78-1966)</f>
        <v>57.466670000000001</v>
      </c>
      <c r="W78" s="4" cm="1">
        <f t="array" ref="W78">INDEX(GMW!$A$2:$LR$60,MATCH(1,(GMW!$LQ$2:$LQ$60=W$3)*(GMW!$LP$2:$LP$60=W$4)*(GMW!$LR$2:$LR$60=W$1),0),$C78-1966)</f>
        <v>47.5</v>
      </c>
      <c r="X78" s="4" cm="1">
        <f t="array" ref="X78">INDEX(GMW!$A$2:$LR$60,MATCH(1,(GMW!$LQ$2:$LQ$60=X$3)*(GMW!$LP$2:$LP$60=X$4)*(GMW!$LR$2:$LR$60=X$1),0),$C78-1966)</f>
        <v>39.633339999999997</v>
      </c>
      <c r="Y78" s="4" cm="1">
        <f t="array" ref="Y78">INDEX(GMW!$A$2:$LR$60,MATCH(1,(GMW!$LQ$2:$LQ$60=Y$3)*(GMW!$LP$2:$LP$60=Y$4)*(GMW!$LR$2:$LR$60=Y$1),0),$C78-1966)</f>
        <v>36.066670000000002</v>
      </c>
      <c r="Z78" s="4" cm="1">
        <f t="array" ref="Z78">INDEX(GMW!$A$2:$LR$60,MATCH(1,(GMW!$LQ$2:$LQ$60=Z$3)*(GMW!$LP$2:$LP$60=Z$4)*(GMW!$LR$2:$LR$60=Z$1),0),$C78-1966)</f>
        <v>62.566670000000002</v>
      </c>
      <c r="AA78" s="4" cm="1">
        <f t="array" ref="AA78">INDEX(GMW!$A$2:$LR$60,MATCH(1,(GMW!$LQ$2:$LQ$60=AA$3)*(GMW!$LP$2:$LP$60=AA$4)*(GMW!$LR$2:$LR$60=AA$1),0),$C78-1966)</f>
        <v>180119</v>
      </c>
      <c r="AB78" s="4" cm="1">
        <f t="array" ref="AB78">INDEX(GMW!$A$2:$LR$60,MATCH(1,(GMW!$LQ$2:$LQ$60=AB$3)*(GMW!$LP$2:$LP$60=AB$4)*(GMW!$LR$2:$LR$60=AB$1),0),$C78-1966)</f>
        <v>63661</v>
      </c>
      <c r="AC78" s="4" cm="1">
        <f t="array" ref="AC78">INDEX(GMW!$A$2:$LR$60,MATCH(1,(GMW!$LQ$2:$LQ$60=AC$3)*(GMW!$LP$2:$LP$60=AC$4)*(GMW!$LR$2:$LR$60=AC$1),0),$C78-1966)</f>
        <v>62827</v>
      </c>
      <c r="AD78" s="4" cm="1">
        <f t="array" ref="AD78">INDEX(GMW!$A$2:$LR$60,MATCH(1,(GMW!$LQ$2:$LQ$60=AD$3)*(GMW!$LP$2:$LP$60=AD$4)*(GMW!$LR$2:$LR$60=AD$1),0),$C78-1966)</f>
        <v>56686</v>
      </c>
      <c r="AE78" s="4" cm="1">
        <f t="array" ref="AE78">INDEX(GMW!$A$2:$LR$60,MATCH(1,(GMW!$LQ$2:$LQ$60=AE$3)*(GMW!$LP$2:$LP$60=AE$4)*(GMW!$LR$2:$LR$60=AE$1),0),$C78-1966)</f>
        <v>52925</v>
      </c>
      <c r="AF78" s="4" cm="1">
        <f t="array" ref="AF78">INDEX(GMW!$A$2:$LR$60,MATCH(1,(GMW!$LQ$2:$LQ$60=AF$3)*(GMW!$LP$2:$LP$60=AF$4)*(GMW!$LR$2:$LR$60=AF$1),0),$C78-1966)</f>
        <v>1E-3</v>
      </c>
      <c r="AG78" s="4" cm="1">
        <f t="array" ref="AG78">INDEX(GMW!$A$2:$LR$60,MATCH(1,(GMW!$LQ$2:$LQ$60=AG$3)*(GMW!$LP$2:$LP$60=AG$4)*(GMW!$LR$2:$LR$60=AG$1),0),$C78-1966)</f>
        <v>1E-3</v>
      </c>
    </row>
    <row r="79" spans="1:33" x14ac:dyDescent="0.25">
      <c r="A79" s="4">
        <v>1991</v>
      </c>
      <c r="B79" s="4">
        <f t="shared" si="3"/>
        <v>1991</v>
      </c>
      <c r="C79" s="4">
        <f t="shared" si="2"/>
        <v>2045</v>
      </c>
      <c r="D79" s="4" cm="1">
        <f t="array" ref="D79">INDEX(GMW!$A$2:$LR$60,MATCH(1,(GMW!$LQ$2:$LQ$60=D$3)*(GMW!$LP$2:$LP$60=D$4)*(GMW!$LR$2:$LR$60=D$1),0),$C79-1966)</f>
        <v>312596</v>
      </c>
      <c r="E79" s="4" cm="1">
        <f t="array" ref="E79">INDEX(GMW!$A$2:$LR$60,MATCH(1,(GMW!$LQ$2:$LQ$60=E$3)*(GMW!$LP$2:$LP$60=E$4)*(GMW!$LR$2:$LR$60=E$1),0),$C79-1966)</f>
        <v>312596</v>
      </c>
      <c r="F79" s="4" cm="1">
        <f t="array" ref="F79">INDEX(GMW!$A$2:$LR$60,MATCH(1,(GMW!$LQ$2:$LQ$60=F$3)*(GMW!$LP$2:$LP$60=F$4)*(GMW!$LR$2:$LR$60=F$1),0),$C79-1966)</f>
        <v>312596</v>
      </c>
      <c r="G79" s="4" cm="1">
        <f t="array" ref="G79">INDEX(GMW!$A$2:$LR$60,MATCH(1,(GMW!$LQ$2:$LQ$60=G$3)*(GMW!$LP$2:$LP$60=G$4)*(GMW!$LR$2:$LR$60=G$1),0),$C79-1966)</f>
        <v>312596</v>
      </c>
      <c r="H79" s="4" cm="1">
        <f t="array" ref="H79">INDEX(GMW!$A$2:$LR$60,MATCH(1,(GMW!$LQ$2:$LQ$60=H$3)*(GMW!$LP$2:$LP$60=H$4)*(GMW!$LR$2:$LR$60=H$1),0),$C79-1966)</f>
        <v>312596</v>
      </c>
      <c r="I79" s="4" cm="1">
        <f t="array" ref="I79">INDEX(GMW!$A$2:$LR$60,MATCH(1,(GMW!$LQ$2:$LQ$60=I$3)*(GMW!$LP$2:$LP$60=I$4)*(GMW!$LR$2:$LR$60=I$1),0),$C79-1966)</f>
        <v>312596</v>
      </c>
      <c r="J79" s="4" cm="1">
        <f t="array" ref="J79">INDEX(GMW!$A$2:$LR$60,MATCH(1,(GMW!$LQ$2:$LQ$60=J$3)*(GMW!$LP$2:$LP$60=J$4)*(GMW!$LR$2:$LR$60=J$1),0),$C79-1966)</f>
        <v>312596</v>
      </c>
      <c r="K79" s="4" cm="1">
        <f t="array" ref="K79">INDEX(GMW!$A$2:$LR$60,MATCH(1,(GMW!$LQ$2:$LQ$60=K$3)*(GMW!$LP$2:$LP$60=K$4)*(GMW!$LR$2:$LR$60=K$1),0),$C79-1966)</f>
        <v>312596</v>
      </c>
      <c r="L79" s="4" cm="1">
        <f t="array" ref="L79">INDEX(GMW!$A$2:$LR$60,MATCH(1,(GMW!$LQ$2:$LQ$60=L$3)*(GMW!$LP$2:$LP$60=L$4)*(GMW!$LR$2:$LR$60=L$1),0),$C79-1966)</f>
        <v>312596</v>
      </c>
      <c r="M79" s="4" cm="1">
        <f t="array" ref="M79">INDEX(GMW!$A$2:$LR$60,MATCH(1,(GMW!$LQ$2:$LQ$60=M$3)*(GMW!$LP$2:$LP$60=M$4)*(GMW!$LR$2:$LR$60=M$1),0),$C79-1966)</f>
        <v>312596</v>
      </c>
      <c r="N79" s="4" cm="1">
        <f t="array" ref="N79">INDEX(GMW!$A$2:$LR$60,MATCH(1,(GMW!$LQ$2:$LQ$60=N$3)*(GMW!$LP$2:$LP$60=N$4)*(GMW!$LR$2:$LR$60=N$1),0),$C79-1966)</f>
        <v>312596</v>
      </c>
      <c r="O79" s="4" cm="1">
        <f t="array" ref="O79">INDEX(GMW!$A$2:$LR$60,MATCH(1,(GMW!$LQ$2:$LQ$60=O$3)*(GMW!$LP$2:$LP$60=O$4)*(GMW!$LR$2:$LR$60=O$1),0),$C79-1966)</f>
        <v>312596</v>
      </c>
      <c r="P79" s="4" cm="1">
        <f t="array" ref="P79">INDEX(GMW!$A$2:$LR$60,MATCH(1,(GMW!$LQ$2:$LQ$60=P$3)*(GMW!$LP$2:$LP$60=P$4)*(GMW!$LR$2:$LR$60=P$1),0),$C79-1966)</f>
        <v>312596</v>
      </c>
      <c r="Q79" s="4" cm="1">
        <f t="array" ref="Q79">INDEX(GMW!$A$2:$LR$60,MATCH(1,(GMW!$LQ$2:$LQ$60=Q$3)*(GMW!$LP$2:$LP$60=Q$4)*(GMW!$LR$2:$LR$60=Q$1),0),$C79-1966)</f>
        <v>312596</v>
      </c>
      <c r="R79" s="4" cm="1">
        <f t="array" ref="R79">INDEX(GMW!$A$2:$LR$60,MATCH(1,(GMW!$LQ$2:$LQ$60=R$3)*(GMW!$LP$2:$LP$60=R$4)*(GMW!$LR$2:$LR$60=R$1),0),$C79-1966)</f>
        <v>312596</v>
      </c>
      <c r="S79" s="4" cm="1">
        <f t="array" ref="S79">INDEX(GMW!$A$2:$LR$60,MATCH(1,(GMW!$LQ$2:$LQ$60=S$3)*(GMW!$LP$2:$LP$60=S$4)*(GMW!$LR$2:$LR$60=S$1),0),$C79-1966)</f>
        <v>312596</v>
      </c>
      <c r="T79" s="4" cm="1">
        <f t="array" ref="T79">INDEX(GMW!$A$2:$LR$60,MATCH(1,(GMW!$LQ$2:$LQ$60=T$3)*(GMW!$LP$2:$LP$60=T$4)*(GMW!$LR$2:$LR$60=T$1),0),$C79-1966)</f>
        <v>312596</v>
      </c>
      <c r="U79" s="4" cm="1">
        <f t="array" ref="U79">INDEX(GMW!$A$2:$LR$60,MATCH(1,(GMW!$LQ$2:$LQ$60=U$3)*(GMW!$LP$2:$LP$60=U$4)*(GMW!$LR$2:$LR$60=U$1),0),$C79-1966)</f>
        <v>187.09540000000001</v>
      </c>
      <c r="V79" s="4" cm="1">
        <f t="array" ref="V79">INDEX(GMW!$A$2:$LR$60,MATCH(1,(GMW!$LQ$2:$LQ$60=V$3)*(GMW!$LP$2:$LP$60=V$4)*(GMW!$LR$2:$LR$60=V$1),0),$C79-1966)</f>
        <v>57.666670000000003</v>
      </c>
      <c r="W79" s="4" cm="1">
        <f t="array" ref="W79">INDEX(GMW!$A$2:$LR$60,MATCH(1,(GMW!$LQ$2:$LQ$60=W$3)*(GMW!$LP$2:$LP$60=W$4)*(GMW!$LR$2:$LR$60=W$1),0),$C79-1966)</f>
        <v>48.466670000000001</v>
      </c>
      <c r="X79" s="4" cm="1">
        <f t="array" ref="X79">INDEX(GMW!$A$2:$LR$60,MATCH(1,(GMW!$LQ$2:$LQ$60=X$3)*(GMW!$LP$2:$LP$60=X$4)*(GMW!$LR$2:$LR$60=X$1),0),$C79-1966)</f>
        <v>36.200000000000003</v>
      </c>
      <c r="Y79" s="4" cm="1">
        <f t="array" ref="Y79">INDEX(GMW!$A$2:$LR$60,MATCH(1,(GMW!$LQ$2:$LQ$60=Y$3)*(GMW!$LP$2:$LP$60=Y$4)*(GMW!$LR$2:$LR$60=Y$1),0),$C79-1966)</f>
        <v>36.066670000000002</v>
      </c>
      <c r="Z79" s="4" cm="1">
        <f t="array" ref="Z79">INDEX(GMW!$A$2:$LR$60,MATCH(1,(GMW!$LQ$2:$LQ$60=Z$3)*(GMW!$LP$2:$LP$60=Z$4)*(GMW!$LR$2:$LR$60=Z$1),0),$C79-1966)</f>
        <v>62.866660000000003</v>
      </c>
      <c r="AA79" s="4" cm="1">
        <f t="array" ref="AA79">INDEX(GMW!$A$2:$LR$60,MATCH(1,(GMW!$LQ$2:$LQ$60=AA$3)*(GMW!$LP$2:$LP$60=AA$4)*(GMW!$LR$2:$LR$60=AA$1),0),$C79-1966)</f>
        <v>179890</v>
      </c>
      <c r="AB79" s="4" cm="1">
        <f t="array" ref="AB79">INDEX(GMW!$A$2:$LR$60,MATCH(1,(GMW!$LQ$2:$LQ$60=AB$3)*(GMW!$LP$2:$LP$60=AB$4)*(GMW!$LR$2:$LR$60=AB$1),0),$C79-1966)</f>
        <v>60760</v>
      </c>
      <c r="AC79" s="4" cm="1">
        <f t="array" ref="AC79">INDEX(GMW!$A$2:$LR$60,MATCH(1,(GMW!$LQ$2:$LQ$60=AC$3)*(GMW!$LP$2:$LP$60=AC$4)*(GMW!$LR$2:$LR$60=AC$1),0),$C79-1966)</f>
        <v>62996</v>
      </c>
      <c r="AD79" s="4" cm="1">
        <f t="array" ref="AD79">INDEX(GMW!$A$2:$LR$60,MATCH(1,(GMW!$LQ$2:$LQ$60=AD$3)*(GMW!$LP$2:$LP$60=AD$4)*(GMW!$LR$2:$LR$60=AD$1),0),$C79-1966)</f>
        <v>54536</v>
      </c>
      <c r="AE79" s="4" cm="1">
        <f t="array" ref="AE79">INDEX(GMW!$A$2:$LR$60,MATCH(1,(GMW!$LQ$2:$LQ$60=AE$3)*(GMW!$LP$2:$LP$60=AE$4)*(GMW!$LR$2:$LR$60=AE$1),0),$C79-1966)</f>
        <v>51167</v>
      </c>
      <c r="AF79" s="4" cm="1">
        <f t="array" ref="AF79">INDEX(GMW!$A$2:$LR$60,MATCH(1,(GMW!$LQ$2:$LQ$60=AF$3)*(GMW!$LP$2:$LP$60=AF$4)*(GMW!$LR$2:$LR$60=AF$1),0),$C79-1966)</f>
        <v>1E-3</v>
      </c>
      <c r="AG79" s="4" cm="1">
        <f t="array" ref="AG79">INDEX(GMW!$A$2:$LR$60,MATCH(1,(GMW!$LQ$2:$LQ$60=AG$3)*(GMW!$LP$2:$LP$60=AG$4)*(GMW!$LR$2:$LR$60=AG$1),0),$C79-1966)</f>
        <v>1E-3</v>
      </c>
    </row>
    <row r="80" spans="1:33" x14ac:dyDescent="0.25">
      <c r="B80" s="4">
        <f t="shared" si="3"/>
        <v>1991</v>
      </c>
      <c r="C80" s="4">
        <f t="shared" si="2"/>
        <v>2046</v>
      </c>
      <c r="D80" s="4" cm="1">
        <f t="array" ref="D80">INDEX(GMW!$A$2:$LR$60,MATCH(1,(GMW!$LQ$2:$LQ$60=D$3)*(GMW!$LP$2:$LP$60=D$4)*(GMW!$LR$2:$LR$60=D$1),0),$C80-1966)</f>
        <v>312235</v>
      </c>
      <c r="E80" s="4" cm="1">
        <f t="array" ref="E80">INDEX(GMW!$A$2:$LR$60,MATCH(1,(GMW!$LQ$2:$LQ$60=E$3)*(GMW!$LP$2:$LP$60=E$4)*(GMW!$LR$2:$LR$60=E$1),0),$C80-1966)</f>
        <v>312235</v>
      </c>
      <c r="F80" s="4" cm="1">
        <f t="array" ref="F80">INDEX(GMW!$A$2:$LR$60,MATCH(1,(GMW!$LQ$2:$LQ$60=F$3)*(GMW!$LP$2:$LP$60=F$4)*(GMW!$LR$2:$LR$60=F$1),0),$C80-1966)</f>
        <v>312235</v>
      </c>
      <c r="G80" s="4" cm="1">
        <f t="array" ref="G80">INDEX(GMW!$A$2:$LR$60,MATCH(1,(GMW!$LQ$2:$LQ$60=G$3)*(GMW!$LP$2:$LP$60=G$4)*(GMW!$LR$2:$LR$60=G$1),0),$C80-1966)</f>
        <v>312235</v>
      </c>
      <c r="H80" s="4" cm="1">
        <f t="array" ref="H80">INDEX(GMW!$A$2:$LR$60,MATCH(1,(GMW!$LQ$2:$LQ$60=H$3)*(GMW!$LP$2:$LP$60=H$4)*(GMW!$LR$2:$LR$60=H$1),0),$C80-1966)</f>
        <v>312235</v>
      </c>
      <c r="I80" s="4" cm="1">
        <f t="array" ref="I80">INDEX(GMW!$A$2:$LR$60,MATCH(1,(GMW!$LQ$2:$LQ$60=I$3)*(GMW!$LP$2:$LP$60=I$4)*(GMW!$LR$2:$LR$60=I$1),0),$C80-1966)</f>
        <v>312235</v>
      </c>
      <c r="J80" s="4" cm="1">
        <f t="array" ref="J80">INDEX(GMW!$A$2:$LR$60,MATCH(1,(GMW!$LQ$2:$LQ$60=J$3)*(GMW!$LP$2:$LP$60=J$4)*(GMW!$LR$2:$LR$60=J$1),0),$C80-1966)</f>
        <v>312235</v>
      </c>
      <c r="K80" s="4" cm="1">
        <f t="array" ref="K80">INDEX(GMW!$A$2:$LR$60,MATCH(1,(GMW!$LQ$2:$LQ$60=K$3)*(GMW!$LP$2:$LP$60=K$4)*(GMW!$LR$2:$LR$60=K$1),0),$C80-1966)</f>
        <v>312235</v>
      </c>
      <c r="L80" s="4" cm="1">
        <f t="array" ref="L80">INDEX(GMW!$A$2:$LR$60,MATCH(1,(GMW!$LQ$2:$LQ$60=L$3)*(GMW!$LP$2:$LP$60=L$4)*(GMW!$LR$2:$LR$60=L$1),0),$C80-1966)</f>
        <v>312235</v>
      </c>
      <c r="M80" s="4" cm="1">
        <f t="array" ref="M80">INDEX(GMW!$A$2:$LR$60,MATCH(1,(GMW!$LQ$2:$LQ$60=M$3)*(GMW!$LP$2:$LP$60=M$4)*(GMW!$LR$2:$LR$60=M$1),0),$C80-1966)</f>
        <v>312235</v>
      </c>
      <c r="N80" s="4" cm="1">
        <f t="array" ref="N80">INDEX(GMW!$A$2:$LR$60,MATCH(1,(GMW!$LQ$2:$LQ$60=N$3)*(GMW!$LP$2:$LP$60=N$4)*(GMW!$LR$2:$LR$60=N$1),0),$C80-1966)</f>
        <v>312235</v>
      </c>
      <c r="O80" s="4" cm="1">
        <f t="array" ref="O80">INDEX(GMW!$A$2:$LR$60,MATCH(1,(GMW!$LQ$2:$LQ$60=O$3)*(GMW!$LP$2:$LP$60=O$4)*(GMW!$LR$2:$LR$60=O$1),0),$C80-1966)</f>
        <v>312235</v>
      </c>
      <c r="P80" s="4" cm="1">
        <f t="array" ref="P80">INDEX(GMW!$A$2:$LR$60,MATCH(1,(GMW!$LQ$2:$LQ$60=P$3)*(GMW!$LP$2:$LP$60=P$4)*(GMW!$LR$2:$LR$60=P$1),0),$C80-1966)</f>
        <v>312235</v>
      </c>
      <c r="Q80" s="4" cm="1">
        <f t="array" ref="Q80">INDEX(GMW!$A$2:$LR$60,MATCH(1,(GMW!$LQ$2:$LQ$60=Q$3)*(GMW!$LP$2:$LP$60=Q$4)*(GMW!$LR$2:$LR$60=Q$1),0),$C80-1966)</f>
        <v>312235</v>
      </c>
      <c r="R80" s="4" cm="1">
        <f t="array" ref="R80">INDEX(GMW!$A$2:$LR$60,MATCH(1,(GMW!$LQ$2:$LQ$60=R$3)*(GMW!$LP$2:$LP$60=R$4)*(GMW!$LR$2:$LR$60=R$1),0),$C80-1966)</f>
        <v>312235</v>
      </c>
      <c r="S80" s="4" cm="1">
        <f t="array" ref="S80">INDEX(GMW!$A$2:$LR$60,MATCH(1,(GMW!$LQ$2:$LQ$60=S$3)*(GMW!$LP$2:$LP$60=S$4)*(GMW!$LR$2:$LR$60=S$1),0),$C80-1966)</f>
        <v>312235</v>
      </c>
      <c r="T80" s="4" cm="1">
        <f t="array" ref="T80">INDEX(GMW!$A$2:$LR$60,MATCH(1,(GMW!$LQ$2:$LQ$60=T$3)*(GMW!$LP$2:$LP$60=T$4)*(GMW!$LR$2:$LR$60=T$1),0),$C80-1966)</f>
        <v>312235</v>
      </c>
      <c r="U80" s="4" cm="1">
        <f t="array" ref="U80">INDEX(GMW!$A$2:$LR$60,MATCH(1,(GMW!$LQ$2:$LQ$60=U$3)*(GMW!$LP$2:$LP$60=U$4)*(GMW!$LR$2:$LR$60=U$1),0),$C80-1966)</f>
        <v>192.89080000000001</v>
      </c>
      <c r="V80" s="4" cm="1">
        <f t="array" ref="V80">INDEX(GMW!$A$2:$LR$60,MATCH(1,(GMW!$LQ$2:$LQ$60=V$3)*(GMW!$LP$2:$LP$60=V$4)*(GMW!$LR$2:$LR$60=V$1),0),$C80-1966)</f>
        <v>60.266669999999998</v>
      </c>
      <c r="W80" s="4" cm="1">
        <f t="array" ref="W80">INDEX(GMW!$A$2:$LR$60,MATCH(1,(GMW!$LQ$2:$LQ$60=W$3)*(GMW!$LP$2:$LP$60=W$4)*(GMW!$LR$2:$LR$60=W$1),0),$C80-1966)</f>
        <v>50.5</v>
      </c>
      <c r="X80" s="4" cm="1">
        <f t="array" ref="X80">INDEX(GMW!$A$2:$LR$60,MATCH(1,(GMW!$LQ$2:$LQ$60=X$3)*(GMW!$LP$2:$LP$60=X$4)*(GMW!$LR$2:$LR$60=X$1),0),$C80-1966)</f>
        <v>40.466670000000001</v>
      </c>
      <c r="Y80" s="4" cm="1">
        <f t="array" ref="Y80">INDEX(GMW!$A$2:$LR$60,MATCH(1,(GMW!$LQ$2:$LQ$60=Y$3)*(GMW!$LP$2:$LP$60=Y$4)*(GMW!$LR$2:$LR$60=Y$1),0),$C80-1966)</f>
        <v>36.766669999999998</v>
      </c>
      <c r="Z80" s="4" cm="1">
        <f t="array" ref="Z80">INDEX(GMW!$A$2:$LR$60,MATCH(1,(GMW!$LQ$2:$LQ$60=Z$3)*(GMW!$LP$2:$LP$60=Z$4)*(GMW!$LR$2:$LR$60=Z$1),0),$C80-1966)</f>
        <v>65.533330000000007</v>
      </c>
      <c r="AA80" s="4" cm="1">
        <f t="array" ref="AA80">INDEX(GMW!$A$2:$LR$60,MATCH(1,(GMW!$LQ$2:$LQ$60=AA$3)*(GMW!$LP$2:$LP$60=AA$4)*(GMW!$LR$2:$LR$60=AA$1),0),$C80-1966)</f>
        <v>178700</v>
      </c>
      <c r="AB80" s="4" cm="1">
        <f t="array" ref="AB80">INDEX(GMW!$A$2:$LR$60,MATCH(1,(GMW!$LQ$2:$LQ$60=AB$3)*(GMW!$LP$2:$LP$60=AB$4)*(GMW!$LR$2:$LR$60=AB$1),0),$C80-1966)</f>
        <v>59854</v>
      </c>
      <c r="AC80" s="4" cm="1">
        <f t="array" ref="AC80">INDEX(GMW!$A$2:$LR$60,MATCH(1,(GMW!$LQ$2:$LQ$60=AC$3)*(GMW!$LP$2:$LP$60=AC$4)*(GMW!$LR$2:$LR$60=AC$1),0),$C80-1966)</f>
        <v>64605</v>
      </c>
      <c r="AD80" s="4" cm="1">
        <f t="array" ref="AD80">INDEX(GMW!$A$2:$LR$60,MATCH(1,(GMW!$LQ$2:$LQ$60=AD$3)*(GMW!$LP$2:$LP$60=AD$4)*(GMW!$LR$2:$LR$60=AD$1),0),$C80-1966)</f>
        <v>56343</v>
      </c>
      <c r="AE80" s="4" cm="1">
        <f t="array" ref="AE80">INDEX(GMW!$A$2:$LR$60,MATCH(1,(GMW!$LQ$2:$LQ$60=AE$3)*(GMW!$LP$2:$LP$60=AE$4)*(GMW!$LR$2:$LR$60=AE$1),0),$C80-1966)</f>
        <v>51394</v>
      </c>
      <c r="AF80" s="4" cm="1">
        <f t="array" ref="AF80">INDEX(GMW!$A$2:$LR$60,MATCH(1,(GMW!$LQ$2:$LQ$60=AF$3)*(GMW!$LP$2:$LP$60=AF$4)*(GMW!$LR$2:$LR$60=AF$1),0),$C80-1966)</f>
        <v>1E-3</v>
      </c>
      <c r="AG80" s="4" cm="1">
        <f t="array" ref="AG80">INDEX(GMW!$A$2:$LR$60,MATCH(1,(GMW!$LQ$2:$LQ$60=AG$3)*(GMW!$LP$2:$LP$60=AG$4)*(GMW!$LR$2:$LR$60=AG$1),0),$C80-1966)</f>
        <v>1E-3</v>
      </c>
    </row>
    <row r="81" spans="1:33" x14ac:dyDescent="0.25">
      <c r="B81" s="4">
        <f t="shared" si="3"/>
        <v>1991</v>
      </c>
      <c r="C81" s="4">
        <f t="shared" si="2"/>
        <v>2047</v>
      </c>
      <c r="D81" s="4" cm="1">
        <f t="array" ref="D81">INDEX(GMW!$A$2:$LR$60,MATCH(1,(GMW!$LQ$2:$LQ$60=D$3)*(GMW!$LP$2:$LP$60=D$4)*(GMW!$LR$2:$LR$60=D$1),0),$C81-1966)</f>
        <v>311624</v>
      </c>
      <c r="E81" s="4" cm="1">
        <f t="array" ref="E81">INDEX(GMW!$A$2:$LR$60,MATCH(1,(GMW!$LQ$2:$LQ$60=E$3)*(GMW!$LP$2:$LP$60=E$4)*(GMW!$LR$2:$LR$60=E$1),0),$C81-1966)</f>
        <v>311624</v>
      </c>
      <c r="F81" s="4" cm="1">
        <f t="array" ref="F81">INDEX(GMW!$A$2:$LR$60,MATCH(1,(GMW!$LQ$2:$LQ$60=F$3)*(GMW!$LP$2:$LP$60=F$4)*(GMW!$LR$2:$LR$60=F$1),0),$C81-1966)</f>
        <v>311624</v>
      </c>
      <c r="G81" s="4" cm="1">
        <f t="array" ref="G81">INDEX(GMW!$A$2:$LR$60,MATCH(1,(GMW!$LQ$2:$LQ$60=G$3)*(GMW!$LP$2:$LP$60=G$4)*(GMW!$LR$2:$LR$60=G$1),0),$C81-1966)</f>
        <v>311624</v>
      </c>
      <c r="H81" s="4" cm="1">
        <f t="array" ref="H81">INDEX(GMW!$A$2:$LR$60,MATCH(1,(GMW!$LQ$2:$LQ$60=H$3)*(GMW!$LP$2:$LP$60=H$4)*(GMW!$LR$2:$LR$60=H$1),0),$C81-1966)</f>
        <v>311624</v>
      </c>
      <c r="I81" s="4" cm="1">
        <f t="array" ref="I81">INDEX(GMW!$A$2:$LR$60,MATCH(1,(GMW!$LQ$2:$LQ$60=I$3)*(GMW!$LP$2:$LP$60=I$4)*(GMW!$LR$2:$LR$60=I$1),0),$C81-1966)</f>
        <v>311624</v>
      </c>
      <c r="J81" s="4" cm="1">
        <f t="array" ref="J81">INDEX(GMW!$A$2:$LR$60,MATCH(1,(GMW!$LQ$2:$LQ$60=J$3)*(GMW!$LP$2:$LP$60=J$4)*(GMW!$LR$2:$LR$60=J$1),0),$C81-1966)</f>
        <v>311624</v>
      </c>
      <c r="K81" s="4" cm="1">
        <f t="array" ref="K81">INDEX(GMW!$A$2:$LR$60,MATCH(1,(GMW!$LQ$2:$LQ$60=K$3)*(GMW!$LP$2:$LP$60=K$4)*(GMW!$LR$2:$LR$60=K$1),0),$C81-1966)</f>
        <v>311624</v>
      </c>
      <c r="L81" s="4" cm="1">
        <f t="array" ref="L81">INDEX(GMW!$A$2:$LR$60,MATCH(1,(GMW!$LQ$2:$LQ$60=L$3)*(GMW!$LP$2:$LP$60=L$4)*(GMW!$LR$2:$LR$60=L$1),0),$C81-1966)</f>
        <v>311624</v>
      </c>
      <c r="M81" s="4" cm="1">
        <f t="array" ref="M81">INDEX(GMW!$A$2:$LR$60,MATCH(1,(GMW!$LQ$2:$LQ$60=M$3)*(GMW!$LP$2:$LP$60=M$4)*(GMW!$LR$2:$LR$60=M$1),0),$C81-1966)</f>
        <v>311624</v>
      </c>
      <c r="N81" s="4" cm="1">
        <f t="array" ref="N81">INDEX(GMW!$A$2:$LR$60,MATCH(1,(GMW!$LQ$2:$LQ$60=N$3)*(GMW!$LP$2:$LP$60=N$4)*(GMW!$LR$2:$LR$60=N$1),0),$C81-1966)</f>
        <v>311624</v>
      </c>
      <c r="O81" s="4" cm="1">
        <f t="array" ref="O81">INDEX(GMW!$A$2:$LR$60,MATCH(1,(GMW!$LQ$2:$LQ$60=O$3)*(GMW!$LP$2:$LP$60=O$4)*(GMW!$LR$2:$LR$60=O$1),0),$C81-1966)</f>
        <v>311624</v>
      </c>
      <c r="P81" s="4" cm="1">
        <f t="array" ref="P81">INDEX(GMW!$A$2:$LR$60,MATCH(1,(GMW!$LQ$2:$LQ$60=P$3)*(GMW!$LP$2:$LP$60=P$4)*(GMW!$LR$2:$LR$60=P$1),0),$C81-1966)</f>
        <v>311624</v>
      </c>
      <c r="Q81" s="4" cm="1">
        <f t="array" ref="Q81">INDEX(GMW!$A$2:$LR$60,MATCH(1,(GMW!$LQ$2:$LQ$60=Q$3)*(GMW!$LP$2:$LP$60=Q$4)*(GMW!$LR$2:$LR$60=Q$1),0),$C81-1966)</f>
        <v>311624</v>
      </c>
      <c r="R81" s="4" cm="1">
        <f t="array" ref="R81">INDEX(GMW!$A$2:$LR$60,MATCH(1,(GMW!$LQ$2:$LQ$60=R$3)*(GMW!$LP$2:$LP$60=R$4)*(GMW!$LR$2:$LR$60=R$1),0),$C81-1966)</f>
        <v>311624</v>
      </c>
      <c r="S81" s="4" cm="1">
        <f t="array" ref="S81">INDEX(GMW!$A$2:$LR$60,MATCH(1,(GMW!$LQ$2:$LQ$60=S$3)*(GMW!$LP$2:$LP$60=S$4)*(GMW!$LR$2:$LR$60=S$1),0),$C81-1966)</f>
        <v>311624</v>
      </c>
      <c r="T81" s="4" cm="1">
        <f t="array" ref="T81">INDEX(GMW!$A$2:$LR$60,MATCH(1,(GMW!$LQ$2:$LQ$60=T$3)*(GMW!$LP$2:$LP$60=T$4)*(GMW!$LR$2:$LR$60=T$1),0),$C81-1966)</f>
        <v>311624</v>
      </c>
      <c r="U81" s="4" cm="1">
        <f t="array" ref="U81">INDEX(GMW!$A$2:$LR$60,MATCH(1,(GMW!$LQ$2:$LQ$60=U$3)*(GMW!$LP$2:$LP$60=U$4)*(GMW!$LR$2:$LR$60=U$1),0),$C81-1966)</f>
        <v>198.7286</v>
      </c>
      <c r="V81" s="4" cm="1">
        <f t="array" ref="V81">INDEX(GMW!$A$2:$LR$60,MATCH(1,(GMW!$LQ$2:$LQ$60=V$3)*(GMW!$LP$2:$LP$60=V$4)*(GMW!$LR$2:$LR$60=V$1),0),$C81-1966)</f>
        <v>60.833329999999997</v>
      </c>
      <c r="W81" s="4" cm="1">
        <f t="array" ref="W81">INDEX(GMW!$A$2:$LR$60,MATCH(1,(GMW!$LQ$2:$LQ$60=W$3)*(GMW!$LP$2:$LP$60=W$4)*(GMW!$LR$2:$LR$60=W$1),0),$C81-1966)</f>
        <v>50.466670000000001</v>
      </c>
      <c r="X81" s="4" cm="1">
        <f t="array" ref="X81">INDEX(GMW!$A$2:$LR$60,MATCH(1,(GMW!$LQ$2:$LQ$60=X$3)*(GMW!$LP$2:$LP$60=X$4)*(GMW!$LR$2:$LR$60=X$1),0),$C81-1966)</f>
        <v>40.733330000000002</v>
      </c>
      <c r="Y81" s="4" cm="1">
        <f t="array" ref="Y81">INDEX(GMW!$A$2:$LR$60,MATCH(1,(GMW!$LQ$2:$LQ$60=Y$3)*(GMW!$LP$2:$LP$60=Y$4)*(GMW!$LR$2:$LR$60=Y$1),0),$C81-1966)</f>
        <v>38</v>
      </c>
      <c r="Z81" s="4" cm="1">
        <f t="array" ref="Z81">INDEX(GMW!$A$2:$LR$60,MATCH(1,(GMW!$LQ$2:$LQ$60=Z$3)*(GMW!$LP$2:$LP$60=Z$4)*(GMW!$LR$2:$LR$60=Z$1),0),$C81-1966)</f>
        <v>66.233329999999995</v>
      </c>
      <c r="AA81" s="4" cm="1">
        <f t="array" ref="AA81">INDEX(GMW!$A$2:$LR$60,MATCH(1,(GMW!$LQ$2:$LQ$60=AA$3)*(GMW!$LP$2:$LP$60=AA$4)*(GMW!$LR$2:$LR$60=AA$1),0),$C81-1966)</f>
        <v>178893</v>
      </c>
      <c r="AB81" s="4" cm="1">
        <f t="array" ref="AB81">INDEX(GMW!$A$2:$LR$60,MATCH(1,(GMW!$LQ$2:$LQ$60=AB$3)*(GMW!$LP$2:$LP$60=AB$4)*(GMW!$LR$2:$LR$60=AB$1),0),$C81-1966)</f>
        <v>58765</v>
      </c>
      <c r="AC81" s="4" cm="1">
        <f t="array" ref="AC81">INDEX(GMW!$A$2:$LR$60,MATCH(1,(GMW!$LQ$2:$LQ$60=AC$3)*(GMW!$LP$2:$LP$60=AC$4)*(GMW!$LR$2:$LR$60=AC$1),0),$C81-1966)</f>
        <v>64119</v>
      </c>
      <c r="AD81" s="4" cm="1">
        <f t="array" ref="AD81">INDEX(GMW!$A$2:$LR$60,MATCH(1,(GMW!$LQ$2:$LQ$60=AD$3)*(GMW!$LP$2:$LP$60=AD$4)*(GMW!$LR$2:$LR$60=AD$1),0),$C81-1966)</f>
        <v>57213</v>
      </c>
      <c r="AE81" s="4" cm="1">
        <f t="array" ref="AE81">INDEX(GMW!$A$2:$LR$60,MATCH(1,(GMW!$LQ$2:$LQ$60=AE$3)*(GMW!$LP$2:$LP$60=AE$4)*(GMW!$LR$2:$LR$60=AE$1),0),$C81-1966)</f>
        <v>51704</v>
      </c>
      <c r="AF81" s="4" cm="1">
        <f t="array" ref="AF81">INDEX(GMW!$A$2:$LR$60,MATCH(1,(GMW!$LQ$2:$LQ$60=AF$3)*(GMW!$LP$2:$LP$60=AF$4)*(GMW!$LR$2:$LR$60=AF$1),0),$C81-1966)</f>
        <v>1E-3</v>
      </c>
      <c r="AG81" s="4" cm="1">
        <f t="array" ref="AG81">INDEX(GMW!$A$2:$LR$60,MATCH(1,(GMW!$LQ$2:$LQ$60=AG$3)*(GMW!$LP$2:$LP$60=AG$4)*(GMW!$LR$2:$LR$60=AG$1),0),$C81-1966)</f>
        <v>1E-3</v>
      </c>
    </row>
    <row r="82" spans="1:33" x14ac:dyDescent="0.25">
      <c r="B82" s="4">
        <f t="shared" si="3"/>
        <v>1991</v>
      </c>
      <c r="C82" s="4">
        <f t="shared" si="2"/>
        <v>2048</v>
      </c>
      <c r="D82" s="4" cm="1">
        <f t="array" ref="D82">INDEX(GMW!$A$2:$LR$60,MATCH(1,(GMW!$LQ$2:$LQ$60=D$3)*(GMW!$LP$2:$LP$60=D$4)*(GMW!$LR$2:$LR$60=D$1),0),$C82-1966)</f>
        <v>312006</v>
      </c>
      <c r="E82" s="4" cm="1">
        <f t="array" ref="E82">INDEX(GMW!$A$2:$LR$60,MATCH(1,(GMW!$LQ$2:$LQ$60=E$3)*(GMW!$LP$2:$LP$60=E$4)*(GMW!$LR$2:$LR$60=E$1),0),$C82-1966)</f>
        <v>312006</v>
      </c>
      <c r="F82" s="4" cm="1">
        <f t="array" ref="F82">INDEX(GMW!$A$2:$LR$60,MATCH(1,(GMW!$LQ$2:$LQ$60=F$3)*(GMW!$LP$2:$LP$60=F$4)*(GMW!$LR$2:$LR$60=F$1),0),$C82-1966)</f>
        <v>312006</v>
      </c>
      <c r="G82" s="4" cm="1">
        <f t="array" ref="G82">INDEX(GMW!$A$2:$LR$60,MATCH(1,(GMW!$LQ$2:$LQ$60=G$3)*(GMW!$LP$2:$LP$60=G$4)*(GMW!$LR$2:$LR$60=G$1),0),$C82-1966)</f>
        <v>312006</v>
      </c>
      <c r="H82" s="4" cm="1">
        <f t="array" ref="H82">INDEX(GMW!$A$2:$LR$60,MATCH(1,(GMW!$LQ$2:$LQ$60=H$3)*(GMW!$LP$2:$LP$60=H$4)*(GMW!$LR$2:$LR$60=H$1),0),$C82-1966)</f>
        <v>312006</v>
      </c>
      <c r="I82" s="4" cm="1">
        <f t="array" ref="I82">INDEX(GMW!$A$2:$LR$60,MATCH(1,(GMW!$LQ$2:$LQ$60=I$3)*(GMW!$LP$2:$LP$60=I$4)*(GMW!$LR$2:$LR$60=I$1),0),$C82-1966)</f>
        <v>312006</v>
      </c>
      <c r="J82" s="4" cm="1">
        <f t="array" ref="J82">INDEX(GMW!$A$2:$LR$60,MATCH(1,(GMW!$LQ$2:$LQ$60=J$3)*(GMW!$LP$2:$LP$60=J$4)*(GMW!$LR$2:$LR$60=J$1),0),$C82-1966)</f>
        <v>312006</v>
      </c>
      <c r="K82" s="4" cm="1">
        <f t="array" ref="K82">INDEX(GMW!$A$2:$LR$60,MATCH(1,(GMW!$LQ$2:$LQ$60=K$3)*(GMW!$LP$2:$LP$60=K$4)*(GMW!$LR$2:$LR$60=K$1),0),$C82-1966)</f>
        <v>312006</v>
      </c>
      <c r="L82" s="4" cm="1">
        <f t="array" ref="L82">INDEX(GMW!$A$2:$LR$60,MATCH(1,(GMW!$LQ$2:$LQ$60=L$3)*(GMW!$LP$2:$LP$60=L$4)*(GMW!$LR$2:$LR$60=L$1),0),$C82-1966)</f>
        <v>312006</v>
      </c>
      <c r="M82" s="4" cm="1">
        <f t="array" ref="M82">INDEX(GMW!$A$2:$LR$60,MATCH(1,(GMW!$LQ$2:$LQ$60=M$3)*(GMW!$LP$2:$LP$60=M$4)*(GMW!$LR$2:$LR$60=M$1),0),$C82-1966)</f>
        <v>312006</v>
      </c>
      <c r="N82" s="4" cm="1">
        <f t="array" ref="N82">INDEX(GMW!$A$2:$LR$60,MATCH(1,(GMW!$LQ$2:$LQ$60=N$3)*(GMW!$LP$2:$LP$60=N$4)*(GMW!$LR$2:$LR$60=N$1),0),$C82-1966)</f>
        <v>312006</v>
      </c>
      <c r="O82" s="4" cm="1">
        <f t="array" ref="O82">INDEX(GMW!$A$2:$LR$60,MATCH(1,(GMW!$LQ$2:$LQ$60=O$3)*(GMW!$LP$2:$LP$60=O$4)*(GMW!$LR$2:$LR$60=O$1),0),$C82-1966)</f>
        <v>312006</v>
      </c>
      <c r="P82" s="4" cm="1">
        <f t="array" ref="P82">INDEX(GMW!$A$2:$LR$60,MATCH(1,(GMW!$LQ$2:$LQ$60=P$3)*(GMW!$LP$2:$LP$60=P$4)*(GMW!$LR$2:$LR$60=P$1),0),$C82-1966)</f>
        <v>312006</v>
      </c>
      <c r="Q82" s="4" cm="1">
        <f t="array" ref="Q82">INDEX(GMW!$A$2:$LR$60,MATCH(1,(GMW!$LQ$2:$LQ$60=Q$3)*(GMW!$LP$2:$LP$60=Q$4)*(GMW!$LR$2:$LR$60=Q$1),0),$C82-1966)</f>
        <v>312006</v>
      </c>
      <c r="R82" s="4" cm="1">
        <f t="array" ref="R82">INDEX(GMW!$A$2:$LR$60,MATCH(1,(GMW!$LQ$2:$LQ$60=R$3)*(GMW!$LP$2:$LP$60=R$4)*(GMW!$LR$2:$LR$60=R$1),0),$C82-1966)</f>
        <v>312006</v>
      </c>
      <c r="S82" s="4" cm="1">
        <f t="array" ref="S82">INDEX(GMW!$A$2:$LR$60,MATCH(1,(GMW!$LQ$2:$LQ$60=S$3)*(GMW!$LP$2:$LP$60=S$4)*(GMW!$LR$2:$LR$60=S$1),0),$C82-1966)</f>
        <v>312006</v>
      </c>
      <c r="T82" s="4" cm="1">
        <f t="array" ref="T82">INDEX(GMW!$A$2:$LR$60,MATCH(1,(GMW!$LQ$2:$LQ$60=T$3)*(GMW!$LP$2:$LP$60=T$4)*(GMW!$LR$2:$LR$60=T$1),0),$C82-1966)</f>
        <v>312006</v>
      </c>
      <c r="U82" s="4" cm="1">
        <f t="array" ref="U82">INDEX(GMW!$A$2:$LR$60,MATCH(1,(GMW!$LQ$2:$LQ$60=U$3)*(GMW!$LP$2:$LP$60=U$4)*(GMW!$LR$2:$LR$60=U$1),0),$C82-1966)</f>
        <v>202.2243</v>
      </c>
      <c r="V82" s="4" cm="1">
        <f t="array" ref="V82">INDEX(GMW!$A$2:$LR$60,MATCH(1,(GMW!$LQ$2:$LQ$60=V$3)*(GMW!$LP$2:$LP$60=V$4)*(GMW!$LR$2:$LR$60=V$1),0),$C82-1966)</f>
        <v>61.466670000000001</v>
      </c>
      <c r="W82" s="4" cm="1">
        <f t="array" ref="W82">INDEX(GMW!$A$2:$LR$60,MATCH(1,(GMW!$LQ$2:$LQ$60=W$3)*(GMW!$LP$2:$LP$60=W$4)*(GMW!$LR$2:$LR$60=W$1),0),$C82-1966)</f>
        <v>50.766669999999998</v>
      </c>
      <c r="X82" s="4" cm="1">
        <f t="array" ref="X82">INDEX(GMW!$A$2:$LR$60,MATCH(1,(GMW!$LQ$2:$LQ$60=X$3)*(GMW!$LP$2:$LP$60=X$4)*(GMW!$LR$2:$LR$60=X$1),0),$C82-1966)</f>
        <v>40.299999999999997</v>
      </c>
      <c r="Y82" s="4" cm="1">
        <f t="array" ref="Y82">INDEX(GMW!$A$2:$LR$60,MATCH(1,(GMW!$LQ$2:$LQ$60=Y$3)*(GMW!$LP$2:$LP$60=Y$4)*(GMW!$LR$2:$LR$60=Y$1),0),$C82-1966)</f>
        <v>38.133339999999997</v>
      </c>
      <c r="Z82" s="4" cm="1">
        <f t="array" ref="Z82">INDEX(GMW!$A$2:$LR$60,MATCH(1,(GMW!$LQ$2:$LQ$60=Z$3)*(GMW!$LP$2:$LP$60=Z$4)*(GMW!$LR$2:$LR$60=Z$1),0),$C82-1966)</f>
        <v>67.266670000000005</v>
      </c>
      <c r="AA82" s="4" cm="1">
        <f t="array" ref="AA82">INDEX(GMW!$A$2:$LR$60,MATCH(1,(GMW!$LQ$2:$LQ$60=AA$3)*(GMW!$LP$2:$LP$60=AA$4)*(GMW!$LR$2:$LR$60=AA$1),0),$C82-1966)</f>
        <v>178921</v>
      </c>
      <c r="AB82" s="4" cm="1">
        <f t="array" ref="AB82">INDEX(GMW!$A$2:$LR$60,MATCH(1,(GMW!$LQ$2:$LQ$60=AB$3)*(GMW!$LP$2:$LP$60=AB$4)*(GMW!$LR$2:$LR$60=AB$1),0),$C82-1966)</f>
        <v>58977</v>
      </c>
      <c r="AC82" s="4" cm="1">
        <f t="array" ref="AC82">INDEX(GMW!$A$2:$LR$60,MATCH(1,(GMW!$LQ$2:$LQ$60=AC$3)*(GMW!$LP$2:$LP$60=AC$4)*(GMW!$LR$2:$LR$60=AC$1),0),$C82-1966)</f>
        <v>64009</v>
      </c>
      <c r="AD82" s="4" cm="1">
        <f t="array" ref="AD82">INDEX(GMW!$A$2:$LR$60,MATCH(1,(GMW!$LQ$2:$LQ$60=AD$3)*(GMW!$LP$2:$LP$60=AD$4)*(GMW!$LR$2:$LR$60=AD$1),0),$C82-1966)</f>
        <v>57043</v>
      </c>
      <c r="AE82" s="4" cm="1">
        <f t="array" ref="AE82">INDEX(GMW!$A$2:$LR$60,MATCH(1,(GMW!$LQ$2:$LQ$60=AE$3)*(GMW!$LP$2:$LP$60=AE$4)*(GMW!$LR$2:$LR$60=AE$1),0),$C82-1966)</f>
        <v>52455</v>
      </c>
      <c r="AF82" s="4" cm="1">
        <f t="array" ref="AF82">INDEX(GMW!$A$2:$LR$60,MATCH(1,(GMW!$LQ$2:$LQ$60=AF$3)*(GMW!$LP$2:$LP$60=AF$4)*(GMW!$LR$2:$LR$60=AF$1),0),$C82-1966)</f>
        <v>1E-3</v>
      </c>
      <c r="AG82" s="4" cm="1">
        <f t="array" ref="AG82">INDEX(GMW!$A$2:$LR$60,MATCH(1,(GMW!$LQ$2:$LQ$60=AG$3)*(GMW!$LP$2:$LP$60=AG$4)*(GMW!$LR$2:$LR$60=AG$1),0),$C82-1966)</f>
        <v>1E-3</v>
      </c>
    </row>
    <row r="83" spans="1:33" x14ac:dyDescent="0.25">
      <c r="A83" s="4">
        <v>1992</v>
      </c>
      <c r="B83" s="4">
        <f t="shared" si="3"/>
        <v>1992</v>
      </c>
      <c r="C83" s="4">
        <f t="shared" si="2"/>
        <v>2049</v>
      </c>
      <c r="D83" s="4" cm="1">
        <f t="array" ref="D83">INDEX(GMW!$A$2:$LR$60,MATCH(1,(GMW!$LQ$2:$LQ$60=D$3)*(GMW!$LP$2:$LP$60=D$4)*(GMW!$LR$2:$LR$60=D$1),0),$C83-1966)</f>
        <v>311904</v>
      </c>
      <c r="E83" s="4" cm="1">
        <f t="array" ref="E83">INDEX(GMW!$A$2:$LR$60,MATCH(1,(GMW!$LQ$2:$LQ$60=E$3)*(GMW!$LP$2:$LP$60=E$4)*(GMW!$LR$2:$LR$60=E$1),0),$C83-1966)</f>
        <v>311904</v>
      </c>
      <c r="F83" s="4" cm="1">
        <f t="array" ref="F83">INDEX(GMW!$A$2:$LR$60,MATCH(1,(GMW!$LQ$2:$LQ$60=F$3)*(GMW!$LP$2:$LP$60=F$4)*(GMW!$LR$2:$LR$60=F$1),0),$C83-1966)</f>
        <v>311904</v>
      </c>
      <c r="G83" s="4" cm="1">
        <f t="array" ref="G83">INDEX(GMW!$A$2:$LR$60,MATCH(1,(GMW!$LQ$2:$LQ$60=G$3)*(GMW!$LP$2:$LP$60=G$4)*(GMW!$LR$2:$LR$60=G$1),0),$C83-1966)</f>
        <v>311904</v>
      </c>
      <c r="H83" s="4" cm="1">
        <f t="array" ref="H83">INDEX(GMW!$A$2:$LR$60,MATCH(1,(GMW!$LQ$2:$LQ$60=H$3)*(GMW!$LP$2:$LP$60=H$4)*(GMW!$LR$2:$LR$60=H$1),0),$C83-1966)</f>
        <v>311904</v>
      </c>
      <c r="I83" s="4" cm="1">
        <f t="array" ref="I83">INDEX(GMW!$A$2:$LR$60,MATCH(1,(GMW!$LQ$2:$LQ$60=I$3)*(GMW!$LP$2:$LP$60=I$4)*(GMW!$LR$2:$LR$60=I$1),0),$C83-1966)</f>
        <v>311904</v>
      </c>
      <c r="J83" s="4" cm="1">
        <f t="array" ref="J83">INDEX(GMW!$A$2:$LR$60,MATCH(1,(GMW!$LQ$2:$LQ$60=J$3)*(GMW!$LP$2:$LP$60=J$4)*(GMW!$LR$2:$LR$60=J$1),0),$C83-1966)</f>
        <v>311904</v>
      </c>
      <c r="K83" s="4" cm="1">
        <f t="array" ref="K83">INDEX(GMW!$A$2:$LR$60,MATCH(1,(GMW!$LQ$2:$LQ$60=K$3)*(GMW!$LP$2:$LP$60=K$4)*(GMW!$LR$2:$LR$60=K$1),0),$C83-1966)</f>
        <v>311904</v>
      </c>
      <c r="L83" s="4" cm="1">
        <f t="array" ref="L83">INDEX(GMW!$A$2:$LR$60,MATCH(1,(GMW!$LQ$2:$LQ$60=L$3)*(GMW!$LP$2:$LP$60=L$4)*(GMW!$LR$2:$LR$60=L$1),0),$C83-1966)</f>
        <v>311904</v>
      </c>
      <c r="M83" s="4" cm="1">
        <f t="array" ref="M83">INDEX(GMW!$A$2:$LR$60,MATCH(1,(GMW!$LQ$2:$LQ$60=M$3)*(GMW!$LP$2:$LP$60=M$4)*(GMW!$LR$2:$LR$60=M$1),0),$C83-1966)</f>
        <v>311904</v>
      </c>
      <c r="N83" s="4" cm="1">
        <f t="array" ref="N83">INDEX(GMW!$A$2:$LR$60,MATCH(1,(GMW!$LQ$2:$LQ$60=N$3)*(GMW!$LP$2:$LP$60=N$4)*(GMW!$LR$2:$LR$60=N$1),0),$C83-1966)</f>
        <v>311904</v>
      </c>
      <c r="O83" s="4" cm="1">
        <f t="array" ref="O83">INDEX(GMW!$A$2:$LR$60,MATCH(1,(GMW!$LQ$2:$LQ$60=O$3)*(GMW!$LP$2:$LP$60=O$4)*(GMW!$LR$2:$LR$60=O$1),0),$C83-1966)</f>
        <v>311904</v>
      </c>
      <c r="P83" s="4" cm="1">
        <f t="array" ref="P83">INDEX(GMW!$A$2:$LR$60,MATCH(1,(GMW!$LQ$2:$LQ$60=P$3)*(GMW!$LP$2:$LP$60=P$4)*(GMW!$LR$2:$LR$60=P$1),0),$C83-1966)</f>
        <v>311904</v>
      </c>
      <c r="Q83" s="4" cm="1">
        <f t="array" ref="Q83">INDEX(GMW!$A$2:$LR$60,MATCH(1,(GMW!$LQ$2:$LQ$60=Q$3)*(GMW!$LP$2:$LP$60=Q$4)*(GMW!$LR$2:$LR$60=Q$1),0),$C83-1966)</f>
        <v>311904</v>
      </c>
      <c r="R83" s="4" cm="1">
        <f t="array" ref="R83">INDEX(GMW!$A$2:$LR$60,MATCH(1,(GMW!$LQ$2:$LQ$60=R$3)*(GMW!$LP$2:$LP$60=R$4)*(GMW!$LR$2:$LR$60=R$1),0),$C83-1966)</f>
        <v>311904</v>
      </c>
      <c r="S83" s="4" cm="1">
        <f t="array" ref="S83">INDEX(GMW!$A$2:$LR$60,MATCH(1,(GMW!$LQ$2:$LQ$60=S$3)*(GMW!$LP$2:$LP$60=S$4)*(GMW!$LR$2:$LR$60=S$1),0),$C83-1966)</f>
        <v>311904</v>
      </c>
      <c r="T83" s="4" cm="1">
        <f t="array" ref="T83">INDEX(GMW!$A$2:$LR$60,MATCH(1,(GMW!$LQ$2:$LQ$60=T$3)*(GMW!$LP$2:$LP$60=T$4)*(GMW!$LR$2:$LR$60=T$1),0),$C83-1966)</f>
        <v>311904</v>
      </c>
      <c r="U83" s="4" cm="1">
        <f t="array" ref="U83">INDEX(GMW!$A$2:$LR$60,MATCH(1,(GMW!$LQ$2:$LQ$60=U$3)*(GMW!$LP$2:$LP$60=U$4)*(GMW!$LR$2:$LR$60=U$1),0),$C83-1966)</f>
        <v>203.99180000000001</v>
      </c>
      <c r="V83" s="4" cm="1">
        <f t="array" ref="V83">INDEX(GMW!$A$2:$LR$60,MATCH(1,(GMW!$LQ$2:$LQ$60=V$3)*(GMW!$LP$2:$LP$60=V$4)*(GMW!$LR$2:$LR$60=V$1),0),$C83-1966)</f>
        <v>61.7</v>
      </c>
      <c r="W83" s="4" cm="1">
        <f t="array" ref="W83">INDEX(GMW!$A$2:$LR$60,MATCH(1,(GMW!$LQ$2:$LQ$60=W$3)*(GMW!$LP$2:$LP$60=W$4)*(GMW!$LR$2:$LR$60=W$1),0),$C83-1966)</f>
        <v>51.666670000000003</v>
      </c>
      <c r="X83" s="4" cm="1">
        <f t="array" ref="X83">INDEX(GMW!$A$2:$LR$60,MATCH(1,(GMW!$LQ$2:$LQ$60=X$3)*(GMW!$LP$2:$LP$60=X$4)*(GMW!$LR$2:$LR$60=X$1),0),$C83-1966)</f>
        <v>38.766669999999998</v>
      </c>
      <c r="Y83" s="4" cm="1">
        <f t="array" ref="Y83">INDEX(GMW!$A$2:$LR$60,MATCH(1,(GMW!$LQ$2:$LQ$60=Y$3)*(GMW!$LP$2:$LP$60=Y$4)*(GMW!$LR$2:$LR$60=Y$1),0),$C83-1966)</f>
        <v>38.033329999999999</v>
      </c>
      <c r="Z83" s="4" cm="1">
        <f t="array" ref="Z83">INDEX(GMW!$A$2:$LR$60,MATCH(1,(GMW!$LQ$2:$LQ$60=Z$3)*(GMW!$LP$2:$LP$60=Z$4)*(GMW!$LR$2:$LR$60=Z$1),0),$C83-1966)</f>
        <v>67.333340000000007</v>
      </c>
      <c r="AA83" s="4" cm="1">
        <f t="array" ref="AA83">INDEX(GMW!$A$2:$LR$60,MATCH(1,(GMW!$LQ$2:$LQ$60=AA$3)*(GMW!$LP$2:$LP$60=AA$4)*(GMW!$LR$2:$LR$60=AA$1),0),$C83-1966)</f>
        <v>178429</v>
      </c>
      <c r="AB83" s="4" cm="1">
        <f t="array" ref="AB83">INDEX(GMW!$A$2:$LR$60,MATCH(1,(GMW!$LQ$2:$LQ$60=AB$3)*(GMW!$LP$2:$LP$60=AB$4)*(GMW!$LR$2:$LR$60=AB$1),0),$C83-1966)</f>
        <v>59135</v>
      </c>
      <c r="AC83" s="4" cm="1">
        <f t="array" ref="AC83">INDEX(GMW!$A$2:$LR$60,MATCH(1,(GMW!$LQ$2:$LQ$60=AC$3)*(GMW!$LP$2:$LP$60=AC$4)*(GMW!$LR$2:$LR$60=AC$1),0),$C83-1966)</f>
        <v>64266</v>
      </c>
      <c r="AD83" s="4" cm="1">
        <f t="array" ref="AD83">INDEX(GMW!$A$2:$LR$60,MATCH(1,(GMW!$LQ$2:$LQ$60=AD$3)*(GMW!$LP$2:$LP$60=AD$4)*(GMW!$LR$2:$LR$60=AD$1),0),$C83-1966)</f>
        <v>57660</v>
      </c>
      <c r="AE83" s="4" cm="1">
        <f t="array" ref="AE83">INDEX(GMW!$A$2:$LR$60,MATCH(1,(GMW!$LQ$2:$LQ$60=AE$3)*(GMW!$LP$2:$LP$60=AE$4)*(GMW!$LR$2:$LR$60=AE$1),0),$C83-1966)</f>
        <v>53367</v>
      </c>
      <c r="AF83" s="4" cm="1">
        <f t="array" ref="AF83">INDEX(GMW!$A$2:$LR$60,MATCH(1,(GMW!$LQ$2:$LQ$60=AF$3)*(GMW!$LP$2:$LP$60=AF$4)*(GMW!$LR$2:$LR$60=AF$1),0),$C83-1966)</f>
        <v>1E-3</v>
      </c>
      <c r="AG83" s="4" cm="1">
        <f t="array" ref="AG83">INDEX(GMW!$A$2:$LR$60,MATCH(1,(GMW!$LQ$2:$LQ$60=AG$3)*(GMW!$LP$2:$LP$60=AG$4)*(GMW!$LR$2:$LR$60=AG$1),0),$C83-1966)</f>
        <v>1E-3</v>
      </c>
    </row>
    <row r="84" spans="1:33" x14ac:dyDescent="0.25">
      <c r="B84" s="4">
        <f t="shared" si="3"/>
        <v>1992</v>
      </c>
      <c r="C84" s="4">
        <f t="shared" si="2"/>
        <v>2050</v>
      </c>
      <c r="D84" s="4" cm="1">
        <f t="array" ref="D84">INDEX(GMW!$A$2:$LR$60,MATCH(1,(GMW!$LQ$2:$LQ$60=D$3)*(GMW!$LP$2:$LP$60=D$4)*(GMW!$LR$2:$LR$60=D$1),0),$C84-1966)</f>
        <v>311418</v>
      </c>
      <c r="E84" s="4" cm="1">
        <f t="array" ref="E84">INDEX(GMW!$A$2:$LR$60,MATCH(1,(GMW!$LQ$2:$LQ$60=E$3)*(GMW!$LP$2:$LP$60=E$4)*(GMW!$LR$2:$LR$60=E$1),0),$C84-1966)</f>
        <v>311418</v>
      </c>
      <c r="F84" s="4" cm="1">
        <f t="array" ref="F84">INDEX(GMW!$A$2:$LR$60,MATCH(1,(GMW!$LQ$2:$LQ$60=F$3)*(GMW!$LP$2:$LP$60=F$4)*(GMW!$LR$2:$LR$60=F$1),0),$C84-1966)</f>
        <v>311418</v>
      </c>
      <c r="G84" s="4" cm="1">
        <f t="array" ref="G84">INDEX(GMW!$A$2:$LR$60,MATCH(1,(GMW!$LQ$2:$LQ$60=G$3)*(GMW!$LP$2:$LP$60=G$4)*(GMW!$LR$2:$LR$60=G$1),0),$C84-1966)</f>
        <v>311418</v>
      </c>
      <c r="H84" s="4" cm="1">
        <f t="array" ref="H84">INDEX(GMW!$A$2:$LR$60,MATCH(1,(GMW!$LQ$2:$LQ$60=H$3)*(GMW!$LP$2:$LP$60=H$4)*(GMW!$LR$2:$LR$60=H$1),0),$C84-1966)</f>
        <v>311418</v>
      </c>
      <c r="I84" s="4" cm="1">
        <f t="array" ref="I84">INDEX(GMW!$A$2:$LR$60,MATCH(1,(GMW!$LQ$2:$LQ$60=I$3)*(GMW!$LP$2:$LP$60=I$4)*(GMW!$LR$2:$LR$60=I$1),0),$C84-1966)</f>
        <v>311418</v>
      </c>
      <c r="J84" s="4" cm="1">
        <f t="array" ref="J84">INDEX(GMW!$A$2:$LR$60,MATCH(1,(GMW!$LQ$2:$LQ$60=J$3)*(GMW!$LP$2:$LP$60=J$4)*(GMW!$LR$2:$LR$60=J$1),0),$C84-1966)</f>
        <v>311418</v>
      </c>
      <c r="K84" s="4" cm="1">
        <f t="array" ref="K84">INDEX(GMW!$A$2:$LR$60,MATCH(1,(GMW!$LQ$2:$LQ$60=K$3)*(GMW!$LP$2:$LP$60=K$4)*(GMW!$LR$2:$LR$60=K$1),0),$C84-1966)</f>
        <v>311418</v>
      </c>
      <c r="L84" s="4" cm="1">
        <f t="array" ref="L84">INDEX(GMW!$A$2:$LR$60,MATCH(1,(GMW!$LQ$2:$LQ$60=L$3)*(GMW!$LP$2:$LP$60=L$4)*(GMW!$LR$2:$LR$60=L$1),0),$C84-1966)</f>
        <v>311418</v>
      </c>
      <c r="M84" s="4" cm="1">
        <f t="array" ref="M84">INDEX(GMW!$A$2:$LR$60,MATCH(1,(GMW!$LQ$2:$LQ$60=M$3)*(GMW!$LP$2:$LP$60=M$4)*(GMW!$LR$2:$LR$60=M$1),0),$C84-1966)</f>
        <v>311418</v>
      </c>
      <c r="N84" s="4" cm="1">
        <f t="array" ref="N84">INDEX(GMW!$A$2:$LR$60,MATCH(1,(GMW!$LQ$2:$LQ$60=N$3)*(GMW!$LP$2:$LP$60=N$4)*(GMW!$LR$2:$LR$60=N$1),0),$C84-1966)</f>
        <v>311418</v>
      </c>
      <c r="O84" s="4" cm="1">
        <f t="array" ref="O84">INDEX(GMW!$A$2:$LR$60,MATCH(1,(GMW!$LQ$2:$LQ$60=O$3)*(GMW!$LP$2:$LP$60=O$4)*(GMW!$LR$2:$LR$60=O$1),0),$C84-1966)</f>
        <v>311418</v>
      </c>
      <c r="P84" s="4" cm="1">
        <f t="array" ref="P84">INDEX(GMW!$A$2:$LR$60,MATCH(1,(GMW!$LQ$2:$LQ$60=P$3)*(GMW!$LP$2:$LP$60=P$4)*(GMW!$LR$2:$LR$60=P$1),0),$C84-1966)</f>
        <v>311418</v>
      </c>
      <c r="Q84" s="4" cm="1">
        <f t="array" ref="Q84">INDEX(GMW!$A$2:$LR$60,MATCH(1,(GMW!$LQ$2:$LQ$60=Q$3)*(GMW!$LP$2:$LP$60=Q$4)*(GMW!$LR$2:$LR$60=Q$1),0),$C84-1966)</f>
        <v>311418</v>
      </c>
      <c r="R84" s="4" cm="1">
        <f t="array" ref="R84">INDEX(GMW!$A$2:$LR$60,MATCH(1,(GMW!$LQ$2:$LQ$60=R$3)*(GMW!$LP$2:$LP$60=R$4)*(GMW!$LR$2:$LR$60=R$1),0),$C84-1966)</f>
        <v>311418</v>
      </c>
      <c r="S84" s="4" cm="1">
        <f t="array" ref="S84">INDEX(GMW!$A$2:$LR$60,MATCH(1,(GMW!$LQ$2:$LQ$60=S$3)*(GMW!$LP$2:$LP$60=S$4)*(GMW!$LR$2:$LR$60=S$1),0),$C84-1966)</f>
        <v>311418</v>
      </c>
      <c r="T84" s="4" cm="1">
        <f t="array" ref="T84">INDEX(GMW!$A$2:$LR$60,MATCH(1,(GMW!$LQ$2:$LQ$60=T$3)*(GMW!$LP$2:$LP$60=T$4)*(GMW!$LR$2:$LR$60=T$1),0),$C84-1966)</f>
        <v>311418</v>
      </c>
      <c r="U84" s="4" cm="1">
        <f t="array" ref="U84">INDEX(GMW!$A$2:$LR$60,MATCH(1,(GMW!$LQ$2:$LQ$60=U$3)*(GMW!$LP$2:$LP$60=U$4)*(GMW!$LR$2:$LR$60=U$1),0),$C84-1966)</f>
        <v>209.3937</v>
      </c>
      <c r="V84" s="4" cm="1">
        <f t="array" ref="V84">INDEX(GMW!$A$2:$LR$60,MATCH(1,(GMW!$LQ$2:$LQ$60=V$3)*(GMW!$LP$2:$LP$60=V$4)*(GMW!$LR$2:$LR$60=V$1),0),$C84-1966)</f>
        <v>62.833329999999997</v>
      </c>
      <c r="W84" s="4" cm="1">
        <f t="array" ref="W84">INDEX(GMW!$A$2:$LR$60,MATCH(1,(GMW!$LQ$2:$LQ$60=W$3)*(GMW!$LP$2:$LP$60=W$4)*(GMW!$LR$2:$LR$60=W$1),0),$C84-1966)</f>
        <v>52.4</v>
      </c>
      <c r="X84" s="4" cm="1">
        <f t="array" ref="X84">INDEX(GMW!$A$2:$LR$60,MATCH(1,(GMW!$LQ$2:$LQ$60=X$3)*(GMW!$LP$2:$LP$60=X$4)*(GMW!$LR$2:$LR$60=X$1),0),$C84-1966)</f>
        <v>41</v>
      </c>
      <c r="Y84" s="4" cm="1">
        <f t="array" ref="Y84">INDEX(GMW!$A$2:$LR$60,MATCH(1,(GMW!$LQ$2:$LQ$60=Y$3)*(GMW!$LP$2:$LP$60=Y$4)*(GMW!$LR$2:$LR$60=Y$1),0),$C84-1966)</f>
        <v>38.166670000000003</v>
      </c>
      <c r="Z84" s="4" cm="1">
        <f t="array" ref="Z84">INDEX(GMW!$A$2:$LR$60,MATCH(1,(GMW!$LQ$2:$LQ$60=Z$3)*(GMW!$LP$2:$LP$60=Z$4)*(GMW!$LR$2:$LR$60=Z$1),0),$C84-1966)</f>
        <v>68.566670000000002</v>
      </c>
      <c r="AA84" s="4" cm="1">
        <f t="array" ref="AA84">INDEX(GMW!$A$2:$LR$60,MATCH(1,(GMW!$LQ$2:$LQ$60=AA$3)*(GMW!$LP$2:$LP$60=AA$4)*(GMW!$LR$2:$LR$60=AA$1),0),$C84-1966)</f>
        <v>180788</v>
      </c>
      <c r="AB84" s="4" cm="1">
        <f t="array" ref="AB84">INDEX(GMW!$A$2:$LR$60,MATCH(1,(GMW!$LQ$2:$LQ$60=AB$3)*(GMW!$LP$2:$LP$60=AB$4)*(GMW!$LR$2:$LR$60=AB$1),0),$C84-1966)</f>
        <v>58782</v>
      </c>
      <c r="AC84" s="4" cm="1">
        <f t="array" ref="AC84">INDEX(GMW!$A$2:$LR$60,MATCH(1,(GMW!$LQ$2:$LQ$60=AC$3)*(GMW!$LP$2:$LP$60=AC$4)*(GMW!$LR$2:$LR$60=AC$1),0),$C84-1966)</f>
        <v>64522</v>
      </c>
      <c r="AD84" s="4" cm="1">
        <f t="array" ref="AD84">INDEX(GMW!$A$2:$LR$60,MATCH(1,(GMW!$LQ$2:$LQ$60=AD$3)*(GMW!$LP$2:$LP$60=AD$4)*(GMW!$LR$2:$LR$60=AD$1),0),$C84-1966)</f>
        <v>59079</v>
      </c>
      <c r="AE84" s="4" cm="1">
        <f t="array" ref="AE84">INDEX(GMW!$A$2:$LR$60,MATCH(1,(GMW!$LQ$2:$LQ$60=AE$3)*(GMW!$LP$2:$LP$60=AE$4)*(GMW!$LR$2:$LR$60=AE$1),0),$C84-1966)</f>
        <v>55807</v>
      </c>
      <c r="AF84" s="4" cm="1">
        <f t="array" ref="AF84">INDEX(GMW!$A$2:$LR$60,MATCH(1,(GMW!$LQ$2:$LQ$60=AF$3)*(GMW!$LP$2:$LP$60=AF$4)*(GMW!$LR$2:$LR$60=AF$1),0),$C84-1966)</f>
        <v>1E-3</v>
      </c>
      <c r="AG84" s="4" cm="1">
        <f t="array" ref="AG84">INDEX(GMW!$A$2:$LR$60,MATCH(1,(GMW!$LQ$2:$LQ$60=AG$3)*(GMW!$LP$2:$LP$60=AG$4)*(GMW!$LR$2:$LR$60=AG$1),0),$C84-1966)</f>
        <v>1E-3</v>
      </c>
    </row>
    <row r="85" spans="1:33" x14ac:dyDescent="0.25">
      <c r="B85" s="4">
        <f t="shared" si="3"/>
        <v>1992</v>
      </c>
      <c r="C85" s="4">
        <f t="shared" si="2"/>
        <v>2051</v>
      </c>
      <c r="D85" s="4" cm="1">
        <f t="array" ref="D85">INDEX(GMW!$A$2:$LR$60,MATCH(1,(GMW!$LQ$2:$LQ$60=D$3)*(GMW!$LP$2:$LP$60=D$4)*(GMW!$LR$2:$LR$60=D$1),0),$C85-1966)</f>
        <v>312896</v>
      </c>
      <c r="E85" s="4" cm="1">
        <f t="array" ref="E85">INDEX(GMW!$A$2:$LR$60,MATCH(1,(GMW!$LQ$2:$LQ$60=E$3)*(GMW!$LP$2:$LP$60=E$4)*(GMW!$LR$2:$LR$60=E$1),0),$C85-1966)</f>
        <v>312896</v>
      </c>
      <c r="F85" s="4" cm="1">
        <f t="array" ref="F85">INDEX(GMW!$A$2:$LR$60,MATCH(1,(GMW!$LQ$2:$LQ$60=F$3)*(GMW!$LP$2:$LP$60=F$4)*(GMW!$LR$2:$LR$60=F$1),0),$C85-1966)</f>
        <v>312896</v>
      </c>
      <c r="G85" s="4" cm="1">
        <f t="array" ref="G85">INDEX(GMW!$A$2:$LR$60,MATCH(1,(GMW!$LQ$2:$LQ$60=G$3)*(GMW!$LP$2:$LP$60=G$4)*(GMW!$LR$2:$LR$60=G$1),0),$C85-1966)</f>
        <v>312896</v>
      </c>
      <c r="H85" s="4" cm="1">
        <f t="array" ref="H85">INDEX(GMW!$A$2:$LR$60,MATCH(1,(GMW!$LQ$2:$LQ$60=H$3)*(GMW!$LP$2:$LP$60=H$4)*(GMW!$LR$2:$LR$60=H$1),0),$C85-1966)</f>
        <v>312896</v>
      </c>
      <c r="I85" s="4" cm="1">
        <f t="array" ref="I85">INDEX(GMW!$A$2:$LR$60,MATCH(1,(GMW!$LQ$2:$LQ$60=I$3)*(GMW!$LP$2:$LP$60=I$4)*(GMW!$LR$2:$LR$60=I$1),0),$C85-1966)</f>
        <v>312896</v>
      </c>
      <c r="J85" s="4" cm="1">
        <f t="array" ref="J85">INDEX(GMW!$A$2:$LR$60,MATCH(1,(GMW!$LQ$2:$LQ$60=J$3)*(GMW!$LP$2:$LP$60=J$4)*(GMW!$LR$2:$LR$60=J$1),0),$C85-1966)</f>
        <v>312896</v>
      </c>
      <c r="K85" s="4" cm="1">
        <f t="array" ref="K85">INDEX(GMW!$A$2:$LR$60,MATCH(1,(GMW!$LQ$2:$LQ$60=K$3)*(GMW!$LP$2:$LP$60=K$4)*(GMW!$LR$2:$LR$60=K$1),0),$C85-1966)</f>
        <v>312896</v>
      </c>
      <c r="L85" s="4" cm="1">
        <f t="array" ref="L85">INDEX(GMW!$A$2:$LR$60,MATCH(1,(GMW!$LQ$2:$LQ$60=L$3)*(GMW!$LP$2:$LP$60=L$4)*(GMW!$LR$2:$LR$60=L$1),0),$C85-1966)</f>
        <v>312896</v>
      </c>
      <c r="M85" s="4" cm="1">
        <f t="array" ref="M85">INDEX(GMW!$A$2:$LR$60,MATCH(1,(GMW!$LQ$2:$LQ$60=M$3)*(GMW!$LP$2:$LP$60=M$4)*(GMW!$LR$2:$LR$60=M$1),0),$C85-1966)</f>
        <v>312896</v>
      </c>
      <c r="N85" s="4" cm="1">
        <f t="array" ref="N85">INDEX(GMW!$A$2:$LR$60,MATCH(1,(GMW!$LQ$2:$LQ$60=N$3)*(GMW!$LP$2:$LP$60=N$4)*(GMW!$LR$2:$LR$60=N$1),0),$C85-1966)</f>
        <v>312896</v>
      </c>
      <c r="O85" s="4" cm="1">
        <f t="array" ref="O85">INDEX(GMW!$A$2:$LR$60,MATCH(1,(GMW!$LQ$2:$LQ$60=O$3)*(GMW!$LP$2:$LP$60=O$4)*(GMW!$LR$2:$LR$60=O$1),0),$C85-1966)</f>
        <v>312896</v>
      </c>
      <c r="P85" s="4" cm="1">
        <f t="array" ref="P85">INDEX(GMW!$A$2:$LR$60,MATCH(1,(GMW!$LQ$2:$LQ$60=P$3)*(GMW!$LP$2:$LP$60=P$4)*(GMW!$LR$2:$LR$60=P$1),0),$C85-1966)</f>
        <v>312896</v>
      </c>
      <c r="Q85" s="4" cm="1">
        <f t="array" ref="Q85">INDEX(GMW!$A$2:$LR$60,MATCH(1,(GMW!$LQ$2:$LQ$60=Q$3)*(GMW!$LP$2:$LP$60=Q$4)*(GMW!$LR$2:$LR$60=Q$1),0),$C85-1966)</f>
        <v>312896</v>
      </c>
      <c r="R85" s="4" cm="1">
        <f t="array" ref="R85">INDEX(GMW!$A$2:$LR$60,MATCH(1,(GMW!$LQ$2:$LQ$60=R$3)*(GMW!$LP$2:$LP$60=R$4)*(GMW!$LR$2:$LR$60=R$1),0),$C85-1966)</f>
        <v>312896</v>
      </c>
      <c r="S85" s="4" cm="1">
        <f t="array" ref="S85">INDEX(GMW!$A$2:$LR$60,MATCH(1,(GMW!$LQ$2:$LQ$60=S$3)*(GMW!$LP$2:$LP$60=S$4)*(GMW!$LR$2:$LR$60=S$1),0),$C85-1966)</f>
        <v>312896</v>
      </c>
      <c r="T85" s="4" cm="1">
        <f t="array" ref="T85">INDEX(GMW!$A$2:$LR$60,MATCH(1,(GMW!$LQ$2:$LQ$60=T$3)*(GMW!$LP$2:$LP$60=T$4)*(GMW!$LR$2:$LR$60=T$1),0),$C85-1966)</f>
        <v>312896</v>
      </c>
      <c r="U85" s="4" cm="1">
        <f t="array" ref="U85">INDEX(GMW!$A$2:$LR$60,MATCH(1,(GMW!$LQ$2:$LQ$60=U$3)*(GMW!$LP$2:$LP$60=U$4)*(GMW!$LR$2:$LR$60=U$1),0),$C85-1966)</f>
        <v>213.14080000000001</v>
      </c>
      <c r="V85" s="4" cm="1">
        <f t="array" ref="V85">INDEX(GMW!$A$2:$LR$60,MATCH(1,(GMW!$LQ$2:$LQ$60=V$3)*(GMW!$LP$2:$LP$60=V$4)*(GMW!$LR$2:$LR$60=V$1),0),$C85-1966)</f>
        <v>62.733330000000002</v>
      </c>
      <c r="W85" s="4" cm="1">
        <f t="array" ref="W85">INDEX(GMW!$A$2:$LR$60,MATCH(1,(GMW!$LQ$2:$LQ$60=W$3)*(GMW!$LP$2:$LP$60=W$4)*(GMW!$LR$2:$LR$60=W$1),0),$C85-1966)</f>
        <v>51.966670000000001</v>
      </c>
      <c r="X85" s="4" cm="1">
        <f t="array" ref="X85">INDEX(GMW!$A$2:$LR$60,MATCH(1,(GMW!$LQ$2:$LQ$60=X$3)*(GMW!$LP$2:$LP$60=X$4)*(GMW!$LR$2:$LR$60=X$1),0),$C85-1966)</f>
        <v>40.533329999999999</v>
      </c>
      <c r="Y85" s="4" cm="1">
        <f t="array" ref="Y85">INDEX(GMW!$A$2:$LR$60,MATCH(1,(GMW!$LQ$2:$LQ$60=Y$3)*(GMW!$LP$2:$LP$60=Y$4)*(GMW!$LR$2:$LR$60=Y$1),0),$C85-1966)</f>
        <v>38.133339999999997</v>
      </c>
      <c r="Z85" s="4" cm="1">
        <f t="array" ref="Z85">INDEX(GMW!$A$2:$LR$60,MATCH(1,(GMW!$LQ$2:$LQ$60=Z$3)*(GMW!$LP$2:$LP$60=Z$4)*(GMW!$LR$2:$LR$60=Z$1),0),$C85-1966)</f>
        <v>68.666659999999993</v>
      </c>
      <c r="AA85" s="4" cm="1">
        <f t="array" ref="AA85">INDEX(GMW!$A$2:$LR$60,MATCH(1,(GMW!$LQ$2:$LQ$60=AA$3)*(GMW!$LP$2:$LP$60=AA$4)*(GMW!$LR$2:$LR$60=AA$1),0),$C85-1966)</f>
        <v>181852</v>
      </c>
      <c r="AB85" s="4" cm="1">
        <f t="array" ref="AB85">INDEX(GMW!$A$2:$LR$60,MATCH(1,(GMW!$LQ$2:$LQ$60=AB$3)*(GMW!$LP$2:$LP$60=AB$4)*(GMW!$LR$2:$LR$60=AB$1),0),$C85-1966)</f>
        <v>59011</v>
      </c>
      <c r="AC85" s="4" cm="1">
        <f t="array" ref="AC85">INDEX(GMW!$A$2:$LR$60,MATCH(1,(GMW!$LQ$2:$LQ$60=AC$3)*(GMW!$LP$2:$LP$60=AC$4)*(GMW!$LR$2:$LR$60=AC$1),0),$C85-1966)</f>
        <v>64510</v>
      </c>
      <c r="AD85" s="4" cm="1">
        <f t="array" ref="AD85">INDEX(GMW!$A$2:$LR$60,MATCH(1,(GMW!$LQ$2:$LQ$60=AD$3)*(GMW!$LP$2:$LP$60=AD$4)*(GMW!$LR$2:$LR$60=AD$1),0),$C85-1966)</f>
        <v>57901</v>
      </c>
      <c r="AE85" s="4" cm="1">
        <f t="array" ref="AE85">INDEX(GMW!$A$2:$LR$60,MATCH(1,(GMW!$LQ$2:$LQ$60=AE$3)*(GMW!$LP$2:$LP$60=AE$4)*(GMW!$LR$2:$LR$60=AE$1),0),$C85-1966)</f>
        <v>55215</v>
      </c>
      <c r="AF85" s="4" cm="1">
        <f t="array" ref="AF85">INDEX(GMW!$A$2:$LR$60,MATCH(1,(GMW!$LQ$2:$LQ$60=AF$3)*(GMW!$LP$2:$LP$60=AF$4)*(GMW!$LR$2:$LR$60=AF$1),0),$C85-1966)</f>
        <v>1E-3</v>
      </c>
      <c r="AG85" s="4" cm="1">
        <f t="array" ref="AG85">INDEX(GMW!$A$2:$LR$60,MATCH(1,(GMW!$LQ$2:$LQ$60=AG$3)*(GMW!$LP$2:$LP$60=AG$4)*(GMW!$LR$2:$LR$60=AG$1),0),$C85-1966)</f>
        <v>1E-3</v>
      </c>
    </row>
    <row r="86" spans="1:33" x14ac:dyDescent="0.25">
      <c r="B86" s="4">
        <f t="shared" si="3"/>
        <v>1992</v>
      </c>
      <c r="C86" s="4">
        <f t="shared" si="2"/>
        <v>2052</v>
      </c>
      <c r="D86" s="4" cm="1">
        <f t="array" ref="D86">INDEX(GMW!$A$2:$LR$60,MATCH(1,(GMW!$LQ$2:$LQ$60=D$3)*(GMW!$LP$2:$LP$60=D$4)*(GMW!$LR$2:$LR$60=D$1),0),$C86-1966)</f>
        <v>315307</v>
      </c>
      <c r="E86" s="4" cm="1">
        <f t="array" ref="E86">INDEX(GMW!$A$2:$LR$60,MATCH(1,(GMW!$LQ$2:$LQ$60=E$3)*(GMW!$LP$2:$LP$60=E$4)*(GMW!$LR$2:$LR$60=E$1),0),$C86-1966)</f>
        <v>315307</v>
      </c>
      <c r="F86" s="4" cm="1">
        <f t="array" ref="F86">INDEX(GMW!$A$2:$LR$60,MATCH(1,(GMW!$LQ$2:$LQ$60=F$3)*(GMW!$LP$2:$LP$60=F$4)*(GMW!$LR$2:$LR$60=F$1),0),$C86-1966)</f>
        <v>315307</v>
      </c>
      <c r="G86" s="4" cm="1">
        <f t="array" ref="G86">INDEX(GMW!$A$2:$LR$60,MATCH(1,(GMW!$LQ$2:$LQ$60=G$3)*(GMW!$LP$2:$LP$60=G$4)*(GMW!$LR$2:$LR$60=G$1),0),$C86-1966)</f>
        <v>315307</v>
      </c>
      <c r="H86" s="4" cm="1">
        <f t="array" ref="H86">INDEX(GMW!$A$2:$LR$60,MATCH(1,(GMW!$LQ$2:$LQ$60=H$3)*(GMW!$LP$2:$LP$60=H$4)*(GMW!$LR$2:$LR$60=H$1),0),$C86-1966)</f>
        <v>315307</v>
      </c>
      <c r="I86" s="4" cm="1">
        <f t="array" ref="I86">INDEX(GMW!$A$2:$LR$60,MATCH(1,(GMW!$LQ$2:$LQ$60=I$3)*(GMW!$LP$2:$LP$60=I$4)*(GMW!$LR$2:$LR$60=I$1),0),$C86-1966)</f>
        <v>315307</v>
      </c>
      <c r="J86" s="4" cm="1">
        <f t="array" ref="J86">INDEX(GMW!$A$2:$LR$60,MATCH(1,(GMW!$LQ$2:$LQ$60=J$3)*(GMW!$LP$2:$LP$60=J$4)*(GMW!$LR$2:$LR$60=J$1),0),$C86-1966)</f>
        <v>315307</v>
      </c>
      <c r="K86" s="4" cm="1">
        <f t="array" ref="K86">INDEX(GMW!$A$2:$LR$60,MATCH(1,(GMW!$LQ$2:$LQ$60=K$3)*(GMW!$LP$2:$LP$60=K$4)*(GMW!$LR$2:$LR$60=K$1),0),$C86-1966)</f>
        <v>315307</v>
      </c>
      <c r="L86" s="4" cm="1">
        <f t="array" ref="L86">INDEX(GMW!$A$2:$LR$60,MATCH(1,(GMW!$LQ$2:$LQ$60=L$3)*(GMW!$LP$2:$LP$60=L$4)*(GMW!$LR$2:$LR$60=L$1),0),$C86-1966)</f>
        <v>315307</v>
      </c>
      <c r="M86" s="4" cm="1">
        <f t="array" ref="M86">INDEX(GMW!$A$2:$LR$60,MATCH(1,(GMW!$LQ$2:$LQ$60=M$3)*(GMW!$LP$2:$LP$60=M$4)*(GMW!$LR$2:$LR$60=M$1),0),$C86-1966)</f>
        <v>315307</v>
      </c>
      <c r="N86" s="4" cm="1">
        <f t="array" ref="N86">INDEX(GMW!$A$2:$LR$60,MATCH(1,(GMW!$LQ$2:$LQ$60=N$3)*(GMW!$LP$2:$LP$60=N$4)*(GMW!$LR$2:$LR$60=N$1),0),$C86-1966)</f>
        <v>315307</v>
      </c>
      <c r="O86" s="4" cm="1">
        <f t="array" ref="O86">INDEX(GMW!$A$2:$LR$60,MATCH(1,(GMW!$LQ$2:$LQ$60=O$3)*(GMW!$LP$2:$LP$60=O$4)*(GMW!$LR$2:$LR$60=O$1),0),$C86-1966)</f>
        <v>315307</v>
      </c>
      <c r="P86" s="4" cm="1">
        <f t="array" ref="P86">INDEX(GMW!$A$2:$LR$60,MATCH(1,(GMW!$LQ$2:$LQ$60=P$3)*(GMW!$LP$2:$LP$60=P$4)*(GMW!$LR$2:$LR$60=P$1),0),$C86-1966)</f>
        <v>315307</v>
      </c>
      <c r="Q86" s="4" cm="1">
        <f t="array" ref="Q86">INDEX(GMW!$A$2:$LR$60,MATCH(1,(GMW!$LQ$2:$LQ$60=Q$3)*(GMW!$LP$2:$LP$60=Q$4)*(GMW!$LR$2:$LR$60=Q$1),0),$C86-1966)</f>
        <v>315307</v>
      </c>
      <c r="R86" s="4" cm="1">
        <f t="array" ref="R86">INDEX(GMW!$A$2:$LR$60,MATCH(1,(GMW!$LQ$2:$LQ$60=R$3)*(GMW!$LP$2:$LP$60=R$4)*(GMW!$LR$2:$LR$60=R$1),0),$C86-1966)</f>
        <v>315307</v>
      </c>
      <c r="S86" s="4" cm="1">
        <f t="array" ref="S86">INDEX(GMW!$A$2:$LR$60,MATCH(1,(GMW!$LQ$2:$LQ$60=S$3)*(GMW!$LP$2:$LP$60=S$4)*(GMW!$LR$2:$LR$60=S$1),0),$C86-1966)</f>
        <v>315307</v>
      </c>
      <c r="T86" s="4" cm="1">
        <f t="array" ref="T86">INDEX(GMW!$A$2:$LR$60,MATCH(1,(GMW!$LQ$2:$LQ$60=T$3)*(GMW!$LP$2:$LP$60=T$4)*(GMW!$LR$2:$LR$60=T$1),0),$C86-1966)</f>
        <v>315307</v>
      </c>
      <c r="U86" s="4" cm="1">
        <f t="array" ref="U86">INDEX(GMW!$A$2:$LR$60,MATCH(1,(GMW!$LQ$2:$LQ$60=U$3)*(GMW!$LP$2:$LP$60=U$4)*(GMW!$LR$2:$LR$60=U$1),0),$C86-1966)</f>
        <v>215.0164</v>
      </c>
      <c r="V86" s="4" cm="1">
        <f t="array" ref="V86">INDEX(GMW!$A$2:$LR$60,MATCH(1,(GMW!$LQ$2:$LQ$60=V$3)*(GMW!$LP$2:$LP$60=V$4)*(GMW!$LR$2:$LR$60=V$1),0),$C86-1966)</f>
        <v>63.133339999999997</v>
      </c>
      <c r="W86" s="4" cm="1">
        <f t="array" ref="W86">INDEX(GMW!$A$2:$LR$60,MATCH(1,(GMW!$LQ$2:$LQ$60=W$3)*(GMW!$LP$2:$LP$60=W$4)*(GMW!$LR$2:$LR$60=W$1),0),$C86-1966)</f>
        <v>52.166670000000003</v>
      </c>
      <c r="X86" s="4" cm="1">
        <f t="array" ref="X86">INDEX(GMW!$A$2:$LR$60,MATCH(1,(GMW!$LQ$2:$LQ$60=X$3)*(GMW!$LP$2:$LP$60=X$4)*(GMW!$LR$2:$LR$60=X$1),0),$C86-1966)</f>
        <v>41.966670000000001</v>
      </c>
      <c r="Y86" s="4" cm="1">
        <f t="array" ref="Y86">INDEX(GMW!$A$2:$LR$60,MATCH(1,(GMW!$LQ$2:$LQ$60=Y$3)*(GMW!$LP$2:$LP$60=Y$4)*(GMW!$LR$2:$LR$60=Y$1),0),$C86-1966)</f>
        <v>38</v>
      </c>
      <c r="Z86" s="4" cm="1">
        <f t="array" ref="Z86">INDEX(GMW!$A$2:$LR$60,MATCH(1,(GMW!$LQ$2:$LQ$60=Z$3)*(GMW!$LP$2:$LP$60=Z$4)*(GMW!$LR$2:$LR$60=Z$1),0),$C86-1966)</f>
        <v>69.066670000000002</v>
      </c>
      <c r="AA86" s="4" cm="1">
        <f t="array" ref="AA86">INDEX(GMW!$A$2:$LR$60,MATCH(1,(GMW!$LQ$2:$LQ$60=AA$3)*(GMW!$LP$2:$LP$60=AA$4)*(GMW!$LR$2:$LR$60=AA$1),0),$C86-1966)</f>
        <v>182192</v>
      </c>
      <c r="AB86" s="4" cm="1">
        <f t="array" ref="AB86">INDEX(GMW!$A$2:$LR$60,MATCH(1,(GMW!$LQ$2:$LQ$60=AB$3)*(GMW!$LP$2:$LP$60=AB$4)*(GMW!$LR$2:$LR$60=AB$1),0),$C86-1966)</f>
        <v>57591</v>
      </c>
      <c r="AC86" s="4" cm="1">
        <f t="array" ref="AC86">INDEX(GMW!$A$2:$LR$60,MATCH(1,(GMW!$LQ$2:$LQ$60=AC$3)*(GMW!$LP$2:$LP$60=AC$4)*(GMW!$LR$2:$LR$60=AC$1),0),$C86-1966)</f>
        <v>64806</v>
      </c>
      <c r="AD86" s="4" cm="1">
        <f t="array" ref="AD86">INDEX(GMW!$A$2:$LR$60,MATCH(1,(GMW!$LQ$2:$LQ$60=AD$3)*(GMW!$LP$2:$LP$60=AD$4)*(GMW!$LR$2:$LR$60=AD$1),0),$C86-1966)</f>
        <v>60214</v>
      </c>
      <c r="AE86" s="4" cm="1">
        <f t="array" ref="AE86">INDEX(GMW!$A$2:$LR$60,MATCH(1,(GMW!$LQ$2:$LQ$60=AE$3)*(GMW!$LP$2:$LP$60=AE$4)*(GMW!$LR$2:$LR$60=AE$1),0),$C86-1966)</f>
        <v>55865</v>
      </c>
      <c r="AF86" s="4" cm="1">
        <f t="array" ref="AF86">INDEX(GMW!$A$2:$LR$60,MATCH(1,(GMW!$LQ$2:$LQ$60=AF$3)*(GMW!$LP$2:$LP$60=AF$4)*(GMW!$LR$2:$LR$60=AF$1),0),$C86-1966)</f>
        <v>1E-3</v>
      </c>
      <c r="AG86" s="4" cm="1">
        <f t="array" ref="AG86">INDEX(GMW!$A$2:$LR$60,MATCH(1,(GMW!$LQ$2:$LQ$60=AG$3)*(GMW!$LP$2:$LP$60=AG$4)*(GMW!$LR$2:$LR$60=AG$1),0),$C86-1966)</f>
        <v>1E-3</v>
      </c>
    </row>
    <row r="87" spans="1:33" x14ac:dyDescent="0.25">
      <c r="A87" s="4">
        <v>1993</v>
      </c>
      <c r="B87" s="4">
        <f t="shared" si="3"/>
        <v>1993</v>
      </c>
      <c r="C87" s="4">
        <f t="shared" si="2"/>
        <v>2053</v>
      </c>
      <c r="D87" s="4" cm="1">
        <f t="array" ref="D87">INDEX(GMW!$A$2:$LR$60,MATCH(1,(GMW!$LQ$2:$LQ$60=D$3)*(GMW!$LP$2:$LP$60=D$4)*(GMW!$LR$2:$LR$60=D$1),0),$C87-1966)</f>
        <v>316882</v>
      </c>
      <c r="E87" s="4" cm="1">
        <f t="array" ref="E87">INDEX(GMW!$A$2:$LR$60,MATCH(1,(GMW!$LQ$2:$LQ$60=E$3)*(GMW!$LP$2:$LP$60=E$4)*(GMW!$LR$2:$LR$60=E$1),0),$C87-1966)</f>
        <v>316882</v>
      </c>
      <c r="F87" s="4" cm="1">
        <f t="array" ref="F87">INDEX(GMW!$A$2:$LR$60,MATCH(1,(GMW!$LQ$2:$LQ$60=F$3)*(GMW!$LP$2:$LP$60=F$4)*(GMW!$LR$2:$LR$60=F$1),0),$C87-1966)</f>
        <v>316882</v>
      </c>
      <c r="G87" s="4" cm="1">
        <f t="array" ref="G87">INDEX(GMW!$A$2:$LR$60,MATCH(1,(GMW!$LQ$2:$LQ$60=G$3)*(GMW!$LP$2:$LP$60=G$4)*(GMW!$LR$2:$LR$60=G$1),0),$C87-1966)</f>
        <v>316882</v>
      </c>
      <c r="H87" s="4" cm="1">
        <f t="array" ref="H87">INDEX(GMW!$A$2:$LR$60,MATCH(1,(GMW!$LQ$2:$LQ$60=H$3)*(GMW!$LP$2:$LP$60=H$4)*(GMW!$LR$2:$LR$60=H$1),0),$C87-1966)</f>
        <v>316882</v>
      </c>
      <c r="I87" s="4" cm="1">
        <f t="array" ref="I87">INDEX(GMW!$A$2:$LR$60,MATCH(1,(GMW!$LQ$2:$LQ$60=I$3)*(GMW!$LP$2:$LP$60=I$4)*(GMW!$LR$2:$LR$60=I$1),0),$C87-1966)</f>
        <v>316882</v>
      </c>
      <c r="J87" s="4" cm="1">
        <f t="array" ref="J87">INDEX(GMW!$A$2:$LR$60,MATCH(1,(GMW!$LQ$2:$LQ$60=J$3)*(GMW!$LP$2:$LP$60=J$4)*(GMW!$LR$2:$LR$60=J$1),0),$C87-1966)</f>
        <v>316882</v>
      </c>
      <c r="K87" s="4" cm="1">
        <f t="array" ref="K87">INDEX(GMW!$A$2:$LR$60,MATCH(1,(GMW!$LQ$2:$LQ$60=K$3)*(GMW!$LP$2:$LP$60=K$4)*(GMW!$LR$2:$LR$60=K$1),0),$C87-1966)</f>
        <v>316882</v>
      </c>
      <c r="L87" s="4" cm="1">
        <f t="array" ref="L87">INDEX(GMW!$A$2:$LR$60,MATCH(1,(GMW!$LQ$2:$LQ$60=L$3)*(GMW!$LP$2:$LP$60=L$4)*(GMW!$LR$2:$LR$60=L$1),0),$C87-1966)</f>
        <v>316882</v>
      </c>
      <c r="M87" s="4" cm="1">
        <f t="array" ref="M87">INDEX(GMW!$A$2:$LR$60,MATCH(1,(GMW!$LQ$2:$LQ$60=M$3)*(GMW!$LP$2:$LP$60=M$4)*(GMW!$LR$2:$LR$60=M$1),0),$C87-1966)</f>
        <v>316882</v>
      </c>
      <c r="N87" s="4" cm="1">
        <f t="array" ref="N87">INDEX(GMW!$A$2:$LR$60,MATCH(1,(GMW!$LQ$2:$LQ$60=N$3)*(GMW!$LP$2:$LP$60=N$4)*(GMW!$LR$2:$LR$60=N$1),0),$C87-1966)</f>
        <v>316882</v>
      </c>
      <c r="O87" s="4" cm="1">
        <f t="array" ref="O87">INDEX(GMW!$A$2:$LR$60,MATCH(1,(GMW!$LQ$2:$LQ$60=O$3)*(GMW!$LP$2:$LP$60=O$4)*(GMW!$LR$2:$LR$60=O$1),0),$C87-1966)</f>
        <v>316882</v>
      </c>
      <c r="P87" s="4" cm="1">
        <f t="array" ref="P87">INDEX(GMW!$A$2:$LR$60,MATCH(1,(GMW!$LQ$2:$LQ$60=P$3)*(GMW!$LP$2:$LP$60=P$4)*(GMW!$LR$2:$LR$60=P$1),0),$C87-1966)</f>
        <v>316882</v>
      </c>
      <c r="Q87" s="4" cm="1">
        <f t="array" ref="Q87">INDEX(GMW!$A$2:$LR$60,MATCH(1,(GMW!$LQ$2:$LQ$60=Q$3)*(GMW!$LP$2:$LP$60=Q$4)*(GMW!$LR$2:$LR$60=Q$1),0),$C87-1966)</f>
        <v>316882</v>
      </c>
      <c r="R87" s="4" cm="1">
        <f t="array" ref="R87">INDEX(GMW!$A$2:$LR$60,MATCH(1,(GMW!$LQ$2:$LQ$60=R$3)*(GMW!$LP$2:$LP$60=R$4)*(GMW!$LR$2:$LR$60=R$1),0),$C87-1966)</f>
        <v>316882</v>
      </c>
      <c r="S87" s="4" cm="1">
        <f t="array" ref="S87">INDEX(GMW!$A$2:$LR$60,MATCH(1,(GMW!$LQ$2:$LQ$60=S$3)*(GMW!$LP$2:$LP$60=S$4)*(GMW!$LR$2:$LR$60=S$1),0),$C87-1966)</f>
        <v>316882</v>
      </c>
      <c r="T87" s="4" cm="1">
        <f t="array" ref="T87">INDEX(GMW!$A$2:$LR$60,MATCH(1,(GMW!$LQ$2:$LQ$60=T$3)*(GMW!$LP$2:$LP$60=T$4)*(GMW!$LR$2:$LR$60=T$1),0),$C87-1966)</f>
        <v>316882</v>
      </c>
      <c r="U87" s="4" cm="1">
        <f t="array" ref="U87">INDEX(GMW!$A$2:$LR$60,MATCH(1,(GMW!$LQ$2:$LQ$60=U$3)*(GMW!$LP$2:$LP$60=U$4)*(GMW!$LR$2:$LR$60=U$1),0),$C87-1966)</f>
        <v>213.95429999999999</v>
      </c>
      <c r="V87" s="4" cm="1">
        <f t="array" ref="V87">INDEX(GMW!$A$2:$LR$60,MATCH(1,(GMW!$LQ$2:$LQ$60=V$3)*(GMW!$LP$2:$LP$60=V$4)*(GMW!$LR$2:$LR$60=V$1),0),$C87-1966)</f>
        <v>63.2</v>
      </c>
      <c r="W87" s="4" cm="1">
        <f t="array" ref="W87">INDEX(GMW!$A$2:$LR$60,MATCH(1,(GMW!$LQ$2:$LQ$60=W$3)*(GMW!$LP$2:$LP$60=W$4)*(GMW!$LR$2:$LR$60=W$1),0),$C87-1966)</f>
        <v>53.066670000000002</v>
      </c>
      <c r="X87" s="4" cm="1">
        <f t="array" ref="X87">INDEX(GMW!$A$2:$LR$60,MATCH(1,(GMW!$LQ$2:$LQ$60=X$3)*(GMW!$LP$2:$LP$60=X$4)*(GMW!$LR$2:$LR$60=X$1),0),$C87-1966)</f>
        <v>41.966670000000001</v>
      </c>
      <c r="Y87" s="4" cm="1">
        <f t="array" ref="Y87">INDEX(GMW!$A$2:$LR$60,MATCH(1,(GMW!$LQ$2:$LQ$60=Y$3)*(GMW!$LP$2:$LP$60=Y$4)*(GMW!$LR$2:$LR$60=Y$1),0),$C87-1966)</f>
        <v>37.9</v>
      </c>
      <c r="Z87" s="4" cm="1">
        <f t="array" ref="Z87">INDEX(GMW!$A$2:$LR$60,MATCH(1,(GMW!$LQ$2:$LQ$60=Z$3)*(GMW!$LP$2:$LP$60=Z$4)*(GMW!$LR$2:$LR$60=Z$1),0),$C87-1966)</f>
        <v>68.833340000000007</v>
      </c>
      <c r="AA87" s="4" cm="1">
        <f t="array" ref="AA87">INDEX(GMW!$A$2:$LR$60,MATCH(1,(GMW!$LQ$2:$LQ$60=AA$3)*(GMW!$LP$2:$LP$60=AA$4)*(GMW!$LR$2:$LR$60=AA$1),0),$C87-1966)</f>
        <v>183675</v>
      </c>
      <c r="AB87" s="4" cm="1">
        <f t="array" ref="AB87">INDEX(GMW!$A$2:$LR$60,MATCH(1,(GMW!$LQ$2:$LQ$60=AB$3)*(GMW!$LP$2:$LP$60=AB$4)*(GMW!$LR$2:$LR$60=AB$1),0),$C87-1966)</f>
        <v>58981</v>
      </c>
      <c r="AC87" s="4" cm="1">
        <f t="array" ref="AC87">INDEX(GMW!$A$2:$LR$60,MATCH(1,(GMW!$LQ$2:$LQ$60=AC$3)*(GMW!$LP$2:$LP$60=AC$4)*(GMW!$LR$2:$LR$60=AC$1),0),$C87-1966)</f>
        <v>64235</v>
      </c>
      <c r="AD87" s="4" cm="1">
        <f t="array" ref="AD87">INDEX(GMW!$A$2:$LR$60,MATCH(1,(GMW!$LQ$2:$LQ$60=AD$3)*(GMW!$LP$2:$LP$60=AD$4)*(GMW!$LR$2:$LR$60=AD$1),0),$C87-1966)</f>
        <v>60915</v>
      </c>
      <c r="AE87" s="4" cm="1">
        <f t="array" ref="AE87">INDEX(GMW!$A$2:$LR$60,MATCH(1,(GMW!$LQ$2:$LQ$60=AE$3)*(GMW!$LP$2:$LP$60=AE$4)*(GMW!$LR$2:$LR$60=AE$1),0),$C87-1966)</f>
        <v>56320</v>
      </c>
      <c r="AF87" s="4" cm="1">
        <f t="array" ref="AF87">INDEX(GMW!$A$2:$LR$60,MATCH(1,(GMW!$LQ$2:$LQ$60=AF$3)*(GMW!$LP$2:$LP$60=AF$4)*(GMW!$LR$2:$LR$60=AF$1),0),$C87-1966)</f>
        <v>1E-3</v>
      </c>
      <c r="AG87" s="4" cm="1">
        <f t="array" ref="AG87">INDEX(GMW!$A$2:$LR$60,MATCH(1,(GMW!$LQ$2:$LQ$60=AG$3)*(GMW!$LP$2:$LP$60=AG$4)*(GMW!$LR$2:$LR$60=AG$1),0),$C87-1966)</f>
        <v>1E-3</v>
      </c>
    </row>
    <row r="88" spans="1:33" x14ac:dyDescent="0.25">
      <c r="B88" s="4">
        <f t="shared" si="3"/>
        <v>1993</v>
      </c>
      <c r="C88" s="4">
        <f t="shared" si="2"/>
        <v>2054</v>
      </c>
      <c r="D88" s="4" cm="1">
        <f t="array" ref="D88">INDEX(GMW!$A$2:$LR$60,MATCH(1,(GMW!$LQ$2:$LQ$60=D$3)*(GMW!$LP$2:$LP$60=D$4)*(GMW!$LR$2:$LR$60=D$1),0),$C88-1966)</f>
        <v>318302</v>
      </c>
      <c r="E88" s="4" cm="1">
        <f t="array" ref="E88">INDEX(GMW!$A$2:$LR$60,MATCH(1,(GMW!$LQ$2:$LQ$60=E$3)*(GMW!$LP$2:$LP$60=E$4)*(GMW!$LR$2:$LR$60=E$1),0),$C88-1966)</f>
        <v>318302</v>
      </c>
      <c r="F88" s="4" cm="1">
        <f t="array" ref="F88">INDEX(GMW!$A$2:$LR$60,MATCH(1,(GMW!$LQ$2:$LQ$60=F$3)*(GMW!$LP$2:$LP$60=F$4)*(GMW!$LR$2:$LR$60=F$1),0),$C88-1966)</f>
        <v>318302</v>
      </c>
      <c r="G88" s="4" cm="1">
        <f t="array" ref="G88">INDEX(GMW!$A$2:$LR$60,MATCH(1,(GMW!$LQ$2:$LQ$60=G$3)*(GMW!$LP$2:$LP$60=G$4)*(GMW!$LR$2:$LR$60=G$1),0),$C88-1966)</f>
        <v>318302</v>
      </c>
      <c r="H88" s="4" cm="1">
        <f t="array" ref="H88">INDEX(GMW!$A$2:$LR$60,MATCH(1,(GMW!$LQ$2:$LQ$60=H$3)*(GMW!$LP$2:$LP$60=H$4)*(GMW!$LR$2:$LR$60=H$1),0),$C88-1966)</f>
        <v>318302</v>
      </c>
      <c r="I88" s="4" cm="1">
        <f t="array" ref="I88">INDEX(GMW!$A$2:$LR$60,MATCH(1,(GMW!$LQ$2:$LQ$60=I$3)*(GMW!$LP$2:$LP$60=I$4)*(GMW!$LR$2:$LR$60=I$1),0),$C88-1966)</f>
        <v>318302</v>
      </c>
      <c r="J88" s="4" cm="1">
        <f t="array" ref="J88">INDEX(GMW!$A$2:$LR$60,MATCH(1,(GMW!$LQ$2:$LQ$60=J$3)*(GMW!$LP$2:$LP$60=J$4)*(GMW!$LR$2:$LR$60=J$1),0),$C88-1966)</f>
        <v>318302</v>
      </c>
      <c r="K88" s="4" cm="1">
        <f t="array" ref="K88">INDEX(GMW!$A$2:$LR$60,MATCH(1,(GMW!$LQ$2:$LQ$60=K$3)*(GMW!$LP$2:$LP$60=K$4)*(GMW!$LR$2:$LR$60=K$1),0),$C88-1966)</f>
        <v>318302</v>
      </c>
      <c r="L88" s="4" cm="1">
        <f t="array" ref="L88">INDEX(GMW!$A$2:$LR$60,MATCH(1,(GMW!$LQ$2:$LQ$60=L$3)*(GMW!$LP$2:$LP$60=L$4)*(GMW!$LR$2:$LR$60=L$1),0),$C88-1966)</f>
        <v>318302</v>
      </c>
      <c r="M88" s="4" cm="1">
        <f t="array" ref="M88">INDEX(GMW!$A$2:$LR$60,MATCH(1,(GMW!$LQ$2:$LQ$60=M$3)*(GMW!$LP$2:$LP$60=M$4)*(GMW!$LR$2:$LR$60=M$1),0),$C88-1966)</f>
        <v>318302</v>
      </c>
      <c r="N88" s="4" cm="1">
        <f t="array" ref="N88">INDEX(GMW!$A$2:$LR$60,MATCH(1,(GMW!$LQ$2:$LQ$60=N$3)*(GMW!$LP$2:$LP$60=N$4)*(GMW!$LR$2:$LR$60=N$1),0),$C88-1966)</f>
        <v>318302</v>
      </c>
      <c r="O88" s="4" cm="1">
        <f t="array" ref="O88">INDEX(GMW!$A$2:$LR$60,MATCH(1,(GMW!$LQ$2:$LQ$60=O$3)*(GMW!$LP$2:$LP$60=O$4)*(GMW!$LR$2:$LR$60=O$1),0),$C88-1966)</f>
        <v>318302</v>
      </c>
      <c r="P88" s="4" cm="1">
        <f t="array" ref="P88">INDEX(GMW!$A$2:$LR$60,MATCH(1,(GMW!$LQ$2:$LQ$60=P$3)*(GMW!$LP$2:$LP$60=P$4)*(GMW!$LR$2:$LR$60=P$1),0),$C88-1966)</f>
        <v>318302</v>
      </c>
      <c r="Q88" s="4" cm="1">
        <f t="array" ref="Q88">INDEX(GMW!$A$2:$LR$60,MATCH(1,(GMW!$LQ$2:$LQ$60=Q$3)*(GMW!$LP$2:$LP$60=Q$4)*(GMW!$LR$2:$LR$60=Q$1),0),$C88-1966)</f>
        <v>318302</v>
      </c>
      <c r="R88" s="4" cm="1">
        <f t="array" ref="R88">INDEX(GMW!$A$2:$LR$60,MATCH(1,(GMW!$LQ$2:$LQ$60=R$3)*(GMW!$LP$2:$LP$60=R$4)*(GMW!$LR$2:$LR$60=R$1),0),$C88-1966)</f>
        <v>318302</v>
      </c>
      <c r="S88" s="4" cm="1">
        <f t="array" ref="S88">INDEX(GMW!$A$2:$LR$60,MATCH(1,(GMW!$LQ$2:$LQ$60=S$3)*(GMW!$LP$2:$LP$60=S$4)*(GMW!$LR$2:$LR$60=S$1),0),$C88-1966)</f>
        <v>318302</v>
      </c>
      <c r="T88" s="4" cm="1">
        <f t="array" ref="T88">INDEX(GMW!$A$2:$LR$60,MATCH(1,(GMW!$LQ$2:$LQ$60=T$3)*(GMW!$LP$2:$LP$60=T$4)*(GMW!$LR$2:$LR$60=T$1),0),$C88-1966)</f>
        <v>318302</v>
      </c>
      <c r="U88" s="4" cm="1">
        <f t="array" ref="U88">INDEX(GMW!$A$2:$LR$60,MATCH(1,(GMW!$LQ$2:$LQ$60=U$3)*(GMW!$LP$2:$LP$60=U$4)*(GMW!$LR$2:$LR$60=U$1),0),$C88-1966)</f>
        <v>217.78450000000001</v>
      </c>
      <c r="V88" s="4" cm="1">
        <f t="array" ref="V88">INDEX(GMW!$A$2:$LR$60,MATCH(1,(GMW!$LQ$2:$LQ$60=V$3)*(GMW!$LP$2:$LP$60=V$4)*(GMW!$LR$2:$LR$60=V$1),0),$C88-1966)</f>
        <v>64.433329999999998</v>
      </c>
      <c r="W88" s="4" cm="1">
        <f t="array" ref="W88">INDEX(GMW!$A$2:$LR$60,MATCH(1,(GMW!$LQ$2:$LQ$60=W$3)*(GMW!$LP$2:$LP$60=W$4)*(GMW!$LR$2:$LR$60=W$1),0),$C88-1966)</f>
        <v>53.933329999999998</v>
      </c>
      <c r="X88" s="4" cm="1">
        <f t="array" ref="X88">INDEX(GMW!$A$2:$LR$60,MATCH(1,(GMW!$LQ$2:$LQ$60=X$3)*(GMW!$LP$2:$LP$60=X$4)*(GMW!$LR$2:$LR$60=X$1),0),$C88-1966)</f>
        <v>44.566670000000002</v>
      </c>
      <c r="Y88" s="4" cm="1">
        <f t="array" ref="Y88">INDEX(GMW!$A$2:$LR$60,MATCH(1,(GMW!$LQ$2:$LQ$60=Y$3)*(GMW!$LP$2:$LP$60=Y$4)*(GMW!$LR$2:$LR$60=Y$1),0),$C88-1966)</f>
        <v>37.6</v>
      </c>
      <c r="Z88" s="4" cm="1">
        <f t="array" ref="Z88">INDEX(GMW!$A$2:$LR$60,MATCH(1,(GMW!$LQ$2:$LQ$60=Z$3)*(GMW!$LP$2:$LP$60=Z$4)*(GMW!$LR$2:$LR$60=Z$1),0),$C88-1966)</f>
        <v>70.133330000000001</v>
      </c>
      <c r="AA88" s="4" cm="1">
        <f t="array" ref="AA88">INDEX(GMW!$A$2:$LR$60,MATCH(1,(GMW!$LQ$2:$LQ$60=AA$3)*(GMW!$LP$2:$LP$60=AA$4)*(GMW!$LR$2:$LR$60=AA$1),0),$C88-1966)</f>
        <v>184042</v>
      </c>
      <c r="AB88" s="4" cm="1">
        <f t="array" ref="AB88">INDEX(GMW!$A$2:$LR$60,MATCH(1,(GMW!$LQ$2:$LQ$60=AB$3)*(GMW!$LP$2:$LP$60=AB$4)*(GMW!$LR$2:$LR$60=AB$1),0),$C88-1966)</f>
        <v>58653</v>
      </c>
      <c r="AC88" s="4" cm="1">
        <f t="array" ref="AC88">INDEX(GMW!$A$2:$LR$60,MATCH(1,(GMW!$LQ$2:$LQ$60=AC$3)*(GMW!$LP$2:$LP$60=AC$4)*(GMW!$LR$2:$LR$60=AC$1),0),$C88-1966)</f>
        <v>63699</v>
      </c>
      <c r="AD88" s="4" cm="1">
        <f t="array" ref="AD88">INDEX(GMW!$A$2:$LR$60,MATCH(1,(GMW!$LQ$2:$LQ$60=AD$3)*(GMW!$LP$2:$LP$60=AD$4)*(GMW!$LR$2:$LR$60=AD$1),0),$C88-1966)</f>
        <v>60080</v>
      </c>
      <c r="AE88" s="4" cm="1">
        <f t="array" ref="AE88">INDEX(GMW!$A$2:$LR$60,MATCH(1,(GMW!$LQ$2:$LQ$60=AE$3)*(GMW!$LP$2:$LP$60=AE$4)*(GMW!$LR$2:$LR$60=AE$1),0),$C88-1966)</f>
        <v>55878</v>
      </c>
      <c r="AF88" s="4" cm="1">
        <f t="array" ref="AF88">INDEX(GMW!$A$2:$LR$60,MATCH(1,(GMW!$LQ$2:$LQ$60=AF$3)*(GMW!$LP$2:$LP$60=AF$4)*(GMW!$LR$2:$LR$60=AF$1),0),$C88-1966)</f>
        <v>1E-3</v>
      </c>
      <c r="AG88" s="4" cm="1">
        <f t="array" ref="AG88">INDEX(GMW!$A$2:$LR$60,MATCH(1,(GMW!$LQ$2:$LQ$60=AG$3)*(GMW!$LP$2:$LP$60=AG$4)*(GMW!$LR$2:$LR$60=AG$1),0),$C88-1966)</f>
        <v>1E-3</v>
      </c>
    </row>
    <row r="89" spans="1:33" x14ac:dyDescent="0.25">
      <c r="B89" s="4">
        <f t="shared" si="3"/>
        <v>1993</v>
      </c>
      <c r="C89" s="4">
        <f t="shared" si="2"/>
        <v>2055</v>
      </c>
      <c r="D89" s="4" cm="1">
        <f t="array" ref="D89">INDEX(GMW!$A$2:$LR$60,MATCH(1,(GMW!$LQ$2:$LQ$60=D$3)*(GMW!$LP$2:$LP$60=D$4)*(GMW!$LR$2:$LR$60=D$1),0),$C89-1966)</f>
        <v>321218</v>
      </c>
      <c r="E89" s="4" cm="1">
        <f t="array" ref="E89">INDEX(GMW!$A$2:$LR$60,MATCH(1,(GMW!$LQ$2:$LQ$60=E$3)*(GMW!$LP$2:$LP$60=E$4)*(GMW!$LR$2:$LR$60=E$1),0),$C89-1966)</f>
        <v>321218</v>
      </c>
      <c r="F89" s="4" cm="1">
        <f t="array" ref="F89">INDEX(GMW!$A$2:$LR$60,MATCH(1,(GMW!$LQ$2:$LQ$60=F$3)*(GMW!$LP$2:$LP$60=F$4)*(GMW!$LR$2:$LR$60=F$1),0),$C89-1966)</f>
        <v>321218</v>
      </c>
      <c r="G89" s="4" cm="1">
        <f t="array" ref="G89">INDEX(GMW!$A$2:$LR$60,MATCH(1,(GMW!$LQ$2:$LQ$60=G$3)*(GMW!$LP$2:$LP$60=G$4)*(GMW!$LR$2:$LR$60=G$1),0),$C89-1966)</f>
        <v>321218</v>
      </c>
      <c r="H89" s="4" cm="1">
        <f t="array" ref="H89">INDEX(GMW!$A$2:$LR$60,MATCH(1,(GMW!$LQ$2:$LQ$60=H$3)*(GMW!$LP$2:$LP$60=H$4)*(GMW!$LR$2:$LR$60=H$1),0),$C89-1966)</f>
        <v>321218</v>
      </c>
      <c r="I89" s="4" cm="1">
        <f t="array" ref="I89">INDEX(GMW!$A$2:$LR$60,MATCH(1,(GMW!$LQ$2:$LQ$60=I$3)*(GMW!$LP$2:$LP$60=I$4)*(GMW!$LR$2:$LR$60=I$1),0),$C89-1966)</f>
        <v>321218</v>
      </c>
      <c r="J89" s="4" cm="1">
        <f t="array" ref="J89">INDEX(GMW!$A$2:$LR$60,MATCH(1,(GMW!$LQ$2:$LQ$60=J$3)*(GMW!$LP$2:$LP$60=J$4)*(GMW!$LR$2:$LR$60=J$1),0),$C89-1966)</f>
        <v>321218</v>
      </c>
      <c r="K89" s="4" cm="1">
        <f t="array" ref="K89">INDEX(GMW!$A$2:$LR$60,MATCH(1,(GMW!$LQ$2:$LQ$60=K$3)*(GMW!$LP$2:$LP$60=K$4)*(GMW!$LR$2:$LR$60=K$1),0),$C89-1966)</f>
        <v>321218</v>
      </c>
      <c r="L89" s="4" cm="1">
        <f t="array" ref="L89">INDEX(GMW!$A$2:$LR$60,MATCH(1,(GMW!$LQ$2:$LQ$60=L$3)*(GMW!$LP$2:$LP$60=L$4)*(GMW!$LR$2:$LR$60=L$1),0),$C89-1966)</f>
        <v>321218</v>
      </c>
      <c r="M89" s="4" cm="1">
        <f t="array" ref="M89">INDEX(GMW!$A$2:$LR$60,MATCH(1,(GMW!$LQ$2:$LQ$60=M$3)*(GMW!$LP$2:$LP$60=M$4)*(GMW!$LR$2:$LR$60=M$1),0),$C89-1966)</f>
        <v>321218</v>
      </c>
      <c r="N89" s="4" cm="1">
        <f t="array" ref="N89">INDEX(GMW!$A$2:$LR$60,MATCH(1,(GMW!$LQ$2:$LQ$60=N$3)*(GMW!$LP$2:$LP$60=N$4)*(GMW!$LR$2:$LR$60=N$1),0),$C89-1966)</f>
        <v>321218</v>
      </c>
      <c r="O89" s="4" cm="1">
        <f t="array" ref="O89">INDEX(GMW!$A$2:$LR$60,MATCH(1,(GMW!$LQ$2:$LQ$60=O$3)*(GMW!$LP$2:$LP$60=O$4)*(GMW!$LR$2:$LR$60=O$1),0),$C89-1966)</f>
        <v>321218</v>
      </c>
      <c r="P89" s="4" cm="1">
        <f t="array" ref="P89">INDEX(GMW!$A$2:$LR$60,MATCH(1,(GMW!$LQ$2:$LQ$60=P$3)*(GMW!$LP$2:$LP$60=P$4)*(GMW!$LR$2:$LR$60=P$1),0),$C89-1966)</f>
        <v>321218</v>
      </c>
      <c r="Q89" s="4" cm="1">
        <f t="array" ref="Q89">INDEX(GMW!$A$2:$LR$60,MATCH(1,(GMW!$LQ$2:$LQ$60=Q$3)*(GMW!$LP$2:$LP$60=Q$4)*(GMW!$LR$2:$LR$60=Q$1),0),$C89-1966)</f>
        <v>321218</v>
      </c>
      <c r="R89" s="4" cm="1">
        <f t="array" ref="R89">INDEX(GMW!$A$2:$LR$60,MATCH(1,(GMW!$LQ$2:$LQ$60=R$3)*(GMW!$LP$2:$LP$60=R$4)*(GMW!$LR$2:$LR$60=R$1),0),$C89-1966)</f>
        <v>321218</v>
      </c>
      <c r="S89" s="4" cm="1">
        <f t="array" ref="S89">INDEX(GMW!$A$2:$LR$60,MATCH(1,(GMW!$LQ$2:$LQ$60=S$3)*(GMW!$LP$2:$LP$60=S$4)*(GMW!$LR$2:$LR$60=S$1),0),$C89-1966)</f>
        <v>321218</v>
      </c>
      <c r="T89" s="4" cm="1">
        <f t="array" ref="T89">INDEX(GMW!$A$2:$LR$60,MATCH(1,(GMW!$LQ$2:$LQ$60=T$3)*(GMW!$LP$2:$LP$60=T$4)*(GMW!$LR$2:$LR$60=T$1),0),$C89-1966)</f>
        <v>321218</v>
      </c>
      <c r="U89" s="4" cm="1">
        <f t="array" ref="U89">INDEX(GMW!$A$2:$LR$60,MATCH(1,(GMW!$LQ$2:$LQ$60=U$3)*(GMW!$LP$2:$LP$60=U$4)*(GMW!$LR$2:$LR$60=U$1),0),$C89-1966)</f>
        <v>221.5908</v>
      </c>
      <c r="V89" s="4" cm="1">
        <f t="array" ref="V89">INDEX(GMW!$A$2:$LR$60,MATCH(1,(GMW!$LQ$2:$LQ$60=V$3)*(GMW!$LP$2:$LP$60=V$4)*(GMW!$LR$2:$LR$60=V$1),0),$C89-1966)</f>
        <v>64.5</v>
      </c>
      <c r="W89" s="4" cm="1">
        <f t="array" ref="W89">INDEX(GMW!$A$2:$LR$60,MATCH(1,(GMW!$LQ$2:$LQ$60=W$3)*(GMW!$LP$2:$LP$60=W$4)*(GMW!$LR$2:$LR$60=W$1),0),$C89-1966)</f>
        <v>53.966670000000001</v>
      </c>
      <c r="X89" s="4" cm="1">
        <f t="array" ref="X89">INDEX(GMW!$A$2:$LR$60,MATCH(1,(GMW!$LQ$2:$LQ$60=X$3)*(GMW!$LP$2:$LP$60=X$4)*(GMW!$LR$2:$LR$60=X$1),0),$C89-1966)</f>
        <v>44.266669999999998</v>
      </c>
      <c r="Y89" s="4" cm="1">
        <f t="array" ref="Y89">INDEX(GMW!$A$2:$LR$60,MATCH(1,(GMW!$LQ$2:$LQ$60=Y$3)*(GMW!$LP$2:$LP$60=Y$4)*(GMW!$LR$2:$LR$60=Y$1),0),$C89-1966)</f>
        <v>37.366660000000003</v>
      </c>
      <c r="Z89" s="4" cm="1">
        <f t="array" ref="Z89">INDEX(GMW!$A$2:$LR$60,MATCH(1,(GMW!$LQ$2:$LQ$60=Z$3)*(GMW!$LP$2:$LP$60=Z$4)*(GMW!$LR$2:$LR$60=Z$1),0),$C89-1966)</f>
        <v>70.433329999999998</v>
      </c>
      <c r="AA89" s="4" cm="1">
        <f t="array" ref="AA89">INDEX(GMW!$A$2:$LR$60,MATCH(1,(GMW!$LQ$2:$LQ$60=AA$3)*(GMW!$LP$2:$LP$60=AA$4)*(GMW!$LR$2:$LR$60=AA$1),0),$C89-1966)</f>
        <v>187247</v>
      </c>
      <c r="AB89" s="4" cm="1">
        <f t="array" ref="AB89">INDEX(GMW!$A$2:$LR$60,MATCH(1,(GMW!$LQ$2:$LQ$60=AB$3)*(GMW!$LP$2:$LP$60=AB$4)*(GMW!$LR$2:$LR$60=AB$1),0),$C89-1966)</f>
        <v>58726</v>
      </c>
      <c r="AC89" s="4" cm="1">
        <f t="array" ref="AC89">INDEX(GMW!$A$2:$LR$60,MATCH(1,(GMW!$LQ$2:$LQ$60=AC$3)*(GMW!$LP$2:$LP$60=AC$4)*(GMW!$LR$2:$LR$60=AC$1),0),$C89-1966)</f>
        <v>64437</v>
      </c>
      <c r="AD89" s="4" cm="1">
        <f t="array" ref="AD89">INDEX(GMW!$A$2:$LR$60,MATCH(1,(GMW!$LQ$2:$LQ$60=AD$3)*(GMW!$LP$2:$LP$60=AD$4)*(GMW!$LR$2:$LR$60=AD$1),0),$C89-1966)</f>
        <v>61130</v>
      </c>
      <c r="AE89" s="4" cm="1">
        <f t="array" ref="AE89">INDEX(GMW!$A$2:$LR$60,MATCH(1,(GMW!$LQ$2:$LQ$60=AE$3)*(GMW!$LP$2:$LP$60=AE$4)*(GMW!$LR$2:$LR$60=AE$1),0),$C89-1966)</f>
        <v>57097</v>
      </c>
      <c r="AF89" s="4" cm="1">
        <f t="array" ref="AF89">INDEX(GMW!$A$2:$LR$60,MATCH(1,(GMW!$LQ$2:$LQ$60=AF$3)*(GMW!$LP$2:$LP$60=AF$4)*(GMW!$LR$2:$LR$60=AF$1),0),$C89-1966)</f>
        <v>1E-3</v>
      </c>
      <c r="AG89" s="4" cm="1">
        <f t="array" ref="AG89">INDEX(GMW!$A$2:$LR$60,MATCH(1,(GMW!$LQ$2:$LQ$60=AG$3)*(GMW!$LP$2:$LP$60=AG$4)*(GMW!$LR$2:$LR$60=AG$1),0),$C89-1966)</f>
        <v>1E-3</v>
      </c>
    </row>
    <row r="90" spans="1:33" x14ac:dyDescent="0.25">
      <c r="B90" s="4">
        <f t="shared" si="3"/>
        <v>1993</v>
      </c>
      <c r="C90" s="4">
        <f t="shared" si="2"/>
        <v>2056</v>
      </c>
      <c r="D90" s="4" cm="1">
        <f t="array" ref="D90">INDEX(GMW!$A$2:$LR$60,MATCH(1,(GMW!$LQ$2:$LQ$60=D$3)*(GMW!$LP$2:$LP$60=D$4)*(GMW!$LR$2:$LR$60=D$1),0),$C90-1966)</f>
        <v>323400</v>
      </c>
      <c r="E90" s="4" cm="1">
        <f t="array" ref="E90">INDEX(GMW!$A$2:$LR$60,MATCH(1,(GMW!$LQ$2:$LQ$60=E$3)*(GMW!$LP$2:$LP$60=E$4)*(GMW!$LR$2:$LR$60=E$1),0),$C90-1966)</f>
        <v>323400</v>
      </c>
      <c r="F90" s="4" cm="1">
        <f t="array" ref="F90">INDEX(GMW!$A$2:$LR$60,MATCH(1,(GMW!$LQ$2:$LQ$60=F$3)*(GMW!$LP$2:$LP$60=F$4)*(GMW!$LR$2:$LR$60=F$1),0),$C90-1966)</f>
        <v>323400</v>
      </c>
      <c r="G90" s="4" cm="1">
        <f t="array" ref="G90">INDEX(GMW!$A$2:$LR$60,MATCH(1,(GMW!$LQ$2:$LQ$60=G$3)*(GMW!$LP$2:$LP$60=G$4)*(GMW!$LR$2:$LR$60=G$1),0),$C90-1966)</f>
        <v>323400</v>
      </c>
      <c r="H90" s="4" cm="1">
        <f t="array" ref="H90">INDEX(GMW!$A$2:$LR$60,MATCH(1,(GMW!$LQ$2:$LQ$60=H$3)*(GMW!$LP$2:$LP$60=H$4)*(GMW!$LR$2:$LR$60=H$1),0),$C90-1966)</f>
        <v>323400</v>
      </c>
      <c r="I90" s="4" cm="1">
        <f t="array" ref="I90">INDEX(GMW!$A$2:$LR$60,MATCH(1,(GMW!$LQ$2:$LQ$60=I$3)*(GMW!$LP$2:$LP$60=I$4)*(GMW!$LR$2:$LR$60=I$1),0),$C90-1966)</f>
        <v>323400</v>
      </c>
      <c r="J90" s="4" cm="1">
        <f t="array" ref="J90">INDEX(GMW!$A$2:$LR$60,MATCH(1,(GMW!$LQ$2:$LQ$60=J$3)*(GMW!$LP$2:$LP$60=J$4)*(GMW!$LR$2:$LR$60=J$1),0),$C90-1966)</f>
        <v>323400</v>
      </c>
      <c r="K90" s="4" cm="1">
        <f t="array" ref="K90">INDEX(GMW!$A$2:$LR$60,MATCH(1,(GMW!$LQ$2:$LQ$60=K$3)*(GMW!$LP$2:$LP$60=K$4)*(GMW!$LR$2:$LR$60=K$1),0),$C90-1966)</f>
        <v>323400</v>
      </c>
      <c r="L90" s="4" cm="1">
        <f t="array" ref="L90">INDEX(GMW!$A$2:$LR$60,MATCH(1,(GMW!$LQ$2:$LQ$60=L$3)*(GMW!$LP$2:$LP$60=L$4)*(GMW!$LR$2:$LR$60=L$1),0),$C90-1966)</f>
        <v>323400</v>
      </c>
      <c r="M90" s="4" cm="1">
        <f t="array" ref="M90">INDEX(GMW!$A$2:$LR$60,MATCH(1,(GMW!$LQ$2:$LQ$60=M$3)*(GMW!$LP$2:$LP$60=M$4)*(GMW!$LR$2:$LR$60=M$1),0),$C90-1966)</f>
        <v>323400</v>
      </c>
      <c r="N90" s="4" cm="1">
        <f t="array" ref="N90">INDEX(GMW!$A$2:$LR$60,MATCH(1,(GMW!$LQ$2:$LQ$60=N$3)*(GMW!$LP$2:$LP$60=N$4)*(GMW!$LR$2:$LR$60=N$1),0),$C90-1966)</f>
        <v>323400</v>
      </c>
      <c r="O90" s="4" cm="1">
        <f t="array" ref="O90">INDEX(GMW!$A$2:$LR$60,MATCH(1,(GMW!$LQ$2:$LQ$60=O$3)*(GMW!$LP$2:$LP$60=O$4)*(GMW!$LR$2:$LR$60=O$1),0),$C90-1966)</f>
        <v>323400</v>
      </c>
      <c r="P90" s="4" cm="1">
        <f t="array" ref="P90">INDEX(GMW!$A$2:$LR$60,MATCH(1,(GMW!$LQ$2:$LQ$60=P$3)*(GMW!$LP$2:$LP$60=P$4)*(GMW!$LR$2:$LR$60=P$1),0),$C90-1966)</f>
        <v>323400</v>
      </c>
      <c r="Q90" s="4" cm="1">
        <f t="array" ref="Q90">INDEX(GMW!$A$2:$LR$60,MATCH(1,(GMW!$LQ$2:$LQ$60=Q$3)*(GMW!$LP$2:$LP$60=Q$4)*(GMW!$LR$2:$LR$60=Q$1),0),$C90-1966)</f>
        <v>323400</v>
      </c>
      <c r="R90" s="4" cm="1">
        <f t="array" ref="R90">INDEX(GMW!$A$2:$LR$60,MATCH(1,(GMW!$LQ$2:$LQ$60=R$3)*(GMW!$LP$2:$LP$60=R$4)*(GMW!$LR$2:$LR$60=R$1),0),$C90-1966)</f>
        <v>323400</v>
      </c>
      <c r="S90" s="4" cm="1">
        <f t="array" ref="S90">INDEX(GMW!$A$2:$LR$60,MATCH(1,(GMW!$LQ$2:$LQ$60=S$3)*(GMW!$LP$2:$LP$60=S$4)*(GMW!$LR$2:$LR$60=S$1),0),$C90-1966)</f>
        <v>323400</v>
      </c>
      <c r="T90" s="4" cm="1">
        <f t="array" ref="T90">INDEX(GMW!$A$2:$LR$60,MATCH(1,(GMW!$LQ$2:$LQ$60=T$3)*(GMW!$LP$2:$LP$60=T$4)*(GMW!$LR$2:$LR$60=T$1),0),$C90-1966)</f>
        <v>323400</v>
      </c>
      <c r="U90" s="4" cm="1">
        <f t="array" ref="U90">INDEX(GMW!$A$2:$LR$60,MATCH(1,(GMW!$LQ$2:$LQ$60=U$3)*(GMW!$LP$2:$LP$60=U$4)*(GMW!$LR$2:$LR$60=U$1),0),$C90-1966)</f>
        <v>222.90620000000001</v>
      </c>
      <c r="V90" s="4" cm="1">
        <f t="array" ref="V90">INDEX(GMW!$A$2:$LR$60,MATCH(1,(GMW!$LQ$2:$LQ$60=V$3)*(GMW!$LP$2:$LP$60=V$4)*(GMW!$LR$2:$LR$60=V$1),0),$C90-1966)</f>
        <v>64.666659999999993</v>
      </c>
      <c r="W90" s="4" cm="1">
        <f t="array" ref="W90">INDEX(GMW!$A$2:$LR$60,MATCH(1,(GMW!$LQ$2:$LQ$60=W$3)*(GMW!$LP$2:$LP$60=W$4)*(GMW!$LR$2:$LR$60=W$1),0),$C90-1966)</f>
        <v>53.5</v>
      </c>
      <c r="X90" s="4" cm="1">
        <f t="array" ref="X90">INDEX(GMW!$A$2:$LR$60,MATCH(1,(GMW!$LQ$2:$LQ$60=X$3)*(GMW!$LP$2:$LP$60=X$4)*(GMW!$LR$2:$LR$60=X$1),0),$C90-1966)</f>
        <v>44.3</v>
      </c>
      <c r="Y90" s="4" cm="1">
        <f t="array" ref="Y90">INDEX(GMW!$A$2:$LR$60,MATCH(1,(GMW!$LQ$2:$LQ$60=Y$3)*(GMW!$LP$2:$LP$60=Y$4)*(GMW!$LR$2:$LR$60=Y$1),0),$C90-1966)</f>
        <v>37.466670000000001</v>
      </c>
      <c r="Z90" s="4" cm="1">
        <f t="array" ref="Z90">INDEX(GMW!$A$2:$LR$60,MATCH(1,(GMW!$LQ$2:$LQ$60=Z$3)*(GMW!$LP$2:$LP$60=Z$4)*(GMW!$LR$2:$LR$60=Z$1),0),$C90-1966)</f>
        <v>70.833340000000007</v>
      </c>
      <c r="AA90" s="4" cm="1">
        <f t="array" ref="AA90">INDEX(GMW!$A$2:$LR$60,MATCH(1,(GMW!$LQ$2:$LQ$60=AA$3)*(GMW!$LP$2:$LP$60=AA$4)*(GMW!$LR$2:$LR$60=AA$1),0),$C90-1966)</f>
        <v>188701</v>
      </c>
      <c r="AB90" s="4" cm="1">
        <f t="array" ref="AB90">INDEX(GMW!$A$2:$LR$60,MATCH(1,(GMW!$LQ$2:$LQ$60=AB$3)*(GMW!$LP$2:$LP$60=AB$4)*(GMW!$LR$2:$LR$60=AB$1),0),$C90-1966)</f>
        <v>59953</v>
      </c>
      <c r="AC90" s="4" cm="1">
        <f t="array" ref="AC90">INDEX(GMW!$A$2:$LR$60,MATCH(1,(GMW!$LQ$2:$LQ$60=AC$3)*(GMW!$LP$2:$LP$60=AC$4)*(GMW!$LR$2:$LR$60=AC$1),0),$C90-1966)</f>
        <v>64382</v>
      </c>
      <c r="AD90" s="4" cm="1">
        <f t="array" ref="AD90">INDEX(GMW!$A$2:$LR$60,MATCH(1,(GMW!$LQ$2:$LQ$60=AD$3)*(GMW!$LP$2:$LP$60=AD$4)*(GMW!$LR$2:$LR$60=AD$1),0),$C90-1966)</f>
        <v>62819</v>
      </c>
      <c r="AE90" s="4" cm="1">
        <f t="array" ref="AE90">INDEX(GMW!$A$2:$LR$60,MATCH(1,(GMW!$LQ$2:$LQ$60=AE$3)*(GMW!$LP$2:$LP$60=AE$4)*(GMW!$LR$2:$LR$60=AE$1),0),$C90-1966)</f>
        <v>57819</v>
      </c>
      <c r="AF90" s="4" cm="1">
        <f t="array" ref="AF90">INDEX(GMW!$A$2:$LR$60,MATCH(1,(GMW!$LQ$2:$LQ$60=AF$3)*(GMW!$LP$2:$LP$60=AF$4)*(GMW!$LR$2:$LR$60=AF$1),0),$C90-1966)</f>
        <v>1E-3</v>
      </c>
      <c r="AG90" s="4" cm="1">
        <f t="array" ref="AG90">INDEX(GMW!$A$2:$LR$60,MATCH(1,(GMW!$LQ$2:$LQ$60=AG$3)*(GMW!$LP$2:$LP$60=AG$4)*(GMW!$LR$2:$LR$60=AG$1),0),$C90-1966)</f>
        <v>1E-3</v>
      </c>
    </row>
    <row r="91" spans="1:33" x14ac:dyDescent="0.25">
      <c r="A91" s="4">
        <v>1994</v>
      </c>
      <c r="B91" s="4">
        <f t="shared" si="3"/>
        <v>1994</v>
      </c>
      <c r="C91" s="4">
        <f t="shared" si="2"/>
        <v>2057</v>
      </c>
      <c r="D91" s="4" cm="1">
        <f t="array" ref="D91">INDEX(GMW!$A$2:$LR$60,MATCH(1,(GMW!$LQ$2:$LQ$60=D$3)*(GMW!$LP$2:$LP$60=D$4)*(GMW!$LR$2:$LR$60=D$1),0),$C91-1966)</f>
        <v>326585</v>
      </c>
      <c r="E91" s="4" cm="1">
        <f t="array" ref="E91">INDEX(GMW!$A$2:$LR$60,MATCH(1,(GMW!$LQ$2:$LQ$60=E$3)*(GMW!$LP$2:$LP$60=E$4)*(GMW!$LR$2:$LR$60=E$1),0),$C91-1966)</f>
        <v>326585</v>
      </c>
      <c r="F91" s="4" cm="1">
        <f t="array" ref="F91">INDEX(GMW!$A$2:$LR$60,MATCH(1,(GMW!$LQ$2:$LQ$60=F$3)*(GMW!$LP$2:$LP$60=F$4)*(GMW!$LR$2:$LR$60=F$1),0),$C91-1966)</f>
        <v>326585</v>
      </c>
      <c r="G91" s="4" cm="1">
        <f t="array" ref="G91">INDEX(GMW!$A$2:$LR$60,MATCH(1,(GMW!$LQ$2:$LQ$60=G$3)*(GMW!$LP$2:$LP$60=G$4)*(GMW!$LR$2:$LR$60=G$1),0),$C91-1966)</f>
        <v>326585</v>
      </c>
      <c r="H91" s="4" cm="1">
        <f t="array" ref="H91">INDEX(GMW!$A$2:$LR$60,MATCH(1,(GMW!$LQ$2:$LQ$60=H$3)*(GMW!$LP$2:$LP$60=H$4)*(GMW!$LR$2:$LR$60=H$1),0),$C91-1966)</f>
        <v>326585</v>
      </c>
      <c r="I91" s="4" cm="1">
        <f t="array" ref="I91">INDEX(GMW!$A$2:$LR$60,MATCH(1,(GMW!$LQ$2:$LQ$60=I$3)*(GMW!$LP$2:$LP$60=I$4)*(GMW!$LR$2:$LR$60=I$1),0),$C91-1966)</f>
        <v>326585</v>
      </c>
      <c r="J91" s="4" cm="1">
        <f t="array" ref="J91">INDEX(GMW!$A$2:$LR$60,MATCH(1,(GMW!$LQ$2:$LQ$60=J$3)*(GMW!$LP$2:$LP$60=J$4)*(GMW!$LR$2:$LR$60=J$1),0),$C91-1966)</f>
        <v>326585</v>
      </c>
      <c r="K91" s="4" cm="1">
        <f t="array" ref="K91">INDEX(GMW!$A$2:$LR$60,MATCH(1,(GMW!$LQ$2:$LQ$60=K$3)*(GMW!$LP$2:$LP$60=K$4)*(GMW!$LR$2:$LR$60=K$1),0),$C91-1966)</f>
        <v>326585</v>
      </c>
      <c r="L91" s="4" cm="1">
        <f t="array" ref="L91">INDEX(GMW!$A$2:$LR$60,MATCH(1,(GMW!$LQ$2:$LQ$60=L$3)*(GMW!$LP$2:$LP$60=L$4)*(GMW!$LR$2:$LR$60=L$1),0),$C91-1966)</f>
        <v>326585</v>
      </c>
      <c r="M91" s="4" cm="1">
        <f t="array" ref="M91">INDEX(GMW!$A$2:$LR$60,MATCH(1,(GMW!$LQ$2:$LQ$60=M$3)*(GMW!$LP$2:$LP$60=M$4)*(GMW!$LR$2:$LR$60=M$1),0),$C91-1966)</f>
        <v>326585</v>
      </c>
      <c r="N91" s="4" cm="1">
        <f t="array" ref="N91">INDEX(GMW!$A$2:$LR$60,MATCH(1,(GMW!$LQ$2:$LQ$60=N$3)*(GMW!$LP$2:$LP$60=N$4)*(GMW!$LR$2:$LR$60=N$1),0),$C91-1966)</f>
        <v>326585</v>
      </c>
      <c r="O91" s="4" cm="1">
        <f t="array" ref="O91">INDEX(GMW!$A$2:$LR$60,MATCH(1,(GMW!$LQ$2:$LQ$60=O$3)*(GMW!$LP$2:$LP$60=O$4)*(GMW!$LR$2:$LR$60=O$1),0),$C91-1966)</f>
        <v>326585</v>
      </c>
      <c r="P91" s="4" cm="1">
        <f t="array" ref="P91">INDEX(GMW!$A$2:$LR$60,MATCH(1,(GMW!$LQ$2:$LQ$60=P$3)*(GMW!$LP$2:$LP$60=P$4)*(GMW!$LR$2:$LR$60=P$1),0),$C91-1966)</f>
        <v>326585</v>
      </c>
      <c r="Q91" s="4" cm="1">
        <f t="array" ref="Q91">INDEX(GMW!$A$2:$LR$60,MATCH(1,(GMW!$LQ$2:$LQ$60=Q$3)*(GMW!$LP$2:$LP$60=Q$4)*(GMW!$LR$2:$LR$60=Q$1),0),$C91-1966)</f>
        <v>326585</v>
      </c>
      <c r="R91" s="4" cm="1">
        <f t="array" ref="R91">INDEX(GMW!$A$2:$LR$60,MATCH(1,(GMW!$LQ$2:$LQ$60=R$3)*(GMW!$LP$2:$LP$60=R$4)*(GMW!$LR$2:$LR$60=R$1),0),$C91-1966)</f>
        <v>326585</v>
      </c>
      <c r="S91" s="4" cm="1">
        <f t="array" ref="S91">INDEX(GMW!$A$2:$LR$60,MATCH(1,(GMW!$LQ$2:$LQ$60=S$3)*(GMW!$LP$2:$LP$60=S$4)*(GMW!$LR$2:$LR$60=S$1),0),$C91-1966)</f>
        <v>326585</v>
      </c>
      <c r="T91" s="4" cm="1">
        <f t="array" ref="T91">INDEX(GMW!$A$2:$LR$60,MATCH(1,(GMW!$LQ$2:$LQ$60=T$3)*(GMW!$LP$2:$LP$60=T$4)*(GMW!$LR$2:$LR$60=T$1),0),$C91-1966)</f>
        <v>326585</v>
      </c>
      <c r="U91" s="4" cm="1">
        <f t="array" ref="U91">INDEX(GMW!$A$2:$LR$60,MATCH(1,(GMW!$LQ$2:$LQ$60=U$3)*(GMW!$LP$2:$LP$60=U$4)*(GMW!$LR$2:$LR$60=U$1),0),$C91-1966)</f>
        <v>222.8023</v>
      </c>
      <c r="V91" s="4" cm="1">
        <f t="array" ref="V91">INDEX(GMW!$A$2:$LR$60,MATCH(1,(GMW!$LQ$2:$LQ$60=V$3)*(GMW!$LP$2:$LP$60=V$4)*(GMW!$LR$2:$LR$60=V$1),0),$C91-1966)</f>
        <v>64.766670000000005</v>
      </c>
      <c r="W91" s="4" cm="1">
        <f t="array" ref="W91">INDEX(GMW!$A$2:$LR$60,MATCH(1,(GMW!$LQ$2:$LQ$60=W$3)*(GMW!$LP$2:$LP$60=W$4)*(GMW!$LR$2:$LR$60=W$1),0),$C91-1966)</f>
        <v>54.266669999999998</v>
      </c>
      <c r="X91" s="4" cm="1">
        <f t="array" ref="X91">INDEX(GMW!$A$2:$LR$60,MATCH(1,(GMW!$LQ$2:$LQ$60=X$3)*(GMW!$LP$2:$LP$60=X$4)*(GMW!$LR$2:$LR$60=X$1),0),$C91-1966)</f>
        <v>45.066670000000002</v>
      </c>
      <c r="Y91" s="4" cm="1">
        <f t="array" ref="Y91">INDEX(GMW!$A$2:$LR$60,MATCH(1,(GMW!$LQ$2:$LQ$60=Y$3)*(GMW!$LP$2:$LP$60=Y$4)*(GMW!$LR$2:$LR$60=Y$1),0),$C91-1966)</f>
        <v>37.200000000000003</v>
      </c>
      <c r="Z91" s="4" cm="1">
        <f t="array" ref="Z91">INDEX(GMW!$A$2:$LR$60,MATCH(1,(GMW!$LQ$2:$LQ$60=Z$3)*(GMW!$LP$2:$LP$60=Z$4)*(GMW!$LR$2:$LR$60=Z$1),0),$C91-1966)</f>
        <v>70.566670000000002</v>
      </c>
      <c r="AA91" s="4" cm="1">
        <f t="array" ref="AA91">INDEX(GMW!$A$2:$LR$60,MATCH(1,(GMW!$LQ$2:$LQ$60=AA$3)*(GMW!$LP$2:$LP$60=AA$4)*(GMW!$LR$2:$LR$60=AA$1),0),$C91-1966)</f>
        <v>190541</v>
      </c>
      <c r="AB91" s="4" cm="1">
        <f t="array" ref="AB91">INDEX(GMW!$A$2:$LR$60,MATCH(1,(GMW!$LQ$2:$LQ$60=AB$3)*(GMW!$LP$2:$LP$60=AB$4)*(GMW!$LR$2:$LR$60=AB$1),0),$C91-1966)</f>
        <v>60675</v>
      </c>
      <c r="AC91" s="4" cm="1">
        <f t="array" ref="AC91">INDEX(GMW!$A$2:$LR$60,MATCH(1,(GMW!$LQ$2:$LQ$60=AC$3)*(GMW!$LP$2:$LP$60=AC$4)*(GMW!$LR$2:$LR$60=AC$1),0),$C91-1966)</f>
        <v>64297</v>
      </c>
      <c r="AD91" s="4" cm="1">
        <f t="array" ref="AD91">INDEX(GMW!$A$2:$LR$60,MATCH(1,(GMW!$LQ$2:$LQ$60=AD$3)*(GMW!$LP$2:$LP$60=AD$4)*(GMW!$LR$2:$LR$60=AD$1),0),$C91-1966)</f>
        <v>65157</v>
      </c>
      <c r="AE91" s="4" cm="1">
        <f t="array" ref="AE91">INDEX(GMW!$A$2:$LR$60,MATCH(1,(GMW!$LQ$2:$LQ$60=AE$3)*(GMW!$LP$2:$LP$60=AE$4)*(GMW!$LR$2:$LR$60=AE$1),0),$C91-1966)</f>
        <v>59179</v>
      </c>
      <c r="AF91" s="4" cm="1">
        <f t="array" ref="AF91">INDEX(GMW!$A$2:$LR$60,MATCH(1,(GMW!$LQ$2:$LQ$60=AF$3)*(GMW!$LP$2:$LP$60=AF$4)*(GMW!$LR$2:$LR$60=AF$1),0),$C91-1966)</f>
        <v>1E-3</v>
      </c>
      <c r="AG91" s="4" cm="1">
        <f t="array" ref="AG91">INDEX(GMW!$A$2:$LR$60,MATCH(1,(GMW!$LQ$2:$LQ$60=AG$3)*(GMW!$LP$2:$LP$60=AG$4)*(GMW!$LR$2:$LR$60=AG$1),0),$C91-1966)</f>
        <v>1E-3</v>
      </c>
    </row>
    <row r="92" spans="1:33" x14ac:dyDescent="0.25">
      <c r="B92" s="4">
        <f t="shared" si="3"/>
        <v>1994</v>
      </c>
      <c r="C92" s="4">
        <f t="shared" si="2"/>
        <v>2058</v>
      </c>
      <c r="D92" s="4" cm="1">
        <f t="array" ref="D92">INDEX(GMW!$A$2:$LR$60,MATCH(1,(GMW!$LQ$2:$LQ$60=D$3)*(GMW!$LP$2:$LP$60=D$4)*(GMW!$LR$2:$LR$60=D$1),0),$C92-1966)</f>
        <v>329584</v>
      </c>
      <c r="E92" s="4" cm="1">
        <f t="array" ref="E92">INDEX(GMW!$A$2:$LR$60,MATCH(1,(GMW!$LQ$2:$LQ$60=E$3)*(GMW!$LP$2:$LP$60=E$4)*(GMW!$LR$2:$LR$60=E$1),0),$C92-1966)</f>
        <v>329584</v>
      </c>
      <c r="F92" s="4" cm="1">
        <f t="array" ref="F92">INDEX(GMW!$A$2:$LR$60,MATCH(1,(GMW!$LQ$2:$LQ$60=F$3)*(GMW!$LP$2:$LP$60=F$4)*(GMW!$LR$2:$LR$60=F$1),0),$C92-1966)</f>
        <v>329584</v>
      </c>
      <c r="G92" s="4" cm="1">
        <f t="array" ref="G92">INDEX(GMW!$A$2:$LR$60,MATCH(1,(GMW!$LQ$2:$LQ$60=G$3)*(GMW!$LP$2:$LP$60=G$4)*(GMW!$LR$2:$LR$60=G$1),0),$C92-1966)</f>
        <v>329584</v>
      </c>
      <c r="H92" s="4" cm="1">
        <f t="array" ref="H92">INDEX(GMW!$A$2:$LR$60,MATCH(1,(GMW!$LQ$2:$LQ$60=H$3)*(GMW!$LP$2:$LP$60=H$4)*(GMW!$LR$2:$LR$60=H$1),0),$C92-1966)</f>
        <v>329584</v>
      </c>
      <c r="I92" s="4" cm="1">
        <f t="array" ref="I92">INDEX(GMW!$A$2:$LR$60,MATCH(1,(GMW!$LQ$2:$LQ$60=I$3)*(GMW!$LP$2:$LP$60=I$4)*(GMW!$LR$2:$LR$60=I$1),0),$C92-1966)</f>
        <v>329584</v>
      </c>
      <c r="J92" s="4" cm="1">
        <f t="array" ref="J92">INDEX(GMW!$A$2:$LR$60,MATCH(1,(GMW!$LQ$2:$LQ$60=J$3)*(GMW!$LP$2:$LP$60=J$4)*(GMW!$LR$2:$LR$60=J$1),0),$C92-1966)</f>
        <v>329584</v>
      </c>
      <c r="K92" s="4" cm="1">
        <f t="array" ref="K92">INDEX(GMW!$A$2:$LR$60,MATCH(1,(GMW!$LQ$2:$LQ$60=K$3)*(GMW!$LP$2:$LP$60=K$4)*(GMW!$LR$2:$LR$60=K$1),0),$C92-1966)</f>
        <v>329584</v>
      </c>
      <c r="L92" s="4" cm="1">
        <f t="array" ref="L92">INDEX(GMW!$A$2:$LR$60,MATCH(1,(GMW!$LQ$2:$LQ$60=L$3)*(GMW!$LP$2:$LP$60=L$4)*(GMW!$LR$2:$LR$60=L$1),0),$C92-1966)</f>
        <v>329584</v>
      </c>
      <c r="M92" s="4" cm="1">
        <f t="array" ref="M92">INDEX(GMW!$A$2:$LR$60,MATCH(1,(GMW!$LQ$2:$LQ$60=M$3)*(GMW!$LP$2:$LP$60=M$4)*(GMW!$LR$2:$LR$60=M$1),0),$C92-1966)</f>
        <v>329584</v>
      </c>
      <c r="N92" s="4" cm="1">
        <f t="array" ref="N92">INDEX(GMW!$A$2:$LR$60,MATCH(1,(GMW!$LQ$2:$LQ$60=N$3)*(GMW!$LP$2:$LP$60=N$4)*(GMW!$LR$2:$LR$60=N$1),0),$C92-1966)</f>
        <v>329584</v>
      </c>
      <c r="O92" s="4" cm="1">
        <f t="array" ref="O92">INDEX(GMW!$A$2:$LR$60,MATCH(1,(GMW!$LQ$2:$LQ$60=O$3)*(GMW!$LP$2:$LP$60=O$4)*(GMW!$LR$2:$LR$60=O$1),0),$C92-1966)</f>
        <v>329584</v>
      </c>
      <c r="P92" s="4" cm="1">
        <f t="array" ref="P92">INDEX(GMW!$A$2:$LR$60,MATCH(1,(GMW!$LQ$2:$LQ$60=P$3)*(GMW!$LP$2:$LP$60=P$4)*(GMW!$LR$2:$LR$60=P$1),0),$C92-1966)</f>
        <v>329584</v>
      </c>
      <c r="Q92" s="4" cm="1">
        <f t="array" ref="Q92">INDEX(GMW!$A$2:$LR$60,MATCH(1,(GMW!$LQ$2:$LQ$60=Q$3)*(GMW!$LP$2:$LP$60=Q$4)*(GMW!$LR$2:$LR$60=Q$1),0),$C92-1966)</f>
        <v>329584</v>
      </c>
      <c r="R92" s="4" cm="1">
        <f t="array" ref="R92">INDEX(GMW!$A$2:$LR$60,MATCH(1,(GMW!$LQ$2:$LQ$60=R$3)*(GMW!$LP$2:$LP$60=R$4)*(GMW!$LR$2:$LR$60=R$1),0),$C92-1966)</f>
        <v>329584</v>
      </c>
      <c r="S92" s="4" cm="1">
        <f t="array" ref="S92">INDEX(GMW!$A$2:$LR$60,MATCH(1,(GMW!$LQ$2:$LQ$60=S$3)*(GMW!$LP$2:$LP$60=S$4)*(GMW!$LR$2:$LR$60=S$1),0),$C92-1966)</f>
        <v>329584</v>
      </c>
      <c r="T92" s="4" cm="1">
        <f t="array" ref="T92">INDEX(GMW!$A$2:$LR$60,MATCH(1,(GMW!$LQ$2:$LQ$60=T$3)*(GMW!$LP$2:$LP$60=T$4)*(GMW!$LR$2:$LR$60=T$1),0),$C92-1966)</f>
        <v>329584</v>
      </c>
      <c r="U92" s="4" cm="1">
        <f t="array" ref="U92">INDEX(GMW!$A$2:$LR$60,MATCH(1,(GMW!$LQ$2:$LQ$60=U$3)*(GMW!$LP$2:$LP$60=U$4)*(GMW!$LR$2:$LR$60=U$1),0),$C92-1966)</f>
        <v>227.5204</v>
      </c>
      <c r="V92" s="4" cm="1">
        <f t="array" ref="V92">INDEX(GMW!$A$2:$LR$60,MATCH(1,(GMW!$LQ$2:$LQ$60=V$3)*(GMW!$LP$2:$LP$60=V$4)*(GMW!$LR$2:$LR$60=V$1),0),$C92-1966)</f>
        <v>65.7</v>
      </c>
      <c r="W92" s="4" cm="1">
        <f t="array" ref="W92">INDEX(GMW!$A$2:$LR$60,MATCH(1,(GMW!$LQ$2:$LQ$60=W$3)*(GMW!$LP$2:$LP$60=W$4)*(GMW!$LR$2:$LR$60=W$1),0),$C92-1966)</f>
        <v>54.933329999999998</v>
      </c>
      <c r="X92" s="4" cm="1">
        <f t="array" ref="X92">INDEX(GMW!$A$2:$LR$60,MATCH(1,(GMW!$LQ$2:$LQ$60=X$3)*(GMW!$LP$2:$LP$60=X$4)*(GMW!$LR$2:$LR$60=X$1),0),$C92-1966)</f>
        <v>45.566670000000002</v>
      </c>
      <c r="Y92" s="4" cm="1">
        <f t="array" ref="Y92">INDEX(GMW!$A$2:$LR$60,MATCH(1,(GMW!$LQ$2:$LQ$60=Y$3)*(GMW!$LP$2:$LP$60=Y$4)*(GMW!$LR$2:$LR$60=Y$1),0),$C92-1966)</f>
        <v>39.866660000000003</v>
      </c>
      <c r="Z92" s="4" cm="1">
        <f t="array" ref="Z92">INDEX(GMW!$A$2:$LR$60,MATCH(1,(GMW!$LQ$2:$LQ$60=Z$3)*(GMW!$LP$2:$LP$60=Z$4)*(GMW!$LR$2:$LR$60=Z$1),0),$C92-1966)</f>
        <v>71.400000000000006</v>
      </c>
      <c r="AA92" s="4" cm="1">
        <f t="array" ref="AA92">INDEX(GMW!$A$2:$LR$60,MATCH(1,(GMW!$LQ$2:$LQ$60=AA$3)*(GMW!$LP$2:$LP$60=AA$4)*(GMW!$LR$2:$LR$60=AA$1),0),$C92-1966)</f>
        <v>190875</v>
      </c>
      <c r="AB92" s="4" cm="1">
        <f t="array" ref="AB92">INDEX(GMW!$A$2:$LR$60,MATCH(1,(GMW!$LQ$2:$LQ$60=AB$3)*(GMW!$LP$2:$LP$60=AB$4)*(GMW!$LR$2:$LR$60=AB$1),0),$C92-1966)</f>
        <v>59457</v>
      </c>
      <c r="AC92" s="4" cm="1">
        <f t="array" ref="AC92">INDEX(GMW!$A$2:$LR$60,MATCH(1,(GMW!$LQ$2:$LQ$60=AC$3)*(GMW!$LP$2:$LP$60=AC$4)*(GMW!$LR$2:$LR$60=AC$1),0),$C92-1966)</f>
        <v>65276</v>
      </c>
      <c r="AD92" s="4" cm="1">
        <f t="array" ref="AD92">INDEX(GMW!$A$2:$LR$60,MATCH(1,(GMW!$LQ$2:$LQ$60=AD$3)*(GMW!$LP$2:$LP$60=AD$4)*(GMW!$LR$2:$LR$60=AD$1),0),$C92-1966)</f>
        <v>65365</v>
      </c>
      <c r="AE92" s="4" cm="1">
        <f t="array" ref="AE92">INDEX(GMW!$A$2:$LR$60,MATCH(1,(GMW!$LQ$2:$LQ$60=AE$3)*(GMW!$LP$2:$LP$60=AE$4)*(GMW!$LR$2:$LR$60=AE$1),0),$C92-1966)</f>
        <v>59709</v>
      </c>
      <c r="AF92" s="4" cm="1">
        <f t="array" ref="AF92">INDEX(GMW!$A$2:$LR$60,MATCH(1,(GMW!$LQ$2:$LQ$60=AF$3)*(GMW!$LP$2:$LP$60=AF$4)*(GMW!$LR$2:$LR$60=AF$1),0),$C92-1966)</f>
        <v>1E-3</v>
      </c>
      <c r="AG92" s="4" cm="1">
        <f t="array" ref="AG92">INDEX(GMW!$A$2:$LR$60,MATCH(1,(GMW!$LQ$2:$LQ$60=AG$3)*(GMW!$LP$2:$LP$60=AG$4)*(GMW!$LR$2:$LR$60=AG$1),0),$C92-1966)</f>
        <v>1E-3</v>
      </c>
    </row>
    <row r="93" spans="1:33" x14ac:dyDescent="0.25">
      <c r="B93" s="4">
        <f t="shared" si="3"/>
        <v>1994</v>
      </c>
      <c r="C93" s="4">
        <f t="shared" si="2"/>
        <v>2059</v>
      </c>
      <c r="D93" s="4" cm="1">
        <f t="array" ref="D93">INDEX(GMW!$A$2:$LR$60,MATCH(1,(GMW!$LQ$2:$LQ$60=D$3)*(GMW!$LP$2:$LP$60=D$4)*(GMW!$LR$2:$LR$60=D$1),0),$C93-1966)</f>
        <v>332911</v>
      </c>
      <c r="E93" s="4" cm="1">
        <f t="array" ref="E93">INDEX(GMW!$A$2:$LR$60,MATCH(1,(GMW!$LQ$2:$LQ$60=E$3)*(GMW!$LP$2:$LP$60=E$4)*(GMW!$LR$2:$LR$60=E$1),0),$C93-1966)</f>
        <v>332911</v>
      </c>
      <c r="F93" s="4" cm="1">
        <f t="array" ref="F93">INDEX(GMW!$A$2:$LR$60,MATCH(1,(GMW!$LQ$2:$LQ$60=F$3)*(GMW!$LP$2:$LP$60=F$4)*(GMW!$LR$2:$LR$60=F$1),0),$C93-1966)</f>
        <v>332911</v>
      </c>
      <c r="G93" s="4" cm="1">
        <f t="array" ref="G93">INDEX(GMW!$A$2:$LR$60,MATCH(1,(GMW!$LQ$2:$LQ$60=G$3)*(GMW!$LP$2:$LP$60=G$4)*(GMW!$LR$2:$LR$60=G$1),0),$C93-1966)</f>
        <v>332911</v>
      </c>
      <c r="H93" s="4" cm="1">
        <f t="array" ref="H93">INDEX(GMW!$A$2:$LR$60,MATCH(1,(GMW!$LQ$2:$LQ$60=H$3)*(GMW!$LP$2:$LP$60=H$4)*(GMW!$LR$2:$LR$60=H$1),0),$C93-1966)</f>
        <v>332911</v>
      </c>
      <c r="I93" s="4" cm="1">
        <f t="array" ref="I93">INDEX(GMW!$A$2:$LR$60,MATCH(1,(GMW!$LQ$2:$LQ$60=I$3)*(GMW!$LP$2:$LP$60=I$4)*(GMW!$LR$2:$LR$60=I$1),0),$C93-1966)</f>
        <v>332911</v>
      </c>
      <c r="J93" s="4" cm="1">
        <f t="array" ref="J93">INDEX(GMW!$A$2:$LR$60,MATCH(1,(GMW!$LQ$2:$LQ$60=J$3)*(GMW!$LP$2:$LP$60=J$4)*(GMW!$LR$2:$LR$60=J$1),0),$C93-1966)</f>
        <v>332911</v>
      </c>
      <c r="K93" s="4" cm="1">
        <f t="array" ref="K93">INDEX(GMW!$A$2:$LR$60,MATCH(1,(GMW!$LQ$2:$LQ$60=K$3)*(GMW!$LP$2:$LP$60=K$4)*(GMW!$LR$2:$LR$60=K$1),0),$C93-1966)</f>
        <v>332911</v>
      </c>
      <c r="L93" s="4" cm="1">
        <f t="array" ref="L93">INDEX(GMW!$A$2:$LR$60,MATCH(1,(GMW!$LQ$2:$LQ$60=L$3)*(GMW!$LP$2:$LP$60=L$4)*(GMW!$LR$2:$LR$60=L$1),0),$C93-1966)</f>
        <v>332911</v>
      </c>
      <c r="M93" s="4" cm="1">
        <f t="array" ref="M93">INDEX(GMW!$A$2:$LR$60,MATCH(1,(GMW!$LQ$2:$LQ$60=M$3)*(GMW!$LP$2:$LP$60=M$4)*(GMW!$LR$2:$LR$60=M$1),0),$C93-1966)</f>
        <v>332911</v>
      </c>
      <c r="N93" s="4" cm="1">
        <f t="array" ref="N93">INDEX(GMW!$A$2:$LR$60,MATCH(1,(GMW!$LQ$2:$LQ$60=N$3)*(GMW!$LP$2:$LP$60=N$4)*(GMW!$LR$2:$LR$60=N$1),0),$C93-1966)</f>
        <v>332911</v>
      </c>
      <c r="O93" s="4" cm="1">
        <f t="array" ref="O93">INDEX(GMW!$A$2:$LR$60,MATCH(1,(GMW!$LQ$2:$LQ$60=O$3)*(GMW!$LP$2:$LP$60=O$4)*(GMW!$LR$2:$LR$60=O$1),0),$C93-1966)</f>
        <v>332911</v>
      </c>
      <c r="P93" s="4" cm="1">
        <f t="array" ref="P93">INDEX(GMW!$A$2:$LR$60,MATCH(1,(GMW!$LQ$2:$LQ$60=P$3)*(GMW!$LP$2:$LP$60=P$4)*(GMW!$LR$2:$LR$60=P$1),0),$C93-1966)</f>
        <v>332911</v>
      </c>
      <c r="Q93" s="4" cm="1">
        <f t="array" ref="Q93">INDEX(GMW!$A$2:$LR$60,MATCH(1,(GMW!$LQ$2:$LQ$60=Q$3)*(GMW!$LP$2:$LP$60=Q$4)*(GMW!$LR$2:$LR$60=Q$1),0),$C93-1966)</f>
        <v>332911</v>
      </c>
      <c r="R93" s="4" cm="1">
        <f t="array" ref="R93">INDEX(GMW!$A$2:$LR$60,MATCH(1,(GMW!$LQ$2:$LQ$60=R$3)*(GMW!$LP$2:$LP$60=R$4)*(GMW!$LR$2:$LR$60=R$1),0),$C93-1966)</f>
        <v>332911</v>
      </c>
      <c r="S93" s="4" cm="1">
        <f t="array" ref="S93">INDEX(GMW!$A$2:$LR$60,MATCH(1,(GMW!$LQ$2:$LQ$60=S$3)*(GMW!$LP$2:$LP$60=S$4)*(GMW!$LR$2:$LR$60=S$1),0),$C93-1966)</f>
        <v>332911</v>
      </c>
      <c r="T93" s="4" cm="1">
        <f t="array" ref="T93">INDEX(GMW!$A$2:$LR$60,MATCH(1,(GMW!$LQ$2:$LQ$60=T$3)*(GMW!$LP$2:$LP$60=T$4)*(GMW!$LR$2:$LR$60=T$1),0),$C93-1966)</f>
        <v>332911</v>
      </c>
      <c r="U93" s="4" cm="1">
        <f t="array" ref="U93">INDEX(GMW!$A$2:$LR$60,MATCH(1,(GMW!$LQ$2:$LQ$60=U$3)*(GMW!$LP$2:$LP$60=U$4)*(GMW!$LR$2:$LR$60=U$1),0),$C93-1966)</f>
        <v>232.0582</v>
      </c>
      <c r="V93" s="4" cm="1">
        <f t="array" ref="V93">INDEX(GMW!$A$2:$LR$60,MATCH(1,(GMW!$LQ$2:$LQ$60=V$3)*(GMW!$LP$2:$LP$60=V$4)*(GMW!$LR$2:$LR$60=V$1),0),$C93-1966)</f>
        <v>65.633330000000001</v>
      </c>
      <c r="W93" s="4" cm="1">
        <f t="array" ref="W93">INDEX(GMW!$A$2:$LR$60,MATCH(1,(GMW!$LQ$2:$LQ$60=W$3)*(GMW!$LP$2:$LP$60=W$4)*(GMW!$LR$2:$LR$60=W$1),0),$C93-1966)</f>
        <v>54.766669999999998</v>
      </c>
      <c r="X93" s="4" cm="1">
        <f t="array" ref="X93">INDEX(GMW!$A$2:$LR$60,MATCH(1,(GMW!$LQ$2:$LQ$60=X$3)*(GMW!$LP$2:$LP$60=X$4)*(GMW!$LR$2:$LR$60=X$1),0),$C93-1966)</f>
        <v>46.4</v>
      </c>
      <c r="Y93" s="4" cm="1">
        <f t="array" ref="Y93">INDEX(GMW!$A$2:$LR$60,MATCH(1,(GMW!$LQ$2:$LQ$60=Y$3)*(GMW!$LP$2:$LP$60=Y$4)*(GMW!$LR$2:$LR$60=Y$1),0),$C93-1966)</f>
        <v>39.933329999999998</v>
      </c>
      <c r="Z93" s="4" cm="1">
        <f t="array" ref="Z93">INDEX(GMW!$A$2:$LR$60,MATCH(1,(GMW!$LQ$2:$LQ$60=Z$3)*(GMW!$LP$2:$LP$60=Z$4)*(GMW!$LR$2:$LR$60=Z$1),0),$C93-1966)</f>
        <v>71.266670000000005</v>
      </c>
      <c r="AA93" s="4" cm="1">
        <f t="array" ref="AA93">INDEX(GMW!$A$2:$LR$60,MATCH(1,(GMW!$LQ$2:$LQ$60=AA$3)*(GMW!$LP$2:$LP$60=AA$4)*(GMW!$LR$2:$LR$60=AA$1),0),$C93-1966)</f>
        <v>192532</v>
      </c>
      <c r="AB93" s="4" cm="1">
        <f t="array" ref="AB93">INDEX(GMW!$A$2:$LR$60,MATCH(1,(GMW!$LQ$2:$LQ$60=AB$3)*(GMW!$LP$2:$LP$60=AB$4)*(GMW!$LR$2:$LR$60=AB$1),0),$C93-1966)</f>
        <v>59857</v>
      </c>
      <c r="AC93" s="4" cm="1">
        <f t="array" ref="AC93">INDEX(GMW!$A$2:$LR$60,MATCH(1,(GMW!$LQ$2:$LQ$60=AC$3)*(GMW!$LP$2:$LP$60=AC$4)*(GMW!$LR$2:$LR$60=AC$1),0),$C93-1966)</f>
        <v>65234</v>
      </c>
      <c r="AD93" s="4" cm="1">
        <f t="array" ref="AD93">INDEX(GMW!$A$2:$LR$60,MATCH(1,(GMW!$LQ$2:$LQ$60=AD$3)*(GMW!$LP$2:$LP$60=AD$4)*(GMW!$LR$2:$LR$60=AD$1),0),$C93-1966)</f>
        <v>67296</v>
      </c>
      <c r="AE93" s="4" cm="1">
        <f t="array" ref="AE93">INDEX(GMW!$A$2:$LR$60,MATCH(1,(GMW!$LQ$2:$LQ$60=AE$3)*(GMW!$LP$2:$LP$60=AE$4)*(GMW!$LR$2:$LR$60=AE$1),0),$C93-1966)</f>
        <v>59412</v>
      </c>
      <c r="AF93" s="4" cm="1">
        <f t="array" ref="AF93">INDEX(GMW!$A$2:$LR$60,MATCH(1,(GMW!$LQ$2:$LQ$60=AF$3)*(GMW!$LP$2:$LP$60=AF$4)*(GMW!$LR$2:$LR$60=AF$1),0),$C93-1966)</f>
        <v>1E-3</v>
      </c>
      <c r="AG93" s="4" cm="1">
        <f t="array" ref="AG93">INDEX(GMW!$A$2:$LR$60,MATCH(1,(GMW!$LQ$2:$LQ$60=AG$3)*(GMW!$LP$2:$LP$60=AG$4)*(GMW!$LR$2:$LR$60=AG$1),0),$C93-1966)</f>
        <v>1E-3</v>
      </c>
    </row>
    <row r="94" spans="1:33" x14ac:dyDescent="0.25">
      <c r="B94" s="4">
        <f t="shared" si="3"/>
        <v>1994</v>
      </c>
      <c r="C94" s="4">
        <f t="shared" si="2"/>
        <v>2060</v>
      </c>
      <c r="D94" s="4" cm="1">
        <f t="array" ref="D94">INDEX(GMW!$A$2:$LR$60,MATCH(1,(GMW!$LQ$2:$LQ$60=D$3)*(GMW!$LP$2:$LP$60=D$4)*(GMW!$LR$2:$LR$60=D$1),0),$C94-1966)</f>
        <v>334363</v>
      </c>
      <c r="E94" s="4" cm="1">
        <f t="array" ref="E94">INDEX(GMW!$A$2:$LR$60,MATCH(1,(GMW!$LQ$2:$LQ$60=E$3)*(GMW!$LP$2:$LP$60=E$4)*(GMW!$LR$2:$LR$60=E$1),0),$C94-1966)</f>
        <v>334363</v>
      </c>
      <c r="F94" s="4" cm="1">
        <f t="array" ref="F94">INDEX(GMW!$A$2:$LR$60,MATCH(1,(GMW!$LQ$2:$LQ$60=F$3)*(GMW!$LP$2:$LP$60=F$4)*(GMW!$LR$2:$LR$60=F$1),0),$C94-1966)</f>
        <v>334363</v>
      </c>
      <c r="G94" s="4" cm="1">
        <f t="array" ref="G94">INDEX(GMW!$A$2:$LR$60,MATCH(1,(GMW!$LQ$2:$LQ$60=G$3)*(GMW!$LP$2:$LP$60=G$4)*(GMW!$LR$2:$LR$60=G$1),0),$C94-1966)</f>
        <v>334363</v>
      </c>
      <c r="H94" s="4" cm="1">
        <f t="array" ref="H94">INDEX(GMW!$A$2:$LR$60,MATCH(1,(GMW!$LQ$2:$LQ$60=H$3)*(GMW!$LP$2:$LP$60=H$4)*(GMW!$LR$2:$LR$60=H$1),0),$C94-1966)</f>
        <v>334363</v>
      </c>
      <c r="I94" s="4" cm="1">
        <f t="array" ref="I94">INDEX(GMW!$A$2:$LR$60,MATCH(1,(GMW!$LQ$2:$LQ$60=I$3)*(GMW!$LP$2:$LP$60=I$4)*(GMW!$LR$2:$LR$60=I$1),0),$C94-1966)</f>
        <v>334363</v>
      </c>
      <c r="J94" s="4" cm="1">
        <f t="array" ref="J94">INDEX(GMW!$A$2:$LR$60,MATCH(1,(GMW!$LQ$2:$LQ$60=J$3)*(GMW!$LP$2:$LP$60=J$4)*(GMW!$LR$2:$LR$60=J$1),0),$C94-1966)</f>
        <v>334363</v>
      </c>
      <c r="K94" s="4" cm="1">
        <f t="array" ref="K94">INDEX(GMW!$A$2:$LR$60,MATCH(1,(GMW!$LQ$2:$LQ$60=K$3)*(GMW!$LP$2:$LP$60=K$4)*(GMW!$LR$2:$LR$60=K$1),0),$C94-1966)</f>
        <v>334363</v>
      </c>
      <c r="L94" s="4" cm="1">
        <f t="array" ref="L94">INDEX(GMW!$A$2:$LR$60,MATCH(1,(GMW!$LQ$2:$LQ$60=L$3)*(GMW!$LP$2:$LP$60=L$4)*(GMW!$LR$2:$LR$60=L$1),0),$C94-1966)</f>
        <v>334363</v>
      </c>
      <c r="M94" s="4" cm="1">
        <f t="array" ref="M94">INDEX(GMW!$A$2:$LR$60,MATCH(1,(GMW!$LQ$2:$LQ$60=M$3)*(GMW!$LP$2:$LP$60=M$4)*(GMW!$LR$2:$LR$60=M$1),0),$C94-1966)</f>
        <v>334363</v>
      </c>
      <c r="N94" s="4" cm="1">
        <f t="array" ref="N94">INDEX(GMW!$A$2:$LR$60,MATCH(1,(GMW!$LQ$2:$LQ$60=N$3)*(GMW!$LP$2:$LP$60=N$4)*(GMW!$LR$2:$LR$60=N$1),0),$C94-1966)</f>
        <v>334363</v>
      </c>
      <c r="O94" s="4" cm="1">
        <f t="array" ref="O94">INDEX(GMW!$A$2:$LR$60,MATCH(1,(GMW!$LQ$2:$LQ$60=O$3)*(GMW!$LP$2:$LP$60=O$4)*(GMW!$LR$2:$LR$60=O$1),0),$C94-1966)</f>
        <v>334363</v>
      </c>
      <c r="P94" s="4" cm="1">
        <f t="array" ref="P94">INDEX(GMW!$A$2:$LR$60,MATCH(1,(GMW!$LQ$2:$LQ$60=P$3)*(GMW!$LP$2:$LP$60=P$4)*(GMW!$LR$2:$LR$60=P$1),0),$C94-1966)</f>
        <v>334363</v>
      </c>
      <c r="Q94" s="4" cm="1">
        <f t="array" ref="Q94">INDEX(GMW!$A$2:$LR$60,MATCH(1,(GMW!$LQ$2:$LQ$60=Q$3)*(GMW!$LP$2:$LP$60=Q$4)*(GMW!$LR$2:$LR$60=Q$1),0),$C94-1966)</f>
        <v>334363</v>
      </c>
      <c r="R94" s="4" cm="1">
        <f t="array" ref="R94">INDEX(GMW!$A$2:$LR$60,MATCH(1,(GMW!$LQ$2:$LQ$60=R$3)*(GMW!$LP$2:$LP$60=R$4)*(GMW!$LR$2:$LR$60=R$1),0),$C94-1966)</f>
        <v>334363</v>
      </c>
      <c r="S94" s="4" cm="1">
        <f t="array" ref="S94">INDEX(GMW!$A$2:$LR$60,MATCH(1,(GMW!$LQ$2:$LQ$60=S$3)*(GMW!$LP$2:$LP$60=S$4)*(GMW!$LR$2:$LR$60=S$1),0),$C94-1966)</f>
        <v>334363</v>
      </c>
      <c r="T94" s="4" cm="1">
        <f t="array" ref="T94">INDEX(GMW!$A$2:$LR$60,MATCH(1,(GMW!$LQ$2:$LQ$60=T$3)*(GMW!$LP$2:$LP$60=T$4)*(GMW!$LR$2:$LR$60=T$1),0),$C94-1966)</f>
        <v>334363</v>
      </c>
      <c r="U94" s="4" cm="1">
        <f t="array" ref="U94">INDEX(GMW!$A$2:$LR$60,MATCH(1,(GMW!$LQ$2:$LQ$60=U$3)*(GMW!$LP$2:$LP$60=U$4)*(GMW!$LR$2:$LR$60=U$1),0),$C94-1966)</f>
        <v>233.2474</v>
      </c>
      <c r="V94" s="4" cm="1">
        <f t="array" ref="V94">INDEX(GMW!$A$2:$LR$60,MATCH(1,(GMW!$LQ$2:$LQ$60=V$3)*(GMW!$LP$2:$LP$60=V$4)*(GMW!$LR$2:$LR$60=V$1),0),$C94-1966)</f>
        <v>65.8</v>
      </c>
      <c r="W94" s="4" cm="1">
        <f t="array" ref="W94">INDEX(GMW!$A$2:$LR$60,MATCH(1,(GMW!$LQ$2:$LQ$60=W$3)*(GMW!$LP$2:$LP$60=W$4)*(GMW!$LR$2:$LR$60=W$1),0),$C94-1966)</f>
        <v>54.6</v>
      </c>
      <c r="X94" s="4" cm="1">
        <f t="array" ref="X94">INDEX(GMW!$A$2:$LR$60,MATCH(1,(GMW!$LQ$2:$LQ$60=X$3)*(GMW!$LP$2:$LP$60=X$4)*(GMW!$LR$2:$LR$60=X$1),0),$C94-1966)</f>
        <v>46.066670000000002</v>
      </c>
      <c r="Y94" s="4" cm="1">
        <f t="array" ref="Y94">INDEX(GMW!$A$2:$LR$60,MATCH(1,(GMW!$LQ$2:$LQ$60=Y$3)*(GMW!$LP$2:$LP$60=Y$4)*(GMW!$LR$2:$LR$60=Y$1),0),$C94-1966)</f>
        <v>39.833329999999997</v>
      </c>
      <c r="Z94" s="4" cm="1">
        <f t="array" ref="Z94">INDEX(GMW!$A$2:$LR$60,MATCH(1,(GMW!$LQ$2:$LQ$60=Z$3)*(GMW!$LP$2:$LP$60=Z$4)*(GMW!$LR$2:$LR$60=Z$1),0),$C94-1966)</f>
        <v>71.7</v>
      </c>
      <c r="AA94" s="4" cm="1">
        <f t="array" ref="AA94">INDEX(GMW!$A$2:$LR$60,MATCH(1,(GMW!$LQ$2:$LQ$60=AA$3)*(GMW!$LP$2:$LP$60=AA$4)*(GMW!$LR$2:$LR$60=AA$1),0),$C94-1966)</f>
        <v>193881</v>
      </c>
      <c r="AB94" s="4" cm="1">
        <f t="array" ref="AB94">INDEX(GMW!$A$2:$LR$60,MATCH(1,(GMW!$LQ$2:$LQ$60=AB$3)*(GMW!$LP$2:$LP$60=AB$4)*(GMW!$LR$2:$LR$60=AB$1),0),$C94-1966)</f>
        <v>60187</v>
      </c>
      <c r="AC94" s="4" cm="1">
        <f t="array" ref="AC94">INDEX(GMW!$A$2:$LR$60,MATCH(1,(GMW!$LQ$2:$LQ$60=AC$3)*(GMW!$LP$2:$LP$60=AC$4)*(GMW!$LR$2:$LR$60=AC$1),0),$C94-1966)</f>
        <v>65005</v>
      </c>
      <c r="AD94" s="4" cm="1">
        <f t="array" ref="AD94">INDEX(GMW!$A$2:$LR$60,MATCH(1,(GMW!$LQ$2:$LQ$60=AD$3)*(GMW!$LP$2:$LP$60=AD$4)*(GMW!$LR$2:$LR$60=AD$1),0),$C94-1966)</f>
        <v>69024</v>
      </c>
      <c r="AE94" s="4" cm="1">
        <f t="array" ref="AE94">INDEX(GMW!$A$2:$LR$60,MATCH(1,(GMW!$LQ$2:$LQ$60=AE$3)*(GMW!$LP$2:$LP$60=AE$4)*(GMW!$LR$2:$LR$60=AE$1),0),$C94-1966)</f>
        <v>61845</v>
      </c>
      <c r="AF94" s="4" cm="1">
        <f t="array" ref="AF94">INDEX(GMW!$A$2:$LR$60,MATCH(1,(GMW!$LQ$2:$LQ$60=AF$3)*(GMW!$LP$2:$LP$60=AF$4)*(GMW!$LR$2:$LR$60=AF$1),0),$C94-1966)</f>
        <v>1E-3</v>
      </c>
      <c r="AG94" s="4" cm="1">
        <f t="array" ref="AG94">INDEX(GMW!$A$2:$LR$60,MATCH(1,(GMW!$LQ$2:$LQ$60=AG$3)*(GMW!$LP$2:$LP$60=AG$4)*(GMW!$LR$2:$LR$60=AG$1),0),$C94-1966)</f>
        <v>1E-3</v>
      </c>
    </row>
    <row r="95" spans="1:33" x14ac:dyDescent="0.25">
      <c r="A95" s="4">
        <v>1995</v>
      </c>
      <c r="B95" s="4">
        <f t="shared" si="3"/>
        <v>1995</v>
      </c>
      <c r="C95" s="4">
        <f t="shared" si="2"/>
        <v>2061</v>
      </c>
      <c r="D95" s="4" cm="1">
        <f t="array" ref="D95">INDEX(GMW!$A$2:$LR$60,MATCH(1,(GMW!$LQ$2:$LQ$60=D$3)*(GMW!$LP$2:$LP$60=D$4)*(GMW!$LR$2:$LR$60=D$1),0),$C95-1966)</f>
        <v>336090</v>
      </c>
      <c r="E95" s="4" cm="1">
        <f t="array" ref="E95">INDEX(GMW!$A$2:$LR$60,MATCH(1,(GMW!$LQ$2:$LQ$60=E$3)*(GMW!$LP$2:$LP$60=E$4)*(GMW!$LR$2:$LR$60=E$1),0),$C95-1966)</f>
        <v>336090</v>
      </c>
      <c r="F95" s="4" cm="1">
        <f t="array" ref="F95">INDEX(GMW!$A$2:$LR$60,MATCH(1,(GMW!$LQ$2:$LQ$60=F$3)*(GMW!$LP$2:$LP$60=F$4)*(GMW!$LR$2:$LR$60=F$1),0),$C95-1966)</f>
        <v>336090</v>
      </c>
      <c r="G95" s="4" cm="1">
        <f t="array" ref="G95">INDEX(GMW!$A$2:$LR$60,MATCH(1,(GMW!$LQ$2:$LQ$60=G$3)*(GMW!$LP$2:$LP$60=G$4)*(GMW!$LR$2:$LR$60=G$1),0),$C95-1966)</f>
        <v>336090</v>
      </c>
      <c r="H95" s="4" cm="1">
        <f t="array" ref="H95">INDEX(GMW!$A$2:$LR$60,MATCH(1,(GMW!$LQ$2:$LQ$60=H$3)*(GMW!$LP$2:$LP$60=H$4)*(GMW!$LR$2:$LR$60=H$1),0),$C95-1966)</f>
        <v>336090</v>
      </c>
      <c r="I95" s="4" cm="1">
        <f t="array" ref="I95">INDEX(GMW!$A$2:$LR$60,MATCH(1,(GMW!$LQ$2:$LQ$60=I$3)*(GMW!$LP$2:$LP$60=I$4)*(GMW!$LR$2:$LR$60=I$1),0),$C95-1966)</f>
        <v>336090</v>
      </c>
      <c r="J95" s="4" cm="1">
        <f t="array" ref="J95">INDEX(GMW!$A$2:$LR$60,MATCH(1,(GMW!$LQ$2:$LQ$60=J$3)*(GMW!$LP$2:$LP$60=J$4)*(GMW!$LR$2:$LR$60=J$1),0),$C95-1966)</f>
        <v>336090</v>
      </c>
      <c r="K95" s="4" cm="1">
        <f t="array" ref="K95">INDEX(GMW!$A$2:$LR$60,MATCH(1,(GMW!$LQ$2:$LQ$60=K$3)*(GMW!$LP$2:$LP$60=K$4)*(GMW!$LR$2:$LR$60=K$1),0),$C95-1966)</f>
        <v>336090</v>
      </c>
      <c r="L95" s="4" cm="1">
        <f t="array" ref="L95">INDEX(GMW!$A$2:$LR$60,MATCH(1,(GMW!$LQ$2:$LQ$60=L$3)*(GMW!$LP$2:$LP$60=L$4)*(GMW!$LR$2:$LR$60=L$1),0),$C95-1966)</f>
        <v>336090</v>
      </c>
      <c r="M95" s="4" cm="1">
        <f t="array" ref="M95">INDEX(GMW!$A$2:$LR$60,MATCH(1,(GMW!$LQ$2:$LQ$60=M$3)*(GMW!$LP$2:$LP$60=M$4)*(GMW!$LR$2:$LR$60=M$1),0),$C95-1966)</f>
        <v>336090</v>
      </c>
      <c r="N95" s="4" cm="1">
        <f t="array" ref="N95">INDEX(GMW!$A$2:$LR$60,MATCH(1,(GMW!$LQ$2:$LQ$60=N$3)*(GMW!$LP$2:$LP$60=N$4)*(GMW!$LR$2:$LR$60=N$1),0),$C95-1966)</f>
        <v>336090</v>
      </c>
      <c r="O95" s="4" cm="1">
        <f t="array" ref="O95">INDEX(GMW!$A$2:$LR$60,MATCH(1,(GMW!$LQ$2:$LQ$60=O$3)*(GMW!$LP$2:$LP$60=O$4)*(GMW!$LR$2:$LR$60=O$1),0),$C95-1966)</f>
        <v>336090</v>
      </c>
      <c r="P95" s="4" cm="1">
        <f t="array" ref="P95">INDEX(GMW!$A$2:$LR$60,MATCH(1,(GMW!$LQ$2:$LQ$60=P$3)*(GMW!$LP$2:$LP$60=P$4)*(GMW!$LR$2:$LR$60=P$1),0),$C95-1966)</f>
        <v>336090</v>
      </c>
      <c r="Q95" s="4" cm="1">
        <f t="array" ref="Q95">INDEX(GMW!$A$2:$LR$60,MATCH(1,(GMW!$LQ$2:$LQ$60=Q$3)*(GMW!$LP$2:$LP$60=Q$4)*(GMW!$LR$2:$LR$60=Q$1),0),$C95-1966)</f>
        <v>336090</v>
      </c>
      <c r="R95" s="4" cm="1">
        <f t="array" ref="R95">INDEX(GMW!$A$2:$LR$60,MATCH(1,(GMW!$LQ$2:$LQ$60=R$3)*(GMW!$LP$2:$LP$60=R$4)*(GMW!$LR$2:$LR$60=R$1),0),$C95-1966)</f>
        <v>336090</v>
      </c>
      <c r="S95" s="4" cm="1">
        <f t="array" ref="S95">INDEX(GMW!$A$2:$LR$60,MATCH(1,(GMW!$LQ$2:$LQ$60=S$3)*(GMW!$LP$2:$LP$60=S$4)*(GMW!$LR$2:$LR$60=S$1),0),$C95-1966)</f>
        <v>336090</v>
      </c>
      <c r="T95" s="4" cm="1">
        <f t="array" ref="T95">INDEX(GMW!$A$2:$LR$60,MATCH(1,(GMW!$LQ$2:$LQ$60=T$3)*(GMW!$LP$2:$LP$60=T$4)*(GMW!$LR$2:$LR$60=T$1),0),$C95-1966)</f>
        <v>336090</v>
      </c>
      <c r="U95" s="4" cm="1">
        <f t="array" ref="U95">INDEX(GMW!$A$2:$LR$60,MATCH(1,(GMW!$LQ$2:$LQ$60=U$3)*(GMW!$LP$2:$LP$60=U$4)*(GMW!$LR$2:$LR$60=U$1),0),$C95-1966)</f>
        <v>232.66929999999999</v>
      </c>
      <c r="V95" s="4" cm="1">
        <f t="array" ref="V95">INDEX(GMW!$A$2:$LR$60,MATCH(1,(GMW!$LQ$2:$LQ$60=V$3)*(GMW!$LP$2:$LP$60=V$4)*(GMW!$LR$2:$LR$60=V$1),0),$C95-1966)</f>
        <v>66.333340000000007</v>
      </c>
      <c r="W95" s="4" cm="1">
        <f t="array" ref="W95">INDEX(GMW!$A$2:$LR$60,MATCH(1,(GMW!$LQ$2:$LQ$60=W$3)*(GMW!$LP$2:$LP$60=W$4)*(GMW!$LR$2:$LR$60=W$1),0),$C95-1966)</f>
        <v>56.1</v>
      </c>
      <c r="X95" s="4" cm="1">
        <f t="array" ref="X95">INDEX(GMW!$A$2:$LR$60,MATCH(1,(GMW!$LQ$2:$LQ$60=X$3)*(GMW!$LP$2:$LP$60=X$4)*(GMW!$LR$2:$LR$60=X$1),0),$C95-1966)</f>
        <v>47.633339999999997</v>
      </c>
      <c r="Y95" s="4" cm="1">
        <f t="array" ref="Y95">INDEX(GMW!$A$2:$LR$60,MATCH(1,(GMW!$LQ$2:$LQ$60=Y$3)*(GMW!$LP$2:$LP$60=Y$4)*(GMW!$LR$2:$LR$60=Y$1),0),$C95-1966)</f>
        <v>39.966670000000001</v>
      </c>
      <c r="Z95" s="4" cm="1">
        <f t="array" ref="Z95">INDEX(GMW!$A$2:$LR$60,MATCH(1,(GMW!$LQ$2:$LQ$60=Z$3)*(GMW!$LP$2:$LP$60=Z$4)*(GMW!$LR$2:$LR$60=Z$1),0),$C95-1966)</f>
        <v>71.733329999999995</v>
      </c>
      <c r="AA95" s="4" cm="1">
        <f t="array" ref="AA95">INDEX(GMW!$A$2:$LR$60,MATCH(1,(GMW!$LQ$2:$LQ$60=AA$3)*(GMW!$LP$2:$LP$60=AA$4)*(GMW!$LR$2:$LR$60=AA$1),0),$C95-1966)</f>
        <v>193944</v>
      </c>
      <c r="AB95" s="4" cm="1">
        <f t="array" ref="AB95">INDEX(GMW!$A$2:$LR$60,MATCH(1,(GMW!$LQ$2:$LQ$60=AB$3)*(GMW!$LP$2:$LP$60=AB$4)*(GMW!$LR$2:$LR$60=AB$1),0),$C95-1966)</f>
        <v>59389</v>
      </c>
      <c r="AC95" s="4" cm="1">
        <f t="array" ref="AC95">INDEX(GMW!$A$2:$LR$60,MATCH(1,(GMW!$LQ$2:$LQ$60=AC$3)*(GMW!$LP$2:$LP$60=AC$4)*(GMW!$LR$2:$LR$60=AC$1),0),$C95-1966)</f>
        <v>65683</v>
      </c>
      <c r="AD95" s="4" cm="1">
        <f t="array" ref="AD95">INDEX(GMW!$A$2:$LR$60,MATCH(1,(GMW!$LQ$2:$LQ$60=AD$3)*(GMW!$LP$2:$LP$60=AD$4)*(GMW!$LR$2:$LR$60=AD$1),0),$C95-1966)</f>
        <v>71986</v>
      </c>
      <c r="AE95" s="4" cm="1">
        <f t="array" ref="AE95">INDEX(GMW!$A$2:$LR$60,MATCH(1,(GMW!$LQ$2:$LQ$60=AE$3)*(GMW!$LP$2:$LP$60=AE$4)*(GMW!$LR$2:$LR$60=AE$1),0),$C95-1966)</f>
        <v>60771</v>
      </c>
      <c r="AF95" s="4" cm="1">
        <f t="array" ref="AF95">INDEX(GMW!$A$2:$LR$60,MATCH(1,(GMW!$LQ$2:$LQ$60=AF$3)*(GMW!$LP$2:$LP$60=AF$4)*(GMW!$LR$2:$LR$60=AF$1),0),$C95-1966)</f>
        <v>1E-3</v>
      </c>
      <c r="AG95" s="4" cm="1">
        <f t="array" ref="AG95">INDEX(GMW!$A$2:$LR$60,MATCH(1,(GMW!$LQ$2:$LQ$60=AG$3)*(GMW!$LP$2:$LP$60=AG$4)*(GMW!$LR$2:$LR$60=AG$1),0),$C95-1966)</f>
        <v>1E-3</v>
      </c>
    </row>
    <row r="96" spans="1:33" x14ac:dyDescent="0.25">
      <c r="B96" s="4">
        <f t="shared" si="3"/>
        <v>1995</v>
      </c>
      <c r="C96" s="4">
        <f t="shared" si="2"/>
        <v>2062</v>
      </c>
      <c r="D96" s="4" cm="1">
        <f t="array" ref="D96">INDEX(GMW!$A$2:$LR$60,MATCH(1,(GMW!$LQ$2:$LQ$60=D$3)*(GMW!$LP$2:$LP$60=D$4)*(GMW!$LR$2:$LR$60=D$1),0),$C96-1966)</f>
        <v>336789</v>
      </c>
      <c r="E96" s="4" cm="1">
        <f t="array" ref="E96">INDEX(GMW!$A$2:$LR$60,MATCH(1,(GMW!$LQ$2:$LQ$60=E$3)*(GMW!$LP$2:$LP$60=E$4)*(GMW!$LR$2:$LR$60=E$1),0),$C96-1966)</f>
        <v>336789</v>
      </c>
      <c r="F96" s="4" cm="1">
        <f t="array" ref="F96">INDEX(GMW!$A$2:$LR$60,MATCH(1,(GMW!$LQ$2:$LQ$60=F$3)*(GMW!$LP$2:$LP$60=F$4)*(GMW!$LR$2:$LR$60=F$1),0),$C96-1966)</f>
        <v>336789</v>
      </c>
      <c r="G96" s="4" cm="1">
        <f t="array" ref="G96">INDEX(GMW!$A$2:$LR$60,MATCH(1,(GMW!$LQ$2:$LQ$60=G$3)*(GMW!$LP$2:$LP$60=G$4)*(GMW!$LR$2:$LR$60=G$1),0),$C96-1966)</f>
        <v>336789</v>
      </c>
      <c r="H96" s="4" cm="1">
        <f t="array" ref="H96">INDEX(GMW!$A$2:$LR$60,MATCH(1,(GMW!$LQ$2:$LQ$60=H$3)*(GMW!$LP$2:$LP$60=H$4)*(GMW!$LR$2:$LR$60=H$1),0),$C96-1966)</f>
        <v>336789</v>
      </c>
      <c r="I96" s="4" cm="1">
        <f t="array" ref="I96">INDEX(GMW!$A$2:$LR$60,MATCH(1,(GMW!$LQ$2:$LQ$60=I$3)*(GMW!$LP$2:$LP$60=I$4)*(GMW!$LR$2:$LR$60=I$1),0),$C96-1966)</f>
        <v>336789</v>
      </c>
      <c r="J96" s="4" cm="1">
        <f t="array" ref="J96">INDEX(GMW!$A$2:$LR$60,MATCH(1,(GMW!$LQ$2:$LQ$60=J$3)*(GMW!$LP$2:$LP$60=J$4)*(GMW!$LR$2:$LR$60=J$1),0),$C96-1966)</f>
        <v>336789</v>
      </c>
      <c r="K96" s="4" cm="1">
        <f t="array" ref="K96">INDEX(GMW!$A$2:$LR$60,MATCH(1,(GMW!$LQ$2:$LQ$60=K$3)*(GMW!$LP$2:$LP$60=K$4)*(GMW!$LR$2:$LR$60=K$1),0),$C96-1966)</f>
        <v>336789</v>
      </c>
      <c r="L96" s="4" cm="1">
        <f t="array" ref="L96">INDEX(GMW!$A$2:$LR$60,MATCH(1,(GMW!$LQ$2:$LQ$60=L$3)*(GMW!$LP$2:$LP$60=L$4)*(GMW!$LR$2:$LR$60=L$1),0),$C96-1966)</f>
        <v>336789</v>
      </c>
      <c r="M96" s="4" cm="1">
        <f t="array" ref="M96">INDEX(GMW!$A$2:$LR$60,MATCH(1,(GMW!$LQ$2:$LQ$60=M$3)*(GMW!$LP$2:$LP$60=M$4)*(GMW!$LR$2:$LR$60=M$1),0),$C96-1966)</f>
        <v>336789</v>
      </c>
      <c r="N96" s="4" cm="1">
        <f t="array" ref="N96">INDEX(GMW!$A$2:$LR$60,MATCH(1,(GMW!$LQ$2:$LQ$60=N$3)*(GMW!$LP$2:$LP$60=N$4)*(GMW!$LR$2:$LR$60=N$1),0),$C96-1966)</f>
        <v>336789</v>
      </c>
      <c r="O96" s="4" cm="1">
        <f t="array" ref="O96">INDEX(GMW!$A$2:$LR$60,MATCH(1,(GMW!$LQ$2:$LQ$60=O$3)*(GMW!$LP$2:$LP$60=O$4)*(GMW!$LR$2:$LR$60=O$1),0),$C96-1966)</f>
        <v>336789</v>
      </c>
      <c r="P96" s="4" cm="1">
        <f t="array" ref="P96">INDEX(GMW!$A$2:$LR$60,MATCH(1,(GMW!$LQ$2:$LQ$60=P$3)*(GMW!$LP$2:$LP$60=P$4)*(GMW!$LR$2:$LR$60=P$1),0),$C96-1966)</f>
        <v>336789</v>
      </c>
      <c r="Q96" s="4" cm="1">
        <f t="array" ref="Q96">INDEX(GMW!$A$2:$LR$60,MATCH(1,(GMW!$LQ$2:$LQ$60=Q$3)*(GMW!$LP$2:$LP$60=Q$4)*(GMW!$LR$2:$LR$60=Q$1),0),$C96-1966)</f>
        <v>336789</v>
      </c>
      <c r="R96" s="4" cm="1">
        <f t="array" ref="R96">INDEX(GMW!$A$2:$LR$60,MATCH(1,(GMW!$LQ$2:$LQ$60=R$3)*(GMW!$LP$2:$LP$60=R$4)*(GMW!$LR$2:$LR$60=R$1),0),$C96-1966)</f>
        <v>336789</v>
      </c>
      <c r="S96" s="4" cm="1">
        <f t="array" ref="S96">INDEX(GMW!$A$2:$LR$60,MATCH(1,(GMW!$LQ$2:$LQ$60=S$3)*(GMW!$LP$2:$LP$60=S$4)*(GMW!$LR$2:$LR$60=S$1),0),$C96-1966)</f>
        <v>336789</v>
      </c>
      <c r="T96" s="4" cm="1">
        <f t="array" ref="T96">INDEX(GMW!$A$2:$LR$60,MATCH(1,(GMW!$LQ$2:$LQ$60=T$3)*(GMW!$LP$2:$LP$60=T$4)*(GMW!$LR$2:$LR$60=T$1),0),$C96-1966)</f>
        <v>336789</v>
      </c>
      <c r="U96" s="4" cm="1">
        <f t="array" ref="U96">INDEX(GMW!$A$2:$LR$60,MATCH(1,(GMW!$LQ$2:$LQ$60=U$3)*(GMW!$LP$2:$LP$60=U$4)*(GMW!$LR$2:$LR$60=U$1),0),$C96-1966)</f>
        <v>237.69069999999999</v>
      </c>
      <c r="V96" s="4" cm="1">
        <f t="array" ref="V96">INDEX(GMW!$A$2:$LR$60,MATCH(1,(GMW!$LQ$2:$LQ$60=V$3)*(GMW!$LP$2:$LP$60=V$4)*(GMW!$LR$2:$LR$60=V$1),0),$C96-1966)</f>
        <v>67.266670000000005</v>
      </c>
      <c r="W96" s="4" cm="1">
        <f t="array" ref="W96">INDEX(GMW!$A$2:$LR$60,MATCH(1,(GMW!$LQ$2:$LQ$60=W$3)*(GMW!$LP$2:$LP$60=W$4)*(GMW!$LR$2:$LR$60=W$1),0),$C96-1966)</f>
        <v>56.966670000000001</v>
      </c>
      <c r="X96" s="4" cm="1">
        <f t="array" ref="X96">INDEX(GMW!$A$2:$LR$60,MATCH(1,(GMW!$LQ$2:$LQ$60=X$3)*(GMW!$LP$2:$LP$60=X$4)*(GMW!$LR$2:$LR$60=X$1),0),$C96-1966)</f>
        <v>48.6</v>
      </c>
      <c r="Y96" s="4" cm="1">
        <f t="array" ref="Y96">INDEX(GMW!$A$2:$LR$60,MATCH(1,(GMW!$LQ$2:$LQ$60=Y$3)*(GMW!$LP$2:$LP$60=Y$4)*(GMW!$LR$2:$LR$60=Y$1),0),$C96-1966)</f>
        <v>40.033329999999999</v>
      </c>
      <c r="Z96" s="4" cm="1">
        <f t="array" ref="Z96">INDEX(GMW!$A$2:$LR$60,MATCH(1,(GMW!$LQ$2:$LQ$60=Z$3)*(GMW!$LP$2:$LP$60=Z$4)*(GMW!$LR$2:$LR$60=Z$1),0),$C96-1966)</f>
        <v>72.8</v>
      </c>
      <c r="AA96" s="4" cm="1">
        <f t="array" ref="AA96">INDEX(GMW!$A$2:$LR$60,MATCH(1,(GMW!$LQ$2:$LQ$60=AA$3)*(GMW!$LP$2:$LP$60=AA$4)*(GMW!$LR$2:$LR$60=AA$1),0),$C96-1966)</f>
        <v>195340</v>
      </c>
      <c r="AB96" s="4" cm="1">
        <f t="array" ref="AB96">INDEX(GMW!$A$2:$LR$60,MATCH(1,(GMW!$LQ$2:$LQ$60=AB$3)*(GMW!$LP$2:$LP$60=AB$4)*(GMW!$LR$2:$LR$60=AB$1),0),$C96-1966)</f>
        <v>59495</v>
      </c>
      <c r="AC96" s="4" cm="1">
        <f t="array" ref="AC96">INDEX(GMW!$A$2:$LR$60,MATCH(1,(GMW!$LQ$2:$LQ$60=AC$3)*(GMW!$LP$2:$LP$60=AC$4)*(GMW!$LR$2:$LR$60=AC$1),0),$C96-1966)</f>
        <v>65932</v>
      </c>
      <c r="AD96" s="4" cm="1">
        <f t="array" ref="AD96">INDEX(GMW!$A$2:$LR$60,MATCH(1,(GMW!$LQ$2:$LQ$60=AD$3)*(GMW!$LP$2:$LP$60=AD$4)*(GMW!$LR$2:$LR$60=AD$1),0),$C96-1966)</f>
        <v>71050</v>
      </c>
      <c r="AE96" s="4" cm="1">
        <f t="array" ref="AE96">INDEX(GMW!$A$2:$LR$60,MATCH(1,(GMW!$LQ$2:$LQ$60=AE$3)*(GMW!$LP$2:$LP$60=AE$4)*(GMW!$LR$2:$LR$60=AE$1),0),$C96-1966)</f>
        <v>62975</v>
      </c>
      <c r="AF96" s="4" cm="1">
        <f t="array" ref="AF96">INDEX(GMW!$A$2:$LR$60,MATCH(1,(GMW!$LQ$2:$LQ$60=AF$3)*(GMW!$LP$2:$LP$60=AF$4)*(GMW!$LR$2:$LR$60=AF$1),0),$C96-1966)</f>
        <v>1E-3</v>
      </c>
      <c r="AG96" s="4" cm="1">
        <f t="array" ref="AG96">INDEX(GMW!$A$2:$LR$60,MATCH(1,(GMW!$LQ$2:$LQ$60=AG$3)*(GMW!$LP$2:$LP$60=AG$4)*(GMW!$LR$2:$LR$60=AG$1),0),$C96-1966)</f>
        <v>1E-3</v>
      </c>
    </row>
    <row r="97" spans="1:33" x14ac:dyDescent="0.25">
      <c r="B97" s="4">
        <f t="shared" si="3"/>
        <v>1995</v>
      </c>
      <c r="C97" s="4">
        <f t="shared" si="2"/>
        <v>2063</v>
      </c>
      <c r="D97" s="4" cm="1">
        <f t="array" ref="D97">INDEX(GMW!$A$2:$LR$60,MATCH(1,(GMW!$LQ$2:$LQ$60=D$3)*(GMW!$LP$2:$LP$60=D$4)*(GMW!$LR$2:$LR$60=D$1),0),$C97-1966)</f>
        <v>340542</v>
      </c>
      <c r="E97" s="4" cm="1">
        <f t="array" ref="E97">INDEX(GMW!$A$2:$LR$60,MATCH(1,(GMW!$LQ$2:$LQ$60=E$3)*(GMW!$LP$2:$LP$60=E$4)*(GMW!$LR$2:$LR$60=E$1),0),$C97-1966)</f>
        <v>340542</v>
      </c>
      <c r="F97" s="4" cm="1">
        <f t="array" ref="F97">INDEX(GMW!$A$2:$LR$60,MATCH(1,(GMW!$LQ$2:$LQ$60=F$3)*(GMW!$LP$2:$LP$60=F$4)*(GMW!$LR$2:$LR$60=F$1),0),$C97-1966)</f>
        <v>340542</v>
      </c>
      <c r="G97" s="4" cm="1">
        <f t="array" ref="G97">INDEX(GMW!$A$2:$LR$60,MATCH(1,(GMW!$LQ$2:$LQ$60=G$3)*(GMW!$LP$2:$LP$60=G$4)*(GMW!$LR$2:$LR$60=G$1),0),$C97-1966)</f>
        <v>340542</v>
      </c>
      <c r="H97" s="4" cm="1">
        <f t="array" ref="H97">INDEX(GMW!$A$2:$LR$60,MATCH(1,(GMW!$LQ$2:$LQ$60=H$3)*(GMW!$LP$2:$LP$60=H$4)*(GMW!$LR$2:$LR$60=H$1),0),$C97-1966)</f>
        <v>340542</v>
      </c>
      <c r="I97" s="4" cm="1">
        <f t="array" ref="I97">INDEX(GMW!$A$2:$LR$60,MATCH(1,(GMW!$LQ$2:$LQ$60=I$3)*(GMW!$LP$2:$LP$60=I$4)*(GMW!$LR$2:$LR$60=I$1),0),$C97-1966)</f>
        <v>340542</v>
      </c>
      <c r="J97" s="4" cm="1">
        <f t="array" ref="J97">INDEX(GMW!$A$2:$LR$60,MATCH(1,(GMW!$LQ$2:$LQ$60=J$3)*(GMW!$LP$2:$LP$60=J$4)*(GMW!$LR$2:$LR$60=J$1),0),$C97-1966)</f>
        <v>340542</v>
      </c>
      <c r="K97" s="4" cm="1">
        <f t="array" ref="K97">INDEX(GMW!$A$2:$LR$60,MATCH(1,(GMW!$LQ$2:$LQ$60=K$3)*(GMW!$LP$2:$LP$60=K$4)*(GMW!$LR$2:$LR$60=K$1),0),$C97-1966)</f>
        <v>340542</v>
      </c>
      <c r="L97" s="4" cm="1">
        <f t="array" ref="L97">INDEX(GMW!$A$2:$LR$60,MATCH(1,(GMW!$LQ$2:$LQ$60=L$3)*(GMW!$LP$2:$LP$60=L$4)*(GMW!$LR$2:$LR$60=L$1),0),$C97-1966)</f>
        <v>340542</v>
      </c>
      <c r="M97" s="4" cm="1">
        <f t="array" ref="M97">INDEX(GMW!$A$2:$LR$60,MATCH(1,(GMW!$LQ$2:$LQ$60=M$3)*(GMW!$LP$2:$LP$60=M$4)*(GMW!$LR$2:$LR$60=M$1),0),$C97-1966)</f>
        <v>340542</v>
      </c>
      <c r="N97" s="4" cm="1">
        <f t="array" ref="N97">INDEX(GMW!$A$2:$LR$60,MATCH(1,(GMW!$LQ$2:$LQ$60=N$3)*(GMW!$LP$2:$LP$60=N$4)*(GMW!$LR$2:$LR$60=N$1),0),$C97-1966)</f>
        <v>340542</v>
      </c>
      <c r="O97" s="4" cm="1">
        <f t="array" ref="O97">INDEX(GMW!$A$2:$LR$60,MATCH(1,(GMW!$LQ$2:$LQ$60=O$3)*(GMW!$LP$2:$LP$60=O$4)*(GMW!$LR$2:$LR$60=O$1),0),$C97-1966)</f>
        <v>340542</v>
      </c>
      <c r="P97" s="4" cm="1">
        <f t="array" ref="P97">INDEX(GMW!$A$2:$LR$60,MATCH(1,(GMW!$LQ$2:$LQ$60=P$3)*(GMW!$LP$2:$LP$60=P$4)*(GMW!$LR$2:$LR$60=P$1),0),$C97-1966)</f>
        <v>340542</v>
      </c>
      <c r="Q97" s="4" cm="1">
        <f t="array" ref="Q97">INDEX(GMW!$A$2:$LR$60,MATCH(1,(GMW!$LQ$2:$LQ$60=Q$3)*(GMW!$LP$2:$LP$60=Q$4)*(GMW!$LR$2:$LR$60=Q$1),0),$C97-1966)</f>
        <v>340542</v>
      </c>
      <c r="R97" s="4" cm="1">
        <f t="array" ref="R97">INDEX(GMW!$A$2:$LR$60,MATCH(1,(GMW!$LQ$2:$LQ$60=R$3)*(GMW!$LP$2:$LP$60=R$4)*(GMW!$LR$2:$LR$60=R$1),0),$C97-1966)</f>
        <v>340542</v>
      </c>
      <c r="S97" s="4" cm="1">
        <f t="array" ref="S97">INDEX(GMW!$A$2:$LR$60,MATCH(1,(GMW!$LQ$2:$LQ$60=S$3)*(GMW!$LP$2:$LP$60=S$4)*(GMW!$LR$2:$LR$60=S$1),0),$C97-1966)</f>
        <v>340542</v>
      </c>
      <c r="T97" s="4" cm="1">
        <f t="array" ref="T97">INDEX(GMW!$A$2:$LR$60,MATCH(1,(GMW!$LQ$2:$LQ$60=T$3)*(GMW!$LP$2:$LP$60=T$4)*(GMW!$LR$2:$LR$60=T$1),0),$C97-1966)</f>
        <v>340542</v>
      </c>
      <c r="U97" s="4" cm="1">
        <f t="array" ref="U97">INDEX(GMW!$A$2:$LR$60,MATCH(1,(GMW!$LQ$2:$LQ$60=U$3)*(GMW!$LP$2:$LP$60=U$4)*(GMW!$LR$2:$LR$60=U$1),0),$C97-1966)</f>
        <v>240.27940000000001</v>
      </c>
      <c r="V97" s="4" cm="1">
        <f t="array" ref="V97">INDEX(GMW!$A$2:$LR$60,MATCH(1,(GMW!$LQ$2:$LQ$60=V$3)*(GMW!$LP$2:$LP$60=V$4)*(GMW!$LR$2:$LR$60=V$1),0),$C97-1966)</f>
        <v>67.400000000000006</v>
      </c>
      <c r="W97" s="4" cm="1">
        <f t="array" ref="W97">INDEX(GMW!$A$2:$LR$60,MATCH(1,(GMW!$LQ$2:$LQ$60=W$3)*(GMW!$LP$2:$LP$60=W$4)*(GMW!$LR$2:$LR$60=W$1),0),$C97-1966)</f>
        <v>57.266669999999998</v>
      </c>
      <c r="X97" s="4" cm="1">
        <f t="array" ref="X97">INDEX(GMW!$A$2:$LR$60,MATCH(1,(GMW!$LQ$2:$LQ$60=X$3)*(GMW!$LP$2:$LP$60=X$4)*(GMW!$LR$2:$LR$60=X$1),0),$C97-1966)</f>
        <v>48.4</v>
      </c>
      <c r="Y97" s="4" cm="1">
        <f t="array" ref="Y97">INDEX(GMW!$A$2:$LR$60,MATCH(1,(GMW!$LQ$2:$LQ$60=Y$3)*(GMW!$LP$2:$LP$60=Y$4)*(GMW!$LR$2:$LR$60=Y$1),0),$C97-1966)</f>
        <v>40.033329999999999</v>
      </c>
      <c r="Z97" s="4" cm="1">
        <f t="array" ref="Z97">INDEX(GMW!$A$2:$LR$60,MATCH(1,(GMW!$LQ$2:$LQ$60=Z$3)*(GMW!$LP$2:$LP$60=Z$4)*(GMW!$LR$2:$LR$60=Z$1),0),$C97-1966)</f>
        <v>72.866669999999999</v>
      </c>
      <c r="AA97" s="4" cm="1">
        <f t="array" ref="AA97">INDEX(GMW!$A$2:$LR$60,MATCH(1,(GMW!$LQ$2:$LQ$60=AA$3)*(GMW!$LP$2:$LP$60=AA$4)*(GMW!$LR$2:$LR$60=AA$1),0),$C97-1966)</f>
        <v>196170</v>
      </c>
      <c r="AB97" s="4" cm="1">
        <f t="array" ref="AB97">INDEX(GMW!$A$2:$LR$60,MATCH(1,(GMW!$LQ$2:$LQ$60=AB$3)*(GMW!$LP$2:$LP$60=AB$4)*(GMW!$LR$2:$LR$60=AB$1),0),$C97-1966)</f>
        <v>59910</v>
      </c>
      <c r="AC97" s="4" cm="1">
        <f t="array" ref="AC97">INDEX(GMW!$A$2:$LR$60,MATCH(1,(GMW!$LQ$2:$LQ$60=AC$3)*(GMW!$LP$2:$LP$60=AC$4)*(GMW!$LR$2:$LR$60=AC$1),0),$C97-1966)</f>
        <v>65770</v>
      </c>
      <c r="AD97" s="4" cm="1">
        <f t="array" ref="AD97">INDEX(GMW!$A$2:$LR$60,MATCH(1,(GMW!$LQ$2:$LQ$60=AD$3)*(GMW!$LP$2:$LP$60=AD$4)*(GMW!$LR$2:$LR$60=AD$1),0),$C97-1966)</f>
        <v>73412</v>
      </c>
      <c r="AE97" s="4" cm="1">
        <f t="array" ref="AE97">INDEX(GMW!$A$2:$LR$60,MATCH(1,(GMW!$LQ$2:$LQ$60=AE$3)*(GMW!$LP$2:$LP$60=AE$4)*(GMW!$LR$2:$LR$60=AE$1),0),$C97-1966)</f>
        <v>64347</v>
      </c>
      <c r="AF97" s="4" cm="1">
        <f t="array" ref="AF97">INDEX(GMW!$A$2:$LR$60,MATCH(1,(GMW!$LQ$2:$LQ$60=AF$3)*(GMW!$LP$2:$LP$60=AF$4)*(GMW!$LR$2:$LR$60=AF$1),0),$C97-1966)</f>
        <v>1E-3</v>
      </c>
      <c r="AG97" s="4" cm="1">
        <f t="array" ref="AG97">INDEX(GMW!$A$2:$LR$60,MATCH(1,(GMW!$LQ$2:$LQ$60=AG$3)*(GMW!$LP$2:$LP$60=AG$4)*(GMW!$LR$2:$LR$60=AG$1),0),$C97-1966)</f>
        <v>1E-3</v>
      </c>
    </row>
    <row r="98" spans="1:33" x14ac:dyDescent="0.25">
      <c r="B98" s="4">
        <f t="shared" si="3"/>
        <v>1995</v>
      </c>
      <c r="C98" s="4">
        <f t="shared" si="2"/>
        <v>2064</v>
      </c>
      <c r="D98" s="4" cm="1">
        <f t="array" ref="D98">INDEX(GMW!$A$2:$LR$60,MATCH(1,(GMW!$LQ$2:$LQ$60=D$3)*(GMW!$LP$2:$LP$60=D$4)*(GMW!$LR$2:$LR$60=D$1),0),$C98-1966)</f>
        <v>341602</v>
      </c>
      <c r="E98" s="4" cm="1">
        <f t="array" ref="E98">INDEX(GMW!$A$2:$LR$60,MATCH(1,(GMW!$LQ$2:$LQ$60=E$3)*(GMW!$LP$2:$LP$60=E$4)*(GMW!$LR$2:$LR$60=E$1),0),$C98-1966)</f>
        <v>341602</v>
      </c>
      <c r="F98" s="4" cm="1">
        <f t="array" ref="F98">INDEX(GMW!$A$2:$LR$60,MATCH(1,(GMW!$LQ$2:$LQ$60=F$3)*(GMW!$LP$2:$LP$60=F$4)*(GMW!$LR$2:$LR$60=F$1),0),$C98-1966)</f>
        <v>341602</v>
      </c>
      <c r="G98" s="4" cm="1">
        <f t="array" ref="G98">INDEX(GMW!$A$2:$LR$60,MATCH(1,(GMW!$LQ$2:$LQ$60=G$3)*(GMW!$LP$2:$LP$60=G$4)*(GMW!$LR$2:$LR$60=G$1),0),$C98-1966)</f>
        <v>341602</v>
      </c>
      <c r="H98" s="4" cm="1">
        <f t="array" ref="H98">INDEX(GMW!$A$2:$LR$60,MATCH(1,(GMW!$LQ$2:$LQ$60=H$3)*(GMW!$LP$2:$LP$60=H$4)*(GMW!$LR$2:$LR$60=H$1),0),$C98-1966)</f>
        <v>341602</v>
      </c>
      <c r="I98" s="4" cm="1">
        <f t="array" ref="I98">INDEX(GMW!$A$2:$LR$60,MATCH(1,(GMW!$LQ$2:$LQ$60=I$3)*(GMW!$LP$2:$LP$60=I$4)*(GMW!$LR$2:$LR$60=I$1),0),$C98-1966)</f>
        <v>341602</v>
      </c>
      <c r="J98" s="4" cm="1">
        <f t="array" ref="J98">INDEX(GMW!$A$2:$LR$60,MATCH(1,(GMW!$LQ$2:$LQ$60=J$3)*(GMW!$LP$2:$LP$60=J$4)*(GMW!$LR$2:$LR$60=J$1),0),$C98-1966)</f>
        <v>341602</v>
      </c>
      <c r="K98" s="4" cm="1">
        <f t="array" ref="K98">INDEX(GMW!$A$2:$LR$60,MATCH(1,(GMW!$LQ$2:$LQ$60=K$3)*(GMW!$LP$2:$LP$60=K$4)*(GMW!$LR$2:$LR$60=K$1),0),$C98-1966)</f>
        <v>341602</v>
      </c>
      <c r="L98" s="4" cm="1">
        <f t="array" ref="L98">INDEX(GMW!$A$2:$LR$60,MATCH(1,(GMW!$LQ$2:$LQ$60=L$3)*(GMW!$LP$2:$LP$60=L$4)*(GMW!$LR$2:$LR$60=L$1),0),$C98-1966)</f>
        <v>341602</v>
      </c>
      <c r="M98" s="4" cm="1">
        <f t="array" ref="M98">INDEX(GMW!$A$2:$LR$60,MATCH(1,(GMW!$LQ$2:$LQ$60=M$3)*(GMW!$LP$2:$LP$60=M$4)*(GMW!$LR$2:$LR$60=M$1),0),$C98-1966)</f>
        <v>341602</v>
      </c>
      <c r="N98" s="4" cm="1">
        <f t="array" ref="N98">INDEX(GMW!$A$2:$LR$60,MATCH(1,(GMW!$LQ$2:$LQ$60=N$3)*(GMW!$LP$2:$LP$60=N$4)*(GMW!$LR$2:$LR$60=N$1),0),$C98-1966)</f>
        <v>341602</v>
      </c>
      <c r="O98" s="4" cm="1">
        <f t="array" ref="O98">INDEX(GMW!$A$2:$LR$60,MATCH(1,(GMW!$LQ$2:$LQ$60=O$3)*(GMW!$LP$2:$LP$60=O$4)*(GMW!$LR$2:$LR$60=O$1),0),$C98-1966)</f>
        <v>341602</v>
      </c>
      <c r="P98" s="4" cm="1">
        <f t="array" ref="P98">INDEX(GMW!$A$2:$LR$60,MATCH(1,(GMW!$LQ$2:$LQ$60=P$3)*(GMW!$LP$2:$LP$60=P$4)*(GMW!$LR$2:$LR$60=P$1),0),$C98-1966)</f>
        <v>341602</v>
      </c>
      <c r="Q98" s="4" cm="1">
        <f t="array" ref="Q98">INDEX(GMW!$A$2:$LR$60,MATCH(1,(GMW!$LQ$2:$LQ$60=Q$3)*(GMW!$LP$2:$LP$60=Q$4)*(GMW!$LR$2:$LR$60=Q$1),0),$C98-1966)</f>
        <v>341602</v>
      </c>
      <c r="R98" s="4" cm="1">
        <f t="array" ref="R98">INDEX(GMW!$A$2:$LR$60,MATCH(1,(GMW!$LQ$2:$LQ$60=R$3)*(GMW!$LP$2:$LP$60=R$4)*(GMW!$LR$2:$LR$60=R$1),0),$C98-1966)</f>
        <v>341602</v>
      </c>
      <c r="S98" s="4" cm="1">
        <f t="array" ref="S98">INDEX(GMW!$A$2:$LR$60,MATCH(1,(GMW!$LQ$2:$LQ$60=S$3)*(GMW!$LP$2:$LP$60=S$4)*(GMW!$LR$2:$LR$60=S$1),0),$C98-1966)</f>
        <v>341602</v>
      </c>
      <c r="T98" s="4" cm="1">
        <f t="array" ref="T98">INDEX(GMW!$A$2:$LR$60,MATCH(1,(GMW!$LQ$2:$LQ$60=T$3)*(GMW!$LP$2:$LP$60=T$4)*(GMW!$LR$2:$LR$60=T$1),0),$C98-1966)</f>
        <v>341602</v>
      </c>
      <c r="U98" s="4" cm="1">
        <f t="array" ref="U98">INDEX(GMW!$A$2:$LR$60,MATCH(1,(GMW!$LQ$2:$LQ$60=U$3)*(GMW!$LP$2:$LP$60=U$4)*(GMW!$LR$2:$LR$60=U$1),0),$C98-1966)</f>
        <v>241.90459999999999</v>
      </c>
      <c r="V98" s="4" cm="1">
        <f t="array" ref="V98">INDEX(GMW!$A$2:$LR$60,MATCH(1,(GMW!$LQ$2:$LQ$60=V$3)*(GMW!$LP$2:$LP$60=V$4)*(GMW!$LR$2:$LR$60=V$1),0),$C98-1966)</f>
        <v>67.733329999999995</v>
      </c>
      <c r="W98" s="4" cm="1">
        <f t="array" ref="W98">INDEX(GMW!$A$2:$LR$60,MATCH(1,(GMW!$LQ$2:$LQ$60=W$3)*(GMW!$LP$2:$LP$60=W$4)*(GMW!$LR$2:$LR$60=W$1),0),$C98-1966)</f>
        <v>57.166670000000003</v>
      </c>
      <c r="X98" s="4" cm="1">
        <f t="array" ref="X98">INDEX(GMW!$A$2:$LR$60,MATCH(1,(GMW!$LQ$2:$LQ$60=X$3)*(GMW!$LP$2:$LP$60=X$4)*(GMW!$LR$2:$LR$60=X$1),0),$C98-1966)</f>
        <v>47.966670000000001</v>
      </c>
      <c r="Y98" s="4" cm="1">
        <f t="array" ref="Y98">INDEX(GMW!$A$2:$LR$60,MATCH(1,(GMW!$LQ$2:$LQ$60=Y$3)*(GMW!$LP$2:$LP$60=Y$4)*(GMW!$LR$2:$LR$60=Y$1),0),$C98-1966)</f>
        <v>40.133339999999997</v>
      </c>
      <c r="Z98" s="4" cm="1">
        <f t="array" ref="Z98">INDEX(GMW!$A$2:$LR$60,MATCH(1,(GMW!$LQ$2:$LQ$60=Z$3)*(GMW!$LP$2:$LP$60=Z$4)*(GMW!$LR$2:$LR$60=Z$1),0),$C98-1966)</f>
        <v>73.366669999999999</v>
      </c>
      <c r="AA98" s="4" cm="1">
        <f t="array" ref="AA98">INDEX(GMW!$A$2:$LR$60,MATCH(1,(GMW!$LQ$2:$LQ$60=AA$3)*(GMW!$LP$2:$LP$60=AA$4)*(GMW!$LR$2:$LR$60=AA$1),0),$C98-1966)</f>
        <v>198500</v>
      </c>
      <c r="AB98" s="4" cm="1">
        <f t="array" ref="AB98">INDEX(GMW!$A$2:$LR$60,MATCH(1,(GMW!$LQ$2:$LQ$60=AB$3)*(GMW!$LP$2:$LP$60=AB$4)*(GMW!$LR$2:$LR$60=AB$1),0),$C98-1966)</f>
        <v>60200</v>
      </c>
      <c r="AC98" s="4" cm="1">
        <f t="array" ref="AC98">INDEX(GMW!$A$2:$LR$60,MATCH(1,(GMW!$LQ$2:$LQ$60=AC$3)*(GMW!$LP$2:$LP$60=AC$4)*(GMW!$LR$2:$LR$60=AC$1),0),$C98-1966)</f>
        <v>66052</v>
      </c>
      <c r="AD98" s="4" cm="1">
        <f t="array" ref="AD98">INDEX(GMW!$A$2:$LR$60,MATCH(1,(GMW!$LQ$2:$LQ$60=AD$3)*(GMW!$LP$2:$LP$60=AD$4)*(GMW!$LR$2:$LR$60=AD$1),0),$C98-1966)</f>
        <v>74435</v>
      </c>
      <c r="AE98" s="4" cm="1">
        <f t="array" ref="AE98">INDEX(GMW!$A$2:$LR$60,MATCH(1,(GMW!$LQ$2:$LQ$60=AE$3)*(GMW!$LP$2:$LP$60=AE$4)*(GMW!$LR$2:$LR$60=AE$1),0),$C98-1966)</f>
        <v>64848</v>
      </c>
      <c r="AF98" s="4" cm="1">
        <f t="array" ref="AF98">INDEX(GMW!$A$2:$LR$60,MATCH(1,(GMW!$LQ$2:$LQ$60=AF$3)*(GMW!$LP$2:$LP$60=AF$4)*(GMW!$LR$2:$LR$60=AF$1),0),$C98-1966)</f>
        <v>1E-3</v>
      </c>
      <c r="AG98" s="4" cm="1">
        <f t="array" ref="AG98">INDEX(GMW!$A$2:$LR$60,MATCH(1,(GMW!$LQ$2:$LQ$60=AG$3)*(GMW!$LP$2:$LP$60=AG$4)*(GMW!$LR$2:$LR$60=AG$1),0),$C98-1966)</f>
        <v>1E-3</v>
      </c>
    </row>
    <row r="99" spans="1:33" x14ac:dyDescent="0.25">
      <c r="A99" s="4">
        <v>1996</v>
      </c>
      <c r="B99" s="4">
        <f t="shared" si="3"/>
        <v>1996</v>
      </c>
      <c r="C99" s="4">
        <f t="shared" si="2"/>
        <v>2065</v>
      </c>
      <c r="D99" s="4" cm="1">
        <f t="array" ref="D99">INDEX(GMW!$A$2:$LR$60,MATCH(1,(GMW!$LQ$2:$LQ$60=D$3)*(GMW!$LP$2:$LP$60=D$4)*(GMW!$LR$2:$LR$60=D$1),0),$C99-1966)</f>
        <v>343859</v>
      </c>
      <c r="E99" s="4" cm="1">
        <f t="array" ref="E99">INDEX(GMW!$A$2:$LR$60,MATCH(1,(GMW!$LQ$2:$LQ$60=E$3)*(GMW!$LP$2:$LP$60=E$4)*(GMW!$LR$2:$LR$60=E$1),0),$C99-1966)</f>
        <v>343859</v>
      </c>
      <c r="F99" s="4" cm="1">
        <f t="array" ref="F99">INDEX(GMW!$A$2:$LR$60,MATCH(1,(GMW!$LQ$2:$LQ$60=F$3)*(GMW!$LP$2:$LP$60=F$4)*(GMW!$LR$2:$LR$60=F$1),0),$C99-1966)</f>
        <v>343859</v>
      </c>
      <c r="G99" s="4" cm="1">
        <f t="array" ref="G99">INDEX(GMW!$A$2:$LR$60,MATCH(1,(GMW!$LQ$2:$LQ$60=G$3)*(GMW!$LP$2:$LP$60=G$4)*(GMW!$LR$2:$LR$60=G$1),0),$C99-1966)</f>
        <v>343859</v>
      </c>
      <c r="H99" s="4" cm="1">
        <f t="array" ref="H99">INDEX(GMW!$A$2:$LR$60,MATCH(1,(GMW!$LQ$2:$LQ$60=H$3)*(GMW!$LP$2:$LP$60=H$4)*(GMW!$LR$2:$LR$60=H$1),0),$C99-1966)</f>
        <v>343859</v>
      </c>
      <c r="I99" s="4" cm="1">
        <f t="array" ref="I99">INDEX(GMW!$A$2:$LR$60,MATCH(1,(GMW!$LQ$2:$LQ$60=I$3)*(GMW!$LP$2:$LP$60=I$4)*(GMW!$LR$2:$LR$60=I$1),0),$C99-1966)</f>
        <v>343859</v>
      </c>
      <c r="J99" s="4" cm="1">
        <f t="array" ref="J99">INDEX(GMW!$A$2:$LR$60,MATCH(1,(GMW!$LQ$2:$LQ$60=J$3)*(GMW!$LP$2:$LP$60=J$4)*(GMW!$LR$2:$LR$60=J$1),0),$C99-1966)</f>
        <v>343859</v>
      </c>
      <c r="K99" s="4" cm="1">
        <f t="array" ref="K99">INDEX(GMW!$A$2:$LR$60,MATCH(1,(GMW!$LQ$2:$LQ$60=K$3)*(GMW!$LP$2:$LP$60=K$4)*(GMW!$LR$2:$LR$60=K$1),0),$C99-1966)</f>
        <v>343859</v>
      </c>
      <c r="L99" s="4" cm="1">
        <f t="array" ref="L99">INDEX(GMW!$A$2:$LR$60,MATCH(1,(GMW!$LQ$2:$LQ$60=L$3)*(GMW!$LP$2:$LP$60=L$4)*(GMW!$LR$2:$LR$60=L$1),0),$C99-1966)</f>
        <v>343859</v>
      </c>
      <c r="M99" s="4" cm="1">
        <f t="array" ref="M99">INDEX(GMW!$A$2:$LR$60,MATCH(1,(GMW!$LQ$2:$LQ$60=M$3)*(GMW!$LP$2:$LP$60=M$4)*(GMW!$LR$2:$LR$60=M$1),0),$C99-1966)</f>
        <v>343859</v>
      </c>
      <c r="N99" s="4" cm="1">
        <f t="array" ref="N99">INDEX(GMW!$A$2:$LR$60,MATCH(1,(GMW!$LQ$2:$LQ$60=N$3)*(GMW!$LP$2:$LP$60=N$4)*(GMW!$LR$2:$LR$60=N$1),0),$C99-1966)</f>
        <v>343859</v>
      </c>
      <c r="O99" s="4" cm="1">
        <f t="array" ref="O99">INDEX(GMW!$A$2:$LR$60,MATCH(1,(GMW!$LQ$2:$LQ$60=O$3)*(GMW!$LP$2:$LP$60=O$4)*(GMW!$LR$2:$LR$60=O$1),0),$C99-1966)</f>
        <v>343859</v>
      </c>
      <c r="P99" s="4" cm="1">
        <f t="array" ref="P99">INDEX(GMW!$A$2:$LR$60,MATCH(1,(GMW!$LQ$2:$LQ$60=P$3)*(GMW!$LP$2:$LP$60=P$4)*(GMW!$LR$2:$LR$60=P$1),0),$C99-1966)</f>
        <v>343859</v>
      </c>
      <c r="Q99" s="4" cm="1">
        <f t="array" ref="Q99">INDEX(GMW!$A$2:$LR$60,MATCH(1,(GMW!$LQ$2:$LQ$60=Q$3)*(GMW!$LP$2:$LP$60=Q$4)*(GMW!$LR$2:$LR$60=Q$1),0),$C99-1966)</f>
        <v>343859</v>
      </c>
      <c r="R99" s="4" cm="1">
        <f t="array" ref="R99">INDEX(GMW!$A$2:$LR$60,MATCH(1,(GMW!$LQ$2:$LQ$60=R$3)*(GMW!$LP$2:$LP$60=R$4)*(GMW!$LR$2:$LR$60=R$1),0),$C99-1966)</f>
        <v>343859</v>
      </c>
      <c r="S99" s="4" cm="1">
        <f t="array" ref="S99">INDEX(GMW!$A$2:$LR$60,MATCH(1,(GMW!$LQ$2:$LQ$60=S$3)*(GMW!$LP$2:$LP$60=S$4)*(GMW!$LR$2:$LR$60=S$1),0),$C99-1966)</f>
        <v>343859</v>
      </c>
      <c r="T99" s="4" cm="1">
        <f t="array" ref="T99">INDEX(GMW!$A$2:$LR$60,MATCH(1,(GMW!$LQ$2:$LQ$60=T$3)*(GMW!$LP$2:$LP$60=T$4)*(GMW!$LR$2:$LR$60=T$1),0),$C99-1966)</f>
        <v>343859</v>
      </c>
      <c r="U99" s="4" cm="1">
        <f t="array" ref="U99">INDEX(GMW!$A$2:$LR$60,MATCH(1,(GMW!$LQ$2:$LQ$60=U$3)*(GMW!$LP$2:$LP$60=U$4)*(GMW!$LR$2:$LR$60=U$1),0),$C99-1966)</f>
        <v>241.40309999999999</v>
      </c>
      <c r="V99" s="4" cm="1">
        <f t="array" ref="V99">INDEX(GMW!$A$2:$LR$60,MATCH(1,(GMW!$LQ$2:$LQ$60=V$3)*(GMW!$LP$2:$LP$60=V$4)*(GMW!$LR$2:$LR$60=V$1),0),$C99-1966)</f>
        <v>68.099999999999994</v>
      </c>
      <c r="W99" s="4" cm="1">
        <f t="array" ref="W99">INDEX(GMW!$A$2:$LR$60,MATCH(1,(GMW!$LQ$2:$LQ$60=W$3)*(GMW!$LP$2:$LP$60=W$4)*(GMW!$LR$2:$LR$60=W$1),0),$C99-1966)</f>
        <v>58.6</v>
      </c>
      <c r="X99" s="4" cm="1">
        <f t="array" ref="X99">INDEX(GMW!$A$2:$LR$60,MATCH(1,(GMW!$LQ$2:$LQ$60=X$3)*(GMW!$LP$2:$LP$60=X$4)*(GMW!$LR$2:$LR$60=X$1),0),$C99-1966)</f>
        <v>49.266669999999998</v>
      </c>
      <c r="Y99" s="4" cm="1">
        <f t="array" ref="Y99">INDEX(GMW!$A$2:$LR$60,MATCH(1,(GMW!$LQ$2:$LQ$60=Y$3)*(GMW!$LP$2:$LP$60=Y$4)*(GMW!$LR$2:$LR$60=Y$1),0),$C99-1966)</f>
        <v>40.200000000000003</v>
      </c>
      <c r="Z99" s="4" cm="1">
        <f t="array" ref="Z99">INDEX(GMW!$A$2:$LR$60,MATCH(1,(GMW!$LQ$2:$LQ$60=Z$3)*(GMW!$LP$2:$LP$60=Z$4)*(GMW!$LR$2:$LR$60=Z$1),0),$C99-1966)</f>
        <v>73.266670000000005</v>
      </c>
      <c r="AA99" s="4" cm="1">
        <f t="array" ref="AA99">INDEX(GMW!$A$2:$LR$60,MATCH(1,(GMW!$LQ$2:$LQ$60=AA$3)*(GMW!$LP$2:$LP$60=AA$4)*(GMW!$LR$2:$LR$60=AA$1),0),$C99-1966)</f>
        <v>200470</v>
      </c>
      <c r="AB99" s="4" cm="1">
        <f t="array" ref="AB99">INDEX(GMW!$A$2:$LR$60,MATCH(1,(GMW!$LQ$2:$LQ$60=AB$3)*(GMW!$LP$2:$LP$60=AB$4)*(GMW!$LR$2:$LR$60=AB$1),0),$C99-1966)</f>
        <v>61748</v>
      </c>
      <c r="AC99" s="4" cm="1">
        <f t="array" ref="AC99">INDEX(GMW!$A$2:$LR$60,MATCH(1,(GMW!$LQ$2:$LQ$60=AC$3)*(GMW!$LP$2:$LP$60=AC$4)*(GMW!$LR$2:$LR$60=AC$1),0),$C99-1966)</f>
        <v>66423</v>
      </c>
      <c r="AD99" s="4" cm="1">
        <f t="array" ref="AD99">INDEX(GMW!$A$2:$LR$60,MATCH(1,(GMW!$LQ$2:$LQ$60=AD$3)*(GMW!$LP$2:$LP$60=AD$4)*(GMW!$LR$2:$LR$60=AD$1),0),$C99-1966)</f>
        <v>76029</v>
      </c>
      <c r="AE99" s="4" cm="1">
        <f t="array" ref="AE99">INDEX(GMW!$A$2:$LR$60,MATCH(1,(GMW!$LQ$2:$LQ$60=AE$3)*(GMW!$LP$2:$LP$60=AE$4)*(GMW!$LR$2:$LR$60=AE$1),0),$C99-1966)</f>
        <v>67369</v>
      </c>
      <c r="AF99" s="4" cm="1">
        <f t="array" ref="AF99">INDEX(GMW!$A$2:$LR$60,MATCH(1,(GMW!$LQ$2:$LQ$60=AF$3)*(GMW!$LP$2:$LP$60=AF$4)*(GMW!$LR$2:$LR$60=AF$1),0),$C99-1966)</f>
        <v>1E-3</v>
      </c>
      <c r="AG99" s="4" cm="1">
        <f t="array" ref="AG99">INDEX(GMW!$A$2:$LR$60,MATCH(1,(GMW!$LQ$2:$LQ$60=AG$3)*(GMW!$LP$2:$LP$60=AG$4)*(GMW!$LR$2:$LR$60=AG$1),0),$C99-1966)</f>
        <v>1E-3</v>
      </c>
    </row>
    <row r="100" spans="1:33" x14ac:dyDescent="0.25">
      <c r="B100" s="4">
        <f t="shared" si="3"/>
        <v>1996</v>
      </c>
      <c r="C100" s="4">
        <f t="shared" si="2"/>
        <v>2066</v>
      </c>
      <c r="D100" s="4" cm="1">
        <f t="array" ref="D100">INDEX(GMW!$A$2:$LR$60,MATCH(1,(GMW!$LQ$2:$LQ$60=D$3)*(GMW!$LP$2:$LP$60=D$4)*(GMW!$LR$2:$LR$60=D$1),0),$C100-1966)</f>
        <v>344979</v>
      </c>
      <c r="E100" s="4" cm="1">
        <f t="array" ref="E100">INDEX(GMW!$A$2:$LR$60,MATCH(1,(GMW!$LQ$2:$LQ$60=E$3)*(GMW!$LP$2:$LP$60=E$4)*(GMW!$LR$2:$LR$60=E$1),0),$C100-1966)</f>
        <v>344979</v>
      </c>
      <c r="F100" s="4" cm="1">
        <f t="array" ref="F100">INDEX(GMW!$A$2:$LR$60,MATCH(1,(GMW!$LQ$2:$LQ$60=F$3)*(GMW!$LP$2:$LP$60=F$4)*(GMW!$LR$2:$LR$60=F$1),0),$C100-1966)</f>
        <v>344979</v>
      </c>
      <c r="G100" s="4" cm="1">
        <f t="array" ref="G100">INDEX(GMW!$A$2:$LR$60,MATCH(1,(GMW!$LQ$2:$LQ$60=G$3)*(GMW!$LP$2:$LP$60=G$4)*(GMW!$LR$2:$LR$60=G$1),0),$C100-1966)</f>
        <v>344979</v>
      </c>
      <c r="H100" s="4" cm="1">
        <f t="array" ref="H100">INDEX(GMW!$A$2:$LR$60,MATCH(1,(GMW!$LQ$2:$LQ$60=H$3)*(GMW!$LP$2:$LP$60=H$4)*(GMW!$LR$2:$LR$60=H$1),0),$C100-1966)</f>
        <v>344979</v>
      </c>
      <c r="I100" s="4" cm="1">
        <f t="array" ref="I100">INDEX(GMW!$A$2:$LR$60,MATCH(1,(GMW!$LQ$2:$LQ$60=I$3)*(GMW!$LP$2:$LP$60=I$4)*(GMW!$LR$2:$LR$60=I$1),0),$C100-1966)</f>
        <v>344979</v>
      </c>
      <c r="J100" s="4" cm="1">
        <f t="array" ref="J100">INDEX(GMW!$A$2:$LR$60,MATCH(1,(GMW!$LQ$2:$LQ$60=J$3)*(GMW!$LP$2:$LP$60=J$4)*(GMW!$LR$2:$LR$60=J$1),0),$C100-1966)</f>
        <v>344979</v>
      </c>
      <c r="K100" s="4" cm="1">
        <f t="array" ref="K100">INDEX(GMW!$A$2:$LR$60,MATCH(1,(GMW!$LQ$2:$LQ$60=K$3)*(GMW!$LP$2:$LP$60=K$4)*(GMW!$LR$2:$LR$60=K$1),0),$C100-1966)</f>
        <v>344979</v>
      </c>
      <c r="L100" s="4" cm="1">
        <f t="array" ref="L100">INDEX(GMW!$A$2:$LR$60,MATCH(1,(GMW!$LQ$2:$LQ$60=L$3)*(GMW!$LP$2:$LP$60=L$4)*(GMW!$LR$2:$LR$60=L$1),0),$C100-1966)</f>
        <v>344979</v>
      </c>
      <c r="M100" s="4" cm="1">
        <f t="array" ref="M100">INDEX(GMW!$A$2:$LR$60,MATCH(1,(GMW!$LQ$2:$LQ$60=M$3)*(GMW!$LP$2:$LP$60=M$4)*(GMW!$LR$2:$LR$60=M$1),0),$C100-1966)</f>
        <v>344979</v>
      </c>
      <c r="N100" s="4" cm="1">
        <f t="array" ref="N100">INDEX(GMW!$A$2:$LR$60,MATCH(1,(GMW!$LQ$2:$LQ$60=N$3)*(GMW!$LP$2:$LP$60=N$4)*(GMW!$LR$2:$LR$60=N$1),0),$C100-1966)</f>
        <v>344979</v>
      </c>
      <c r="O100" s="4" cm="1">
        <f t="array" ref="O100">INDEX(GMW!$A$2:$LR$60,MATCH(1,(GMW!$LQ$2:$LQ$60=O$3)*(GMW!$LP$2:$LP$60=O$4)*(GMW!$LR$2:$LR$60=O$1),0),$C100-1966)</f>
        <v>344979</v>
      </c>
      <c r="P100" s="4" cm="1">
        <f t="array" ref="P100">INDEX(GMW!$A$2:$LR$60,MATCH(1,(GMW!$LQ$2:$LQ$60=P$3)*(GMW!$LP$2:$LP$60=P$4)*(GMW!$LR$2:$LR$60=P$1),0),$C100-1966)</f>
        <v>344979</v>
      </c>
      <c r="Q100" s="4" cm="1">
        <f t="array" ref="Q100">INDEX(GMW!$A$2:$LR$60,MATCH(1,(GMW!$LQ$2:$LQ$60=Q$3)*(GMW!$LP$2:$LP$60=Q$4)*(GMW!$LR$2:$LR$60=Q$1),0),$C100-1966)</f>
        <v>344979</v>
      </c>
      <c r="R100" s="4" cm="1">
        <f t="array" ref="R100">INDEX(GMW!$A$2:$LR$60,MATCH(1,(GMW!$LQ$2:$LQ$60=R$3)*(GMW!$LP$2:$LP$60=R$4)*(GMW!$LR$2:$LR$60=R$1),0),$C100-1966)</f>
        <v>344979</v>
      </c>
      <c r="S100" s="4" cm="1">
        <f t="array" ref="S100">INDEX(GMW!$A$2:$LR$60,MATCH(1,(GMW!$LQ$2:$LQ$60=S$3)*(GMW!$LP$2:$LP$60=S$4)*(GMW!$LR$2:$LR$60=S$1),0),$C100-1966)</f>
        <v>344979</v>
      </c>
      <c r="T100" s="4" cm="1">
        <f t="array" ref="T100">INDEX(GMW!$A$2:$LR$60,MATCH(1,(GMW!$LQ$2:$LQ$60=T$3)*(GMW!$LP$2:$LP$60=T$4)*(GMW!$LR$2:$LR$60=T$1),0),$C100-1966)</f>
        <v>344979</v>
      </c>
      <c r="U100" s="4" cm="1">
        <f t="array" ref="U100">INDEX(GMW!$A$2:$LR$60,MATCH(1,(GMW!$LQ$2:$LQ$60=U$3)*(GMW!$LP$2:$LP$60=U$4)*(GMW!$LR$2:$LR$60=U$1),0),$C100-1966)</f>
        <v>247.31559999999999</v>
      </c>
      <c r="V100" s="4" cm="1">
        <f t="array" ref="V100">INDEX(GMW!$A$2:$LR$60,MATCH(1,(GMW!$LQ$2:$LQ$60=V$3)*(GMW!$LP$2:$LP$60=V$4)*(GMW!$LR$2:$LR$60=V$1),0),$C100-1966)</f>
        <v>68.866669999999999</v>
      </c>
      <c r="W100" s="4" cm="1">
        <f t="array" ref="W100">INDEX(GMW!$A$2:$LR$60,MATCH(1,(GMW!$LQ$2:$LQ$60=W$3)*(GMW!$LP$2:$LP$60=W$4)*(GMW!$LR$2:$LR$60=W$1),0),$C100-1966)</f>
        <v>59.366660000000003</v>
      </c>
      <c r="X100" s="4" cm="1">
        <f t="array" ref="X100">INDEX(GMW!$A$2:$LR$60,MATCH(1,(GMW!$LQ$2:$LQ$60=X$3)*(GMW!$LP$2:$LP$60=X$4)*(GMW!$LR$2:$LR$60=X$1),0),$C100-1966)</f>
        <v>49.2</v>
      </c>
      <c r="Y100" s="4" cm="1">
        <f t="array" ref="Y100">INDEX(GMW!$A$2:$LR$60,MATCH(1,(GMW!$LQ$2:$LQ$60=Y$3)*(GMW!$LP$2:$LP$60=Y$4)*(GMW!$LR$2:$LR$60=Y$1),0),$C100-1966)</f>
        <v>40.266669999999998</v>
      </c>
      <c r="Z100" s="4" cm="1">
        <f t="array" ref="Z100">INDEX(GMW!$A$2:$LR$60,MATCH(1,(GMW!$LQ$2:$LQ$60=Z$3)*(GMW!$LP$2:$LP$60=Z$4)*(GMW!$LR$2:$LR$60=Z$1),0),$C100-1966)</f>
        <v>74.166659999999993</v>
      </c>
      <c r="AA100" s="4" cm="1">
        <f t="array" ref="AA100">INDEX(GMW!$A$2:$LR$60,MATCH(1,(GMW!$LQ$2:$LQ$60=AA$3)*(GMW!$LP$2:$LP$60=AA$4)*(GMW!$LR$2:$LR$60=AA$1),0),$C100-1966)</f>
        <v>202153</v>
      </c>
      <c r="AB100" s="4" cm="1">
        <f t="array" ref="AB100">INDEX(GMW!$A$2:$LR$60,MATCH(1,(GMW!$LQ$2:$LQ$60=AB$3)*(GMW!$LP$2:$LP$60=AB$4)*(GMW!$LR$2:$LR$60=AB$1),0),$C100-1966)</f>
        <v>63839</v>
      </c>
      <c r="AC100" s="4" cm="1">
        <f t="array" ref="AC100">INDEX(GMW!$A$2:$LR$60,MATCH(1,(GMW!$LQ$2:$LQ$60=AC$3)*(GMW!$LP$2:$LP$60=AC$4)*(GMW!$LR$2:$LR$60=AC$1),0),$C100-1966)</f>
        <v>65943</v>
      </c>
      <c r="AD100" s="4" cm="1">
        <f t="array" ref="AD100">INDEX(GMW!$A$2:$LR$60,MATCH(1,(GMW!$LQ$2:$LQ$60=AD$3)*(GMW!$LP$2:$LP$60=AD$4)*(GMW!$LR$2:$LR$60=AD$1),0),$C100-1966)</f>
        <v>77203</v>
      </c>
      <c r="AE100" s="4" cm="1">
        <f t="array" ref="AE100">INDEX(GMW!$A$2:$LR$60,MATCH(1,(GMW!$LQ$2:$LQ$60=AE$3)*(GMW!$LP$2:$LP$60=AE$4)*(GMW!$LR$2:$LR$60=AE$1),0),$C100-1966)</f>
        <v>68179</v>
      </c>
      <c r="AF100" s="4" cm="1">
        <f t="array" ref="AF100">INDEX(GMW!$A$2:$LR$60,MATCH(1,(GMW!$LQ$2:$LQ$60=AF$3)*(GMW!$LP$2:$LP$60=AF$4)*(GMW!$LR$2:$LR$60=AF$1),0),$C100-1966)</f>
        <v>1E-3</v>
      </c>
      <c r="AG100" s="4" cm="1">
        <f t="array" ref="AG100">INDEX(GMW!$A$2:$LR$60,MATCH(1,(GMW!$LQ$2:$LQ$60=AG$3)*(GMW!$LP$2:$LP$60=AG$4)*(GMW!$LR$2:$LR$60=AG$1),0),$C100-1966)</f>
        <v>1E-3</v>
      </c>
    </row>
    <row r="101" spans="1:33" x14ac:dyDescent="0.25">
      <c r="B101" s="4">
        <f t="shared" si="3"/>
        <v>1996</v>
      </c>
      <c r="C101" s="4">
        <f t="shared" si="2"/>
        <v>2067</v>
      </c>
      <c r="D101" s="4" cm="1">
        <f t="array" ref="D101">INDEX(GMW!$A$2:$LR$60,MATCH(1,(GMW!$LQ$2:$LQ$60=D$3)*(GMW!$LP$2:$LP$60=D$4)*(GMW!$LR$2:$LR$60=D$1),0),$C101-1966)</f>
        <v>348214</v>
      </c>
      <c r="E101" s="4" cm="1">
        <f t="array" ref="E101">INDEX(GMW!$A$2:$LR$60,MATCH(1,(GMW!$LQ$2:$LQ$60=E$3)*(GMW!$LP$2:$LP$60=E$4)*(GMW!$LR$2:$LR$60=E$1),0),$C101-1966)</f>
        <v>348214</v>
      </c>
      <c r="F101" s="4" cm="1">
        <f t="array" ref="F101">INDEX(GMW!$A$2:$LR$60,MATCH(1,(GMW!$LQ$2:$LQ$60=F$3)*(GMW!$LP$2:$LP$60=F$4)*(GMW!$LR$2:$LR$60=F$1),0),$C101-1966)</f>
        <v>348214</v>
      </c>
      <c r="G101" s="4" cm="1">
        <f t="array" ref="G101">INDEX(GMW!$A$2:$LR$60,MATCH(1,(GMW!$LQ$2:$LQ$60=G$3)*(GMW!$LP$2:$LP$60=G$4)*(GMW!$LR$2:$LR$60=G$1),0),$C101-1966)</f>
        <v>348214</v>
      </c>
      <c r="H101" s="4" cm="1">
        <f t="array" ref="H101">INDEX(GMW!$A$2:$LR$60,MATCH(1,(GMW!$LQ$2:$LQ$60=H$3)*(GMW!$LP$2:$LP$60=H$4)*(GMW!$LR$2:$LR$60=H$1),0),$C101-1966)</f>
        <v>348214</v>
      </c>
      <c r="I101" s="4" cm="1">
        <f t="array" ref="I101">INDEX(GMW!$A$2:$LR$60,MATCH(1,(GMW!$LQ$2:$LQ$60=I$3)*(GMW!$LP$2:$LP$60=I$4)*(GMW!$LR$2:$LR$60=I$1),0),$C101-1966)</f>
        <v>348214</v>
      </c>
      <c r="J101" s="4" cm="1">
        <f t="array" ref="J101">INDEX(GMW!$A$2:$LR$60,MATCH(1,(GMW!$LQ$2:$LQ$60=J$3)*(GMW!$LP$2:$LP$60=J$4)*(GMW!$LR$2:$LR$60=J$1),0),$C101-1966)</f>
        <v>348214</v>
      </c>
      <c r="K101" s="4" cm="1">
        <f t="array" ref="K101">INDEX(GMW!$A$2:$LR$60,MATCH(1,(GMW!$LQ$2:$LQ$60=K$3)*(GMW!$LP$2:$LP$60=K$4)*(GMW!$LR$2:$LR$60=K$1),0),$C101-1966)</f>
        <v>348214</v>
      </c>
      <c r="L101" s="4" cm="1">
        <f t="array" ref="L101">INDEX(GMW!$A$2:$LR$60,MATCH(1,(GMW!$LQ$2:$LQ$60=L$3)*(GMW!$LP$2:$LP$60=L$4)*(GMW!$LR$2:$LR$60=L$1),0),$C101-1966)</f>
        <v>348214</v>
      </c>
      <c r="M101" s="4" cm="1">
        <f t="array" ref="M101">INDEX(GMW!$A$2:$LR$60,MATCH(1,(GMW!$LQ$2:$LQ$60=M$3)*(GMW!$LP$2:$LP$60=M$4)*(GMW!$LR$2:$LR$60=M$1),0),$C101-1966)</f>
        <v>348214</v>
      </c>
      <c r="N101" s="4" cm="1">
        <f t="array" ref="N101">INDEX(GMW!$A$2:$LR$60,MATCH(1,(GMW!$LQ$2:$LQ$60=N$3)*(GMW!$LP$2:$LP$60=N$4)*(GMW!$LR$2:$LR$60=N$1),0),$C101-1966)</f>
        <v>348214</v>
      </c>
      <c r="O101" s="4" cm="1">
        <f t="array" ref="O101">INDEX(GMW!$A$2:$LR$60,MATCH(1,(GMW!$LQ$2:$LQ$60=O$3)*(GMW!$LP$2:$LP$60=O$4)*(GMW!$LR$2:$LR$60=O$1),0),$C101-1966)</f>
        <v>348214</v>
      </c>
      <c r="P101" s="4" cm="1">
        <f t="array" ref="P101">INDEX(GMW!$A$2:$LR$60,MATCH(1,(GMW!$LQ$2:$LQ$60=P$3)*(GMW!$LP$2:$LP$60=P$4)*(GMW!$LR$2:$LR$60=P$1),0),$C101-1966)</f>
        <v>348214</v>
      </c>
      <c r="Q101" s="4" cm="1">
        <f t="array" ref="Q101">INDEX(GMW!$A$2:$LR$60,MATCH(1,(GMW!$LQ$2:$LQ$60=Q$3)*(GMW!$LP$2:$LP$60=Q$4)*(GMW!$LR$2:$LR$60=Q$1),0),$C101-1966)</f>
        <v>348214</v>
      </c>
      <c r="R101" s="4" cm="1">
        <f t="array" ref="R101">INDEX(GMW!$A$2:$LR$60,MATCH(1,(GMW!$LQ$2:$LQ$60=R$3)*(GMW!$LP$2:$LP$60=R$4)*(GMW!$LR$2:$LR$60=R$1),0),$C101-1966)</f>
        <v>348214</v>
      </c>
      <c r="S101" s="4" cm="1">
        <f t="array" ref="S101">INDEX(GMW!$A$2:$LR$60,MATCH(1,(GMW!$LQ$2:$LQ$60=S$3)*(GMW!$LP$2:$LP$60=S$4)*(GMW!$LR$2:$LR$60=S$1),0),$C101-1966)</f>
        <v>348214</v>
      </c>
      <c r="T101" s="4" cm="1">
        <f t="array" ref="T101">INDEX(GMW!$A$2:$LR$60,MATCH(1,(GMW!$LQ$2:$LQ$60=T$3)*(GMW!$LP$2:$LP$60=T$4)*(GMW!$LR$2:$LR$60=T$1),0),$C101-1966)</f>
        <v>348214</v>
      </c>
      <c r="U101" s="4" cm="1">
        <f t="array" ref="U101">INDEX(GMW!$A$2:$LR$60,MATCH(1,(GMW!$LQ$2:$LQ$60=U$3)*(GMW!$LP$2:$LP$60=U$4)*(GMW!$LR$2:$LR$60=U$1),0),$C101-1966)</f>
        <v>251.52930000000001</v>
      </c>
      <c r="V101" s="4" cm="1">
        <f t="array" ref="V101">INDEX(GMW!$A$2:$LR$60,MATCH(1,(GMW!$LQ$2:$LQ$60=V$3)*(GMW!$LP$2:$LP$60=V$4)*(GMW!$LR$2:$LR$60=V$1),0),$C101-1966)</f>
        <v>68.933329999999998</v>
      </c>
      <c r="W101" s="4" cm="1">
        <f t="array" ref="W101">INDEX(GMW!$A$2:$LR$60,MATCH(1,(GMW!$LQ$2:$LQ$60=W$3)*(GMW!$LP$2:$LP$60=W$4)*(GMW!$LR$2:$LR$60=W$1),0),$C101-1966)</f>
        <v>59.133339999999997</v>
      </c>
      <c r="X101" s="4" cm="1">
        <f t="array" ref="X101">INDEX(GMW!$A$2:$LR$60,MATCH(1,(GMW!$LQ$2:$LQ$60=X$3)*(GMW!$LP$2:$LP$60=X$4)*(GMW!$LR$2:$LR$60=X$1),0),$C101-1966)</f>
        <v>50.066670000000002</v>
      </c>
      <c r="Y101" s="4" cm="1">
        <f t="array" ref="Y101">INDEX(GMW!$A$2:$LR$60,MATCH(1,(GMW!$LQ$2:$LQ$60=Y$3)*(GMW!$LP$2:$LP$60=Y$4)*(GMW!$LR$2:$LR$60=Y$1),0),$C101-1966)</f>
        <v>40.266669999999998</v>
      </c>
      <c r="Z101" s="4" cm="1">
        <f t="array" ref="Z101">INDEX(GMW!$A$2:$LR$60,MATCH(1,(GMW!$LQ$2:$LQ$60=Z$3)*(GMW!$LP$2:$LP$60=Z$4)*(GMW!$LR$2:$LR$60=Z$1),0),$C101-1966)</f>
        <v>74.266670000000005</v>
      </c>
      <c r="AA101" s="4" cm="1">
        <f t="array" ref="AA101">INDEX(GMW!$A$2:$LR$60,MATCH(1,(GMW!$LQ$2:$LQ$60=AA$3)*(GMW!$LP$2:$LP$60=AA$4)*(GMW!$LR$2:$LR$60=AA$1),0),$C101-1966)</f>
        <v>203928</v>
      </c>
      <c r="AB101" s="4" cm="1">
        <f t="array" ref="AB101">INDEX(GMW!$A$2:$LR$60,MATCH(1,(GMW!$LQ$2:$LQ$60=AB$3)*(GMW!$LP$2:$LP$60=AB$4)*(GMW!$LR$2:$LR$60=AB$1),0),$C101-1966)</f>
        <v>63348</v>
      </c>
      <c r="AC101" s="4" cm="1">
        <f t="array" ref="AC101">INDEX(GMW!$A$2:$LR$60,MATCH(1,(GMW!$LQ$2:$LQ$60=AC$3)*(GMW!$LP$2:$LP$60=AC$4)*(GMW!$LR$2:$LR$60=AC$1),0),$C101-1966)</f>
        <v>66355</v>
      </c>
      <c r="AD101" s="4" cm="1">
        <f t="array" ref="AD101">INDEX(GMW!$A$2:$LR$60,MATCH(1,(GMW!$LQ$2:$LQ$60=AD$3)*(GMW!$LP$2:$LP$60=AD$4)*(GMW!$LR$2:$LR$60=AD$1),0),$C101-1966)</f>
        <v>78137</v>
      </c>
      <c r="AE101" s="4" cm="1">
        <f t="array" ref="AE101">INDEX(GMW!$A$2:$LR$60,MATCH(1,(GMW!$LQ$2:$LQ$60=AE$3)*(GMW!$LP$2:$LP$60=AE$4)*(GMW!$LR$2:$LR$60=AE$1),0),$C101-1966)</f>
        <v>69534</v>
      </c>
      <c r="AF101" s="4" cm="1">
        <f t="array" ref="AF101">INDEX(GMW!$A$2:$LR$60,MATCH(1,(GMW!$LQ$2:$LQ$60=AF$3)*(GMW!$LP$2:$LP$60=AF$4)*(GMW!$LR$2:$LR$60=AF$1),0),$C101-1966)</f>
        <v>1E-3</v>
      </c>
      <c r="AG101" s="4" cm="1">
        <f t="array" ref="AG101">INDEX(GMW!$A$2:$LR$60,MATCH(1,(GMW!$LQ$2:$LQ$60=AG$3)*(GMW!$LP$2:$LP$60=AG$4)*(GMW!$LR$2:$LR$60=AG$1),0),$C101-1966)</f>
        <v>1E-3</v>
      </c>
    </row>
    <row r="102" spans="1:33" x14ac:dyDescent="0.25">
      <c r="B102" s="4">
        <f t="shared" si="3"/>
        <v>1996</v>
      </c>
      <c r="C102" s="4">
        <f t="shared" si="2"/>
        <v>2068</v>
      </c>
      <c r="D102" s="4" cm="1">
        <f t="array" ref="D102">INDEX(GMW!$A$2:$LR$60,MATCH(1,(GMW!$LQ$2:$LQ$60=D$3)*(GMW!$LP$2:$LP$60=D$4)*(GMW!$LR$2:$LR$60=D$1),0),$C102-1966)</f>
        <v>352958</v>
      </c>
      <c r="E102" s="4" cm="1">
        <f t="array" ref="E102">INDEX(GMW!$A$2:$LR$60,MATCH(1,(GMW!$LQ$2:$LQ$60=E$3)*(GMW!$LP$2:$LP$60=E$4)*(GMW!$LR$2:$LR$60=E$1),0),$C102-1966)</f>
        <v>352958</v>
      </c>
      <c r="F102" s="4" cm="1">
        <f t="array" ref="F102">INDEX(GMW!$A$2:$LR$60,MATCH(1,(GMW!$LQ$2:$LQ$60=F$3)*(GMW!$LP$2:$LP$60=F$4)*(GMW!$LR$2:$LR$60=F$1),0),$C102-1966)</f>
        <v>352958</v>
      </c>
      <c r="G102" s="4" cm="1">
        <f t="array" ref="G102">INDEX(GMW!$A$2:$LR$60,MATCH(1,(GMW!$LQ$2:$LQ$60=G$3)*(GMW!$LP$2:$LP$60=G$4)*(GMW!$LR$2:$LR$60=G$1),0),$C102-1966)</f>
        <v>352958</v>
      </c>
      <c r="H102" s="4" cm="1">
        <f t="array" ref="H102">INDEX(GMW!$A$2:$LR$60,MATCH(1,(GMW!$LQ$2:$LQ$60=H$3)*(GMW!$LP$2:$LP$60=H$4)*(GMW!$LR$2:$LR$60=H$1),0),$C102-1966)</f>
        <v>352958</v>
      </c>
      <c r="I102" s="4" cm="1">
        <f t="array" ref="I102">INDEX(GMW!$A$2:$LR$60,MATCH(1,(GMW!$LQ$2:$LQ$60=I$3)*(GMW!$LP$2:$LP$60=I$4)*(GMW!$LR$2:$LR$60=I$1),0),$C102-1966)</f>
        <v>352958</v>
      </c>
      <c r="J102" s="4" cm="1">
        <f t="array" ref="J102">INDEX(GMW!$A$2:$LR$60,MATCH(1,(GMW!$LQ$2:$LQ$60=J$3)*(GMW!$LP$2:$LP$60=J$4)*(GMW!$LR$2:$LR$60=J$1),0),$C102-1966)</f>
        <v>352958</v>
      </c>
      <c r="K102" s="4" cm="1">
        <f t="array" ref="K102">INDEX(GMW!$A$2:$LR$60,MATCH(1,(GMW!$LQ$2:$LQ$60=K$3)*(GMW!$LP$2:$LP$60=K$4)*(GMW!$LR$2:$LR$60=K$1),0),$C102-1966)</f>
        <v>352958</v>
      </c>
      <c r="L102" s="4" cm="1">
        <f t="array" ref="L102">INDEX(GMW!$A$2:$LR$60,MATCH(1,(GMW!$LQ$2:$LQ$60=L$3)*(GMW!$LP$2:$LP$60=L$4)*(GMW!$LR$2:$LR$60=L$1),0),$C102-1966)</f>
        <v>352958</v>
      </c>
      <c r="M102" s="4" cm="1">
        <f t="array" ref="M102">INDEX(GMW!$A$2:$LR$60,MATCH(1,(GMW!$LQ$2:$LQ$60=M$3)*(GMW!$LP$2:$LP$60=M$4)*(GMW!$LR$2:$LR$60=M$1),0),$C102-1966)</f>
        <v>352958</v>
      </c>
      <c r="N102" s="4" cm="1">
        <f t="array" ref="N102">INDEX(GMW!$A$2:$LR$60,MATCH(1,(GMW!$LQ$2:$LQ$60=N$3)*(GMW!$LP$2:$LP$60=N$4)*(GMW!$LR$2:$LR$60=N$1),0),$C102-1966)</f>
        <v>352958</v>
      </c>
      <c r="O102" s="4" cm="1">
        <f t="array" ref="O102">INDEX(GMW!$A$2:$LR$60,MATCH(1,(GMW!$LQ$2:$LQ$60=O$3)*(GMW!$LP$2:$LP$60=O$4)*(GMW!$LR$2:$LR$60=O$1),0),$C102-1966)</f>
        <v>352958</v>
      </c>
      <c r="P102" s="4" cm="1">
        <f t="array" ref="P102">INDEX(GMW!$A$2:$LR$60,MATCH(1,(GMW!$LQ$2:$LQ$60=P$3)*(GMW!$LP$2:$LP$60=P$4)*(GMW!$LR$2:$LR$60=P$1),0),$C102-1966)</f>
        <v>352958</v>
      </c>
      <c r="Q102" s="4" cm="1">
        <f t="array" ref="Q102">INDEX(GMW!$A$2:$LR$60,MATCH(1,(GMW!$LQ$2:$LQ$60=Q$3)*(GMW!$LP$2:$LP$60=Q$4)*(GMW!$LR$2:$LR$60=Q$1),0),$C102-1966)</f>
        <v>352958</v>
      </c>
      <c r="R102" s="4" cm="1">
        <f t="array" ref="R102">INDEX(GMW!$A$2:$LR$60,MATCH(1,(GMW!$LQ$2:$LQ$60=R$3)*(GMW!$LP$2:$LP$60=R$4)*(GMW!$LR$2:$LR$60=R$1),0),$C102-1966)</f>
        <v>352958</v>
      </c>
      <c r="S102" s="4" cm="1">
        <f t="array" ref="S102">INDEX(GMW!$A$2:$LR$60,MATCH(1,(GMW!$LQ$2:$LQ$60=S$3)*(GMW!$LP$2:$LP$60=S$4)*(GMW!$LR$2:$LR$60=S$1),0),$C102-1966)</f>
        <v>352958</v>
      </c>
      <c r="T102" s="4" cm="1">
        <f t="array" ref="T102">INDEX(GMW!$A$2:$LR$60,MATCH(1,(GMW!$LQ$2:$LQ$60=T$3)*(GMW!$LP$2:$LP$60=T$4)*(GMW!$LR$2:$LR$60=T$1),0),$C102-1966)</f>
        <v>352958</v>
      </c>
      <c r="U102" s="4" cm="1">
        <f t="array" ref="U102">INDEX(GMW!$A$2:$LR$60,MATCH(1,(GMW!$LQ$2:$LQ$60=U$3)*(GMW!$LP$2:$LP$60=U$4)*(GMW!$LR$2:$LR$60=U$1),0),$C102-1966)</f>
        <v>253.94390000000001</v>
      </c>
      <c r="V102" s="4" cm="1">
        <f t="array" ref="V102">INDEX(GMW!$A$2:$LR$60,MATCH(1,(GMW!$LQ$2:$LQ$60=V$3)*(GMW!$LP$2:$LP$60=V$4)*(GMW!$LR$2:$LR$60=V$1),0),$C102-1966)</f>
        <v>69.366669999999999</v>
      </c>
      <c r="W102" s="4" cm="1">
        <f t="array" ref="W102">INDEX(GMW!$A$2:$LR$60,MATCH(1,(GMW!$LQ$2:$LQ$60=W$3)*(GMW!$LP$2:$LP$60=W$4)*(GMW!$LR$2:$LR$60=W$1),0),$C102-1966)</f>
        <v>58.533329999999999</v>
      </c>
      <c r="X102" s="4" cm="1">
        <f t="array" ref="X102">INDEX(GMW!$A$2:$LR$60,MATCH(1,(GMW!$LQ$2:$LQ$60=X$3)*(GMW!$LP$2:$LP$60=X$4)*(GMW!$LR$2:$LR$60=X$1),0),$C102-1966)</f>
        <v>53.333329999999997</v>
      </c>
      <c r="Y102" s="4" cm="1">
        <f t="array" ref="Y102">INDEX(GMW!$A$2:$LR$60,MATCH(1,(GMW!$LQ$2:$LQ$60=Y$3)*(GMW!$LP$2:$LP$60=Y$4)*(GMW!$LR$2:$LR$60=Y$1),0),$C102-1966)</f>
        <v>40.066670000000002</v>
      </c>
      <c r="Z102" s="4" cm="1">
        <f t="array" ref="Z102">INDEX(GMW!$A$2:$LR$60,MATCH(1,(GMW!$LQ$2:$LQ$60=Z$3)*(GMW!$LP$2:$LP$60=Z$4)*(GMW!$LR$2:$LR$60=Z$1),0),$C102-1966)</f>
        <v>74.933329999999998</v>
      </c>
      <c r="AA102" s="4" cm="1">
        <f t="array" ref="AA102">INDEX(GMW!$A$2:$LR$60,MATCH(1,(GMW!$LQ$2:$LQ$60=AA$3)*(GMW!$LP$2:$LP$60=AA$4)*(GMW!$LR$2:$LR$60=AA$1),0),$C102-1966)</f>
        <v>206622</v>
      </c>
      <c r="AB102" s="4" cm="1">
        <f t="array" ref="AB102">INDEX(GMW!$A$2:$LR$60,MATCH(1,(GMW!$LQ$2:$LQ$60=AB$3)*(GMW!$LP$2:$LP$60=AB$4)*(GMW!$LR$2:$LR$60=AB$1),0),$C102-1966)</f>
        <v>61211</v>
      </c>
      <c r="AC102" s="4" cm="1">
        <f t="array" ref="AC102">INDEX(GMW!$A$2:$LR$60,MATCH(1,(GMW!$LQ$2:$LQ$60=AC$3)*(GMW!$LP$2:$LP$60=AC$4)*(GMW!$LR$2:$LR$60=AC$1),0),$C102-1966)</f>
        <v>66554</v>
      </c>
      <c r="AD102" s="4" cm="1">
        <f t="array" ref="AD102">INDEX(GMW!$A$2:$LR$60,MATCH(1,(GMW!$LQ$2:$LQ$60=AD$3)*(GMW!$LP$2:$LP$60=AD$4)*(GMW!$LR$2:$LR$60=AD$1),0),$C102-1966)</f>
        <v>80171</v>
      </c>
      <c r="AE102" s="4" cm="1">
        <f t="array" ref="AE102">INDEX(GMW!$A$2:$LR$60,MATCH(1,(GMW!$LQ$2:$LQ$60=AE$3)*(GMW!$LP$2:$LP$60=AE$4)*(GMW!$LR$2:$LR$60=AE$1),0),$C102-1966)</f>
        <v>71124</v>
      </c>
      <c r="AF102" s="4" cm="1">
        <f t="array" ref="AF102">INDEX(GMW!$A$2:$LR$60,MATCH(1,(GMW!$LQ$2:$LQ$60=AF$3)*(GMW!$LP$2:$LP$60=AF$4)*(GMW!$LR$2:$LR$60=AF$1),0),$C102-1966)</f>
        <v>1E-3</v>
      </c>
      <c r="AG102" s="4" cm="1">
        <f t="array" ref="AG102">INDEX(GMW!$A$2:$LR$60,MATCH(1,(GMW!$LQ$2:$LQ$60=AG$3)*(GMW!$LP$2:$LP$60=AG$4)*(GMW!$LR$2:$LR$60=AG$1),0),$C102-1966)</f>
        <v>1E-3</v>
      </c>
    </row>
    <row r="103" spans="1:33" x14ac:dyDescent="0.25">
      <c r="A103" s="4">
        <v>1997</v>
      </c>
      <c r="B103" s="4">
        <f t="shared" si="3"/>
        <v>1997</v>
      </c>
      <c r="C103" s="4">
        <f t="shared" si="2"/>
        <v>2069</v>
      </c>
      <c r="D103" s="4" cm="1">
        <f t="array" ref="D103">INDEX(GMW!$A$2:$LR$60,MATCH(1,(GMW!$LQ$2:$LQ$60=D$3)*(GMW!$LP$2:$LP$60=D$4)*(GMW!$LR$2:$LR$60=D$1),0),$C103-1966)</f>
        <v>358611</v>
      </c>
      <c r="E103" s="4" cm="1">
        <f t="array" ref="E103">INDEX(GMW!$A$2:$LR$60,MATCH(1,(GMW!$LQ$2:$LQ$60=E$3)*(GMW!$LP$2:$LP$60=E$4)*(GMW!$LR$2:$LR$60=E$1),0),$C103-1966)</f>
        <v>358611</v>
      </c>
      <c r="F103" s="4" cm="1">
        <f t="array" ref="F103">INDEX(GMW!$A$2:$LR$60,MATCH(1,(GMW!$LQ$2:$LQ$60=F$3)*(GMW!$LP$2:$LP$60=F$4)*(GMW!$LR$2:$LR$60=F$1),0),$C103-1966)</f>
        <v>358611</v>
      </c>
      <c r="G103" s="4" cm="1">
        <f t="array" ref="G103">INDEX(GMW!$A$2:$LR$60,MATCH(1,(GMW!$LQ$2:$LQ$60=G$3)*(GMW!$LP$2:$LP$60=G$4)*(GMW!$LR$2:$LR$60=G$1),0),$C103-1966)</f>
        <v>358611</v>
      </c>
      <c r="H103" s="4" cm="1">
        <f t="array" ref="H103">INDEX(GMW!$A$2:$LR$60,MATCH(1,(GMW!$LQ$2:$LQ$60=H$3)*(GMW!$LP$2:$LP$60=H$4)*(GMW!$LR$2:$LR$60=H$1),0),$C103-1966)</f>
        <v>358611</v>
      </c>
      <c r="I103" s="4" cm="1">
        <f t="array" ref="I103">INDEX(GMW!$A$2:$LR$60,MATCH(1,(GMW!$LQ$2:$LQ$60=I$3)*(GMW!$LP$2:$LP$60=I$4)*(GMW!$LR$2:$LR$60=I$1),0),$C103-1966)</f>
        <v>358611</v>
      </c>
      <c r="J103" s="4" cm="1">
        <f t="array" ref="J103">INDEX(GMW!$A$2:$LR$60,MATCH(1,(GMW!$LQ$2:$LQ$60=J$3)*(GMW!$LP$2:$LP$60=J$4)*(GMW!$LR$2:$LR$60=J$1),0),$C103-1966)</f>
        <v>358611</v>
      </c>
      <c r="K103" s="4" cm="1">
        <f t="array" ref="K103">INDEX(GMW!$A$2:$LR$60,MATCH(1,(GMW!$LQ$2:$LQ$60=K$3)*(GMW!$LP$2:$LP$60=K$4)*(GMW!$LR$2:$LR$60=K$1),0),$C103-1966)</f>
        <v>358611</v>
      </c>
      <c r="L103" s="4" cm="1">
        <f t="array" ref="L103">INDEX(GMW!$A$2:$LR$60,MATCH(1,(GMW!$LQ$2:$LQ$60=L$3)*(GMW!$LP$2:$LP$60=L$4)*(GMW!$LR$2:$LR$60=L$1),0),$C103-1966)</f>
        <v>358611</v>
      </c>
      <c r="M103" s="4" cm="1">
        <f t="array" ref="M103">INDEX(GMW!$A$2:$LR$60,MATCH(1,(GMW!$LQ$2:$LQ$60=M$3)*(GMW!$LP$2:$LP$60=M$4)*(GMW!$LR$2:$LR$60=M$1),0),$C103-1966)</f>
        <v>358611</v>
      </c>
      <c r="N103" s="4" cm="1">
        <f t="array" ref="N103">INDEX(GMW!$A$2:$LR$60,MATCH(1,(GMW!$LQ$2:$LQ$60=N$3)*(GMW!$LP$2:$LP$60=N$4)*(GMW!$LR$2:$LR$60=N$1),0),$C103-1966)</f>
        <v>358611</v>
      </c>
      <c r="O103" s="4" cm="1">
        <f t="array" ref="O103">INDEX(GMW!$A$2:$LR$60,MATCH(1,(GMW!$LQ$2:$LQ$60=O$3)*(GMW!$LP$2:$LP$60=O$4)*(GMW!$LR$2:$LR$60=O$1),0),$C103-1966)</f>
        <v>358611</v>
      </c>
      <c r="P103" s="4" cm="1">
        <f t="array" ref="P103">INDEX(GMW!$A$2:$LR$60,MATCH(1,(GMW!$LQ$2:$LQ$60=P$3)*(GMW!$LP$2:$LP$60=P$4)*(GMW!$LR$2:$LR$60=P$1),0),$C103-1966)</f>
        <v>358611</v>
      </c>
      <c r="Q103" s="4" cm="1">
        <f t="array" ref="Q103">INDEX(GMW!$A$2:$LR$60,MATCH(1,(GMW!$LQ$2:$LQ$60=Q$3)*(GMW!$LP$2:$LP$60=Q$4)*(GMW!$LR$2:$LR$60=Q$1),0),$C103-1966)</f>
        <v>358611</v>
      </c>
      <c r="R103" s="4" cm="1">
        <f t="array" ref="R103">INDEX(GMW!$A$2:$LR$60,MATCH(1,(GMW!$LQ$2:$LQ$60=R$3)*(GMW!$LP$2:$LP$60=R$4)*(GMW!$LR$2:$LR$60=R$1),0),$C103-1966)</f>
        <v>358611</v>
      </c>
      <c r="S103" s="4" cm="1">
        <f t="array" ref="S103">INDEX(GMW!$A$2:$LR$60,MATCH(1,(GMW!$LQ$2:$LQ$60=S$3)*(GMW!$LP$2:$LP$60=S$4)*(GMW!$LR$2:$LR$60=S$1),0),$C103-1966)</f>
        <v>358611</v>
      </c>
      <c r="T103" s="4" cm="1">
        <f t="array" ref="T103">INDEX(GMW!$A$2:$LR$60,MATCH(1,(GMW!$LQ$2:$LQ$60=T$3)*(GMW!$LP$2:$LP$60=T$4)*(GMW!$LR$2:$LR$60=T$1),0),$C103-1966)</f>
        <v>358611</v>
      </c>
      <c r="U103" s="4" cm="1">
        <f t="array" ref="U103">INDEX(GMW!$A$2:$LR$60,MATCH(1,(GMW!$LQ$2:$LQ$60=U$3)*(GMW!$LP$2:$LP$60=U$4)*(GMW!$LR$2:$LR$60=U$1),0),$C103-1966)</f>
        <v>253.93029999999999</v>
      </c>
      <c r="V103" s="4" cm="1">
        <f t="array" ref="V103">INDEX(GMW!$A$2:$LR$60,MATCH(1,(GMW!$LQ$2:$LQ$60=V$3)*(GMW!$LP$2:$LP$60=V$4)*(GMW!$LR$2:$LR$60=V$1),0),$C103-1966)</f>
        <v>69.366669999999999</v>
      </c>
      <c r="W103" s="4" cm="1">
        <f t="array" ref="W103">INDEX(GMW!$A$2:$LR$60,MATCH(1,(GMW!$LQ$2:$LQ$60=W$3)*(GMW!$LP$2:$LP$60=W$4)*(GMW!$LR$2:$LR$60=W$1),0),$C103-1966)</f>
        <v>59.066670000000002</v>
      </c>
      <c r="X103" s="4" cm="1">
        <f t="array" ref="X103">INDEX(GMW!$A$2:$LR$60,MATCH(1,(GMW!$LQ$2:$LQ$60=X$3)*(GMW!$LP$2:$LP$60=X$4)*(GMW!$LR$2:$LR$60=X$1),0),$C103-1966)</f>
        <v>54</v>
      </c>
      <c r="Y103" s="4" cm="1">
        <f t="array" ref="Y103">INDEX(GMW!$A$2:$LR$60,MATCH(1,(GMW!$LQ$2:$LQ$60=Y$3)*(GMW!$LP$2:$LP$60=Y$4)*(GMW!$LR$2:$LR$60=Y$1),0),$C103-1966)</f>
        <v>39.766669999999998</v>
      </c>
      <c r="Z103" s="4" cm="1">
        <f t="array" ref="Z103">INDEX(GMW!$A$2:$LR$60,MATCH(1,(GMW!$LQ$2:$LQ$60=Z$3)*(GMW!$LP$2:$LP$60=Z$4)*(GMW!$LR$2:$LR$60=Z$1),0),$C103-1966)</f>
        <v>74.733329999999995</v>
      </c>
      <c r="AA103" s="4" cm="1">
        <f t="array" ref="AA103">INDEX(GMW!$A$2:$LR$60,MATCH(1,(GMW!$LQ$2:$LQ$60=AA$3)*(GMW!$LP$2:$LP$60=AA$4)*(GMW!$LR$2:$LR$60=AA$1),0),$C103-1966)</f>
        <v>209529</v>
      </c>
      <c r="AB103" s="4" cm="1">
        <f t="array" ref="AB103">INDEX(GMW!$A$2:$LR$60,MATCH(1,(GMW!$LQ$2:$LQ$60=AB$3)*(GMW!$LP$2:$LP$60=AB$4)*(GMW!$LR$2:$LR$60=AB$1),0),$C103-1966)</f>
        <v>59050</v>
      </c>
      <c r="AC103" s="4" cm="1">
        <f t="array" ref="AC103">INDEX(GMW!$A$2:$LR$60,MATCH(1,(GMW!$LQ$2:$LQ$60=AC$3)*(GMW!$LP$2:$LP$60=AC$4)*(GMW!$LR$2:$LR$60=AC$1),0),$C103-1966)</f>
        <v>65866</v>
      </c>
      <c r="AD103" s="4" cm="1">
        <f t="array" ref="AD103">INDEX(GMW!$A$2:$LR$60,MATCH(1,(GMW!$LQ$2:$LQ$60=AD$3)*(GMW!$LP$2:$LP$60=AD$4)*(GMW!$LR$2:$LR$60=AD$1),0),$C103-1966)</f>
        <v>86171</v>
      </c>
      <c r="AE103" s="4" cm="1">
        <f t="array" ref="AE103">INDEX(GMW!$A$2:$LR$60,MATCH(1,(GMW!$LQ$2:$LQ$60=AE$3)*(GMW!$LP$2:$LP$60=AE$4)*(GMW!$LR$2:$LR$60=AE$1),0),$C103-1966)</f>
        <v>72876</v>
      </c>
      <c r="AF103" s="4" cm="1">
        <f t="array" ref="AF103">INDEX(GMW!$A$2:$LR$60,MATCH(1,(GMW!$LQ$2:$LQ$60=AF$3)*(GMW!$LP$2:$LP$60=AF$4)*(GMW!$LR$2:$LR$60=AF$1),0),$C103-1966)</f>
        <v>1E-3</v>
      </c>
      <c r="AG103" s="4" cm="1">
        <f t="array" ref="AG103">INDEX(GMW!$A$2:$LR$60,MATCH(1,(GMW!$LQ$2:$LQ$60=AG$3)*(GMW!$LP$2:$LP$60=AG$4)*(GMW!$LR$2:$LR$60=AG$1),0),$C103-1966)</f>
        <v>1E-3</v>
      </c>
    </row>
    <row r="104" spans="1:33" x14ac:dyDescent="0.25">
      <c r="B104" s="4">
        <f t="shared" si="3"/>
        <v>1997</v>
      </c>
      <c r="C104" s="4">
        <f t="shared" si="2"/>
        <v>2070</v>
      </c>
      <c r="D104" s="4" cm="1">
        <f t="array" ref="D104">INDEX(GMW!$A$2:$LR$60,MATCH(1,(GMW!$LQ$2:$LQ$60=D$3)*(GMW!$LP$2:$LP$60=D$4)*(GMW!$LR$2:$LR$60=D$1),0),$C104-1966)</f>
        <v>362573</v>
      </c>
      <c r="E104" s="4" cm="1">
        <f t="array" ref="E104">INDEX(GMW!$A$2:$LR$60,MATCH(1,(GMW!$LQ$2:$LQ$60=E$3)*(GMW!$LP$2:$LP$60=E$4)*(GMW!$LR$2:$LR$60=E$1),0),$C104-1966)</f>
        <v>362573</v>
      </c>
      <c r="F104" s="4" cm="1">
        <f t="array" ref="F104">INDEX(GMW!$A$2:$LR$60,MATCH(1,(GMW!$LQ$2:$LQ$60=F$3)*(GMW!$LP$2:$LP$60=F$4)*(GMW!$LR$2:$LR$60=F$1),0),$C104-1966)</f>
        <v>362573</v>
      </c>
      <c r="G104" s="4" cm="1">
        <f t="array" ref="G104">INDEX(GMW!$A$2:$LR$60,MATCH(1,(GMW!$LQ$2:$LQ$60=G$3)*(GMW!$LP$2:$LP$60=G$4)*(GMW!$LR$2:$LR$60=G$1),0),$C104-1966)</f>
        <v>362573</v>
      </c>
      <c r="H104" s="4" cm="1">
        <f t="array" ref="H104">INDEX(GMW!$A$2:$LR$60,MATCH(1,(GMW!$LQ$2:$LQ$60=H$3)*(GMW!$LP$2:$LP$60=H$4)*(GMW!$LR$2:$LR$60=H$1),0),$C104-1966)</f>
        <v>362573</v>
      </c>
      <c r="I104" s="4" cm="1">
        <f t="array" ref="I104">INDEX(GMW!$A$2:$LR$60,MATCH(1,(GMW!$LQ$2:$LQ$60=I$3)*(GMW!$LP$2:$LP$60=I$4)*(GMW!$LR$2:$LR$60=I$1),0),$C104-1966)</f>
        <v>362573</v>
      </c>
      <c r="J104" s="4" cm="1">
        <f t="array" ref="J104">INDEX(GMW!$A$2:$LR$60,MATCH(1,(GMW!$LQ$2:$LQ$60=J$3)*(GMW!$LP$2:$LP$60=J$4)*(GMW!$LR$2:$LR$60=J$1),0),$C104-1966)</f>
        <v>362573</v>
      </c>
      <c r="K104" s="4" cm="1">
        <f t="array" ref="K104">INDEX(GMW!$A$2:$LR$60,MATCH(1,(GMW!$LQ$2:$LQ$60=K$3)*(GMW!$LP$2:$LP$60=K$4)*(GMW!$LR$2:$LR$60=K$1),0),$C104-1966)</f>
        <v>362573</v>
      </c>
      <c r="L104" s="4" cm="1">
        <f t="array" ref="L104">INDEX(GMW!$A$2:$LR$60,MATCH(1,(GMW!$LQ$2:$LQ$60=L$3)*(GMW!$LP$2:$LP$60=L$4)*(GMW!$LR$2:$LR$60=L$1),0),$C104-1966)</f>
        <v>362573</v>
      </c>
      <c r="M104" s="4" cm="1">
        <f t="array" ref="M104">INDEX(GMW!$A$2:$LR$60,MATCH(1,(GMW!$LQ$2:$LQ$60=M$3)*(GMW!$LP$2:$LP$60=M$4)*(GMW!$LR$2:$LR$60=M$1),0),$C104-1966)</f>
        <v>362573</v>
      </c>
      <c r="N104" s="4" cm="1">
        <f t="array" ref="N104">INDEX(GMW!$A$2:$LR$60,MATCH(1,(GMW!$LQ$2:$LQ$60=N$3)*(GMW!$LP$2:$LP$60=N$4)*(GMW!$LR$2:$LR$60=N$1),0),$C104-1966)</f>
        <v>362573</v>
      </c>
      <c r="O104" s="4" cm="1">
        <f t="array" ref="O104">INDEX(GMW!$A$2:$LR$60,MATCH(1,(GMW!$LQ$2:$LQ$60=O$3)*(GMW!$LP$2:$LP$60=O$4)*(GMW!$LR$2:$LR$60=O$1),0),$C104-1966)</f>
        <v>362573</v>
      </c>
      <c r="P104" s="4" cm="1">
        <f t="array" ref="P104">INDEX(GMW!$A$2:$LR$60,MATCH(1,(GMW!$LQ$2:$LQ$60=P$3)*(GMW!$LP$2:$LP$60=P$4)*(GMW!$LR$2:$LR$60=P$1),0),$C104-1966)</f>
        <v>362573</v>
      </c>
      <c r="Q104" s="4" cm="1">
        <f t="array" ref="Q104">INDEX(GMW!$A$2:$LR$60,MATCH(1,(GMW!$LQ$2:$LQ$60=Q$3)*(GMW!$LP$2:$LP$60=Q$4)*(GMW!$LR$2:$LR$60=Q$1),0),$C104-1966)</f>
        <v>362573</v>
      </c>
      <c r="R104" s="4" cm="1">
        <f t="array" ref="R104">INDEX(GMW!$A$2:$LR$60,MATCH(1,(GMW!$LQ$2:$LQ$60=R$3)*(GMW!$LP$2:$LP$60=R$4)*(GMW!$LR$2:$LR$60=R$1),0),$C104-1966)</f>
        <v>362573</v>
      </c>
      <c r="S104" s="4" cm="1">
        <f t="array" ref="S104">INDEX(GMW!$A$2:$LR$60,MATCH(1,(GMW!$LQ$2:$LQ$60=S$3)*(GMW!$LP$2:$LP$60=S$4)*(GMW!$LR$2:$LR$60=S$1),0),$C104-1966)</f>
        <v>362573</v>
      </c>
      <c r="T104" s="4" cm="1">
        <f t="array" ref="T104">INDEX(GMW!$A$2:$LR$60,MATCH(1,(GMW!$LQ$2:$LQ$60=T$3)*(GMW!$LP$2:$LP$60=T$4)*(GMW!$LR$2:$LR$60=T$1),0),$C104-1966)</f>
        <v>362573</v>
      </c>
      <c r="U104" s="4" cm="1">
        <f t="array" ref="U104">INDEX(GMW!$A$2:$LR$60,MATCH(1,(GMW!$LQ$2:$LQ$60=U$3)*(GMW!$LP$2:$LP$60=U$4)*(GMW!$LR$2:$LR$60=U$1),0),$C104-1966)</f>
        <v>259.93700000000001</v>
      </c>
      <c r="V104" s="4" cm="1">
        <f t="array" ref="V104">INDEX(GMW!$A$2:$LR$60,MATCH(1,(GMW!$LQ$2:$LQ$60=V$3)*(GMW!$LP$2:$LP$60=V$4)*(GMW!$LR$2:$LR$60=V$1),0),$C104-1966)</f>
        <v>70</v>
      </c>
      <c r="W104" s="4" cm="1">
        <f t="array" ref="W104">INDEX(GMW!$A$2:$LR$60,MATCH(1,(GMW!$LQ$2:$LQ$60=W$3)*(GMW!$LP$2:$LP$60=W$4)*(GMW!$LR$2:$LR$60=W$1),0),$C104-1966)</f>
        <v>59.6</v>
      </c>
      <c r="X104" s="4" cm="1">
        <f t="array" ref="X104">INDEX(GMW!$A$2:$LR$60,MATCH(1,(GMW!$LQ$2:$LQ$60=X$3)*(GMW!$LP$2:$LP$60=X$4)*(GMW!$LR$2:$LR$60=X$1),0),$C104-1966)</f>
        <v>53.566670000000002</v>
      </c>
      <c r="Y104" s="4" cm="1">
        <f t="array" ref="Y104">INDEX(GMW!$A$2:$LR$60,MATCH(1,(GMW!$LQ$2:$LQ$60=Y$3)*(GMW!$LP$2:$LP$60=Y$4)*(GMW!$LR$2:$LR$60=Y$1),0),$C104-1966)</f>
        <v>39.5</v>
      </c>
      <c r="Z104" s="4" cm="1">
        <f t="array" ref="Z104">INDEX(GMW!$A$2:$LR$60,MATCH(1,(GMW!$LQ$2:$LQ$60=Z$3)*(GMW!$LP$2:$LP$60=Z$4)*(GMW!$LR$2:$LR$60=Z$1),0),$C104-1966)</f>
        <v>75.533330000000007</v>
      </c>
      <c r="AA104" s="4" cm="1">
        <f t="array" ref="AA104">INDEX(GMW!$A$2:$LR$60,MATCH(1,(GMW!$LQ$2:$LQ$60=AA$3)*(GMW!$LP$2:$LP$60=AA$4)*(GMW!$LR$2:$LR$60=AA$1),0),$C104-1966)</f>
        <v>212013</v>
      </c>
      <c r="AB104" s="4" cm="1">
        <f t="array" ref="AB104">INDEX(GMW!$A$2:$LR$60,MATCH(1,(GMW!$LQ$2:$LQ$60=AB$3)*(GMW!$LP$2:$LP$60=AB$4)*(GMW!$LR$2:$LR$60=AB$1),0),$C104-1966)</f>
        <v>59674</v>
      </c>
      <c r="AC104" s="4" cm="1">
        <f t="array" ref="AC104">INDEX(GMW!$A$2:$LR$60,MATCH(1,(GMW!$LQ$2:$LQ$60=AC$3)*(GMW!$LP$2:$LP$60=AC$4)*(GMW!$LR$2:$LR$60=AC$1),0),$C104-1966)</f>
        <v>64880</v>
      </c>
      <c r="AD104" s="4" cm="1">
        <f t="array" ref="AD104">INDEX(GMW!$A$2:$LR$60,MATCH(1,(GMW!$LQ$2:$LQ$60=AD$3)*(GMW!$LP$2:$LP$60=AD$4)*(GMW!$LR$2:$LR$60=AD$1),0),$C104-1966)</f>
        <v>87379</v>
      </c>
      <c r="AE104" s="4" cm="1">
        <f t="array" ref="AE104">INDEX(GMW!$A$2:$LR$60,MATCH(1,(GMW!$LQ$2:$LQ$60=AE$3)*(GMW!$LP$2:$LP$60=AE$4)*(GMW!$LR$2:$LR$60=AE$1),0),$C104-1966)</f>
        <v>76738</v>
      </c>
      <c r="AF104" s="4" cm="1">
        <f t="array" ref="AF104">INDEX(GMW!$A$2:$LR$60,MATCH(1,(GMW!$LQ$2:$LQ$60=AF$3)*(GMW!$LP$2:$LP$60=AF$4)*(GMW!$LR$2:$LR$60=AF$1),0),$C104-1966)</f>
        <v>1E-3</v>
      </c>
      <c r="AG104" s="4" cm="1">
        <f t="array" ref="AG104">INDEX(GMW!$A$2:$LR$60,MATCH(1,(GMW!$LQ$2:$LQ$60=AG$3)*(GMW!$LP$2:$LP$60=AG$4)*(GMW!$LR$2:$LR$60=AG$1),0),$C104-1966)</f>
        <v>1E-3</v>
      </c>
    </row>
    <row r="105" spans="1:33" x14ac:dyDescent="0.25">
      <c r="B105" s="4">
        <f t="shared" si="3"/>
        <v>1997</v>
      </c>
      <c r="C105" s="4">
        <f t="shared" si="2"/>
        <v>2071</v>
      </c>
      <c r="D105" s="4" cm="1">
        <f t="array" ref="D105">INDEX(GMW!$A$2:$LR$60,MATCH(1,(GMW!$LQ$2:$LQ$60=D$3)*(GMW!$LP$2:$LP$60=D$4)*(GMW!$LR$2:$LR$60=D$1),0),$C105-1966)</f>
        <v>365942</v>
      </c>
      <c r="E105" s="4" cm="1">
        <f t="array" ref="E105">INDEX(GMW!$A$2:$LR$60,MATCH(1,(GMW!$LQ$2:$LQ$60=E$3)*(GMW!$LP$2:$LP$60=E$4)*(GMW!$LR$2:$LR$60=E$1),0),$C105-1966)</f>
        <v>365942</v>
      </c>
      <c r="F105" s="4" cm="1">
        <f t="array" ref="F105">INDEX(GMW!$A$2:$LR$60,MATCH(1,(GMW!$LQ$2:$LQ$60=F$3)*(GMW!$LP$2:$LP$60=F$4)*(GMW!$LR$2:$LR$60=F$1),0),$C105-1966)</f>
        <v>365942</v>
      </c>
      <c r="G105" s="4" cm="1">
        <f t="array" ref="G105">INDEX(GMW!$A$2:$LR$60,MATCH(1,(GMW!$LQ$2:$LQ$60=G$3)*(GMW!$LP$2:$LP$60=G$4)*(GMW!$LR$2:$LR$60=G$1),0),$C105-1966)</f>
        <v>365942</v>
      </c>
      <c r="H105" s="4" cm="1">
        <f t="array" ref="H105">INDEX(GMW!$A$2:$LR$60,MATCH(1,(GMW!$LQ$2:$LQ$60=H$3)*(GMW!$LP$2:$LP$60=H$4)*(GMW!$LR$2:$LR$60=H$1),0),$C105-1966)</f>
        <v>365942</v>
      </c>
      <c r="I105" s="4" cm="1">
        <f t="array" ref="I105">INDEX(GMW!$A$2:$LR$60,MATCH(1,(GMW!$LQ$2:$LQ$60=I$3)*(GMW!$LP$2:$LP$60=I$4)*(GMW!$LR$2:$LR$60=I$1),0),$C105-1966)</f>
        <v>365942</v>
      </c>
      <c r="J105" s="4" cm="1">
        <f t="array" ref="J105">INDEX(GMW!$A$2:$LR$60,MATCH(1,(GMW!$LQ$2:$LQ$60=J$3)*(GMW!$LP$2:$LP$60=J$4)*(GMW!$LR$2:$LR$60=J$1),0),$C105-1966)</f>
        <v>365942</v>
      </c>
      <c r="K105" s="4" cm="1">
        <f t="array" ref="K105">INDEX(GMW!$A$2:$LR$60,MATCH(1,(GMW!$LQ$2:$LQ$60=K$3)*(GMW!$LP$2:$LP$60=K$4)*(GMW!$LR$2:$LR$60=K$1),0),$C105-1966)</f>
        <v>365942</v>
      </c>
      <c r="L105" s="4" cm="1">
        <f t="array" ref="L105">INDEX(GMW!$A$2:$LR$60,MATCH(1,(GMW!$LQ$2:$LQ$60=L$3)*(GMW!$LP$2:$LP$60=L$4)*(GMW!$LR$2:$LR$60=L$1),0),$C105-1966)</f>
        <v>365942</v>
      </c>
      <c r="M105" s="4" cm="1">
        <f t="array" ref="M105">INDEX(GMW!$A$2:$LR$60,MATCH(1,(GMW!$LQ$2:$LQ$60=M$3)*(GMW!$LP$2:$LP$60=M$4)*(GMW!$LR$2:$LR$60=M$1),0),$C105-1966)</f>
        <v>365942</v>
      </c>
      <c r="N105" s="4" cm="1">
        <f t="array" ref="N105">INDEX(GMW!$A$2:$LR$60,MATCH(1,(GMW!$LQ$2:$LQ$60=N$3)*(GMW!$LP$2:$LP$60=N$4)*(GMW!$LR$2:$LR$60=N$1),0),$C105-1966)</f>
        <v>365942</v>
      </c>
      <c r="O105" s="4" cm="1">
        <f t="array" ref="O105">INDEX(GMW!$A$2:$LR$60,MATCH(1,(GMW!$LQ$2:$LQ$60=O$3)*(GMW!$LP$2:$LP$60=O$4)*(GMW!$LR$2:$LR$60=O$1),0),$C105-1966)</f>
        <v>365942</v>
      </c>
      <c r="P105" s="4" cm="1">
        <f t="array" ref="P105">INDEX(GMW!$A$2:$LR$60,MATCH(1,(GMW!$LQ$2:$LQ$60=P$3)*(GMW!$LP$2:$LP$60=P$4)*(GMW!$LR$2:$LR$60=P$1),0),$C105-1966)</f>
        <v>365942</v>
      </c>
      <c r="Q105" s="4" cm="1">
        <f t="array" ref="Q105">INDEX(GMW!$A$2:$LR$60,MATCH(1,(GMW!$LQ$2:$LQ$60=Q$3)*(GMW!$LP$2:$LP$60=Q$4)*(GMW!$LR$2:$LR$60=Q$1),0),$C105-1966)</f>
        <v>365942</v>
      </c>
      <c r="R105" s="4" cm="1">
        <f t="array" ref="R105">INDEX(GMW!$A$2:$LR$60,MATCH(1,(GMW!$LQ$2:$LQ$60=R$3)*(GMW!$LP$2:$LP$60=R$4)*(GMW!$LR$2:$LR$60=R$1),0),$C105-1966)</f>
        <v>365942</v>
      </c>
      <c r="S105" s="4" cm="1">
        <f t="array" ref="S105">INDEX(GMW!$A$2:$LR$60,MATCH(1,(GMW!$LQ$2:$LQ$60=S$3)*(GMW!$LP$2:$LP$60=S$4)*(GMW!$LR$2:$LR$60=S$1),0),$C105-1966)</f>
        <v>365942</v>
      </c>
      <c r="T105" s="4" cm="1">
        <f t="array" ref="T105">INDEX(GMW!$A$2:$LR$60,MATCH(1,(GMW!$LQ$2:$LQ$60=T$3)*(GMW!$LP$2:$LP$60=T$4)*(GMW!$LR$2:$LR$60=T$1),0),$C105-1966)</f>
        <v>365942</v>
      </c>
      <c r="U105" s="4" cm="1">
        <f t="array" ref="U105">INDEX(GMW!$A$2:$LR$60,MATCH(1,(GMW!$LQ$2:$LQ$60=U$3)*(GMW!$LP$2:$LP$60=U$4)*(GMW!$LR$2:$LR$60=U$1),0),$C105-1966)</f>
        <v>264.79160000000002</v>
      </c>
      <c r="V105" s="4" cm="1">
        <f t="array" ref="V105">INDEX(GMW!$A$2:$LR$60,MATCH(1,(GMW!$LQ$2:$LQ$60=V$3)*(GMW!$LP$2:$LP$60=V$4)*(GMW!$LR$2:$LR$60=V$1),0),$C105-1966)</f>
        <v>70.266670000000005</v>
      </c>
      <c r="W105" s="4" cm="1">
        <f t="array" ref="W105">INDEX(GMW!$A$2:$LR$60,MATCH(1,(GMW!$LQ$2:$LQ$60=W$3)*(GMW!$LP$2:$LP$60=W$4)*(GMW!$LR$2:$LR$60=W$1),0),$C105-1966)</f>
        <v>59.933329999999998</v>
      </c>
      <c r="X105" s="4" cm="1">
        <f t="array" ref="X105">INDEX(GMW!$A$2:$LR$60,MATCH(1,(GMW!$LQ$2:$LQ$60=X$3)*(GMW!$LP$2:$LP$60=X$4)*(GMW!$LR$2:$LR$60=X$1),0),$C105-1966)</f>
        <v>57.1</v>
      </c>
      <c r="Y105" s="4" cm="1">
        <f t="array" ref="Y105">INDEX(GMW!$A$2:$LR$60,MATCH(1,(GMW!$LQ$2:$LQ$60=Y$3)*(GMW!$LP$2:$LP$60=Y$4)*(GMW!$LR$2:$LR$60=Y$1),0),$C105-1966)</f>
        <v>38.833329999999997</v>
      </c>
      <c r="Z105" s="4" cm="1">
        <f t="array" ref="Z105">INDEX(GMW!$A$2:$LR$60,MATCH(1,(GMW!$LQ$2:$LQ$60=Z$3)*(GMW!$LP$2:$LP$60=Z$4)*(GMW!$LR$2:$LR$60=Z$1),0),$C105-1966)</f>
        <v>75.599999999999994</v>
      </c>
      <c r="AA105" s="4" cm="1">
        <f t="array" ref="AA105">INDEX(GMW!$A$2:$LR$60,MATCH(1,(GMW!$LQ$2:$LQ$60=AA$3)*(GMW!$LP$2:$LP$60=AA$4)*(GMW!$LR$2:$LR$60=AA$1),0),$C105-1966)</f>
        <v>214715</v>
      </c>
      <c r="AB105" s="4" cm="1">
        <f t="array" ref="AB105">INDEX(GMW!$A$2:$LR$60,MATCH(1,(GMW!$LQ$2:$LQ$60=AB$3)*(GMW!$LP$2:$LP$60=AB$4)*(GMW!$LR$2:$LR$60=AB$1),0),$C105-1966)</f>
        <v>63121</v>
      </c>
      <c r="AC105" s="4" cm="1">
        <f t="array" ref="AC105">INDEX(GMW!$A$2:$LR$60,MATCH(1,(GMW!$LQ$2:$LQ$60=AC$3)*(GMW!$LP$2:$LP$60=AC$4)*(GMW!$LR$2:$LR$60=AC$1),0),$C105-1966)</f>
        <v>65802</v>
      </c>
      <c r="AD105" s="4" cm="1">
        <f t="array" ref="AD105">INDEX(GMW!$A$2:$LR$60,MATCH(1,(GMW!$LQ$2:$LQ$60=AD$3)*(GMW!$LP$2:$LP$60=AD$4)*(GMW!$LR$2:$LR$60=AD$1),0),$C105-1966)</f>
        <v>86676</v>
      </c>
      <c r="AE105" s="4" cm="1">
        <f t="array" ref="AE105">INDEX(GMW!$A$2:$LR$60,MATCH(1,(GMW!$LQ$2:$LQ$60=AE$3)*(GMW!$LP$2:$LP$60=AE$4)*(GMW!$LR$2:$LR$60=AE$1),0),$C105-1966)</f>
        <v>75985</v>
      </c>
      <c r="AF105" s="4" cm="1">
        <f t="array" ref="AF105">INDEX(GMW!$A$2:$LR$60,MATCH(1,(GMW!$LQ$2:$LQ$60=AF$3)*(GMW!$LP$2:$LP$60=AF$4)*(GMW!$LR$2:$LR$60=AF$1),0),$C105-1966)</f>
        <v>1E-3</v>
      </c>
      <c r="AG105" s="4" cm="1">
        <f t="array" ref="AG105">INDEX(GMW!$A$2:$LR$60,MATCH(1,(GMW!$LQ$2:$LQ$60=AG$3)*(GMW!$LP$2:$LP$60=AG$4)*(GMW!$LR$2:$LR$60=AG$1),0),$C105-1966)</f>
        <v>1E-3</v>
      </c>
    </row>
    <row r="106" spans="1:33" x14ac:dyDescent="0.25">
      <c r="B106" s="4">
        <f t="shared" si="3"/>
        <v>1997</v>
      </c>
      <c r="C106" s="4">
        <f t="shared" si="2"/>
        <v>2072</v>
      </c>
      <c r="D106" s="4" cm="1">
        <f t="array" ref="D106">INDEX(GMW!$A$2:$LR$60,MATCH(1,(GMW!$LQ$2:$LQ$60=D$3)*(GMW!$LP$2:$LP$60=D$4)*(GMW!$LR$2:$LR$60=D$1),0),$C106-1966)</f>
        <v>371341</v>
      </c>
      <c r="E106" s="4" cm="1">
        <f t="array" ref="E106">INDEX(GMW!$A$2:$LR$60,MATCH(1,(GMW!$LQ$2:$LQ$60=E$3)*(GMW!$LP$2:$LP$60=E$4)*(GMW!$LR$2:$LR$60=E$1),0),$C106-1966)</f>
        <v>371341</v>
      </c>
      <c r="F106" s="4" cm="1">
        <f t="array" ref="F106">INDEX(GMW!$A$2:$LR$60,MATCH(1,(GMW!$LQ$2:$LQ$60=F$3)*(GMW!$LP$2:$LP$60=F$4)*(GMW!$LR$2:$LR$60=F$1),0),$C106-1966)</f>
        <v>371341</v>
      </c>
      <c r="G106" s="4" cm="1">
        <f t="array" ref="G106">INDEX(GMW!$A$2:$LR$60,MATCH(1,(GMW!$LQ$2:$LQ$60=G$3)*(GMW!$LP$2:$LP$60=G$4)*(GMW!$LR$2:$LR$60=G$1),0),$C106-1966)</f>
        <v>371341</v>
      </c>
      <c r="H106" s="4" cm="1">
        <f t="array" ref="H106">INDEX(GMW!$A$2:$LR$60,MATCH(1,(GMW!$LQ$2:$LQ$60=H$3)*(GMW!$LP$2:$LP$60=H$4)*(GMW!$LR$2:$LR$60=H$1),0),$C106-1966)</f>
        <v>371341</v>
      </c>
      <c r="I106" s="4" cm="1">
        <f t="array" ref="I106">INDEX(GMW!$A$2:$LR$60,MATCH(1,(GMW!$LQ$2:$LQ$60=I$3)*(GMW!$LP$2:$LP$60=I$4)*(GMW!$LR$2:$LR$60=I$1),0),$C106-1966)</f>
        <v>371341</v>
      </c>
      <c r="J106" s="4" cm="1">
        <f t="array" ref="J106">INDEX(GMW!$A$2:$LR$60,MATCH(1,(GMW!$LQ$2:$LQ$60=J$3)*(GMW!$LP$2:$LP$60=J$4)*(GMW!$LR$2:$LR$60=J$1),0),$C106-1966)</f>
        <v>371341</v>
      </c>
      <c r="K106" s="4" cm="1">
        <f t="array" ref="K106">INDEX(GMW!$A$2:$LR$60,MATCH(1,(GMW!$LQ$2:$LQ$60=K$3)*(GMW!$LP$2:$LP$60=K$4)*(GMW!$LR$2:$LR$60=K$1),0),$C106-1966)</f>
        <v>371341</v>
      </c>
      <c r="L106" s="4" cm="1">
        <f t="array" ref="L106">INDEX(GMW!$A$2:$LR$60,MATCH(1,(GMW!$LQ$2:$LQ$60=L$3)*(GMW!$LP$2:$LP$60=L$4)*(GMW!$LR$2:$LR$60=L$1),0),$C106-1966)</f>
        <v>371341</v>
      </c>
      <c r="M106" s="4" cm="1">
        <f t="array" ref="M106">INDEX(GMW!$A$2:$LR$60,MATCH(1,(GMW!$LQ$2:$LQ$60=M$3)*(GMW!$LP$2:$LP$60=M$4)*(GMW!$LR$2:$LR$60=M$1),0),$C106-1966)</f>
        <v>371341</v>
      </c>
      <c r="N106" s="4" cm="1">
        <f t="array" ref="N106">INDEX(GMW!$A$2:$LR$60,MATCH(1,(GMW!$LQ$2:$LQ$60=N$3)*(GMW!$LP$2:$LP$60=N$4)*(GMW!$LR$2:$LR$60=N$1),0),$C106-1966)</f>
        <v>371341</v>
      </c>
      <c r="O106" s="4" cm="1">
        <f t="array" ref="O106">INDEX(GMW!$A$2:$LR$60,MATCH(1,(GMW!$LQ$2:$LQ$60=O$3)*(GMW!$LP$2:$LP$60=O$4)*(GMW!$LR$2:$LR$60=O$1),0),$C106-1966)</f>
        <v>371341</v>
      </c>
      <c r="P106" s="4" cm="1">
        <f t="array" ref="P106">INDEX(GMW!$A$2:$LR$60,MATCH(1,(GMW!$LQ$2:$LQ$60=P$3)*(GMW!$LP$2:$LP$60=P$4)*(GMW!$LR$2:$LR$60=P$1),0),$C106-1966)</f>
        <v>371341</v>
      </c>
      <c r="Q106" s="4" cm="1">
        <f t="array" ref="Q106">INDEX(GMW!$A$2:$LR$60,MATCH(1,(GMW!$LQ$2:$LQ$60=Q$3)*(GMW!$LP$2:$LP$60=Q$4)*(GMW!$LR$2:$LR$60=Q$1),0),$C106-1966)</f>
        <v>371341</v>
      </c>
      <c r="R106" s="4" cm="1">
        <f t="array" ref="R106">INDEX(GMW!$A$2:$LR$60,MATCH(1,(GMW!$LQ$2:$LQ$60=R$3)*(GMW!$LP$2:$LP$60=R$4)*(GMW!$LR$2:$LR$60=R$1),0),$C106-1966)</f>
        <v>371341</v>
      </c>
      <c r="S106" s="4" cm="1">
        <f t="array" ref="S106">INDEX(GMW!$A$2:$LR$60,MATCH(1,(GMW!$LQ$2:$LQ$60=S$3)*(GMW!$LP$2:$LP$60=S$4)*(GMW!$LR$2:$LR$60=S$1),0),$C106-1966)</f>
        <v>371341</v>
      </c>
      <c r="T106" s="4" cm="1">
        <f t="array" ref="T106">INDEX(GMW!$A$2:$LR$60,MATCH(1,(GMW!$LQ$2:$LQ$60=T$3)*(GMW!$LP$2:$LP$60=T$4)*(GMW!$LR$2:$LR$60=T$1),0),$C106-1966)</f>
        <v>371341</v>
      </c>
      <c r="U106" s="4" cm="1">
        <f t="array" ref="U106">INDEX(GMW!$A$2:$LR$60,MATCH(1,(GMW!$LQ$2:$LQ$60=U$3)*(GMW!$LP$2:$LP$60=U$4)*(GMW!$LR$2:$LR$60=U$1),0),$C106-1966)</f>
        <v>268.61829999999998</v>
      </c>
      <c r="V106" s="4" cm="1">
        <f t="array" ref="V106">INDEX(GMW!$A$2:$LR$60,MATCH(1,(GMW!$LQ$2:$LQ$60=V$3)*(GMW!$LP$2:$LP$60=V$4)*(GMW!$LR$2:$LR$60=V$1),0),$C106-1966)</f>
        <v>70.633330000000001</v>
      </c>
      <c r="W106" s="4" cm="1">
        <f t="array" ref="W106">INDEX(GMW!$A$2:$LR$60,MATCH(1,(GMW!$LQ$2:$LQ$60=W$3)*(GMW!$LP$2:$LP$60=W$4)*(GMW!$LR$2:$LR$60=W$1),0),$C106-1966)</f>
        <v>59.833329999999997</v>
      </c>
      <c r="X106" s="4" cm="1">
        <f t="array" ref="X106">INDEX(GMW!$A$2:$LR$60,MATCH(1,(GMW!$LQ$2:$LQ$60=X$3)*(GMW!$LP$2:$LP$60=X$4)*(GMW!$LR$2:$LR$60=X$1),0),$C106-1966)</f>
        <v>57.266669999999998</v>
      </c>
      <c r="Y106" s="4" cm="1">
        <f t="array" ref="Y106">INDEX(GMW!$A$2:$LR$60,MATCH(1,(GMW!$LQ$2:$LQ$60=Y$3)*(GMW!$LP$2:$LP$60=Y$4)*(GMW!$LR$2:$LR$60=Y$1),0),$C106-1966)</f>
        <v>37.966670000000001</v>
      </c>
      <c r="Z106" s="4" cm="1">
        <f t="array" ref="Z106">INDEX(GMW!$A$2:$LR$60,MATCH(1,(GMW!$LQ$2:$LQ$60=Z$3)*(GMW!$LP$2:$LP$60=Z$4)*(GMW!$LR$2:$LR$60=Z$1),0),$C106-1966)</f>
        <v>76.333340000000007</v>
      </c>
      <c r="AA106" s="4" cm="1">
        <f t="array" ref="AA106">INDEX(GMW!$A$2:$LR$60,MATCH(1,(GMW!$LQ$2:$LQ$60=AA$3)*(GMW!$LP$2:$LP$60=AA$4)*(GMW!$LR$2:$LR$60=AA$1),0),$C106-1966)</f>
        <v>217084</v>
      </c>
      <c r="AB106" s="4" cm="1">
        <f t="array" ref="AB106">INDEX(GMW!$A$2:$LR$60,MATCH(1,(GMW!$LQ$2:$LQ$60=AB$3)*(GMW!$LP$2:$LP$60=AB$4)*(GMW!$LR$2:$LR$60=AB$1),0),$C106-1966)</f>
        <v>64613</v>
      </c>
      <c r="AC106" s="4" cm="1">
        <f t="array" ref="AC106">INDEX(GMW!$A$2:$LR$60,MATCH(1,(GMW!$LQ$2:$LQ$60=AC$3)*(GMW!$LP$2:$LP$60=AC$4)*(GMW!$LR$2:$LR$60=AC$1),0),$C106-1966)</f>
        <v>67132</v>
      </c>
      <c r="AD106" s="4" cm="1">
        <f t="array" ref="AD106">INDEX(GMW!$A$2:$LR$60,MATCH(1,(GMW!$LQ$2:$LQ$60=AD$3)*(GMW!$LP$2:$LP$60=AD$4)*(GMW!$LR$2:$LR$60=AD$1),0),$C106-1966)</f>
        <v>89670</v>
      </c>
      <c r="AE106" s="4" cm="1">
        <f t="array" ref="AE106">INDEX(GMW!$A$2:$LR$60,MATCH(1,(GMW!$LQ$2:$LQ$60=AE$3)*(GMW!$LP$2:$LP$60=AE$4)*(GMW!$LR$2:$LR$60=AE$1),0),$C106-1966)</f>
        <v>77775</v>
      </c>
      <c r="AF106" s="4" cm="1">
        <f t="array" ref="AF106">INDEX(GMW!$A$2:$LR$60,MATCH(1,(GMW!$LQ$2:$LQ$60=AF$3)*(GMW!$LP$2:$LP$60=AF$4)*(GMW!$LR$2:$LR$60=AF$1),0),$C106-1966)</f>
        <v>1E-3</v>
      </c>
      <c r="AG106" s="4" cm="1">
        <f t="array" ref="AG106">INDEX(GMW!$A$2:$LR$60,MATCH(1,(GMW!$LQ$2:$LQ$60=AG$3)*(GMW!$LP$2:$LP$60=AG$4)*(GMW!$LR$2:$LR$60=AG$1),0),$C106-1966)</f>
        <v>1E-3</v>
      </c>
    </row>
    <row r="107" spans="1:33" x14ac:dyDescent="0.25">
      <c r="A107" s="4">
        <v>1998</v>
      </c>
      <c r="B107" s="4">
        <f t="shared" si="3"/>
        <v>1998</v>
      </c>
      <c r="C107" s="4">
        <f t="shared" si="2"/>
        <v>2073</v>
      </c>
      <c r="D107" s="4" cm="1">
        <f t="array" ref="D107">INDEX(GMW!$A$2:$LR$60,MATCH(1,(GMW!$LQ$2:$LQ$60=D$3)*(GMW!$LP$2:$LP$60=D$4)*(GMW!$LR$2:$LR$60=D$1),0),$C107-1966)</f>
        <v>374037</v>
      </c>
      <c r="E107" s="4" cm="1">
        <f t="array" ref="E107">INDEX(GMW!$A$2:$LR$60,MATCH(1,(GMW!$LQ$2:$LQ$60=E$3)*(GMW!$LP$2:$LP$60=E$4)*(GMW!$LR$2:$LR$60=E$1),0),$C107-1966)</f>
        <v>374037</v>
      </c>
      <c r="F107" s="4" cm="1">
        <f t="array" ref="F107">INDEX(GMW!$A$2:$LR$60,MATCH(1,(GMW!$LQ$2:$LQ$60=F$3)*(GMW!$LP$2:$LP$60=F$4)*(GMW!$LR$2:$LR$60=F$1),0),$C107-1966)</f>
        <v>374037</v>
      </c>
      <c r="G107" s="4" cm="1">
        <f t="array" ref="G107">INDEX(GMW!$A$2:$LR$60,MATCH(1,(GMW!$LQ$2:$LQ$60=G$3)*(GMW!$LP$2:$LP$60=G$4)*(GMW!$LR$2:$LR$60=G$1),0),$C107-1966)</f>
        <v>374037</v>
      </c>
      <c r="H107" s="4" cm="1">
        <f t="array" ref="H107">INDEX(GMW!$A$2:$LR$60,MATCH(1,(GMW!$LQ$2:$LQ$60=H$3)*(GMW!$LP$2:$LP$60=H$4)*(GMW!$LR$2:$LR$60=H$1),0),$C107-1966)</f>
        <v>374037</v>
      </c>
      <c r="I107" s="4" cm="1">
        <f t="array" ref="I107">INDEX(GMW!$A$2:$LR$60,MATCH(1,(GMW!$LQ$2:$LQ$60=I$3)*(GMW!$LP$2:$LP$60=I$4)*(GMW!$LR$2:$LR$60=I$1),0),$C107-1966)</f>
        <v>374037</v>
      </c>
      <c r="J107" s="4" cm="1">
        <f t="array" ref="J107">INDEX(GMW!$A$2:$LR$60,MATCH(1,(GMW!$LQ$2:$LQ$60=J$3)*(GMW!$LP$2:$LP$60=J$4)*(GMW!$LR$2:$LR$60=J$1),0),$C107-1966)</f>
        <v>374037</v>
      </c>
      <c r="K107" s="4" cm="1">
        <f t="array" ref="K107">INDEX(GMW!$A$2:$LR$60,MATCH(1,(GMW!$LQ$2:$LQ$60=K$3)*(GMW!$LP$2:$LP$60=K$4)*(GMW!$LR$2:$LR$60=K$1),0),$C107-1966)</f>
        <v>374037</v>
      </c>
      <c r="L107" s="4" cm="1">
        <f t="array" ref="L107">INDEX(GMW!$A$2:$LR$60,MATCH(1,(GMW!$LQ$2:$LQ$60=L$3)*(GMW!$LP$2:$LP$60=L$4)*(GMW!$LR$2:$LR$60=L$1),0),$C107-1966)</f>
        <v>374037</v>
      </c>
      <c r="M107" s="4" cm="1">
        <f t="array" ref="M107">INDEX(GMW!$A$2:$LR$60,MATCH(1,(GMW!$LQ$2:$LQ$60=M$3)*(GMW!$LP$2:$LP$60=M$4)*(GMW!$LR$2:$LR$60=M$1),0),$C107-1966)</f>
        <v>374037</v>
      </c>
      <c r="N107" s="4" cm="1">
        <f t="array" ref="N107">INDEX(GMW!$A$2:$LR$60,MATCH(1,(GMW!$LQ$2:$LQ$60=N$3)*(GMW!$LP$2:$LP$60=N$4)*(GMW!$LR$2:$LR$60=N$1),0),$C107-1966)</f>
        <v>374037</v>
      </c>
      <c r="O107" s="4" cm="1">
        <f t="array" ref="O107">INDEX(GMW!$A$2:$LR$60,MATCH(1,(GMW!$LQ$2:$LQ$60=O$3)*(GMW!$LP$2:$LP$60=O$4)*(GMW!$LR$2:$LR$60=O$1),0),$C107-1966)</f>
        <v>374037</v>
      </c>
      <c r="P107" s="4" cm="1">
        <f t="array" ref="P107">INDEX(GMW!$A$2:$LR$60,MATCH(1,(GMW!$LQ$2:$LQ$60=P$3)*(GMW!$LP$2:$LP$60=P$4)*(GMW!$LR$2:$LR$60=P$1),0),$C107-1966)</f>
        <v>374037</v>
      </c>
      <c r="Q107" s="4" cm="1">
        <f t="array" ref="Q107">INDEX(GMW!$A$2:$LR$60,MATCH(1,(GMW!$LQ$2:$LQ$60=Q$3)*(GMW!$LP$2:$LP$60=Q$4)*(GMW!$LR$2:$LR$60=Q$1),0),$C107-1966)</f>
        <v>374037</v>
      </c>
      <c r="R107" s="4" cm="1">
        <f t="array" ref="R107">INDEX(GMW!$A$2:$LR$60,MATCH(1,(GMW!$LQ$2:$LQ$60=R$3)*(GMW!$LP$2:$LP$60=R$4)*(GMW!$LR$2:$LR$60=R$1),0),$C107-1966)</f>
        <v>374037</v>
      </c>
      <c r="S107" s="4" cm="1">
        <f t="array" ref="S107">INDEX(GMW!$A$2:$LR$60,MATCH(1,(GMW!$LQ$2:$LQ$60=S$3)*(GMW!$LP$2:$LP$60=S$4)*(GMW!$LR$2:$LR$60=S$1),0),$C107-1966)</f>
        <v>374037</v>
      </c>
      <c r="T107" s="4" cm="1">
        <f t="array" ref="T107">INDEX(GMW!$A$2:$LR$60,MATCH(1,(GMW!$LQ$2:$LQ$60=T$3)*(GMW!$LP$2:$LP$60=T$4)*(GMW!$LR$2:$LR$60=T$1),0),$C107-1966)</f>
        <v>374037</v>
      </c>
      <c r="U107" s="4" cm="1">
        <f t="array" ref="U107">INDEX(GMW!$A$2:$LR$60,MATCH(1,(GMW!$LQ$2:$LQ$60=U$3)*(GMW!$LP$2:$LP$60=U$4)*(GMW!$LR$2:$LR$60=U$1),0),$C107-1966)</f>
        <v>269.56689999999998</v>
      </c>
      <c r="V107" s="4" cm="1">
        <f t="array" ref="V107">INDEX(GMW!$A$2:$LR$60,MATCH(1,(GMW!$LQ$2:$LQ$60=V$3)*(GMW!$LP$2:$LP$60=V$4)*(GMW!$LR$2:$LR$60=V$1),0),$C107-1966)</f>
        <v>70.5</v>
      </c>
      <c r="W107" s="4" cm="1">
        <f t="array" ref="W107">INDEX(GMW!$A$2:$LR$60,MATCH(1,(GMW!$LQ$2:$LQ$60=W$3)*(GMW!$LP$2:$LP$60=W$4)*(GMW!$LR$2:$LR$60=W$1),0),$C107-1966)</f>
        <v>60.366660000000003</v>
      </c>
      <c r="X107" s="4" cm="1">
        <f t="array" ref="X107">INDEX(GMW!$A$2:$LR$60,MATCH(1,(GMW!$LQ$2:$LQ$60=X$3)*(GMW!$LP$2:$LP$60=X$4)*(GMW!$LR$2:$LR$60=X$1),0),$C107-1966)</f>
        <v>56.266669999999998</v>
      </c>
      <c r="Y107" s="4" cm="1">
        <f t="array" ref="Y107">INDEX(GMW!$A$2:$LR$60,MATCH(1,(GMW!$LQ$2:$LQ$60=Y$3)*(GMW!$LP$2:$LP$60=Y$4)*(GMW!$LR$2:$LR$60=Y$1),0),$C107-1966)</f>
        <v>37.6</v>
      </c>
      <c r="Z107" s="4" cm="1">
        <f t="array" ref="Z107">INDEX(GMW!$A$2:$LR$60,MATCH(1,(GMW!$LQ$2:$LQ$60=Z$3)*(GMW!$LP$2:$LP$60=Z$4)*(GMW!$LR$2:$LR$60=Z$1),0),$C107-1966)</f>
        <v>76</v>
      </c>
      <c r="AA107" s="4" cm="1">
        <f t="array" ref="AA107">INDEX(GMW!$A$2:$LR$60,MATCH(1,(GMW!$LQ$2:$LQ$60=AA$3)*(GMW!$LP$2:$LP$60=AA$4)*(GMW!$LR$2:$LR$60=AA$1),0),$C107-1966)</f>
        <v>218798</v>
      </c>
      <c r="AB107" s="4" cm="1">
        <f t="array" ref="AB107">INDEX(GMW!$A$2:$LR$60,MATCH(1,(GMW!$LQ$2:$LQ$60=AB$3)*(GMW!$LP$2:$LP$60=AB$4)*(GMW!$LR$2:$LR$60=AB$1),0),$C107-1966)</f>
        <v>65130</v>
      </c>
      <c r="AC107" s="4" cm="1">
        <f t="array" ref="AC107">INDEX(GMW!$A$2:$LR$60,MATCH(1,(GMW!$LQ$2:$LQ$60=AC$3)*(GMW!$LP$2:$LP$60=AC$4)*(GMW!$LR$2:$LR$60=AC$1),0),$C107-1966)</f>
        <v>67729</v>
      </c>
      <c r="AD107" s="4" cm="1">
        <f t="array" ref="AD107">INDEX(GMW!$A$2:$LR$60,MATCH(1,(GMW!$LQ$2:$LQ$60=AD$3)*(GMW!$LP$2:$LP$60=AD$4)*(GMW!$LR$2:$LR$60=AD$1),0),$C107-1966)</f>
        <v>90218</v>
      </c>
      <c r="AE107" s="4" cm="1">
        <f t="array" ref="AE107">INDEX(GMW!$A$2:$LR$60,MATCH(1,(GMW!$LQ$2:$LQ$60=AE$3)*(GMW!$LP$2:$LP$60=AE$4)*(GMW!$LR$2:$LR$60=AE$1),0),$C107-1966)</f>
        <v>79801</v>
      </c>
      <c r="AF107" s="4" cm="1">
        <f t="array" ref="AF107">INDEX(GMW!$A$2:$LR$60,MATCH(1,(GMW!$LQ$2:$LQ$60=AF$3)*(GMW!$LP$2:$LP$60=AF$4)*(GMW!$LR$2:$LR$60=AF$1),0),$C107-1966)</f>
        <v>1E-3</v>
      </c>
      <c r="AG107" s="4" cm="1">
        <f t="array" ref="AG107">INDEX(GMW!$A$2:$LR$60,MATCH(1,(GMW!$LQ$2:$LQ$60=AG$3)*(GMW!$LP$2:$LP$60=AG$4)*(GMW!$LR$2:$LR$60=AG$1),0),$C107-1966)</f>
        <v>1E-3</v>
      </c>
    </row>
    <row r="108" spans="1:33" x14ac:dyDescent="0.25">
      <c r="B108" s="4">
        <f t="shared" si="3"/>
        <v>1998</v>
      </c>
      <c r="C108" s="4">
        <f t="shared" si="2"/>
        <v>2074</v>
      </c>
      <c r="D108" s="4" cm="1">
        <f t="array" ref="D108">INDEX(GMW!$A$2:$LR$60,MATCH(1,(GMW!$LQ$2:$LQ$60=D$3)*(GMW!$LP$2:$LP$60=D$4)*(GMW!$LR$2:$LR$60=D$1),0),$C108-1966)</f>
        <v>376421</v>
      </c>
      <c r="E108" s="4" cm="1">
        <f t="array" ref="E108">INDEX(GMW!$A$2:$LR$60,MATCH(1,(GMW!$LQ$2:$LQ$60=E$3)*(GMW!$LP$2:$LP$60=E$4)*(GMW!$LR$2:$LR$60=E$1),0),$C108-1966)</f>
        <v>376421</v>
      </c>
      <c r="F108" s="4" cm="1">
        <f t="array" ref="F108">INDEX(GMW!$A$2:$LR$60,MATCH(1,(GMW!$LQ$2:$LQ$60=F$3)*(GMW!$LP$2:$LP$60=F$4)*(GMW!$LR$2:$LR$60=F$1),0),$C108-1966)</f>
        <v>376421</v>
      </c>
      <c r="G108" s="4" cm="1">
        <f t="array" ref="G108">INDEX(GMW!$A$2:$LR$60,MATCH(1,(GMW!$LQ$2:$LQ$60=G$3)*(GMW!$LP$2:$LP$60=G$4)*(GMW!$LR$2:$LR$60=G$1),0),$C108-1966)</f>
        <v>376421</v>
      </c>
      <c r="H108" s="4" cm="1">
        <f t="array" ref="H108">INDEX(GMW!$A$2:$LR$60,MATCH(1,(GMW!$LQ$2:$LQ$60=H$3)*(GMW!$LP$2:$LP$60=H$4)*(GMW!$LR$2:$LR$60=H$1),0),$C108-1966)</f>
        <v>376421</v>
      </c>
      <c r="I108" s="4" cm="1">
        <f t="array" ref="I108">INDEX(GMW!$A$2:$LR$60,MATCH(1,(GMW!$LQ$2:$LQ$60=I$3)*(GMW!$LP$2:$LP$60=I$4)*(GMW!$LR$2:$LR$60=I$1),0),$C108-1966)</f>
        <v>376421</v>
      </c>
      <c r="J108" s="4" cm="1">
        <f t="array" ref="J108">INDEX(GMW!$A$2:$LR$60,MATCH(1,(GMW!$LQ$2:$LQ$60=J$3)*(GMW!$LP$2:$LP$60=J$4)*(GMW!$LR$2:$LR$60=J$1),0),$C108-1966)</f>
        <v>376421</v>
      </c>
      <c r="K108" s="4" cm="1">
        <f t="array" ref="K108">INDEX(GMW!$A$2:$LR$60,MATCH(1,(GMW!$LQ$2:$LQ$60=K$3)*(GMW!$LP$2:$LP$60=K$4)*(GMW!$LR$2:$LR$60=K$1),0),$C108-1966)</f>
        <v>376421</v>
      </c>
      <c r="L108" s="4" cm="1">
        <f t="array" ref="L108">INDEX(GMW!$A$2:$LR$60,MATCH(1,(GMW!$LQ$2:$LQ$60=L$3)*(GMW!$LP$2:$LP$60=L$4)*(GMW!$LR$2:$LR$60=L$1),0),$C108-1966)</f>
        <v>376421</v>
      </c>
      <c r="M108" s="4" cm="1">
        <f t="array" ref="M108">INDEX(GMW!$A$2:$LR$60,MATCH(1,(GMW!$LQ$2:$LQ$60=M$3)*(GMW!$LP$2:$LP$60=M$4)*(GMW!$LR$2:$LR$60=M$1),0),$C108-1966)</f>
        <v>376421</v>
      </c>
      <c r="N108" s="4" cm="1">
        <f t="array" ref="N108">INDEX(GMW!$A$2:$LR$60,MATCH(1,(GMW!$LQ$2:$LQ$60=N$3)*(GMW!$LP$2:$LP$60=N$4)*(GMW!$LR$2:$LR$60=N$1),0),$C108-1966)</f>
        <v>376421</v>
      </c>
      <c r="O108" s="4" cm="1">
        <f t="array" ref="O108">INDEX(GMW!$A$2:$LR$60,MATCH(1,(GMW!$LQ$2:$LQ$60=O$3)*(GMW!$LP$2:$LP$60=O$4)*(GMW!$LR$2:$LR$60=O$1),0),$C108-1966)</f>
        <v>376421</v>
      </c>
      <c r="P108" s="4" cm="1">
        <f t="array" ref="P108">INDEX(GMW!$A$2:$LR$60,MATCH(1,(GMW!$LQ$2:$LQ$60=P$3)*(GMW!$LP$2:$LP$60=P$4)*(GMW!$LR$2:$LR$60=P$1),0),$C108-1966)</f>
        <v>376421</v>
      </c>
      <c r="Q108" s="4" cm="1">
        <f t="array" ref="Q108">INDEX(GMW!$A$2:$LR$60,MATCH(1,(GMW!$LQ$2:$LQ$60=Q$3)*(GMW!$LP$2:$LP$60=Q$4)*(GMW!$LR$2:$LR$60=Q$1),0),$C108-1966)</f>
        <v>376421</v>
      </c>
      <c r="R108" s="4" cm="1">
        <f t="array" ref="R108">INDEX(GMW!$A$2:$LR$60,MATCH(1,(GMW!$LQ$2:$LQ$60=R$3)*(GMW!$LP$2:$LP$60=R$4)*(GMW!$LR$2:$LR$60=R$1),0),$C108-1966)</f>
        <v>376421</v>
      </c>
      <c r="S108" s="4" cm="1">
        <f t="array" ref="S108">INDEX(GMW!$A$2:$LR$60,MATCH(1,(GMW!$LQ$2:$LQ$60=S$3)*(GMW!$LP$2:$LP$60=S$4)*(GMW!$LR$2:$LR$60=S$1),0),$C108-1966)</f>
        <v>376421</v>
      </c>
      <c r="T108" s="4" cm="1">
        <f t="array" ref="T108">INDEX(GMW!$A$2:$LR$60,MATCH(1,(GMW!$LQ$2:$LQ$60=T$3)*(GMW!$LP$2:$LP$60=T$4)*(GMW!$LR$2:$LR$60=T$1),0),$C108-1966)</f>
        <v>376421</v>
      </c>
      <c r="U108" s="4" cm="1">
        <f t="array" ref="U108">INDEX(GMW!$A$2:$LR$60,MATCH(1,(GMW!$LQ$2:$LQ$60=U$3)*(GMW!$LP$2:$LP$60=U$4)*(GMW!$LR$2:$LR$60=U$1),0),$C108-1966)</f>
        <v>278.03019999999998</v>
      </c>
      <c r="V108" s="4" cm="1">
        <f t="array" ref="V108">INDEX(GMW!$A$2:$LR$60,MATCH(1,(GMW!$LQ$2:$LQ$60=V$3)*(GMW!$LP$2:$LP$60=V$4)*(GMW!$LR$2:$LR$60=V$1),0),$C108-1966)</f>
        <v>71.266670000000005</v>
      </c>
      <c r="W108" s="4" cm="1">
        <f t="array" ref="W108">INDEX(GMW!$A$2:$LR$60,MATCH(1,(GMW!$LQ$2:$LQ$60=W$3)*(GMW!$LP$2:$LP$60=W$4)*(GMW!$LR$2:$LR$60=W$1),0),$C108-1966)</f>
        <v>61</v>
      </c>
      <c r="X108" s="4" cm="1">
        <f t="array" ref="X108">INDEX(GMW!$A$2:$LR$60,MATCH(1,(GMW!$LQ$2:$LQ$60=X$3)*(GMW!$LP$2:$LP$60=X$4)*(GMW!$LR$2:$LR$60=X$1),0),$C108-1966)</f>
        <v>59.166670000000003</v>
      </c>
      <c r="Y108" s="4" cm="1">
        <f t="array" ref="Y108">INDEX(GMW!$A$2:$LR$60,MATCH(1,(GMW!$LQ$2:$LQ$60=Y$3)*(GMW!$LP$2:$LP$60=Y$4)*(GMW!$LR$2:$LR$60=Y$1),0),$C108-1966)</f>
        <v>37.5</v>
      </c>
      <c r="Z108" s="4" cm="1">
        <f t="array" ref="Z108">INDEX(GMW!$A$2:$LR$60,MATCH(1,(GMW!$LQ$2:$LQ$60=Z$3)*(GMW!$LP$2:$LP$60=Z$4)*(GMW!$LR$2:$LR$60=Z$1),0),$C108-1966)</f>
        <v>76.766670000000005</v>
      </c>
      <c r="AA108" s="4" cm="1">
        <f t="array" ref="AA108">INDEX(GMW!$A$2:$LR$60,MATCH(1,(GMW!$LQ$2:$LQ$60=AA$3)*(GMW!$LP$2:$LP$60=AA$4)*(GMW!$LR$2:$LR$60=AA$1),0),$C108-1966)</f>
        <v>220955</v>
      </c>
      <c r="AB108" s="4" cm="1">
        <f t="array" ref="AB108">INDEX(GMW!$A$2:$LR$60,MATCH(1,(GMW!$LQ$2:$LQ$60=AB$3)*(GMW!$LP$2:$LP$60=AB$4)*(GMW!$LR$2:$LR$60=AB$1),0),$C108-1966)</f>
        <v>65092</v>
      </c>
      <c r="AC108" s="4" cm="1">
        <f t="array" ref="AC108">INDEX(GMW!$A$2:$LR$60,MATCH(1,(GMW!$LQ$2:$LQ$60=AC$3)*(GMW!$LP$2:$LP$60=AC$4)*(GMW!$LR$2:$LR$60=AC$1),0),$C108-1966)</f>
        <v>67892</v>
      </c>
      <c r="AD108" s="4" cm="1">
        <f t="array" ref="AD108">INDEX(GMW!$A$2:$LR$60,MATCH(1,(GMW!$LQ$2:$LQ$60=AD$3)*(GMW!$LP$2:$LP$60=AD$4)*(GMW!$LR$2:$LR$60=AD$1),0),$C108-1966)</f>
        <v>90333</v>
      </c>
      <c r="AE108" s="4" cm="1">
        <f t="array" ref="AE108">INDEX(GMW!$A$2:$LR$60,MATCH(1,(GMW!$LQ$2:$LQ$60=AE$3)*(GMW!$LP$2:$LP$60=AE$4)*(GMW!$LR$2:$LR$60=AE$1),0),$C108-1966)</f>
        <v>81683</v>
      </c>
      <c r="AF108" s="4" cm="1">
        <f t="array" ref="AF108">INDEX(GMW!$A$2:$LR$60,MATCH(1,(GMW!$LQ$2:$LQ$60=AF$3)*(GMW!$LP$2:$LP$60=AF$4)*(GMW!$LR$2:$LR$60=AF$1),0),$C108-1966)</f>
        <v>1E-3</v>
      </c>
      <c r="AG108" s="4" cm="1">
        <f t="array" ref="AG108">INDEX(GMW!$A$2:$LR$60,MATCH(1,(GMW!$LQ$2:$LQ$60=AG$3)*(GMW!$LP$2:$LP$60=AG$4)*(GMW!$LR$2:$LR$60=AG$1),0),$C108-1966)</f>
        <v>1E-3</v>
      </c>
    </row>
    <row r="109" spans="1:33" x14ac:dyDescent="0.25">
      <c r="B109" s="4">
        <f t="shared" si="3"/>
        <v>1998</v>
      </c>
      <c r="C109" s="4">
        <f t="shared" si="2"/>
        <v>2075</v>
      </c>
      <c r="D109" s="4" cm="1">
        <f t="array" ref="D109">INDEX(GMW!$A$2:$LR$60,MATCH(1,(GMW!$LQ$2:$LQ$60=D$3)*(GMW!$LP$2:$LP$60=D$4)*(GMW!$LR$2:$LR$60=D$1),0),$C109-1966)</f>
        <v>377650</v>
      </c>
      <c r="E109" s="4" cm="1">
        <f t="array" ref="E109">INDEX(GMW!$A$2:$LR$60,MATCH(1,(GMW!$LQ$2:$LQ$60=E$3)*(GMW!$LP$2:$LP$60=E$4)*(GMW!$LR$2:$LR$60=E$1),0),$C109-1966)</f>
        <v>377650</v>
      </c>
      <c r="F109" s="4" cm="1">
        <f t="array" ref="F109">INDEX(GMW!$A$2:$LR$60,MATCH(1,(GMW!$LQ$2:$LQ$60=F$3)*(GMW!$LP$2:$LP$60=F$4)*(GMW!$LR$2:$LR$60=F$1),0),$C109-1966)</f>
        <v>377650</v>
      </c>
      <c r="G109" s="4" cm="1">
        <f t="array" ref="G109">INDEX(GMW!$A$2:$LR$60,MATCH(1,(GMW!$LQ$2:$LQ$60=G$3)*(GMW!$LP$2:$LP$60=G$4)*(GMW!$LR$2:$LR$60=G$1),0),$C109-1966)</f>
        <v>377650</v>
      </c>
      <c r="H109" s="4" cm="1">
        <f t="array" ref="H109">INDEX(GMW!$A$2:$LR$60,MATCH(1,(GMW!$LQ$2:$LQ$60=H$3)*(GMW!$LP$2:$LP$60=H$4)*(GMW!$LR$2:$LR$60=H$1),0),$C109-1966)</f>
        <v>377650</v>
      </c>
      <c r="I109" s="4" cm="1">
        <f t="array" ref="I109">INDEX(GMW!$A$2:$LR$60,MATCH(1,(GMW!$LQ$2:$LQ$60=I$3)*(GMW!$LP$2:$LP$60=I$4)*(GMW!$LR$2:$LR$60=I$1),0),$C109-1966)</f>
        <v>377650</v>
      </c>
      <c r="J109" s="4" cm="1">
        <f t="array" ref="J109">INDEX(GMW!$A$2:$LR$60,MATCH(1,(GMW!$LQ$2:$LQ$60=J$3)*(GMW!$LP$2:$LP$60=J$4)*(GMW!$LR$2:$LR$60=J$1),0),$C109-1966)</f>
        <v>377650</v>
      </c>
      <c r="K109" s="4" cm="1">
        <f t="array" ref="K109">INDEX(GMW!$A$2:$LR$60,MATCH(1,(GMW!$LQ$2:$LQ$60=K$3)*(GMW!$LP$2:$LP$60=K$4)*(GMW!$LR$2:$LR$60=K$1),0),$C109-1966)</f>
        <v>377650</v>
      </c>
      <c r="L109" s="4" cm="1">
        <f t="array" ref="L109">INDEX(GMW!$A$2:$LR$60,MATCH(1,(GMW!$LQ$2:$LQ$60=L$3)*(GMW!$LP$2:$LP$60=L$4)*(GMW!$LR$2:$LR$60=L$1),0),$C109-1966)</f>
        <v>377650</v>
      </c>
      <c r="M109" s="4" cm="1">
        <f t="array" ref="M109">INDEX(GMW!$A$2:$LR$60,MATCH(1,(GMW!$LQ$2:$LQ$60=M$3)*(GMW!$LP$2:$LP$60=M$4)*(GMW!$LR$2:$LR$60=M$1),0),$C109-1966)</f>
        <v>377650</v>
      </c>
      <c r="N109" s="4" cm="1">
        <f t="array" ref="N109">INDEX(GMW!$A$2:$LR$60,MATCH(1,(GMW!$LQ$2:$LQ$60=N$3)*(GMW!$LP$2:$LP$60=N$4)*(GMW!$LR$2:$LR$60=N$1),0),$C109-1966)</f>
        <v>377650</v>
      </c>
      <c r="O109" s="4" cm="1">
        <f t="array" ref="O109">INDEX(GMW!$A$2:$LR$60,MATCH(1,(GMW!$LQ$2:$LQ$60=O$3)*(GMW!$LP$2:$LP$60=O$4)*(GMW!$LR$2:$LR$60=O$1),0),$C109-1966)</f>
        <v>377650</v>
      </c>
      <c r="P109" s="4" cm="1">
        <f t="array" ref="P109">INDEX(GMW!$A$2:$LR$60,MATCH(1,(GMW!$LQ$2:$LQ$60=P$3)*(GMW!$LP$2:$LP$60=P$4)*(GMW!$LR$2:$LR$60=P$1),0),$C109-1966)</f>
        <v>377650</v>
      </c>
      <c r="Q109" s="4" cm="1">
        <f t="array" ref="Q109">INDEX(GMW!$A$2:$LR$60,MATCH(1,(GMW!$LQ$2:$LQ$60=Q$3)*(GMW!$LP$2:$LP$60=Q$4)*(GMW!$LR$2:$LR$60=Q$1),0),$C109-1966)</f>
        <v>377650</v>
      </c>
      <c r="R109" s="4" cm="1">
        <f t="array" ref="R109">INDEX(GMW!$A$2:$LR$60,MATCH(1,(GMW!$LQ$2:$LQ$60=R$3)*(GMW!$LP$2:$LP$60=R$4)*(GMW!$LR$2:$LR$60=R$1),0),$C109-1966)</f>
        <v>377650</v>
      </c>
      <c r="S109" s="4" cm="1">
        <f t="array" ref="S109">INDEX(GMW!$A$2:$LR$60,MATCH(1,(GMW!$LQ$2:$LQ$60=S$3)*(GMW!$LP$2:$LP$60=S$4)*(GMW!$LR$2:$LR$60=S$1),0),$C109-1966)</f>
        <v>377650</v>
      </c>
      <c r="T109" s="4" cm="1">
        <f t="array" ref="T109">INDEX(GMW!$A$2:$LR$60,MATCH(1,(GMW!$LQ$2:$LQ$60=T$3)*(GMW!$LP$2:$LP$60=T$4)*(GMW!$LR$2:$LR$60=T$1),0),$C109-1966)</f>
        <v>377650</v>
      </c>
      <c r="U109" s="4" cm="1">
        <f t="array" ref="U109">INDEX(GMW!$A$2:$LR$60,MATCH(1,(GMW!$LQ$2:$LQ$60=U$3)*(GMW!$LP$2:$LP$60=U$4)*(GMW!$LR$2:$LR$60=U$1),0),$C109-1966)</f>
        <v>282.88189999999997</v>
      </c>
      <c r="V109" s="4" cm="1">
        <f t="array" ref="V109">INDEX(GMW!$A$2:$LR$60,MATCH(1,(GMW!$LQ$2:$LQ$60=V$3)*(GMW!$LP$2:$LP$60=V$4)*(GMW!$LR$2:$LR$60=V$1),0),$C109-1966)</f>
        <v>71.233329999999995</v>
      </c>
      <c r="W109" s="4" cm="1">
        <f t="array" ref="W109">INDEX(GMW!$A$2:$LR$60,MATCH(1,(GMW!$LQ$2:$LQ$60=W$3)*(GMW!$LP$2:$LP$60=W$4)*(GMW!$LR$2:$LR$60=W$1),0),$C109-1966)</f>
        <v>61.333329999999997</v>
      </c>
      <c r="X109" s="4" cm="1">
        <f t="array" ref="X109">INDEX(GMW!$A$2:$LR$60,MATCH(1,(GMW!$LQ$2:$LQ$60=X$3)*(GMW!$LP$2:$LP$60=X$4)*(GMW!$LR$2:$LR$60=X$1),0),$C109-1966)</f>
        <v>59.3</v>
      </c>
      <c r="Y109" s="4" cm="1">
        <f t="array" ref="Y109">INDEX(GMW!$A$2:$LR$60,MATCH(1,(GMW!$LQ$2:$LQ$60=Y$3)*(GMW!$LP$2:$LP$60=Y$4)*(GMW!$LR$2:$LR$60=Y$1),0),$C109-1966)</f>
        <v>37.166670000000003</v>
      </c>
      <c r="Z109" s="4" cm="1">
        <f t="array" ref="Z109">INDEX(GMW!$A$2:$LR$60,MATCH(1,(GMW!$LQ$2:$LQ$60=Z$3)*(GMW!$LP$2:$LP$60=Z$4)*(GMW!$LR$2:$LR$60=Z$1),0),$C109-1966)</f>
        <v>76.599999999999994</v>
      </c>
      <c r="AA109" s="4" cm="1">
        <f t="array" ref="AA109">INDEX(GMW!$A$2:$LR$60,MATCH(1,(GMW!$LQ$2:$LQ$60=AA$3)*(GMW!$LP$2:$LP$60=AA$4)*(GMW!$LR$2:$LR$60=AA$1),0),$C109-1966)</f>
        <v>224753</v>
      </c>
      <c r="AB109" s="4" cm="1">
        <f t="array" ref="AB109">INDEX(GMW!$A$2:$LR$60,MATCH(1,(GMW!$LQ$2:$LQ$60=AB$3)*(GMW!$LP$2:$LP$60=AB$4)*(GMW!$LR$2:$LR$60=AB$1),0),$C109-1966)</f>
        <v>64537</v>
      </c>
      <c r="AC109" s="4" cm="1">
        <f t="array" ref="AC109">INDEX(GMW!$A$2:$LR$60,MATCH(1,(GMW!$LQ$2:$LQ$60=AC$3)*(GMW!$LP$2:$LP$60=AC$4)*(GMW!$LR$2:$LR$60=AC$1),0),$C109-1966)</f>
        <v>68542</v>
      </c>
      <c r="AD109" s="4" cm="1">
        <f t="array" ref="AD109">INDEX(GMW!$A$2:$LR$60,MATCH(1,(GMW!$LQ$2:$LQ$60=AD$3)*(GMW!$LP$2:$LP$60=AD$4)*(GMW!$LR$2:$LR$60=AD$1),0),$C109-1966)</f>
        <v>90072</v>
      </c>
      <c r="AE109" s="4" cm="1">
        <f t="array" ref="AE109">INDEX(GMW!$A$2:$LR$60,MATCH(1,(GMW!$LQ$2:$LQ$60=AE$3)*(GMW!$LP$2:$LP$60=AE$4)*(GMW!$LR$2:$LR$60=AE$1),0),$C109-1966)</f>
        <v>82256</v>
      </c>
      <c r="AF109" s="4" cm="1">
        <f t="array" ref="AF109">INDEX(GMW!$A$2:$LR$60,MATCH(1,(GMW!$LQ$2:$LQ$60=AF$3)*(GMW!$LP$2:$LP$60=AF$4)*(GMW!$LR$2:$LR$60=AF$1),0),$C109-1966)</f>
        <v>1E-3</v>
      </c>
      <c r="AG109" s="4" cm="1">
        <f t="array" ref="AG109">INDEX(GMW!$A$2:$LR$60,MATCH(1,(GMW!$LQ$2:$LQ$60=AG$3)*(GMW!$LP$2:$LP$60=AG$4)*(GMW!$LR$2:$LR$60=AG$1),0),$C109-1966)</f>
        <v>1E-3</v>
      </c>
    </row>
    <row r="110" spans="1:33" x14ac:dyDescent="0.25">
      <c r="B110" s="4">
        <f t="shared" si="3"/>
        <v>1998</v>
      </c>
      <c r="C110" s="4">
        <f t="shared" si="2"/>
        <v>2076</v>
      </c>
      <c r="D110" s="4" cm="1">
        <f t="array" ref="D110">INDEX(GMW!$A$2:$LR$60,MATCH(1,(GMW!$LQ$2:$LQ$60=D$3)*(GMW!$LP$2:$LP$60=D$4)*(GMW!$LR$2:$LR$60=D$1),0),$C110-1966)</f>
        <v>380155</v>
      </c>
      <c r="E110" s="4" cm="1">
        <f t="array" ref="E110">INDEX(GMW!$A$2:$LR$60,MATCH(1,(GMW!$LQ$2:$LQ$60=E$3)*(GMW!$LP$2:$LP$60=E$4)*(GMW!$LR$2:$LR$60=E$1),0),$C110-1966)</f>
        <v>380155</v>
      </c>
      <c r="F110" s="4" cm="1">
        <f t="array" ref="F110">INDEX(GMW!$A$2:$LR$60,MATCH(1,(GMW!$LQ$2:$LQ$60=F$3)*(GMW!$LP$2:$LP$60=F$4)*(GMW!$LR$2:$LR$60=F$1),0),$C110-1966)</f>
        <v>380155</v>
      </c>
      <c r="G110" s="4" cm="1">
        <f t="array" ref="G110">INDEX(GMW!$A$2:$LR$60,MATCH(1,(GMW!$LQ$2:$LQ$60=G$3)*(GMW!$LP$2:$LP$60=G$4)*(GMW!$LR$2:$LR$60=G$1),0),$C110-1966)</f>
        <v>380155</v>
      </c>
      <c r="H110" s="4" cm="1">
        <f t="array" ref="H110">INDEX(GMW!$A$2:$LR$60,MATCH(1,(GMW!$LQ$2:$LQ$60=H$3)*(GMW!$LP$2:$LP$60=H$4)*(GMW!$LR$2:$LR$60=H$1),0),$C110-1966)</f>
        <v>380155</v>
      </c>
      <c r="I110" s="4" cm="1">
        <f t="array" ref="I110">INDEX(GMW!$A$2:$LR$60,MATCH(1,(GMW!$LQ$2:$LQ$60=I$3)*(GMW!$LP$2:$LP$60=I$4)*(GMW!$LR$2:$LR$60=I$1),0),$C110-1966)</f>
        <v>380155</v>
      </c>
      <c r="J110" s="4" cm="1">
        <f t="array" ref="J110">INDEX(GMW!$A$2:$LR$60,MATCH(1,(GMW!$LQ$2:$LQ$60=J$3)*(GMW!$LP$2:$LP$60=J$4)*(GMW!$LR$2:$LR$60=J$1),0),$C110-1966)</f>
        <v>380155</v>
      </c>
      <c r="K110" s="4" cm="1">
        <f t="array" ref="K110">INDEX(GMW!$A$2:$LR$60,MATCH(1,(GMW!$LQ$2:$LQ$60=K$3)*(GMW!$LP$2:$LP$60=K$4)*(GMW!$LR$2:$LR$60=K$1),0),$C110-1966)</f>
        <v>380155</v>
      </c>
      <c r="L110" s="4" cm="1">
        <f t="array" ref="L110">INDEX(GMW!$A$2:$LR$60,MATCH(1,(GMW!$LQ$2:$LQ$60=L$3)*(GMW!$LP$2:$LP$60=L$4)*(GMW!$LR$2:$LR$60=L$1),0),$C110-1966)</f>
        <v>380155</v>
      </c>
      <c r="M110" s="4" cm="1">
        <f t="array" ref="M110">INDEX(GMW!$A$2:$LR$60,MATCH(1,(GMW!$LQ$2:$LQ$60=M$3)*(GMW!$LP$2:$LP$60=M$4)*(GMW!$LR$2:$LR$60=M$1),0),$C110-1966)</f>
        <v>380155</v>
      </c>
      <c r="N110" s="4" cm="1">
        <f t="array" ref="N110">INDEX(GMW!$A$2:$LR$60,MATCH(1,(GMW!$LQ$2:$LQ$60=N$3)*(GMW!$LP$2:$LP$60=N$4)*(GMW!$LR$2:$LR$60=N$1),0),$C110-1966)</f>
        <v>380155</v>
      </c>
      <c r="O110" s="4" cm="1">
        <f t="array" ref="O110">INDEX(GMW!$A$2:$LR$60,MATCH(1,(GMW!$LQ$2:$LQ$60=O$3)*(GMW!$LP$2:$LP$60=O$4)*(GMW!$LR$2:$LR$60=O$1),0),$C110-1966)</f>
        <v>380155</v>
      </c>
      <c r="P110" s="4" cm="1">
        <f t="array" ref="P110">INDEX(GMW!$A$2:$LR$60,MATCH(1,(GMW!$LQ$2:$LQ$60=P$3)*(GMW!$LP$2:$LP$60=P$4)*(GMW!$LR$2:$LR$60=P$1),0),$C110-1966)</f>
        <v>380155</v>
      </c>
      <c r="Q110" s="4" cm="1">
        <f t="array" ref="Q110">INDEX(GMW!$A$2:$LR$60,MATCH(1,(GMW!$LQ$2:$LQ$60=Q$3)*(GMW!$LP$2:$LP$60=Q$4)*(GMW!$LR$2:$LR$60=Q$1),0),$C110-1966)</f>
        <v>380155</v>
      </c>
      <c r="R110" s="4" cm="1">
        <f t="array" ref="R110">INDEX(GMW!$A$2:$LR$60,MATCH(1,(GMW!$LQ$2:$LQ$60=R$3)*(GMW!$LP$2:$LP$60=R$4)*(GMW!$LR$2:$LR$60=R$1),0),$C110-1966)</f>
        <v>380155</v>
      </c>
      <c r="S110" s="4" cm="1">
        <f t="array" ref="S110">INDEX(GMW!$A$2:$LR$60,MATCH(1,(GMW!$LQ$2:$LQ$60=S$3)*(GMW!$LP$2:$LP$60=S$4)*(GMW!$LR$2:$LR$60=S$1),0),$C110-1966)</f>
        <v>380155</v>
      </c>
      <c r="T110" s="4" cm="1">
        <f t="array" ref="T110">INDEX(GMW!$A$2:$LR$60,MATCH(1,(GMW!$LQ$2:$LQ$60=T$3)*(GMW!$LP$2:$LP$60=T$4)*(GMW!$LR$2:$LR$60=T$1),0),$C110-1966)</f>
        <v>380155</v>
      </c>
      <c r="U110" s="4" cm="1">
        <f t="array" ref="U110">INDEX(GMW!$A$2:$LR$60,MATCH(1,(GMW!$LQ$2:$LQ$60=U$3)*(GMW!$LP$2:$LP$60=U$4)*(GMW!$LR$2:$LR$60=U$1),0),$C110-1966)</f>
        <v>285.15710000000001</v>
      </c>
      <c r="V110" s="4" cm="1">
        <f t="array" ref="V110">INDEX(GMW!$A$2:$LR$60,MATCH(1,(GMW!$LQ$2:$LQ$60=V$3)*(GMW!$LP$2:$LP$60=V$4)*(GMW!$LR$2:$LR$60=V$1),0),$C110-1966)</f>
        <v>71.633330000000001</v>
      </c>
      <c r="W110" s="4" cm="1">
        <f t="array" ref="W110">INDEX(GMW!$A$2:$LR$60,MATCH(1,(GMW!$LQ$2:$LQ$60=W$3)*(GMW!$LP$2:$LP$60=W$4)*(GMW!$LR$2:$LR$60=W$1),0),$C110-1966)</f>
        <v>61.566670000000002</v>
      </c>
      <c r="X110" s="4" cm="1">
        <f t="array" ref="X110">INDEX(GMW!$A$2:$LR$60,MATCH(1,(GMW!$LQ$2:$LQ$60=X$3)*(GMW!$LP$2:$LP$60=X$4)*(GMW!$LR$2:$LR$60=X$1),0),$C110-1966)</f>
        <v>58.3</v>
      </c>
      <c r="Y110" s="4" cm="1">
        <f t="array" ref="Y110">INDEX(GMW!$A$2:$LR$60,MATCH(1,(GMW!$LQ$2:$LQ$60=Y$3)*(GMW!$LP$2:$LP$60=Y$4)*(GMW!$LR$2:$LR$60=Y$1),0),$C110-1966)</f>
        <v>37.266669999999998</v>
      </c>
      <c r="Z110" s="4" cm="1">
        <f t="array" ref="Z110">INDEX(GMW!$A$2:$LR$60,MATCH(1,(GMW!$LQ$2:$LQ$60=Z$3)*(GMW!$LP$2:$LP$60=Z$4)*(GMW!$LR$2:$LR$60=Z$1),0),$C110-1966)</f>
        <v>77.2</v>
      </c>
      <c r="AA110" s="4" cm="1">
        <f t="array" ref="AA110">INDEX(GMW!$A$2:$LR$60,MATCH(1,(GMW!$LQ$2:$LQ$60=AA$3)*(GMW!$LP$2:$LP$60=AA$4)*(GMW!$LR$2:$LR$60=AA$1),0),$C110-1966)</f>
        <v>224748</v>
      </c>
      <c r="AB110" s="4" cm="1">
        <f t="array" ref="AB110">INDEX(GMW!$A$2:$LR$60,MATCH(1,(GMW!$LQ$2:$LQ$60=AB$3)*(GMW!$LP$2:$LP$60=AB$4)*(GMW!$LR$2:$LR$60=AB$1),0),$C110-1966)</f>
        <v>65884</v>
      </c>
      <c r="AC110" s="4" cm="1">
        <f t="array" ref="AC110">INDEX(GMW!$A$2:$LR$60,MATCH(1,(GMW!$LQ$2:$LQ$60=AC$3)*(GMW!$LP$2:$LP$60=AC$4)*(GMW!$LR$2:$LR$60=AC$1),0),$C110-1966)</f>
        <v>68605</v>
      </c>
      <c r="AD110" s="4" cm="1">
        <f t="array" ref="AD110">INDEX(GMW!$A$2:$LR$60,MATCH(1,(GMW!$LQ$2:$LQ$60=AD$3)*(GMW!$LP$2:$LP$60=AD$4)*(GMW!$LR$2:$LR$60=AD$1),0),$C110-1966)</f>
        <v>89829</v>
      </c>
      <c r="AE110" s="4" cm="1">
        <f t="array" ref="AE110">INDEX(GMW!$A$2:$LR$60,MATCH(1,(GMW!$LQ$2:$LQ$60=AE$3)*(GMW!$LP$2:$LP$60=AE$4)*(GMW!$LR$2:$LR$60=AE$1),0),$C110-1966)</f>
        <v>82266</v>
      </c>
      <c r="AF110" s="4" cm="1">
        <f t="array" ref="AF110">INDEX(GMW!$A$2:$LR$60,MATCH(1,(GMW!$LQ$2:$LQ$60=AF$3)*(GMW!$LP$2:$LP$60=AF$4)*(GMW!$LR$2:$LR$60=AF$1),0),$C110-1966)</f>
        <v>1E-3</v>
      </c>
      <c r="AG110" s="4" cm="1">
        <f t="array" ref="AG110">INDEX(GMW!$A$2:$LR$60,MATCH(1,(GMW!$LQ$2:$LQ$60=AG$3)*(GMW!$LP$2:$LP$60=AG$4)*(GMW!$LR$2:$LR$60=AG$1),0),$C110-1966)</f>
        <v>1E-3</v>
      </c>
    </row>
    <row r="111" spans="1:33" x14ac:dyDescent="0.25">
      <c r="A111" s="4">
        <v>1999</v>
      </c>
      <c r="B111" s="4">
        <f t="shared" si="3"/>
        <v>1999</v>
      </c>
      <c r="C111" s="4">
        <f t="shared" si="2"/>
        <v>2077</v>
      </c>
      <c r="D111" s="4" cm="1">
        <f t="array" ref="D111">INDEX(GMW!$A$2:$LR$60,MATCH(1,(GMW!$LQ$2:$LQ$60=D$3)*(GMW!$LP$2:$LP$60=D$4)*(GMW!$LR$2:$LR$60=D$1),0),$C111-1966)</f>
        <v>382789</v>
      </c>
      <c r="E111" s="4" cm="1">
        <f t="array" ref="E111">INDEX(GMW!$A$2:$LR$60,MATCH(1,(GMW!$LQ$2:$LQ$60=E$3)*(GMW!$LP$2:$LP$60=E$4)*(GMW!$LR$2:$LR$60=E$1),0),$C111-1966)</f>
        <v>382789</v>
      </c>
      <c r="F111" s="4" cm="1">
        <f t="array" ref="F111">INDEX(GMW!$A$2:$LR$60,MATCH(1,(GMW!$LQ$2:$LQ$60=F$3)*(GMW!$LP$2:$LP$60=F$4)*(GMW!$LR$2:$LR$60=F$1),0),$C111-1966)</f>
        <v>382789</v>
      </c>
      <c r="G111" s="4" cm="1">
        <f t="array" ref="G111">INDEX(GMW!$A$2:$LR$60,MATCH(1,(GMW!$LQ$2:$LQ$60=G$3)*(GMW!$LP$2:$LP$60=G$4)*(GMW!$LR$2:$LR$60=G$1),0),$C111-1966)</f>
        <v>382789</v>
      </c>
      <c r="H111" s="4" cm="1">
        <f t="array" ref="H111">INDEX(GMW!$A$2:$LR$60,MATCH(1,(GMW!$LQ$2:$LQ$60=H$3)*(GMW!$LP$2:$LP$60=H$4)*(GMW!$LR$2:$LR$60=H$1),0),$C111-1966)</f>
        <v>382789</v>
      </c>
      <c r="I111" s="4" cm="1">
        <f t="array" ref="I111">INDEX(GMW!$A$2:$LR$60,MATCH(1,(GMW!$LQ$2:$LQ$60=I$3)*(GMW!$LP$2:$LP$60=I$4)*(GMW!$LR$2:$LR$60=I$1),0),$C111-1966)</f>
        <v>382789</v>
      </c>
      <c r="J111" s="4" cm="1">
        <f t="array" ref="J111">INDEX(GMW!$A$2:$LR$60,MATCH(1,(GMW!$LQ$2:$LQ$60=J$3)*(GMW!$LP$2:$LP$60=J$4)*(GMW!$LR$2:$LR$60=J$1),0),$C111-1966)</f>
        <v>382789</v>
      </c>
      <c r="K111" s="4" cm="1">
        <f t="array" ref="K111">INDEX(GMW!$A$2:$LR$60,MATCH(1,(GMW!$LQ$2:$LQ$60=K$3)*(GMW!$LP$2:$LP$60=K$4)*(GMW!$LR$2:$LR$60=K$1),0),$C111-1966)</f>
        <v>382789</v>
      </c>
      <c r="L111" s="4" cm="1">
        <f t="array" ref="L111">INDEX(GMW!$A$2:$LR$60,MATCH(1,(GMW!$LQ$2:$LQ$60=L$3)*(GMW!$LP$2:$LP$60=L$4)*(GMW!$LR$2:$LR$60=L$1),0),$C111-1966)</f>
        <v>382789</v>
      </c>
      <c r="M111" s="4" cm="1">
        <f t="array" ref="M111">INDEX(GMW!$A$2:$LR$60,MATCH(1,(GMW!$LQ$2:$LQ$60=M$3)*(GMW!$LP$2:$LP$60=M$4)*(GMW!$LR$2:$LR$60=M$1),0),$C111-1966)</f>
        <v>382789</v>
      </c>
      <c r="N111" s="4" cm="1">
        <f t="array" ref="N111">INDEX(GMW!$A$2:$LR$60,MATCH(1,(GMW!$LQ$2:$LQ$60=N$3)*(GMW!$LP$2:$LP$60=N$4)*(GMW!$LR$2:$LR$60=N$1),0),$C111-1966)</f>
        <v>382789</v>
      </c>
      <c r="O111" s="4" cm="1">
        <f t="array" ref="O111">INDEX(GMW!$A$2:$LR$60,MATCH(1,(GMW!$LQ$2:$LQ$60=O$3)*(GMW!$LP$2:$LP$60=O$4)*(GMW!$LR$2:$LR$60=O$1),0),$C111-1966)</f>
        <v>382789</v>
      </c>
      <c r="P111" s="4" cm="1">
        <f t="array" ref="P111">INDEX(GMW!$A$2:$LR$60,MATCH(1,(GMW!$LQ$2:$LQ$60=P$3)*(GMW!$LP$2:$LP$60=P$4)*(GMW!$LR$2:$LR$60=P$1),0),$C111-1966)</f>
        <v>382789</v>
      </c>
      <c r="Q111" s="4" cm="1">
        <f t="array" ref="Q111">INDEX(GMW!$A$2:$LR$60,MATCH(1,(GMW!$LQ$2:$LQ$60=Q$3)*(GMW!$LP$2:$LP$60=Q$4)*(GMW!$LR$2:$LR$60=Q$1),0),$C111-1966)</f>
        <v>382789</v>
      </c>
      <c r="R111" s="4" cm="1">
        <f t="array" ref="R111">INDEX(GMW!$A$2:$LR$60,MATCH(1,(GMW!$LQ$2:$LQ$60=R$3)*(GMW!$LP$2:$LP$60=R$4)*(GMW!$LR$2:$LR$60=R$1),0),$C111-1966)</f>
        <v>382789</v>
      </c>
      <c r="S111" s="4" cm="1">
        <f t="array" ref="S111">INDEX(GMW!$A$2:$LR$60,MATCH(1,(GMW!$LQ$2:$LQ$60=S$3)*(GMW!$LP$2:$LP$60=S$4)*(GMW!$LR$2:$LR$60=S$1),0),$C111-1966)</f>
        <v>382789</v>
      </c>
      <c r="T111" s="4" cm="1">
        <f t="array" ref="T111">INDEX(GMW!$A$2:$LR$60,MATCH(1,(GMW!$LQ$2:$LQ$60=T$3)*(GMW!$LP$2:$LP$60=T$4)*(GMW!$LR$2:$LR$60=T$1),0),$C111-1966)</f>
        <v>382789</v>
      </c>
      <c r="U111" s="4" cm="1">
        <f t="array" ref="U111">INDEX(GMW!$A$2:$LR$60,MATCH(1,(GMW!$LQ$2:$LQ$60=U$3)*(GMW!$LP$2:$LP$60=U$4)*(GMW!$LR$2:$LR$60=U$1),0),$C111-1966)</f>
        <v>284.69069999999999</v>
      </c>
      <c r="V111" s="4" cm="1">
        <f t="array" ref="V111">INDEX(GMW!$A$2:$LR$60,MATCH(1,(GMW!$LQ$2:$LQ$60=V$3)*(GMW!$LP$2:$LP$60=V$4)*(GMW!$LR$2:$LR$60=V$1),0),$C111-1966)</f>
        <v>71.599999999999994</v>
      </c>
      <c r="W111" s="4" cm="1">
        <f t="array" ref="W111">INDEX(GMW!$A$2:$LR$60,MATCH(1,(GMW!$LQ$2:$LQ$60=W$3)*(GMW!$LP$2:$LP$60=W$4)*(GMW!$LR$2:$LR$60=W$1),0),$C111-1966)</f>
        <v>62.466670000000001</v>
      </c>
      <c r="X111" s="4" cm="1">
        <f t="array" ref="X111">INDEX(GMW!$A$2:$LR$60,MATCH(1,(GMW!$LQ$2:$LQ$60=X$3)*(GMW!$LP$2:$LP$60=X$4)*(GMW!$LR$2:$LR$60=X$1),0),$C111-1966)</f>
        <v>58</v>
      </c>
      <c r="Y111" s="4" cm="1">
        <f t="array" ref="Y111">INDEX(GMW!$A$2:$LR$60,MATCH(1,(GMW!$LQ$2:$LQ$60=Y$3)*(GMW!$LP$2:$LP$60=Y$4)*(GMW!$LR$2:$LR$60=Y$1),0),$C111-1966)</f>
        <v>37.333329999999997</v>
      </c>
      <c r="Z111" s="4" cm="1">
        <f t="array" ref="Z111">INDEX(GMW!$A$2:$LR$60,MATCH(1,(GMW!$LQ$2:$LQ$60=Z$3)*(GMW!$LP$2:$LP$60=Z$4)*(GMW!$LR$2:$LR$60=Z$1),0),$C111-1966)</f>
        <v>76.8</v>
      </c>
      <c r="AA111" s="4" cm="1">
        <f t="array" ref="AA111">INDEX(GMW!$A$2:$LR$60,MATCH(1,(GMW!$LQ$2:$LQ$60=AA$3)*(GMW!$LP$2:$LP$60=AA$4)*(GMW!$LR$2:$LR$60=AA$1),0),$C111-1966)</f>
        <v>227015</v>
      </c>
      <c r="AB111" s="4" cm="1">
        <f t="array" ref="AB111">INDEX(GMW!$A$2:$LR$60,MATCH(1,(GMW!$LQ$2:$LQ$60=AB$3)*(GMW!$LP$2:$LP$60=AB$4)*(GMW!$LR$2:$LR$60=AB$1),0),$C111-1966)</f>
        <v>65850</v>
      </c>
      <c r="AC111" s="4" cm="1">
        <f t="array" ref="AC111">INDEX(GMW!$A$2:$LR$60,MATCH(1,(GMW!$LQ$2:$LQ$60=AC$3)*(GMW!$LP$2:$LP$60=AC$4)*(GMW!$LR$2:$LR$60=AC$1),0),$C111-1966)</f>
        <v>68446</v>
      </c>
      <c r="AD111" s="4" cm="1">
        <f t="array" ref="AD111">INDEX(GMW!$A$2:$LR$60,MATCH(1,(GMW!$LQ$2:$LQ$60=AD$3)*(GMW!$LP$2:$LP$60=AD$4)*(GMW!$LR$2:$LR$60=AD$1),0),$C111-1966)</f>
        <v>89971</v>
      </c>
      <c r="AE111" s="4" cm="1">
        <f t="array" ref="AE111">INDEX(GMW!$A$2:$LR$60,MATCH(1,(GMW!$LQ$2:$LQ$60=AE$3)*(GMW!$LP$2:$LP$60=AE$4)*(GMW!$LR$2:$LR$60=AE$1),0),$C111-1966)</f>
        <v>84805</v>
      </c>
      <c r="AF111" s="4" cm="1">
        <f t="array" ref="AF111">INDEX(GMW!$A$2:$LR$60,MATCH(1,(GMW!$LQ$2:$LQ$60=AF$3)*(GMW!$LP$2:$LP$60=AF$4)*(GMW!$LR$2:$LR$60=AF$1),0),$C111-1966)</f>
        <v>1E-3</v>
      </c>
      <c r="AG111" s="4" cm="1">
        <f t="array" ref="AG111">INDEX(GMW!$A$2:$LR$60,MATCH(1,(GMW!$LQ$2:$LQ$60=AG$3)*(GMW!$LP$2:$LP$60=AG$4)*(GMW!$LR$2:$LR$60=AG$1),0),$C111-1966)</f>
        <v>1E-3</v>
      </c>
    </row>
    <row r="112" spans="1:33" x14ac:dyDescent="0.25">
      <c r="B112" s="4">
        <f t="shared" si="3"/>
        <v>1999</v>
      </c>
      <c r="C112" s="4">
        <f t="shared" si="2"/>
        <v>2078</v>
      </c>
      <c r="D112" s="4" cm="1">
        <f t="array" ref="D112">INDEX(GMW!$A$2:$LR$60,MATCH(1,(GMW!$LQ$2:$LQ$60=D$3)*(GMW!$LP$2:$LP$60=D$4)*(GMW!$LR$2:$LR$60=D$1),0),$C112-1966)</f>
        <v>384605</v>
      </c>
      <c r="E112" s="4" cm="1">
        <f t="array" ref="E112">INDEX(GMW!$A$2:$LR$60,MATCH(1,(GMW!$LQ$2:$LQ$60=E$3)*(GMW!$LP$2:$LP$60=E$4)*(GMW!$LR$2:$LR$60=E$1),0),$C112-1966)</f>
        <v>384605</v>
      </c>
      <c r="F112" s="4" cm="1">
        <f t="array" ref="F112">INDEX(GMW!$A$2:$LR$60,MATCH(1,(GMW!$LQ$2:$LQ$60=F$3)*(GMW!$LP$2:$LP$60=F$4)*(GMW!$LR$2:$LR$60=F$1),0),$C112-1966)</f>
        <v>384605</v>
      </c>
      <c r="G112" s="4" cm="1">
        <f t="array" ref="G112">INDEX(GMW!$A$2:$LR$60,MATCH(1,(GMW!$LQ$2:$LQ$60=G$3)*(GMW!$LP$2:$LP$60=G$4)*(GMW!$LR$2:$LR$60=G$1),0),$C112-1966)</f>
        <v>384605</v>
      </c>
      <c r="H112" s="4" cm="1">
        <f t="array" ref="H112">INDEX(GMW!$A$2:$LR$60,MATCH(1,(GMW!$LQ$2:$LQ$60=H$3)*(GMW!$LP$2:$LP$60=H$4)*(GMW!$LR$2:$LR$60=H$1),0),$C112-1966)</f>
        <v>384605</v>
      </c>
      <c r="I112" s="4" cm="1">
        <f t="array" ref="I112">INDEX(GMW!$A$2:$LR$60,MATCH(1,(GMW!$LQ$2:$LQ$60=I$3)*(GMW!$LP$2:$LP$60=I$4)*(GMW!$LR$2:$LR$60=I$1),0),$C112-1966)</f>
        <v>384605</v>
      </c>
      <c r="J112" s="4" cm="1">
        <f t="array" ref="J112">INDEX(GMW!$A$2:$LR$60,MATCH(1,(GMW!$LQ$2:$LQ$60=J$3)*(GMW!$LP$2:$LP$60=J$4)*(GMW!$LR$2:$LR$60=J$1),0),$C112-1966)</f>
        <v>384605</v>
      </c>
      <c r="K112" s="4" cm="1">
        <f t="array" ref="K112">INDEX(GMW!$A$2:$LR$60,MATCH(1,(GMW!$LQ$2:$LQ$60=K$3)*(GMW!$LP$2:$LP$60=K$4)*(GMW!$LR$2:$LR$60=K$1),0),$C112-1966)</f>
        <v>384605</v>
      </c>
      <c r="L112" s="4" cm="1">
        <f t="array" ref="L112">INDEX(GMW!$A$2:$LR$60,MATCH(1,(GMW!$LQ$2:$LQ$60=L$3)*(GMW!$LP$2:$LP$60=L$4)*(GMW!$LR$2:$LR$60=L$1),0),$C112-1966)</f>
        <v>384605</v>
      </c>
      <c r="M112" s="4" cm="1">
        <f t="array" ref="M112">INDEX(GMW!$A$2:$LR$60,MATCH(1,(GMW!$LQ$2:$LQ$60=M$3)*(GMW!$LP$2:$LP$60=M$4)*(GMW!$LR$2:$LR$60=M$1),0),$C112-1966)</f>
        <v>384605</v>
      </c>
      <c r="N112" s="4" cm="1">
        <f t="array" ref="N112">INDEX(GMW!$A$2:$LR$60,MATCH(1,(GMW!$LQ$2:$LQ$60=N$3)*(GMW!$LP$2:$LP$60=N$4)*(GMW!$LR$2:$LR$60=N$1),0),$C112-1966)</f>
        <v>384605</v>
      </c>
      <c r="O112" s="4" cm="1">
        <f t="array" ref="O112">INDEX(GMW!$A$2:$LR$60,MATCH(1,(GMW!$LQ$2:$LQ$60=O$3)*(GMW!$LP$2:$LP$60=O$4)*(GMW!$LR$2:$LR$60=O$1),0),$C112-1966)</f>
        <v>384605</v>
      </c>
      <c r="P112" s="4" cm="1">
        <f t="array" ref="P112">INDEX(GMW!$A$2:$LR$60,MATCH(1,(GMW!$LQ$2:$LQ$60=P$3)*(GMW!$LP$2:$LP$60=P$4)*(GMW!$LR$2:$LR$60=P$1),0),$C112-1966)</f>
        <v>384605</v>
      </c>
      <c r="Q112" s="4" cm="1">
        <f t="array" ref="Q112">INDEX(GMW!$A$2:$LR$60,MATCH(1,(GMW!$LQ$2:$LQ$60=Q$3)*(GMW!$LP$2:$LP$60=Q$4)*(GMW!$LR$2:$LR$60=Q$1),0),$C112-1966)</f>
        <v>384605</v>
      </c>
      <c r="R112" s="4" cm="1">
        <f t="array" ref="R112">INDEX(GMW!$A$2:$LR$60,MATCH(1,(GMW!$LQ$2:$LQ$60=R$3)*(GMW!$LP$2:$LP$60=R$4)*(GMW!$LR$2:$LR$60=R$1),0),$C112-1966)</f>
        <v>384605</v>
      </c>
      <c r="S112" s="4" cm="1">
        <f t="array" ref="S112">INDEX(GMW!$A$2:$LR$60,MATCH(1,(GMW!$LQ$2:$LQ$60=S$3)*(GMW!$LP$2:$LP$60=S$4)*(GMW!$LR$2:$LR$60=S$1),0),$C112-1966)</f>
        <v>384605</v>
      </c>
      <c r="T112" s="4" cm="1">
        <f t="array" ref="T112">INDEX(GMW!$A$2:$LR$60,MATCH(1,(GMW!$LQ$2:$LQ$60=T$3)*(GMW!$LP$2:$LP$60=T$4)*(GMW!$LR$2:$LR$60=T$1),0),$C112-1966)</f>
        <v>384605</v>
      </c>
      <c r="U112" s="4" cm="1">
        <f t="array" ref="U112">INDEX(GMW!$A$2:$LR$60,MATCH(1,(GMW!$LQ$2:$LQ$60=U$3)*(GMW!$LP$2:$LP$60=U$4)*(GMW!$LR$2:$LR$60=U$1),0),$C112-1966)</f>
        <v>293.50729999999999</v>
      </c>
      <c r="V112" s="4" cm="1">
        <f t="array" ref="V112">INDEX(GMW!$A$2:$LR$60,MATCH(1,(GMW!$LQ$2:$LQ$60=V$3)*(GMW!$LP$2:$LP$60=V$4)*(GMW!$LR$2:$LR$60=V$1),0),$C112-1966)</f>
        <v>72.3</v>
      </c>
      <c r="W112" s="4" cm="1">
        <f t="array" ref="W112">INDEX(GMW!$A$2:$LR$60,MATCH(1,(GMW!$LQ$2:$LQ$60=W$3)*(GMW!$LP$2:$LP$60=W$4)*(GMW!$LR$2:$LR$60=W$1),0),$C112-1966)</f>
        <v>62.6</v>
      </c>
      <c r="X112" s="4" cm="1">
        <f t="array" ref="X112">INDEX(GMW!$A$2:$LR$60,MATCH(1,(GMW!$LQ$2:$LQ$60=X$3)*(GMW!$LP$2:$LP$60=X$4)*(GMW!$LR$2:$LR$60=X$1),0),$C112-1966)</f>
        <v>63.166670000000003</v>
      </c>
      <c r="Y112" s="4" cm="1">
        <f t="array" ref="Y112">INDEX(GMW!$A$2:$LR$60,MATCH(1,(GMW!$LQ$2:$LQ$60=Y$3)*(GMW!$LP$2:$LP$60=Y$4)*(GMW!$LR$2:$LR$60=Y$1),0),$C112-1966)</f>
        <v>37.233330000000002</v>
      </c>
      <c r="Z112" s="4" cm="1">
        <f t="array" ref="Z112">INDEX(GMW!$A$2:$LR$60,MATCH(1,(GMW!$LQ$2:$LQ$60=Z$3)*(GMW!$LP$2:$LP$60=Z$4)*(GMW!$LR$2:$LR$60=Z$1),0),$C112-1966)</f>
        <v>77.433329999999998</v>
      </c>
      <c r="AA112" s="4" cm="1">
        <f t="array" ref="AA112">INDEX(GMW!$A$2:$LR$60,MATCH(1,(GMW!$LQ$2:$LQ$60=AA$3)*(GMW!$LP$2:$LP$60=AA$4)*(GMW!$LR$2:$LR$60=AA$1),0),$C112-1966)</f>
        <v>231313</v>
      </c>
      <c r="AB112" s="4" cm="1">
        <f t="array" ref="AB112">INDEX(GMW!$A$2:$LR$60,MATCH(1,(GMW!$LQ$2:$LQ$60=AB$3)*(GMW!$LP$2:$LP$60=AB$4)*(GMW!$LR$2:$LR$60=AB$1),0),$C112-1966)</f>
        <v>65923</v>
      </c>
      <c r="AC112" s="4" cm="1">
        <f t="array" ref="AC112">INDEX(GMW!$A$2:$LR$60,MATCH(1,(GMW!$LQ$2:$LQ$60=AC$3)*(GMW!$LP$2:$LP$60=AC$4)*(GMW!$LR$2:$LR$60=AC$1),0),$C112-1966)</f>
        <v>70748</v>
      </c>
      <c r="AD112" s="4" cm="1">
        <f t="array" ref="AD112">INDEX(GMW!$A$2:$LR$60,MATCH(1,(GMW!$LQ$2:$LQ$60=AD$3)*(GMW!$LP$2:$LP$60=AD$4)*(GMW!$LR$2:$LR$60=AD$1),0),$C112-1966)</f>
        <v>90148</v>
      </c>
      <c r="AE112" s="4" cm="1">
        <f t="array" ref="AE112">INDEX(GMW!$A$2:$LR$60,MATCH(1,(GMW!$LQ$2:$LQ$60=AE$3)*(GMW!$LP$2:$LP$60=AE$4)*(GMW!$LR$2:$LR$60=AE$1),0),$C112-1966)</f>
        <v>85808</v>
      </c>
      <c r="AF112" s="4" cm="1">
        <f t="array" ref="AF112">INDEX(GMW!$A$2:$LR$60,MATCH(1,(GMW!$LQ$2:$LQ$60=AF$3)*(GMW!$LP$2:$LP$60=AF$4)*(GMW!$LR$2:$LR$60=AF$1),0),$C112-1966)</f>
        <v>1E-3</v>
      </c>
      <c r="AG112" s="4" cm="1">
        <f t="array" ref="AG112">INDEX(GMW!$A$2:$LR$60,MATCH(1,(GMW!$LQ$2:$LQ$60=AG$3)*(GMW!$LP$2:$LP$60=AG$4)*(GMW!$LR$2:$LR$60=AG$1),0),$C112-1966)</f>
        <v>1E-3</v>
      </c>
    </row>
    <row r="113" spans="1:33" x14ac:dyDescent="0.25">
      <c r="B113" s="4">
        <f t="shared" si="3"/>
        <v>1999</v>
      </c>
      <c r="C113" s="4">
        <f t="shared" ref="C113:C176" si="4">+C112+1</f>
        <v>2079</v>
      </c>
      <c r="D113" s="4" cm="1">
        <f t="array" ref="D113">INDEX(GMW!$A$2:$LR$60,MATCH(1,(GMW!$LQ$2:$LQ$60=D$3)*(GMW!$LP$2:$LP$60=D$4)*(GMW!$LR$2:$LR$60=D$1),0),$C113-1966)</f>
        <v>390758</v>
      </c>
      <c r="E113" s="4" cm="1">
        <f t="array" ref="E113">INDEX(GMW!$A$2:$LR$60,MATCH(1,(GMW!$LQ$2:$LQ$60=E$3)*(GMW!$LP$2:$LP$60=E$4)*(GMW!$LR$2:$LR$60=E$1),0),$C113-1966)</f>
        <v>390758</v>
      </c>
      <c r="F113" s="4" cm="1">
        <f t="array" ref="F113">INDEX(GMW!$A$2:$LR$60,MATCH(1,(GMW!$LQ$2:$LQ$60=F$3)*(GMW!$LP$2:$LP$60=F$4)*(GMW!$LR$2:$LR$60=F$1),0),$C113-1966)</f>
        <v>390758</v>
      </c>
      <c r="G113" s="4" cm="1">
        <f t="array" ref="G113">INDEX(GMW!$A$2:$LR$60,MATCH(1,(GMW!$LQ$2:$LQ$60=G$3)*(GMW!$LP$2:$LP$60=G$4)*(GMW!$LR$2:$LR$60=G$1),0),$C113-1966)</f>
        <v>390758</v>
      </c>
      <c r="H113" s="4" cm="1">
        <f t="array" ref="H113">INDEX(GMW!$A$2:$LR$60,MATCH(1,(GMW!$LQ$2:$LQ$60=H$3)*(GMW!$LP$2:$LP$60=H$4)*(GMW!$LR$2:$LR$60=H$1),0),$C113-1966)</f>
        <v>390758</v>
      </c>
      <c r="I113" s="4" cm="1">
        <f t="array" ref="I113">INDEX(GMW!$A$2:$LR$60,MATCH(1,(GMW!$LQ$2:$LQ$60=I$3)*(GMW!$LP$2:$LP$60=I$4)*(GMW!$LR$2:$LR$60=I$1),0),$C113-1966)</f>
        <v>390758</v>
      </c>
      <c r="J113" s="4" cm="1">
        <f t="array" ref="J113">INDEX(GMW!$A$2:$LR$60,MATCH(1,(GMW!$LQ$2:$LQ$60=J$3)*(GMW!$LP$2:$LP$60=J$4)*(GMW!$LR$2:$LR$60=J$1),0),$C113-1966)</f>
        <v>390758</v>
      </c>
      <c r="K113" s="4" cm="1">
        <f t="array" ref="K113">INDEX(GMW!$A$2:$LR$60,MATCH(1,(GMW!$LQ$2:$LQ$60=K$3)*(GMW!$LP$2:$LP$60=K$4)*(GMW!$LR$2:$LR$60=K$1),0),$C113-1966)</f>
        <v>390758</v>
      </c>
      <c r="L113" s="4" cm="1">
        <f t="array" ref="L113">INDEX(GMW!$A$2:$LR$60,MATCH(1,(GMW!$LQ$2:$LQ$60=L$3)*(GMW!$LP$2:$LP$60=L$4)*(GMW!$LR$2:$LR$60=L$1),0),$C113-1966)</f>
        <v>390758</v>
      </c>
      <c r="M113" s="4" cm="1">
        <f t="array" ref="M113">INDEX(GMW!$A$2:$LR$60,MATCH(1,(GMW!$LQ$2:$LQ$60=M$3)*(GMW!$LP$2:$LP$60=M$4)*(GMW!$LR$2:$LR$60=M$1),0),$C113-1966)</f>
        <v>390758</v>
      </c>
      <c r="N113" s="4" cm="1">
        <f t="array" ref="N113">INDEX(GMW!$A$2:$LR$60,MATCH(1,(GMW!$LQ$2:$LQ$60=N$3)*(GMW!$LP$2:$LP$60=N$4)*(GMW!$LR$2:$LR$60=N$1),0),$C113-1966)</f>
        <v>390758</v>
      </c>
      <c r="O113" s="4" cm="1">
        <f t="array" ref="O113">INDEX(GMW!$A$2:$LR$60,MATCH(1,(GMW!$LQ$2:$LQ$60=O$3)*(GMW!$LP$2:$LP$60=O$4)*(GMW!$LR$2:$LR$60=O$1),0),$C113-1966)</f>
        <v>390758</v>
      </c>
      <c r="P113" s="4" cm="1">
        <f t="array" ref="P113">INDEX(GMW!$A$2:$LR$60,MATCH(1,(GMW!$LQ$2:$LQ$60=P$3)*(GMW!$LP$2:$LP$60=P$4)*(GMW!$LR$2:$LR$60=P$1),0),$C113-1966)</f>
        <v>390758</v>
      </c>
      <c r="Q113" s="4" cm="1">
        <f t="array" ref="Q113">INDEX(GMW!$A$2:$LR$60,MATCH(1,(GMW!$LQ$2:$LQ$60=Q$3)*(GMW!$LP$2:$LP$60=Q$4)*(GMW!$LR$2:$LR$60=Q$1),0),$C113-1966)</f>
        <v>390758</v>
      </c>
      <c r="R113" s="4" cm="1">
        <f t="array" ref="R113">INDEX(GMW!$A$2:$LR$60,MATCH(1,(GMW!$LQ$2:$LQ$60=R$3)*(GMW!$LP$2:$LP$60=R$4)*(GMW!$LR$2:$LR$60=R$1),0),$C113-1966)</f>
        <v>390758</v>
      </c>
      <c r="S113" s="4" cm="1">
        <f t="array" ref="S113">INDEX(GMW!$A$2:$LR$60,MATCH(1,(GMW!$LQ$2:$LQ$60=S$3)*(GMW!$LP$2:$LP$60=S$4)*(GMW!$LR$2:$LR$60=S$1),0),$C113-1966)</f>
        <v>390758</v>
      </c>
      <c r="T113" s="4" cm="1">
        <f t="array" ref="T113">INDEX(GMW!$A$2:$LR$60,MATCH(1,(GMW!$LQ$2:$LQ$60=T$3)*(GMW!$LP$2:$LP$60=T$4)*(GMW!$LR$2:$LR$60=T$1),0),$C113-1966)</f>
        <v>390758</v>
      </c>
      <c r="U113" s="4" cm="1">
        <f t="array" ref="U113">INDEX(GMW!$A$2:$LR$60,MATCH(1,(GMW!$LQ$2:$LQ$60=U$3)*(GMW!$LP$2:$LP$60=U$4)*(GMW!$LR$2:$LR$60=U$1),0),$C113-1966)</f>
        <v>299.82389999999998</v>
      </c>
      <c r="V113" s="4" cm="1">
        <f t="array" ref="V113">INDEX(GMW!$A$2:$LR$60,MATCH(1,(GMW!$LQ$2:$LQ$60=V$3)*(GMW!$LP$2:$LP$60=V$4)*(GMW!$LR$2:$LR$60=V$1),0),$C113-1966)</f>
        <v>72.133330000000001</v>
      </c>
      <c r="W113" s="4" cm="1">
        <f t="array" ref="W113">INDEX(GMW!$A$2:$LR$60,MATCH(1,(GMW!$LQ$2:$LQ$60=W$3)*(GMW!$LP$2:$LP$60=W$4)*(GMW!$LR$2:$LR$60=W$1),0),$C113-1966)</f>
        <v>62.266669999999998</v>
      </c>
      <c r="X113" s="4" cm="1">
        <f t="array" ref="X113">INDEX(GMW!$A$2:$LR$60,MATCH(1,(GMW!$LQ$2:$LQ$60=X$3)*(GMW!$LP$2:$LP$60=X$4)*(GMW!$LR$2:$LR$60=X$1),0),$C113-1966)</f>
        <v>65.033330000000007</v>
      </c>
      <c r="Y113" s="4" cm="1">
        <f t="array" ref="Y113">INDEX(GMW!$A$2:$LR$60,MATCH(1,(GMW!$LQ$2:$LQ$60=Y$3)*(GMW!$LP$2:$LP$60=Y$4)*(GMW!$LR$2:$LR$60=Y$1),0),$C113-1966)</f>
        <v>37.333329999999997</v>
      </c>
      <c r="Z113" s="4" cm="1">
        <f t="array" ref="Z113">INDEX(GMW!$A$2:$LR$60,MATCH(1,(GMW!$LQ$2:$LQ$60=Z$3)*(GMW!$LP$2:$LP$60=Z$4)*(GMW!$LR$2:$LR$60=Z$1),0),$C113-1966)</f>
        <v>77.099999999999994</v>
      </c>
      <c r="AA113" s="4" cm="1">
        <f t="array" ref="AA113">INDEX(GMW!$A$2:$LR$60,MATCH(1,(GMW!$LQ$2:$LQ$60=AA$3)*(GMW!$LP$2:$LP$60=AA$4)*(GMW!$LR$2:$LR$60=AA$1),0),$C113-1966)</f>
        <v>233739</v>
      </c>
      <c r="AB113" s="4" cm="1">
        <f t="array" ref="AB113">INDEX(GMW!$A$2:$LR$60,MATCH(1,(GMW!$LQ$2:$LQ$60=AB$3)*(GMW!$LP$2:$LP$60=AB$4)*(GMW!$LR$2:$LR$60=AB$1),0),$C113-1966)</f>
        <v>66985</v>
      </c>
      <c r="AC113" s="4" cm="1">
        <f t="array" ref="AC113">INDEX(GMW!$A$2:$LR$60,MATCH(1,(GMW!$LQ$2:$LQ$60=AC$3)*(GMW!$LP$2:$LP$60=AC$4)*(GMW!$LR$2:$LR$60=AC$1),0),$C113-1966)</f>
        <v>71647</v>
      </c>
      <c r="AD113" s="4" cm="1">
        <f t="array" ref="AD113">INDEX(GMW!$A$2:$LR$60,MATCH(1,(GMW!$LQ$2:$LQ$60=AD$3)*(GMW!$LP$2:$LP$60=AD$4)*(GMW!$LR$2:$LR$60=AD$1),0),$C113-1966)</f>
        <v>95644</v>
      </c>
      <c r="AE113" s="4" cm="1">
        <f t="array" ref="AE113">INDEX(GMW!$A$2:$LR$60,MATCH(1,(GMW!$LQ$2:$LQ$60=AE$3)*(GMW!$LP$2:$LP$60=AE$4)*(GMW!$LR$2:$LR$60=AE$1),0),$C113-1966)</f>
        <v>88901</v>
      </c>
      <c r="AF113" s="4" cm="1">
        <f t="array" ref="AF113">INDEX(GMW!$A$2:$LR$60,MATCH(1,(GMW!$LQ$2:$LQ$60=AF$3)*(GMW!$LP$2:$LP$60=AF$4)*(GMW!$LR$2:$LR$60=AF$1),0),$C113-1966)</f>
        <v>1E-3</v>
      </c>
      <c r="AG113" s="4" cm="1">
        <f t="array" ref="AG113">INDEX(GMW!$A$2:$LR$60,MATCH(1,(GMW!$LQ$2:$LQ$60=AG$3)*(GMW!$LP$2:$LP$60=AG$4)*(GMW!$LR$2:$LR$60=AG$1),0),$C113-1966)</f>
        <v>1E-3</v>
      </c>
    </row>
    <row r="114" spans="1:33" x14ac:dyDescent="0.25">
      <c r="B114" s="4">
        <f t="shared" si="3"/>
        <v>1999</v>
      </c>
      <c r="C114" s="4">
        <f t="shared" si="4"/>
        <v>2080</v>
      </c>
      <c r="D114" s="4" cm="1">
        <f t="array" ref="D114">INDEX(GMW!$A$2:$LR$60,MATCH(1,(GMW!$LQ$2:$LQ$60=D$3)*(GMW!$LP$2:$LP$60=D$4)*(GMW!$LR$2:$LR$60=D$1),0),$C114-1966)</f>
        <v>396357</v>
      </c>
      <c r="E114" s="4" cm="1">
        <f t="array" ref="E114">INDEX(GMW!$A$2:$LR$60,MATCH(1,(GMW!$LQ$2:$LQ$60=E$3)*(GMW!$LP$2:$LP$60=E$4)*(GMW!$LR$2:$LR$60=E$1),0),$C114-1966)</f>
        <v>396357</v>
      </c>
      <c r="F114" s="4" cm="1">
        <f t="array" ref="F114">INDEX(GMW!$A$2:$LR$60,MATCH(1,(GMW!$LQ$2:$LQ$60=F$3)*(GMW!$LP$2:$LP$60=F$4)*(GMW!$LR$2:$LR$60=F$1),0),$C114-1966)</f>
        <v>396357</v>
      </c>
      <c r="G114" s="4" cm="1">
        <f t="array" ref="G114">INDEX(GMW!$A$2:$LR$60,MATCH(1,(GMW!$LQ$2:$LQ$60=G$3)*(GMW!$LP$2:$LP$60=G$4)*(GMW!$LR$2:$LR$60=G$1),0),$C114-1966)</f>
        <v>396357</v>
      </c>
      <c r="H114" s="4" cm="1">
        <f t="array" ref="H114">INDEX(GMW!$A$2:$LR$60,MATCH(1,(GMW!$LQ$2:$LQ$60=H$3)*(GMW!$LP$2:$LP$60=H$4)*(GMW!$LR$2:$LR$60=H$1),0),$C114-1966)</f>
        <v>396357</v>
      </c>
      <c r="I114" s="4" cm="1">
        <f t="array" ref="I114">INDEX(GMW!$A$2:$LR$60,MATCH(1,(GMW!$LQ$2:$LQ$60=I$3)*(GMW!$LP$2:$LP$60=I$4)*(GMW!$LR$2:$LR$60=I$1),0),$C114-1966)</f>
        <v>396357</v>
      </c>
      <c r="J114" s="4" cm="1">
        <f t="array" ref="J114">INDEX(GMW!$A$2:$LR$60,MATCH(1,(GMW!$LQ$2:$LQ$60=J$3)*(GMW!$LP$2:$LP$60=J$4)*(GMW!$LR$2:$LR$60=J$1),0),$C114-1966)</f>
        <v>396357</v>
      </c>
      <c r="K114" s="4" cm="1">
        <f t="array" ref="K114">INDEX(GMW!$A$2:$LR$60,MATCH(1,(GMW!$LQ$2:$LQ$60=K$3)*(GMW!$LP$2:$LP$60=K$4)*(GMW!$LR$2:$LR$60=K$1),0),$C114-1966)</f>
        <v>396357</v>
      </c>
      <c r="L114" s="4" cm="1">
        <f t="array" ref="L114">INDEX(GMW!$A$2:$LR$60,MATCH(1,(GMW!$LQ$2:$LQ$60=L$3)*(GMW!$LP$2:$LP$60=L$4)*(GMW!$LR$2:$LR$60=L$1),0),$C114-1966)</f>
        <v>396357</v>
      </c>
      <c r="M114" s="4" cm="1">
        <f t="array" ref="M114">INDEX(GMW!$A$2:$LR$60,MATCH(1,(GMW!$LQ$2:$LQ$60=M$3)*(GMW!$LP$2:$LP$60=M$4)*(GMW!$LR$2:$LR$60=M$1),0),$C114-1966)</f>
        <v>396357</v>
      </c>
      <c r="N114" s="4" cm="1">
        <f t="array" ref="N114">INDEX(GMW!$A$2:$LR$60,MATCH(1,(GMW!$LQ$2:$LQ$60=N$3)*(GMW!$LP$2:$LP$60=N$4)*(GMW!$LR$2:$LR$60=N$1),0),$C114-1966)</f>
        <v>396357</v>
      </c>
      <c r="O114" s="4" cm="1">
        <f t="array" ref="O114">INDEX(GMW!$A$2:$LR$60,MATCH(1,(GMW!$LQ$2:$LQ$60=O$3)*(GMW!$LP$2:$LP$60=O$4)*(GMW!$LR$2:$LR$60=O$1),0),$C114-1966)</f>
        <v>396357</v>
      </c>
      <c r="P114" s="4" cm="1">
        <f t="array" ref="P114">INDEX(GMW!$A$2:$LR$60,MATCH(1,(GMW!$LQ$2:$LQ$60=P$3)*(GMW!$LP$2:$LP$60=P$4)*(GMW!$LR$2:$LR$60=P$1),0),$C114-1966)</f>
        <v>396357</v>
      </c>
      <c r="Q114" s="4" cm="1">
        <f t="array" ref="Q114">INDEX(GMW!$A$2:$LR$60,MATCH(1,(GMW!$LQ$2:$LQ$60=Q$3)*(GMW!$LP$2:$LP$60=Q$4)*(GMW!$LR$2:$LR$60=Q$1),0),$C114-1966)</f>
        <v>396357</v>
      </c>
      <c r="R114" s="4" cm="1">
        <f t="array" ref="R114">INDEX(GMW!$A$2:$LR$60,MATCH(1,(GMW!$LQ$2:$LQ$60=R$3)*(GMW!$LP$2:$LP$60=R$4)*(GMW!$LR$2:$LR$60=R$1),0),$C114-1966)</f>
        <v>396357</v>
      </c>
      <c r="S114" s="4" cm="1">
        <f t="array" ref="S114">INDEX(GMW!$A$2:$LR$60,MATCH(1,(GMW!$LQ$2:$LQ$60=S$3)*(GMW!$LP$2:$LP$60=S$4)*(GMW!$LR$2:$LR$60=S$1),0),$C114-1966)</f>
        <v>396357</v>
      </c>
      <c r="T114" s="4" cm="1">
        <f t="array" ref="T114">INDEX(GMW!$A$2:$LR$60,MATCH(1,(GMW!$LQ$2:$LQ$60=T$3)*(GMW!$LP$2:$LP$60=T$4)*(GMW!$LR$2:$LR$60=T$1),0),$C114-1966)</f>
        <v>396357</v>
      </c>
      <c r="U114" s="4" cm="1">
        <f t="array" ref="U114">INDEX(GMW!$A$2:$LR$60,MATCH(1,(GMW!$LQ$2:$LQ$60=U$3)*(GMW!$LP$2:$LP$60=U$4)*(GMW!$LR$2:$LR$60=U$1),0),$C114-1966)</f>
        <v>303.68020000000001</v>
      </c>
      <c r="V114" s="4" cm="1">
        <f t="array" ref="V114">INDEX(GMW!$A$2:$LR$60,MATCH(1,(GMW!$LQ$2:$LQ$60=V$3)*(GMW!$LP$2:$LP$60=V$4)*(GMW!$LR$2:$LR$60=V$1),0),$C114-1966)</f>
        <v>72.433329999999998</v>
      </c>
      <c r="W114" s="4" cm="1">
        <f t="array" ref="W114">INDEX(GMW!$A$2:$LR$60,MATCH(1,(GMW!$LQ$2:$LQ$60=W$3)*(GMW!$LP$2:$LP$60=W$4)*(GMW!$LR$2:$LR$60=W$1),0),$C114-1966)</f>
        <v>62.166670000000003</v>
      </c>
      <c r="X114" s="4" cm="1">
        <f t="array" ref="X114">INDEX(GMW!$A$2:$LR$60,MATCH(1,(GMW!$LQ$2:$LQ$60=X$3)*(GMW!$LP$2:$LP$60=X$4)*(GMW!$LR$2:$LR$60=X$1),0),$C114-1966)</f>
        <v>66.466669999999993</v>
      </c>
      <c r="Y114" s="4" cm="1">
        <f t="array" ref="Y114">INDEX(GMW!$A$2:$LR$60,MATCH(1,(GMW!$LQ$2:$LQ$60=Y$3)*(GMW!$LP$2:$LP$60=Y$4)*(GMW!$LR$2:$LR$60=Y$1),0),$C114-1966)</f>
        <v>37.566670000000002</v>
      </c>
      <c r="Z114" s="4" cm="1">
        <f t="array" ref="Z114">INDEX(GMW!$A$2:$LR$60,MATCH(1,(GMW!$LQ$2:$LQ$60=Z$3)*(GMW!$LP$2:$LP$60=Z$4)*(GMW!$LR$2:$LR$60=Z$1),0),$C114-1966)</f>
        <v>77.5</v>
      </c>
      <c r="AA114" s="4" cm="1">
        <f t="array" ref="AA114">INDEX(GMW!$A$2:$LR$60,MATCH(1,(GMW!$LQ$2:$LQ$60=AA$3)*(GMW!$LP$2:$LP$60=AA$4)*(GMW!$LR$2:$LR$60=AA$1),0),$C114-1966)</f>
        <v>235387</v>
      </c>
      <c r="AB114" s="4" cm="1">
        <f t="array" ref="AB114">INDEX(GMW!$A$2:$LR$60,MATCH(1,(GMW!$LQ$2:$LQ$60=AB$3)*(GMW!$LP$2:$LP$60=AB$4)*(GMW!$LR$2:$LR$60=AB$1),0),$C114-1966)</f>
        <v>66375</v>
      </c>
      <c r="AC114" s="4" cm="1">
        <f t="array" ref="AC114">INDEX(GMW!$A$2:$LR$60,MATCH(1,(GMW!$LQ$2:$LQ$60=AC$3)*(GMW!$LP$2:$LP$60=AC$4)*(GMW!$LR$2:$LR$60=AC$1),0),$C114-1966)</f>
        <v>71724</v>
      </c>
      <c r="AD114" s="4" cm="1">
        <f t="array" ref="AD114">INDEX(GMW!$A$2:$LR$60,MATCH(1,(GMW!$LQ$2:$LQ$60=AD$3)*(GMW!$LP$2:$LP$60=AD$4)*(GMW!$LR$2:$LR$60=AD$1),0),$C114-1966)</f>
        <v>97292</v>
      </c>
      <c r="AE114" s="4" cm="1">
        <f t="array" ref="AE114">INDEX(GMW!$A$2:$LR$60,MATCH(1,(GMW!$LQ$2:$LQ$60=AE$3)*(GMW!$LP$2:$LP$60=AE$4)*(GMW!$LR$2:$LR$60=AE$1),0),$C114-1966)</f>
        <v>90606</v>
      </c>
      <c r="AF114" s="4" cm="1">
        <f t="array" ref="AF114">INDEX(GMW!$A$2:$LR$60,MATCH(1,(GMW!$LQ$2:$LQ$60=AF$3)*(GMW!$LP$2:$LP$60=AF$4)*(GMW!$LR$2:$LR$60=AF$1),0),$C114-1966)</f>
        <v>1E-3</v>
      </c>
      <c r="AG114" s="4" cm="1">
        <f t="array" ref="AG114">INDEX(GMW!$A$2:$LR$60,MATCH(1,(GMW!$LQ$2:$LQ$60=AG$3)*(GMW!$LP$2:$LP$60=AG$4)*(GMW!$LR$2:$LR$60=AG$1),0),$C114-1966)</f>
        <v>1E-3</v>
      </c>
    </row>
    <row r="115" spans="1:33" x14ac:dyDescent="0.25">
      <c r="A115" s="4">
        <v>2000</v>
      </c>
      <c r="B115" s="4">
        <f t="shared" si="3"/>
        <v>2000</v>
      </c>
      <c r="C115" s="4">
        <f t="shared" si="4"/>
        <v>2081</v>
      </c>
      <c r="D115" s="4" cm="1">
        <f t="array" ref="D115">INDEX(GMW!$A$2:$LR$60,MATCH(1,(GMW!$LQ$2:$LQ$60=D$3)*(GMW!$LP$2:$LP$60=D$4)*(GMW!$LR$2:$LR$60=D$1),0),$C115-1966)</f>
        <v>401242</v>
      </c>
      <c r="E115" s="4" cm="1">
        <f t="array" ref="E115">INDEX(GMW!$A$2:$LR$60,MATCH(1,(GMW!$LQ$2:$LQ$60=E$3)*(GMW!$LP$2:$LP$60=E$4)*(GMW!$LR$2:$LR$60=E$1),0),$C115-1966)</f>
        <v>401242</v>
      </c>
      <c r="F115" s="4" cm="1">
        <f t="array" ref="F115">INDEX(GMW!$A$2:$LR$60,MATCH(1,(GMW!$LQ$2:$LQ$60=F$3)*(GMW!$LP$2:$LP$60=F$4)*(GMW!$LR$2:$LR$60=F$1),0),$C115-1966)</f>
        <v>401242</v>
      </c>
      <c r="G115" s="4" cm="1">
        <f t="array" ref="G115">INDEX(GMW!$A$2:$LR$60,MATCH(1,(GMW!$LQ$2:$LQ$60=G$3)*(GMW!$LP$2:$LP$60=G$4)*(GMW!$LR$2:$LR$60=G$1),0),$C115-1966)</f>
        <v>401242</v>
      </c>
      <c r="H115" s="4" cm="1">
        <f t="array" ref="H115">INDEX(GMW!$A$2:$LR$60,MATCH(1,(GMW!$LQ$2:$LQ$60=H$3)*(GMW!$LP$2:$LP$60=H$4)*(GMW!$LR$2:$LR$60=H$1),0),$C115-1966)</f>
        <v>401242</v>
      </c>
      <c r="I115" s="4" cm="1">
        <f t="array" ref="I115">INDEX(GMW!$A$2:$LR$60,MATCH(1,(GMW!$LQ$2:$LQ$60=I$3)*(GMW!$LP$2:$LP$60=I$4)*(GMW!$LR$2:$LR$60=I$1),0),$C115-1966)</f>
        <v>401242</v>
      </c>
      <c r="J115" s="4" cm="1">
        <f t="array" ref="J115">INDEX(GMW!$A$2:$LR$60,MATCH(1,(GMW!$LQ$2:$LQ$60=J$3)*(GMW!$LP$2:$LP$60=J$4)*(GMW!$LR$2:$LR$60=J$1),0),$C115-1966)</f>
        <v>401242</v>
      </c>
      <c r="K115" s="4" cm="1">
        <f t="array" ref="K115">INDEX(GMW!$A$2:$LR$60,MATCH(1,(GMW!$LQ$2:$LQ$60=K$3)*(GMW!$LP$2:$LP$60=K$4)*(GMW!$LR$2:$LR$60=K$1),0),$C115-1966)</f>
        <v>401242</v>
      </c>
      <c r="L115" s="4" cm="1">
        <f t="array" ref="L115">INDEX(GMW!$A$2:$LR$60,MATCH(1,(GMW!$LQ$2:$LQ$60=L$3)*(GMW!$LP$2:$LP$60=L$4)*(GMW!$LR$2:$LR$60=L$1),0),$C115-1966)</f>
        <v>401242</v>
      </c>
      <c r="M115" s="4" cm="1">
        <f t="array" ref="M115">INDEX(GMW!$A$2:$LR$60,MATCH(1,(GMW!$LQ$2:$LQ$60=M$3)*(GMW!$LP$2:$LP$60=M$4)*(GMW!$LR$2:$LR$60=M$1),0),$C115-1966)</f>
        <v>401242</v>
      </c>
      <c r="N115" s="4" cm="1">
        <f t="array" ref="N115">INDEX(GMW!$A$2:$LR$60,MATCH(1,(GMW!$LQ$2:$LQ$60=N$3)*(GMW!$LP$2:$LP$60=N$4)*(GMW!$LR$2:$LR$60=N$1),0),$C115-1966)</f>
        <v>401242</v>
      </c>
      <c r="O115" s="4" cm="1">
        <f t="array" ref="O115">INDEX(GMW!$A$2:$LR$60,MATCH(1,(GMW!$LQ$2:$LQ$60=O$3)*(GMW!$LP$2:$LP$60=O$4)*(GMW!$LR$2:$LR$60=O$1),0),$C115-1966)</f>
        <v>401242</v>
      </c>
      <c r="P115" s="4" cm="1">
        <f t="array" ref="P115">INDEX(GMW!$A$2:$LR$60,MATCH(1,(GMW!$LQ$2:$LQ$60=P$3)*(GMW!$LP$2:$LP$60=P$4)*(GMW!$LR$2:$LR$60=P$1),0),$C115-1966)</f>
        <v>401242</v>
      </c>
      <c r="Q115" s="4" cm="1">
        <f t="array" ref="Q115">INDEX(GMW!$A$2:$LR$60,MATCH(1,(GMW!$LQ$2:$LQ$60=Q$3)*(GMW!$LP$2:$LP$60=Q$4)*(GMW!$LR$2:$LR$60=Q$1),0),$C115-1966)</f>
        <v>401242</v>
      </c>
      <c r="R115" s="4" cm="1">
        <f t="array" ref="R115">INDEX(GMW!$A$2:$LR$60,MATCH(1,(GMW!$LQ$2:$LQ$60=R$3)*(GMW!$LP$2:$LP$60=R$4)*(GMW!$LR$2:$LR$60=R$1),0),$C115-1966)</f>
        <v>401242</v>
      </c>
      <c r="S115" s="4" cm="1">
        <f t="array" ref="S115">INDEX(GMW!$A$2:$LR$60,MATCH(1,(GMW!$LQ$2:$LQ$60=S$3)*(GMW!$LP$2:$LP$60=S$4)*(GMW!$LR$2:$LR$60=S$1),0),$C115-1966)</f>
        <v>401242</v>
      </c>
      <c r="T115" s="4" cm="1">
        <f t="array" ref="T115">INDEX(GMW!$A$2:$LR$60,MATCH(1,(GMW!$LQ$2:$LQ$60=T$3)*(GMW!$LP$2:$LP$60=T$4)*(GMW!$LR$2:$LR$60=T$1),0),$C115-1966)</f>
        <v>401242</v>
      </c>
      <c r="U115" s="4" cm="1">
        <f t="array" ref="U115">INDEX(GMW!$A$2:$LR$60,MATCH(1,(GMW!$LQ$2:$LQ$60=U$3)*(GMW!$LP$2:$LP$60=U$4)*(GMW!$LR$2:$LR$60=U$1),0),$C115-1966)</f>
        <v>305.33330000000001</v>
      </c>
      <c r="V115" s="4" cm="1">
        <f t="array" ref="V115">INDEX(GMW!$A$2:$LR$60,MATCH(1,(GMW!$LQ$2:$LQ$60=V$3)*(GMW!$LP$2:$LP$60=V$4)*(GMW!$LR$2:$LR$60=V$1),0),$C115-1966)</f>
        <v>72.133330000000001</v>
      </c>
      <c r="W115" s="4" cm="1">
        <f t="array" ref="W115">INDEX(GMW!$A$2:$LR$60,MATCH(1,(GMW!$LQ$2:$LQ$60=W$3)*(GMW!$LP$2:$LP$60=W$4)*(GMW!$LR$2:$LR$60=W$1),0),$C115-1966)</f>
        <v>62.266669999999998</v>
      </c>
      <c r="X115" s="4" cm="1">
        <f t="array" ref="X115">INDEX(GMW!$A$2:$LR$60,MATCH(1,(GMW!$LQ$2:$LQ$60=X$3)*(GMW!$LP$2:$LP$60=X$4)*(GMW!$LR$2:$LR$60=X$1),0),$C115-1966)</f>
        <v>68.166659999999993</v>
      </c>
      <c r="Y115" s="4" cm="1">
        <f t="array" ref="Y115">INDEX(GMW!$A$2:$LR$60,MATCH(1,(GMW!$LQ$2:$LQ$60=Y$3)*(GMW!$LP$2:$LP$60=Y$4)*(GMW!$LR$2:$LR$60=Y$1),0),$C115-1966)</f>
        <v>37.733330000000002</v>
      </c>
      <c r="Z115" s="4" cm="1">
        <f t="array" ref="Z115">INDEX(GMW!$A$2:$LR$60,MATCH(1,(GMW!$LQ$2:$LQ$60=Z$3)*(GMW!$LP$2:$LP$60=Z$4)*(GMW!$LR$2:$LR$60=Z$1),0),$C115-1966)</f>
        <v>76.866669999999999</v>
      </c>
      <c r="AA115" s="4" cm="1">
        <f t="array" ref="AA115">INDEX(GMW!$A$2:$LR$60,MATCH(1,(GMW!$LQ$2:$LQ$60=AA$3)*(GMW!$LP$2:$LP$60=AA$4)*(GMW!$LR$2:$LR$60=AA$1),0),$C115-1966)</f>
        <v>238774</v>
      </c>
      <c r="AB115" s="4" cm="1">
        <f t="array" ref="AB115">INDEX(GMW!$A$2:$LR$60,MATCH(1,(GMW!$LQ$2:$LQ$60=AB$3)*(GMW!$LP$2:$LP$60=AB$4)*(GMW!$LR$2:$LR$60=AB$1),0),$C115-1966)</f>
        <v>69114</v>
      </c>
      <c r="AC115" s="4" cm="1">
        <f t="array" ref="AC115">INDEX(GMW!$A$2:$LR$60,MATCH(1,(GMW!$LQ$2:$LQ$60=AC$3)*(GMW!$LP$2:$LP$60=AC$4)*(GMW!$LR$2:$LR$60=AC$1),0),$C115-1966)</f>
        <v>71135</v>
      </c>
      <c r="AD115" s="4" cm="1">
        <f t="array" ref="AD115">INDEX(GMW!$A$2:$LR$60,MATCH(1,(GMW!$LQ$2:$LQ$60=AD$3)*(GMW!$LP$2:$LP$60=AD$4)*(GMW!$LR$2:$LR$60=AD$1),0),$C115-1966)</f>
        <v>98919</v>
      </c>
      <c r="AE115" s="4" cm="1">
        <f t="array" ref="AE115">INDEX(GMW!$A$2:$LR$60,MATCH(1,(GMW!$LQ$2:$LQ$60=AE$3)*(GMW!$LP$2:$LP$60=AE$4)*(GMW!$LR$2:$LR$60=AE$1),0),$C115-1966)</f>
        <v>91822</v>
      </c>
      <c r="AF115" s="4" cm="1">
        <f t="array" ref="AF115">INDEX(GMW!$A$2:$LR$60,MATCH(1,(GMW!$LQ$2:$LQ$60=AF$3)*(GMW!$LP$2:$LP$60=AF$4)*(GMW!$LR$2:$LR$60=AF$1),0),$C115-1966)</f>
        <v>1E-3</v>
      </c>
      <c r="AG115" s="4" cm="1">
        <f t="array" ref="AG115">INDEX(GMW!$A$2:$LR$60,MATCH(1,(GMW!$LQ$2:$LQ$60=AG$3)*(GMW!$LP$2:$LP$60=AG$4)*(GMW!$LR$2:$LR$60=AG$1),0),$C115-1966)</f>
        <v>1E-3</v>
      </c>
    </row>
    <row r="116" spans="1:33" x14ac:dyDescent="0.25">
      <c r="B116" s="4">
        <f t="shared" si="3"/>
        <v>2000</v>
      </c>
      <c r="C116" s="4">
        <f t="shared" si="4"/>
        <v>2082</v>
      </c>
      <c r="D116" s="4" cm="1">
        <f t="array" ref="D116">INDEX(GMW!$A$2:$LR$60,MATCH(1,(GMW!$LQ$2:$LQ$60=D$3)*(GMW!$LP$2:$LP$60=D$4)*(GMW!$LR$2:$LR$60=D$1),0),$C116-1966)</f>
        <v>404196</v>
      </c>
      <c r="E116" s="4" cm="1">
        <f t="array" ref="E116">INDEX(GMW!$A$2:$LR$60,MATCH(1,(GMW!$LQ$2:$LQ$60=E$3)*(GMW!$LP$2:$LP$60=E$4)*(GMW!$LR$2:$LR$60=E$1),0),$C116-1966)</f>
        <v>404196</v>
      </c>
      <c r="F116" s="4" cm="1">
        <f t="array" ref="F116">INDEX(GMW!$A$2:$LR$60,MATCH(1,(GMW!$LQ$2:$LQ$60=F$3)*(GMW!$LP$2:$LP$60=F$4)*(GMW!$LR$2:$LR$60=F$1),0),$C116-1966)</f>
        <v>404196</v>
      </c>
      <c r="G116" s="4" cm="1">
        <f t="array" ref="G116">INDEX(GMW!$A$2:$LR$60,MATCH(1,(GMW!$LQ$2:$LQ$60=G$3)*(GMW!$LP$2:$LP$60=G$4)*(GMW!$LR$2:$LR$60=G$1),0),$C116-1966)</f>
        <v>404196</v>
      </c>
      <c r="H116" s="4" cm="1">
        <f t="array" ref="H116">INDEX(GMW!$A$2:$LR$60,MATCH(1,(GMW!$LQ$2:$LQ$60=H$3)*(GMW!$LP$2:$LP$60=H$4)*(GMW!$LR$2:$LR$60=H$1),0),$C116-1966)</f>
        <v>404196</v>
      </c>
      <c r="I116" s="4" cm="1">
        <f t="array" ref="I116">INDEX(GMW!$A$2:$LR$60,MATCH(1,(GMW!$LQ$2:$LQ$60=I$3)*(GMW!$LP$2:$LP$60=I$4)*(GMW!$LR$2:$LR$60=I$1),0),$C116-1966)</f>
        <v>404196</v>
      </c>
      <c r="J116" s="4" cm="1">
        <f t="array" ref="J116">INDEX(GMW!$A$2:$LR$60,MATCH(1,(GMW!$LQ$2:$LQ$60=J$3)*(GMW!$LP$2:$LP$60=J$4)*(GMW!$LR$2:$LR$60=J$1),0),$C116-1966)</f>
        <v>404196</v>
      </c>
      <c r="K116" s="4" cm="1">
        <f t="array" ref="K116">INDEX(GMW!$A$2:$LR$60,MATCH(1,(GMW!$LQ$2:$LQ$60=K$3)*(GMW!$LP$2:$LP$60=K$4)*(GMW!$LR$2:$LR$60=K$1),0),$C116-1966)</f>
        <v>404196</v>
      </c>
      <c r="L116" s="4" cm="1">
        <f t="array" ref="L116">INDEX(GMW!$A$2:$LR$60,MATCH(1,(GMW!$LQ$2:$LQ$60=L$3)*(GMW!$LP$2:$LP$60=L$4)*(GMW!$LR$2:$LR$60=L$1),0),$C116-1966)</f>
        <v>404196</v>
      </c>
      <c r="M116" s="4" cm="1">
        <f t="array" ref="M116">INDEX(GMW!$A$2:$LR$60,MATCH(1,(GMW!$LQ$2:$LQ$60=M$3)*(GMW!$LP$2:$LP$60=M$4)*(GMW!$LR$2:$LR$60=M$1),0),$C116-1966)</f>
        <v>404196</v>
      </c>
      <c r="N116" s="4" cm="1">
        <f t="array" ref="N116">INDEX(GMW!$A$2:$LR$60,MATCH(1,(GMW!$LQ$2:$LQ$60=N$3)*(GMW!$LP$2:$LP$60=N$4)*(GMW!$LR$2:$LR$60=N$1),0),$C116-1966)</f>
        <v>404196</v>
      </c>
      <c r="O116" s="4" cm="1">
        <f t="array" ref="O116">INDEX(GMW!$A$2:$LR$60,MATCH(1,(GMW!$LQ$2:$LQ$60=O$3)*(GMW!$LP$2:$LP$60=O$4)*(GMW!$LR$2:$LR$60=O$1),0),$C116-1966)</f>
        <v>404196</v>
      </c>
      <c r="P116" s="4" cm="1">
        <f t="array" ref="P116">INDEX(GMW!$A$2:$LR$60,MATCH(1,(GMW!$LQ$2:$LQ$60=P$3)*(GMW!$LP$2:$LP$60=P$4)*(GMW!$LR$2:$LR$60=P$1),0),$C116-1966)</f>
        <v>404196</v>
      </c>
      <c r="Q116" s="4" cm="1">
        <f t="array" ref="Q116">INDEX(GMW!$A$2:$LR$60,MATCH(1,(GMW!$LQ$2:$LQ$60=Q$3)*(GMW!$LP$2:$LP$60=Q$4)*(GMW!$LR$2:$LR$60=Q$1),0),$C116-1966)</f>
        <v>404196</v>
      </c>
      <c r="R116" s="4" cm="1">
        <f t="array" ref="R116">INDEX(GMW!$A$2:$LR$60,MATCH(1,(GMW!$LQ$2:$LQ$60=R$3)*(GMW!$LP$2:$LP$60=R$4)*(GMW!$LR$2:$LR$60=R$1),0),$C116-1966)</f>
        <v>404196</v>
      </c>
      <c r="S116" s="4" cm="1">
        <f t="array" ref="S116">INDEX(GMW!$A$2:$LR$60,MATCH(1,(GMW!$LQ$2:$LQ$60=S$3)*(GMW!$LP$2:$LP$60=S$4)*(GMW!$LR$2:$LR$60=S$1),0),$C116-1966)</f>
        <v>404196</v>
      </c>
      <c r="T116" s="4" cm="1">
        <f t="array" ref="T116">INDEX(GMW!$A$2:$LR$60,MATCH(1,(GMW!$LQ$2:$LQ$60=T$3)*(GMW!$LP$2:$LP$60=T$4)*(GMW!$LR$2:$LR$60=T$1),0),$C116-1966)</f>
        <v>404196</v>
      </c>
      <c r="U116" s="4" cm="1">
        <f t="array" ref="U116">INDEX(GMW!$A$2:$LR$60,MATCH(1,(GMW!$LQ$2:$LQ$60=U$3)*(GMW!$LP$2:$LP$60=U$4)*(GMW!$LR$2:$LR$60=U$1),0),$C116-1966)</f>
        <v>310.33330000000001</v>
      </c>
      <c r="V116" s="4" cm="1">
        <f t="array" ref="V116">INDEX(GMW!$A$2:$LR$60,MATCH(1,(GMW!$LQ$2:$LQ$60=V$3)*(GMW!$LP$2:$LP$60=V$4)*(GMW!$LR$2:$LR$60=V$1),0),$C116-1966)</f>
        <v>72.766670000000005</v>
      </c>
      <c r="W116" s="4" cm="1">
        <f t="array" ref="W116">INDEX(GMW!$A$2:$LR$60,MATCH(1,(GMW!$LQ$2:$LQ$60=W$3)*(GMW!$LP$2:$LP$60=W$4)*(GMW!$LR$2:$LR$60=W$1),0),$C116-1966)</f>
        <v>62.966670000000001</v>
      </c>
      <c r="X116" s="4" cm="1">
        <f t="array" ref="X116">INDEX(GMW!$A$2:$LR$60,MATCH(1,(GMW!$LQ$2:$LQ$60=X$3)*(GMW!$LP$2:$LP$60=X$4)*(GMW!$LR$2:$LR$60=X$1),0),$C116-1966)</f>
        <v>72.2</v>
      </c>
      <c r="Y116" s="4" cm="1">
        <f t="array" ref="Y116">INDEX(GMW!$A$2:$LR$60,MATCH(1,(GMW!$LQ$2:$LQ$60=Y$3)*(GMW!$LP$2:$LP$60=Y$4)*(GMW!$LR$2:$LR$60=Y$1),0),$C116-1966)</f>
        <v>37.033329999999999</v>
      </c>
      <c r="Z116" s="4" cm="1">
        <f t="array" ref="Z116">INDEX(GMW!$A$2:$LR$60,MATCH(1,(GMW!$LQ$2:$LQ$60=Z$3)*(GMW!$LP$2:$LP$60=Z$4)*(GMW!$LR$2:$LR$60=Z$1),0),$C116-1966)</f>
        <v>77.400000000000006</v>
      </c>
      <c r="AA116" s="4" cm="1">
        <f t="array" ref="AA116">INDEX(GMW!$A$2:$LR$60,MATCH(1,(GMW!$LQ$2:$LQ$60=AA$3)*(GMW!$LP$2:$LP$60=AA$4)*(GMW!$LR$2:$LR$60=AA$1),0),$C116-1966)</f>
        <v>241351</v>
      </c>
      <c r="AB116" s="4" cm="1">
        <f t="array" ref="AB116">INDEX(GMW!$A$2:$LR$60,MATCH(1,(GMW!$LQ$2:$LQ$60=AB$3)*(GMW!$LP$2:$LP$60=AB$4)*(GMW!$LR$2:$LR$60=AB$1),0),$C116-1966)</f>
        <v>73074</v>
      </c>
      <c r="AC116" s="4" cm="1">
        <f t="array" ref="AC116">INDEX(GMW!$A$2:$LR$60,MATCH(1,(GMW!$LQ$2:$LQ$60=AC$3)*(GMW!$LP$2:$LP$60=AC$4)*(GMW!$LR$2:$LR$60=AC$1),0),$C116-1966)</f>
        <v>73461</v>
      </c>
      <c r="AD116" s="4" cm="1">
        <f t="array" ref="AD116">INDEX(GMW!$A$2:$LR$60,MATCH(1,(GMW!$LQ$2:$LQ$60=AD$3)*(GMW!$LP$2:$LP$60=AD$4)*(GMW!$LR$2:$LR$60=AD$1),0),$C116-1966)</f>
        <v>102268</v>
      </c>
      <c r="AE116" s="4" cm="1">
        <f t="array" ref="AE116">INDEX(GMW!$A$2:$LR$60,MATCH(1,(GMW!$LQ$2:$LQ$60=AE$3)*(GMW!$LP$2:$LP$60=AE$4)*(GMW!$LR$2:$LR$60=AE$1),0),$C116-1966)</f>
        <v>94726</v>
      </c>
      <c r="AF116" s="4" cm="1">
        <f t="array" ref="AF116">INDEX(GMW!$A$2:$LR$60,MATCH(1,(GMW!$LQ$2:$LQ$60=AF$3)*(GMW!$LP$2:$LP$60=AF$4)*(GMW!$LR$2:$LR$60=AF$1),0),$C116-1966)</f>
        <v>1E-3</v>
      </c>
      <c r="AG116" s="4" cm="1">
        <f t="array" ref="AG116">INDEX(GMW!$A$2:$LR$60,MATCH(1,(GMW!$LQ$2:$LQ$60=AG$3)*(GMW!$LP$2:$LP$60=AG$4)*(GMW!$LR$2:$LR$60=AG$1),0),$C116-1966)</f>
        <v>1E-3</v>
      </c>
    </row>
    <row r="117" spans="1:33" x14ac:dyDescent="0.25">
      <c r="B117" s="4">
        <f t="shared" si="3"/>
        <v>2000</v>
      </c>
      <c r="C117" s="4">
        <f t="shared" si="4"/>
        <v>2083</v>
      </c>
      <c r="D117" s="4" cm="1">
        <f t="array" ref="D117">INDEX(GMW!$A$2:$LR$60,MATCH(1,(GMW!$LQ$2:$LQ$60=D$3)*(GMW!$LP$2:$LP$60=D$4)*(GMW!$LR$2:$LR$60=D$1),0),$C117-1966)</f>
        <v>406795</v>
      </c>
      <c r="E117" s="4" cm="1">
        <f t="array" ref="E117">INDEX(GMW!$A$2:$LR$60,MATCH(1,(GMW!$LQ$2:$LQ$60=E$3)*(GMW!$LP$2:$LP$60=E$4)*(GMW!$LR$2:$LR$60=E$1),0),$C117-1966)</f>
        <v>406795</v>
      </c>
      <c r="F117" s="4" cm="1">
        <f t="array" ref="F117">INDEX(GMW!$A$2:$LR$60,MATCH(1,(GMW!$LQ$2:$LQ$60=F$3)*(GMW!$LP$2:$LP$60=F$4)*(GMW!$LR$2:$LR$60=F$1),0),$C117-1966)</f>
        <v>406795</v>
      </c>
      <c r="G117" s="4" cm="1">
        <f t="array" ref="G117">INDEX(GMW!$A$2:$LR$60,MATCH(1,(GMW!$LQ$2:$LQ$60=G$3)*(GMW!$LP$2:$LP$60=G$4)*(GMW!$LR$2:$LR$60=G$1),0),$C117-1966)</f>
        <v>406795</v>
      </c>
      <c r="H117" s="4" cm="1">
        <f t="array" ref="H117">INDEX(GMW!$A$2:$LR$60,MATCH(1,(GMW!$LQ$2:$LQ$60=H$3)*(GMW!$LP$2:$LP$60=H$4)*(GMW!$LR$2:$LR$60=H$1),0),$C117-1966)</f>
        <v>406795</v>
      </c>
      <c r="I117" s="4" cm="1">
        <f t="array" ref="I117">INDEX(GMW!$A$2:$LR$60,MATCH(1,(GMW!$LQ$2:$LQ$60=I$3)*(GMW!$LP$2:$LP$60=I$4)*(GMW!$LR$2:$LR$60=I$1),0),$C117-1966)</f>
        <v>406795</v>
      </c>
      <c r="J117" s="4" cm="1">
        <f t="array" ref="J117">INDEX(GMW!$A$2:$LR$60,MATCH(1,(GMW!$LQ$2:$LQ$60=J$3)*(GMW!$LP$2:$LP$60=J$4)*(GMW!$LR$2:$LR$60=J$1),0),$C117-1966)</f>
        <v>406795</v>
      </c>
      <c r="K117" s="4" cm="1">
        <f t="array" ref="K117">INDEX(GMW!$A$2:$LR$60,MATCH(1,(GMW!$LQ$2:$LQ$60=K$3)*(GMW!$LP$2:$LP$60=K$4)*(GMW!$LR$2:$LR$60=K$1),0),$C117-1966)</f>
        <v>406795</v>
      </c>
      <c r="L117" s="4" cm="1">
        <f t="array" ref="L117">INDEX(GMW!$A$2:$LR$60,MATCH(1,(GMW!$LQ$2:$LQ$60=L$3)*(GMW!$LP$2:$LP$60=L$4)*(GMW!$LR$2:$LR$60=L$1),0),$C117-1966)</f>
        <v>406795</v>
      </c>
      <c r="M117" s="4" cm="1">
        <f t="array" ref="M117">INDEX(GMW!$A$2:$LR$60,MATCH(1,(GMW!$LQ$2:$LQ$60=M$3)*(GMW!$LP$2:$LP$60=M$4)*(GMW!$LR$2:$LR$60=M$1),0),$C117-1966)</f>
        <v>406795</v>
      </c>
      <c r="N117" s="4" cm="1">
        <f t="array" ref="N117">INDEX(GMW!$A$2:$LR$60,MATCH(1,(GMW!$LQ$2:$LQ$60=N$3)*(GMW!$LP$2:$LP$60=N$4)*(GMW!$LR$2:$LR$60=N$1),0),$C117-1966)</f>
        <v>406795</v>
      </c>
      <c r="O117" s="4" cm="1">
        <f t="array" ref="O117">INDEX(GMW!$A$2:$LR$60,MATCH(1,(GMW!$LQ$2:$LQ$60=O$3)*(GMW!$LP$2:$LP$60=O$4)*(GMW!$LR$2:$LR$60=O$1),0),$C117-1966)</f>
        <v>406795</v>
      </c>
      <c r="P117" s="4" cm="1">
        <f t="array" ref="P117">INDEX(GMW!$A$2:$LR$60,MATCH(1,(GMW!$LQ$2:$LQ$60=P$3)*(GMW!$LP$2:$LP$60=P$4)*(GMW!$LR$2:$LR$60=P$1),0),$C117-1966)</f>
        <v>406795</v>
      </c>
      <c r="Q117" s="4" cm="1">
        <f t="array" ref="Q117">INDEX(GMW!$A$2:$LR$60,MATCH(1,(GMW!$LQ$2:$LQ$60=Q$3)*(GMW!$LP$2:$LP$60=Q$4)*(GMW!$LR$2:$LR$60=Q$1),0),$C117-1966)</f>
        <v>406795</v>
      </c>
      <c r="R117" s="4" cm="1">
        <f t="array" ref="R117">INDEX(GMW!$A$2:$LR$60,MATCH(1,(GMW!$LQ$2:$LQ$60=R$3)*(GMW!$LP$2:$LP$60=R$4)*(GMW!$LR$2:$LR$60=R$1),0),$C117-1966)</f>
        <v>406795</v>
      </c>
      <c r="S117" s="4" cm="1">
        <f t="array" ref="S117">INDEX(GMW!$A$2:$LR$60,MATCH(1,(GMW!$LQ$2:$LQ$60=S$3)*(GMW!$LP$2:$LP$60=S$4)*(GMW!$LR$2:$LR$60=S$1),0),$C117-1966)</f>
        <v>406795</v>
      </c>
      <c r="T117" s="4" cm="1">
        <f t="array" ref="T117">INDEX(GMW!$A$2:$LR$60,MATCH(1,(GMW!$LQ$2:$LQ$60=T$3)*(GMW!$LP$2:$LP$60=T$4)*(GMW!$LR$2:$LR$60=T$1),0),$C117-1966)</f>
        <v>406795</v>
      </c>
      <c r="U117" s="4" cm="1">
        <f t="array" ref="U117">INDEX(GMW!$A$2:$LR$60,MATCH(1,(GMW!$LQ$2:$LQ$60=U$3)*(GMW!$LP$2:$LP$60=U$4)*(GMW!$LR$2:$LR$60=U$1),0),$C117-1966)</f>
        <v>315</v>
      </c>
      <c r="V117" s="4" cm="1">
        <f t="array" ref="V117">INDEX(GMW!$A$2:$LR$60,MATCH(1,(GMW!$LQ$2:$LQ$60=V$3)*(GMW!$LP$2:$LP$60=V$4)*(GMW!$LR$2:$LR$60=V$1),0),$C117-1966)</f>
        <v>72.7</v>
      </c>
      <c r="W117" s="4" cm="1">
        <f t="array" ref="W117">INDEX(GMW!$A$2:$LR$60,MATCH(1,(GMW!$LQ$2:$LQ$60=W$3)*(GMW!$LP$2:$LP$60=W$4)*(GMW!$LR$2:$LR$60=W$1),0),$C117-1966)</f>
        <v>63.433329999999998</v>
      </c>
      <c r="X117" s="4" cm="1">
        <f t="array" ref="X117">INDEX(GMW!$A$2:$LR$60,MATCH(1,(GMW!$LQ$2:$LQ$60=X$3)*(GMW!$LP$2:$LP$60=X$4)*(GMW!$LR$2:$LR$60=X$1),0),$C117-1966)</f>
        <v>73.333340000000007</v>
      </c>
      <c r="Y117" s="4" cm="1">
        <f t="array" ref="Y117">INDEX(GMW!$A$2:$LR$60,MATCH(1,(GMW!$LQ$2:$LQ$60=Y$3)*(GMW!$LP$2:$LP$60=Y$4)*(GMW!$LR$2:$LR$60=Y$1),0),$C117-1966)</f>
        <v>37.133339999999997</v>
      </c>
      <c r="Z117" s="4" cm="1">
        <f t="array" ref="Z117">INDEX(GMW!$A$2:$LR$60,MATCH(1,(GMW!$LQ$2:$LQ$60=Z$3)*(GMW!$LP$2:$LP$60=Z$4)*(GMW!$LR$2:$LR$60=Z$1),0),$C117-1966)</f>
        <v>77.099999999999994</v>
      </c>
      <c r="AA117" s="4" cm="1">
        <f t="array" ref="AA117">INDEX(GMW!$A$2:$LR$60,MATCH(1,(GMW!$LQ$2:$LQ$60=AA$3)*(GMW!$LP$2:$LP$60=AA$4)*(GMW!$LR$2:$LR$60=AA$1),0),$C117-1966)</f>
        <v>244248</v>
      </c>
      <c r="AB117" s="4" cm="1">
        <f t="array" ref="AB117">INDEX(GMW!$A$2:$LR$60,MATCH(1,(GMW!$LQ$2:$LQ$60=AB$3)*(GMW!$LP$2:$LP$60=AB$4)*(GMW!$LR$2:$LR$60=AB$1),0),$C117-1966)</f>
        <v>68011</v>
      </c>
      <c r="AC117" s="4" cm="1">
        <f t="array" ref="AC117">INDEX(GMW!$A$2:$LR$60,MATCH(1,(GMW!$LQ$2:$LQ$60=AC$3)*(GMW!$LP$2:$LP$60=AC$4)*(GMW!$LR$2:$LR$60=AC$1),0),$C117-1966)</f>
        <v>74048</v>
      </c>
      <c r="AD117" s="4" cm="1">
        <f t="array" ref="AD117">INDEX(GMW!$A$2:$LR$60,MATCH(1,(GMW!$LQ$2:$LQ$60=AD$3)*(GMW!$LP$2:$LP$60=AD$4)*(GMW!$LR$2:$LR$60=AD$1),0),$C117-1966)</f>
        <v>102853</v>
      </c>
      <c r="AE117" s="4" cm="1">
        <f t="array" ref="AE117">INDEX(GMW!$A$2:$LR$60,MATCH(1,(GMW!$LQ$2:$LQ$60=AE$3)*(GMW!$LP$2:$LP$60=AE$4)*(GMW!$LR$2:$LR$60=AE$1),0),$C117-1966)</f>
        <v>96610</v>
      </c>
      <c r="AF117" s="4" cm="1">
        <f t="array" ref="AF117">INDEX(GMW!$A$2:$LR$60,MATCH(1,(GMW!$LQ$2:$LQ$60=AF$3)*(GMW!$LP$2:$LP$60=AF$4)*(GMW!$LR$2:$LR$60=AF$1),0),$C117-1966)</f>
        <v>1E-3</v>
      </c>
      <c r="AG117" s="4" cm="1">
        <f t="array" ref="AG117">INDEX(GMW!$A$2:$LR$60,MATCH(1,(GMW!$LQ$2:$LQ$60=AG$3)*(GMW!$LP$2:$LP$60=AG$4)*(GMW!$LR$2:$LR$60=AG$1),0),$C117-1966)</f>
        <v>1E-3</v>
      </c>
    </row>
    <row r="118" spans="1:33" x14ac:dyDescent="0.25">
      <c r="B118" s="4">
        <f t="shared" si="3"/>
        <v>2000</v>
      </c>
      <c r="C118" s="4">
        <f t="shared" si="4"/>
        <v>2084</v>
      </c>
      <c r="D118" s="4" cm="1">
        <f t="array" ref="D118">INDEX(GMW!$A$2:$LR$60,MATCH(1,(GMW!$LQ$2:$LQ$60=D$3)*(GMW!$LP$2:$LP$60=D$4)*(GMW!$LR$2:$LR$60=D$1),0),$C118-1966)</f>
        <v>409411</v>
      </c>
      <c r="E118" s="4" cm="1">
        <f t="array" ref="E118">INDEX(GMW!$A$2:$LR$60,MATCH(1,(GMW!$LQ$2:$LQ$60=E$3)*(GMW!$LP$2:$LP$60=E$4)*(GMW!$LR$2:$LR$60=E$1),0),$C118-1966)</f>
        <v>409411</v>
      </c>
      <c r="F118" s="4" cm="1">
        <f t="array" ref="F118">INDEX(GMW!$A$2:$LR$60,MATCH(1,(GMW!$LQ$2:$LQ$60=F$3)*(GMW!$LP$2:$LP$60=F$4)*(GMW!$LR$2:$LR$60=F$1),0),$C118-1966)</f>
        <v>409411</v>
      </c>
      <c r="G118" s="4" cm="1">
        <f t="array" ref="G118">INDEX(GMW!$A$2:$LR$60,MATCH(1,(GMW!$LQ$2:$LQ$60=G$3)*(GMW!$LP$2:$LP$60=G$4)*(GMW!$LR$2:$LR$60=G$1),0),$C118-1966)</f>
        <v>409411</v>
      </c>
      <c r="H118" s="4" cm="1">
        <f t="array" ref="H118">INDEX(GMW!$A$2:$LR$60,MATCH(1,(GMW!$LQ$2:$LQ$60=H$3)*(GMW!$LP$2:$LP$60=H$4)*(GMW!$LR$2:$LR$60=H$1),0),$C118-1966)</f>
        <v>409411</v>
      </c>
      <c r="I118" s="4" cm="1">
        <f t="array" ref="I118">INDEX(GMW!$A$2:$LR$60,MATCH(1,(GMW!$LQ$2:$LQ$60=I$3)*(GMW!$LP$2:$LP$60=I$4)*(GMW!$LR$2:$LR$60=I$1),0),$C118-1966)</f>
        <v>409411</v>
      </c>
      <c r="J118" s="4" cm="1">
        <f t="array" ref="J118">INDEX(GMW!$A$2:$LR$60,MATCH(1,(GMW!$LQ$2:$LQ$60=J$3)*(GMW!$LP$2:$LP$60=J$4)*(GMW!$LR$2:$LR$60=J$1),0),$C118-1966)</f>
        <v>409411</v>
      </c>
      <c r="K118" s="4" cm="1">
        <f t="array" ref="K118">INDEX(GMW!$A$2:$LR$60,MATCH(1,(GMW!$LQ$2:$LQ$60=K$3)*(GMW!$LP$2:$LP$60=K$4)*(GMW!$LR$2:$LR$60=K$1),0),$C118-1966)</f>
        <v>409411</v>
      </c>
      <c r="L118" s="4" cm="1">
        <f t="array" ref="L118">INDEX(GMW!$A$2:$LR$60,MATCH(1,(GMW!$LQ$2:$LQ$60=L$3)*(GMW!$LP$2:$LP$60=L$4)*(GMW!$LR$2:$LR$60=L$1),0),$C118-1966)</f>
        <v>409411</v>
      </c>
      <c r="M118" s="4" cm="1">
        <f t="array" ref="M118">INDEX(GMW!$A$2:$LR$60,MATCH(1,(GMW!$LQ$2:$LQ$60=M$3)*(GMW!$LP$2:$LP$60=M$4)*(GMW!$LR$2:$LR$60=M$1),0),$C118-1966)</f>
        <v>409411</v>
      </c>
      <c r="N118" s="4" cm="1">
        <f t="array" ref="N118">INDEX(GMW!$A$2:$LR$60,MATCH(1,(GMW!$LQ$2:$LQ$60=N$3)*(GMW!$LP$2:$LP$60=N$4)*(GMW!$LR$2:$LR$60=N$1),0),$C118-1966)</f>
        <v>409411</v>
      </c>
      <c r="O118" s="4" cm="1">
        <f t="array" ref="O118">INDEX(GMW!$A$2:$LR$60,MATCH(1,(GMW!$LQ$2:$LQ$60=O$3)*(GMW!$LP$2:$LP$60=O$4)*(GMW!$LR$2:$LR$60=O$1),0),$C118-1966)</f>
        <v>409411</v>
      </c>
      <c r="P118" s="4" cm="1">
        <f t="array" ref="P118">INDEX(GMW!$A$2:$LR$60,MATCH(1,(GMW!$LQ$2:$LQ$60=P$3)*(GMW!$LP$2:$LP$60=P$4)*(GMW!$LR$2:$LR$60=P$1),0),$C118-1966)</f>
        <v>409411</v>
      </c>
      <c r="Q118" s="4" cm="1">
        <f t="array" ref="Q118">INDEX(GMW!$A$2:$LR$60,MATCH(1,(GMW!$LQ$2:$LQ$60=Q$3)*(GMW!$LP$2:$LP$60=Q$4)*(GMW!$LR$2:$LR$60=Q$1),0),$C118-1966)</f>
        <v>409411</v>
      </c>
      <c r="R118" s="4" cm="1">
        <f t="array" ref="R118">INDEX(GMW!$A$2:$LR$60,MATCH(1,(GMW!$LQ$2:$LQ$60=R$3)*(GMW!$LP$2:$LP$60=R$4)*(GMW!$LR$2:$LR$60=R$1),0),$C118-1966)</f>
        <v>409411</v>
      </c>
      <c r="S118" s="4" cm="1">
        <f t="array" ref="S118">INDEX(GMW!$A$2:$LR$60,MATCH(1,(GMW!$LQ$2:$LQ$60=S$3)*(GMW!$LP$2:$LP$60=S$4)*(GMW!$LR$2:$LR$60=S$1),0),$C118-1966)</f>
        <v>409411</v>
      </c>
      <c r="T118" s="4" cm="1">
        <f t="array" ref="T118">INDEX(GMW!$A$2:$LR$60,MATCH(1,(GMW!$LQ$2:$LQ$60=T$3)*(GMW!$LP$2:$LP$60=T$4)*(GMW!$LR$2:$LR$60=T$1),0),$C118-1966)</f>
        <v>409411</v>
      </c>
      <c r="U118" s="4" cm="1">
        <f t="array" ref="U118">INDEX(GMW!$A$2:$LR$60,MATCH(1,(GMW!$LQ$2:$LQ$60=U$3)*(GMW!$LP$2:$LP$60=U$4)*(GMW!$LR$2:$LR$60=U$1),0),$C118-1966)</f>
        <v>320.33330000000001</v>
      </c>
      <c r="V118" s="4" cm="1">
        <f t="array" ref="V118">INDEX(GMW!$A$2:$LR$60,MATCH(1,(GMW!$LQ$2:$LQ$60=V$3)*(GMW!$LP$2:$LP$60=V$4)*(GMW!$LR$2:$LR$60=V$1),0),$C118-1966)</f>
        <v>73.166659999999993</v>
      </c>
      <c r="W118" s="4" cm="1">
        <f t="array" ref="W118">INDEX(GMW!$A$2:$LR$60,MATCH(1,(GMW!$LQ$2:$LQ$60=W$3)*(GMW!$LP$2:$LP$60=W$4)*(GMW!$LR$2:$LR$60=W$1),0),$C118-1966)</f>
        <v>63.633339999999997</v>
      </c>
      <c r="X118" s="4" cm="1">
        <f t="array" ref="X118">INDEX(GMW!$A$2:$LR$60,MATCH(1,(GMW!$LQ$2:$LQ$60=X$3)*(GMW!$LP$2:$LP$60=X$4)*(GMW!$LR$2:$LR$60=X$1),0),$C118-1966)</f>
        <v>72.2</v>
      </c>
      <c r="Y118" s="4" cm="1">
        <f t="array" ref="Y118">INDEX(GMW!$A$2:$LR$60,MATCH(1,(GMW!$LQ$2:$LQ$60=Y$3)*(GMW!$LP$2:$LP$60=Y$4)*(GMW!$LR$2:$LR$60=Y$1),0),$C118-1966)</f>
        <v>37.666670000000003</v>
      </c>
      <c r="Z118" s="4" cm="1">
        <f t="array" ref="Z118">INDEX(GMW!$A$2:$LR$60,MATCH(1,(GMW!$LQ$2:$LQ$60=Z$3)*(GMW!$LP$2:$LP$60=Z$4)*(GMW!$LR$2:$LR$60=Z$1),0),$C118-1966)</f>
        <v>77.7</v>
      </c>
      <c r="AA118" s="4" cm="1">
        <f t="array" ref="AA118">INDEX(GMW!$A$2:$LR$60,MATCH(1,(GMW!$LQ$2:$LQ$60=AA$3)*(GMW!$LP$2:$LP$60=AA$4)*(GMW!$LR$2:$LR$60=AA$1),0),$C118-1966)</f>
        <v>246677</v>
      </c>
      <c r="AB118" s="4" cm="1">
        <f t="array" ref="AB118">INDEX(GMW!$A$2:$LR$60,MATCH(1,(GMW!$LQ$2:$LQ$60=AB$3)*(GMW!$LP$2:$LP$60=AB$4)*(GMW!$LR$2:$LR$60=AB$1),0),$C118-1966)</f>
        <v>70115</v>
      </c>
      <c r="AC118" s="4" cm="1">
        <f t="array" ref="AC118">INDEX(GMW!$A$2:$LR$60,MATCH(1,(GMW!$LQ$2:$LQ$60=AC$3)*(GMW!$LP$2:$LP$60=AC$4)*(GMW!$LR$2:$LR$60=AC$1),0),$C118-1966)</f>
        <v>73902</v>
      </c>
      <c r="AD118" s="4" cm="1">
        <f t="array" ref="AD118">INDEX(GMW!$A$2:$LR$60,MATCH(1,(GMW!$LQ$2:$LQ$60=AD$3)*(GMW!$LP$2:$LP$60=AD$4)*(GMW!$LR$2:$LR$60=AD$1),0),$C118-1966)</f>
        <v>105418</v>
      </c>
      <c r="AE118" s="4" cm="1">
        <f t="array" ref="AE118">INDEX(GMW!$A$2:$LR$60,MATCH(1,(GMW!$LQ$2:$LQ$60=AE$3)*(GMW!$LP$2:$LP$60=AE$4)*(GMW!$LR$2:$LR$60=AE$1),0),$C118-1966)</f>
        <v>99991</v>
      </c>
      <c r="AF118" s="4" cm="1">
        <f t="array" ref="AF118">INDEX(GMW!$A$2:$LR$60,MATCH(1,(GMW!$LQ$2:$LQ$60=AF$3)*(GMW!$LP$2:$LP$60=AF$4)*(GMW!$LR$2:$LR$60=AF$1),0),$C118-1966)</f>
        <v>1E-3</v>
      </c>
      <c r="AG118" s="4" cm="1">
        <f t="array" ref="AG118">INDEX(GMW!$A$2:$LR$60,MATCH(1,(GMW!$LQ$2:$LQ$60=AG$3)*(GMW!$LP$2:$LP$60=AG$4)*(GMW!$LR$2:$LR$60=AG$1),0),$C118-1966)</f>
        <v>1E-3</v>
      </c>
    </row>
    <row r="119" spans="1:33" x14ac:dyDescent="0.25">
      <c r="A119" s="4">
        <v>2001</v>
      </c>
      <c r="B119" s="4">
        <f t="shared" si="3"/>
        <v>2001</v>
      </c>
      <c r="C119" s="4">
        <f t="shared" si="4"/>
        <v>2085</v>
      </c>
      <c r="D119" s="4" cm="1">
        <f t="array" ref="D119">INDEX(GMW!$A$2:$LR$60,MATCH(1,(GMW!$LQ$2:$LQ$60=D$3)*(GMW!$LP$2:$LP$60=D$4)*(GMW!$LR$2:$LR$60=D$1),0),$C119-1966)</f>
        <v>413054</v>
      </c>
      <c r="E119" s="4" cm="1">
        <f t="array" ref="E119">INDEX(GMW!$A$2:$LR$60,MATCH(1,(GMW!$LQ$2:$LQ$60=E$3)*(GMW!$LP$2:$LP$60=E$4)*(GMW!$LR$2:$LR$60=E$1),0),$C119-1966)</f>
        <v>413054</v>
      </c>
      <c r="F119" s="4" cm="1">
        <f t="array" ref="F119">INDEX(GMW!$A$2:$LR$60,MATCH(1,(GMW!$LQ$2:$LQ$60=F$3)*(GMW!$LP$2:$LP$60=F$4)*(GMW!$LR$2:$LR$60=F$1),0),$C119-1966)</f>
        <v>413054</v>
      </c>
      <c r="G119" s="4" cm="1">
        <f t="array" ref="G119">INDEX(GMW!$A$2:$LR$60,MATCH(1,(GMW!$LQ$2:$LQ$60=G$3)*(GMW!$LP$2:$LP$60=G$4)*(GMW!$LR$2:$LR$60=G$1),0),$C119-1966)</f>
        <v>413054</v>
      </c>
      <c r="H119" s="4" cm="1">
        <f t="array" ref="H119">INDEX(GMW!$A$2:$LR$60,MATCH(1,(GMW!$LQ$2:$LQ$60=H$3)*(GMW!$LP$2:$LP$60=H$4)*(GMW!$LR$2:$LR$60=H$1),0),$C119-1966)</f>
        <v>413054</v>
      </c>
      <c r="I119" s="4" cm="1">
        <f t="array" ref="I119">INDEX(GMW!$A$2:$LR$60,MATCH(1,(GMW!$LQ$2:$LQ$60=I$3)*(GMW!$LP$2:$LP$60=I$4)*(GMW!$LR$2:$LR$60=I$1),0),$C119-1966)</f>
        <v>413054</v>
      </c>
      <c r="J119" s="4" cm="1">
        <f t="array" ref="J119">INDEX(GMW!$A$2:$LR$60,MATCH(1,(GMW!$LQ$2:$LQ$60=J$3)*(GMW!$LP$2:$LP$60=J$4)*(GMW!$LR$2:$LR$60=J$1),0),$C119-1966)</f>
        <v>413054</v>
      </c>
      <c r="K119" s="4" cm="1">
        <f t="array" ref="K119">INDEX(GMW!$A$2:$LR$60,MATCH(1,(GMW!$LQ$2:$LQ$60=K$3)*(GMW!$LP$2:$LP$60=K$4)*(GMW!$LR$2:$LR$60=K$1),0),$C119-1966)</f>
        <v>413054</v>
      </c>
      <c r="L119" s="4" cm="1">
        <f t="array" ref="L119">INDEX(GMW!$A$2:$LR$60,MATCH(1,(GMW!$LQ$2:$LQ$60=L$3)*(GMW!$LP$2:$LP$60=L$4)*(GMW!$LR$2:$LR$60=L$1),0),$C119-1966)</f>
        <v>413054</v>
      </c>
      <c r="M119" s="4" cm="1">
        <f t="array" ref="M119">INDEX(GMW!$A$2:$LR$60,MATCH(1,(GMW!$LQ$2:$LQ$60=M$3)*(GMW!$LP$2:$LP$60=M$4)*(GMW!$LR$2:$LR$60=M$1),0),$C119-1966)</f>
        <v>413054</v>
      </c>
      <c r="N119" s="4" cm="1">
        <f t="array" ref="N119">INDEX(GMW!$A$2:$LR$60,MATCH(1,(GMW!$LQ$2:$LQ$60=N$3)*(GMW!$LP$2:$LP$60=N$4)*(GMW!$LR$2:$LR$60=N$1),0),$C119-1966)</f>
        <v>413054</v>
      </c>
      <c r="O119" s="4" cm="1">
        <f t="array" ref="O119">INDEX(GMW!$A$2:$LR$60,MATCH(1,(GMW!$LQ$2:$LQ$60=O$3)*(GMW!$LP$2:$LP$60=O$4)*(GMW!$LR$2:$LR$60=O$1),0),$C119-1966)</f>
        <v>413054</v>
      </c>
      <c r="P119" s="4" cm="1">
        <f t="array" ref="P119">INDEX(GMW!$A$2:$LR$60,MATCH(1,(GMW!$LQ$2:$LQ$60=P$3)*(GMW!$LP$2:$LP$60=P$4)*(GMW!$LR$2:$LR$60=P$1),0),$C119-1966)</f>
        <v>413054</v>
      </c>
      <c r="Q119" s="4" cm="1">
        <f t="array" ref="Q119">INDEX(GMW!$A$2:$LR$60,MATCH(1,(GMW!$LQ$2:$LQ$60=Q$3)*(GMW!$LP$2:$LP$60=Q$4)*(GMW!$LR$2:$LR$60=Q$1),0),$C119-1966)</f>
        <v>413054</v>
      </c>
      <c r="R119" s="4" cm="1">
        <f t="array" ref="R119">INDEX(GMW!$A$2:$LR$60,MATCH(1,(GMW!$LQ$2:$LQ$60=R$3)*(GMW!$LP$2:$LP$60=R$4)*(GMW!$LR$2:$LR$60=R$1),0),$C119-1966)</f>
        <v>413054</v>
      </c>
      <c r="S119" s="4" cm="1">
        <f t="array" ref="S119">INDEX(GMW!$A$2:$LR$60,MATCH(1,(GMW!$LQ$2:$LQ$60=S$3)*(GMW!$LP$2:$LP$60=S$4)*(GMW!$LR$2:$LR$60=S$1),0),$C119-1966)</f>
        <v>413054</v>
      </c>
      <c r="T119" s="4" cm="1">
        <f t="array" ref="T119">INDEX(GMW!$A$2:$LR$60,MATCH(1,(GMW!$LQ$2:$LQ$60=T$3)*(GMW!$LP$2:$LP$60=T$4)*(GMW!$LR$2:$LR$60=T$1),0),$C119-1966)</f>
        <v>413054</v>
      </c>
      <c r="U119" s="4" cm="1">
        <f t="array" ref="U119">INDEX(GMW!$A$2:$LR$60,MATCH(1,(GMW!$LQ$2:$LQ$60=U$3)*(GMW!$LP$2:$LP$60=U$4)*(GMW!$LR$2:$LR$60=U$1),0),$C119-1966)</f>
        <v>324</v>
      </c>
      <c r="V119" s="4" cm="1">
        <f t="array" ref="V119">INDEX(GMW!$A$2:$LR$60,MATCH(1,(GMW!$LQ$2:$LQ$60=V$3)*(GMW!$LP$2:$LP$60=V$4)*(GMW!$LR$2:$LR$60=V$1),0),$C119-1966)</f>
        <v>72.766670000000005</v>
      </c>
      <c r="W119" s="4" cm="1">
        <f t="array" ref="W119">INDEX(GMW!$A$2:$LR$60,MATCH(1,(GMW!$LQ$2:$LQ$60=W$3)*(GMW!$LP$2:$LP$60=W$4)*(GMW!$LR$2:$LR$60=W$1),0),$C119-1966)</f>
        <v>64.3</v>
      </c>
      <c r="X119" s="4" cm="1">
        <f t="array" ref="X119">INDEX(GMW!$A$2:$LR$60,MATCH(1,(GMW!$LQ$2:$LQ$60=X$3)*(GMW!$LP$2:$LP$60=X$4)*(GMW!$LR$2:$LR$60=X$1),0),$C119-1966)</f>
        <v>68.5</v>
      </c>
      <c r="Y119" s="4" cm="1">
        <f t="array" ref="Y119">INDEX(GMW!$A$2:$LR$60,MATCH(1,(GMW!$LQ$2:$LQ$60=Y$3)*(GMW!$LP$2:$LP$60=Y$4)*(GMW!$LR$2:$LR$60=Y$1),0),$C119-1966)</f>
        <v>37.200000000000003</v>
      </c>
      <c r="Z119" s="4" cm="1">
        <f t="array" ref="Z119">INDEX(GMW!$A$2:$LR$60,MATCH(1,(GMW!$LQ$2:$LQ$60=Z$3)*(GMW!$LP$2:$LP$60=Z$4)*(GMW!$LR$2:$LR$60=Z$1),0),$C119-1966)</f>
        <v>77.233329999999995</v>
      </c>
      <c r="AA119" s="4" cm="1">
        <f t="array" ref="AA119">INDEX(GMW!$A$2:$LR$60,MATCH(1,(GMW!$LQ$2:$LQ$60=AA$3)*(GMW!$LP$2:$LP$60=AA$4)*(GMW!$LR$2:$LR$60=AA$1),0),$C119-1966)</f>
        <v>247061</v>
      </c>
      <c r="AB119" s="4" cm="1">
        <f t="array" ref="AB119">INDEX(GMW!$A$2:$LR$60,MATCH(1,(GMW!$LQ$2:$LQ$60=AB$3)*(GMW!$LP$2:$LP$60=AB$4)*(GMW!$LR$2:$LR$60=AB$1),0),$C119-1966)</f>
        <v>70186</v>
      </c>
      <c r="AC119" s="4" cm="1">
        <f t="array" ref="AC119">INDEX(GMW!$A$2:$LR$60,MATCH(1,(GMW!$LQ$2:$LQ$60=AC$3)*(GMW!$LP$2:$LP$60=AC$4)*(GMW!$LR$2:$LR$60=AC$1),0),$C119-1966)</f>
        <v>76237</v>
      </c>
      <c r="AD119" s="4" cm="1">
        <f t="array" ref="AD119">INDEX(GMW!$A$2:$LR$60,MATCH(1,(GMW!$LQ$2:$LQ$60=AD$3)*(GMW!$LP$2:$LP$60=AD$4)*(GMW!$LR$2:$LR$60=AD$1),0),$C119-1966)</f>
        <v>109673</v>
      </c>
      <c r="AE119" s="4" cm="1">
        <f t="array" ref="AE119">INDEX(GMW!$A$2:$LR$60,MATCH(1,(GMW!$LQ$2:$LQ$60=AE$3)*(GMW!$LP$2:$LP$60=AE$4)*(GMW!$LR$2:$LR$60=AE$1),0),$C119-1966)</f>
        <v>102190</v>
      </c>
      <c r="AF119" s="4" cm="1">
        <f t="array" ref="AF119">INDEX(GMW!$A$2:$LR$60,MATCH(1,(GMW!$LQ$2:$LQ$60=AF$3)*(GMW!$LP$2:$LP$60=AF$4)*(GMW!$LR$2:$LR$60=AF$1),0),$C119-1966)</f>
        <v>1E-3</v>
      </c>
      <c r="AG119" s="4" cm="1">
        <f t="array" ref="AG119">INDEX(GMW!$A$2:$LR$60,MATCH(1,(GMW!$LQ$2:$LQ$60=AG$3)*(GMW!$LP$2:$LP$60=AG$4)*(GMW!$LR$2:$LR$60=AG$1),0),$C119-1966)</f>
        <v>1E-3</v>
      </c>
    </row>
    <row r="120" spans="1:33" x14ac:dyDescent="0.25">
      <c r="B120" s="4">
        <f t="shared" si="3"/>
        <v>2001</v>
      </c>
      <c r="C120" s="4">
        <f t="shared" si="4"/>
        <v>2086</v>
      </c>
      <c r="D120" s="4" cm="1">
        <f t="array" ref="D120">INDEX(GMW!$A$2:$LR$60,MATCH(1,(GMW!$LQ$2:$LQ$60=D$3)*(GMW!$LP$2:$LP$60=D$4)*(GMW!$LR$2:$LR$60=D$1),0),$C120-1966)</f>
        <v>414878</v>
      </c>
      <c r="E120" s="4" cm="1">
        <f t="array" ref="E120">INDEX(GMW!$A$2:$LR$60,MATCH(1,(GMW!$LQ$2:$LQ$60=E$3)*(GMW!$LP$2:$LP$60=E$4)*(GMW!$LR$2:$LR$60=E$1),0),$C120-1966)</f>
        <v>414878</v>
      </c>
      <c r="F120" s="4" cm="1">
        <f t="array" ref="F120">INDEX(GMW!$A$2:$LR$60,MATCH(1,(GMW!$LQ$2:$LQ$60=F$3)*(GMW!$LP$2:$LP$60=F$4)*(GMW!$LR$2:$LR$60=F$1),0),$C120-1966)</f>
        <v>414878</v>
      </c>
      <c r="G120" s="4" cm="1">
        <f t="array" ref="G120">INDEX(GMW!$A$2:$LR$60,MATCH(1,(GMW!$LQ$2:$LQ$60=G$3)*(GMW!$LP$2:$LP$60=G$4)*(GMW!$LR$2:$LR$60=G$1),0),$C120-1966)</f>
        <v>414878</v>
      </c>
      <c r="H120" s="4" cm="1">
        <f t="array" ref="H120">INDEX(GMW!$A$2:$LR$60,MATCH(1,(GMW!$LQ$2:$LQ$60=H$3)*(GMW!$LP$2:$LP$60=H$4)*(GMW!$LR$2:$LR$60=H$1),0),$C120-1966)</f>
        <v>414878</v>
      </c>
      <c r="I120" s="4" cm="1">
        <f t="array" ref="I120">INDEX(GMW!$A$2:$LR$60,MATCH(1,(GMW!$LQ$2:$LQ$60=I$3)*(GMW!$LP$2:$LP$60=I$4)*(GMW!$LR$2:$LR$60=I$1),0),$C120-1966)</f>
        <v>414878</v>
      </c>
      <c r="J120" s="4" cm="1">
        <f t="array" ref="J120">INDEX(GMW!$A$2:$LR$60,MATCH(1,(GMW!$LQ$2:$LQ$60=J$3)*(GMW!$LP$2:$LP$60=J$4)*(GMW!$LR$2:$LR$60=J$1),0),$C120-1966)</f>
        <v>414878</v>
      </c>
      <c r="K120" s="4" cm="1">
        <f t="array" ref="K120">INDEX(GMW!$A$2:$LR$60,MATCH(1,(GMW!$LQ$2:$LQ$60=K$3)*(GMW!$LP$2:$LP$60=K$4)*(GMW!$LR$2:$LR$60=K$1),0),$C120-1966)</f>
        <v>414878</v>
      </c>
      <c r="L120" s="4" cm="1">
        <f t="array" ref="L120">INDEX(GMW!$A$2:$LR$60,MATCH(1,(GMW!$LQ$2:$LQ$60=L$3)*(GMW!$LP$2:$LP$60=L$4)*(GMW!$LR$2:$LR$60=L$1),0),$C120-1966)</f>
        <v>414878</v>
      </c>
      <c r="M120" s="4" cm="1">
        <f t="array" ref="M120">INDEX(GMW!$A$2:$LR$60,MATCH(1,(GMW!$LQ$2:$LQ$60=M$3)*(GMW!$LP$2:$LP$60=M$4)*(GMW!$LR$2:$LR$60=M$1),0),$C120-1966)</f>
        <v>414878</v>
      </c>
      <c r="N120" s="4" cm="1">
        <f t="array" ref="N120">INDEX(GMW!$A$2:$LR$60,MATCH(1,(GMW!$LQ$2:$LQ$60=N$3)*(GMW!$LP$2:$LP$60=N$4)*(GMW!$LR$2:$LR$60=N$1),0),$C120-1966)</f>
        <v>414878</v>
      </c>
      <c r="O120" s="4" cm="1">
        <f t="array" ref="O120">INDEX(GMW!$A$2:$LR$60,MATCH(1,(GMW!$LQ$2:$LQ$60=O$3)*(GMW!$LP$2:$LP$60=O$4)*(GMW!$LR$2:$LR$60=O$1),0),$C120-1966)</f>
        <v>414878</v>
      </c>
      <c r="P120" s="4" cm="1">
        <f t="array" ref="P120">INDEX(GMW!$A$2:$LR$60,MATCH(1,(GMW!$LQ$2:$LQ$60=P$3)*(GMW!$LP$2:$LP$60=P$4)*(GMW!$LR$2:$LR$60=P$1),0),$C120-1966)</f>
        <v>414878</v>
      </c>
      <c r="Q120" s="4" cm="1">
        <f t="array" ref="Q120">INDEX(GMW!$A$2:$LR$60,MATCH(1,(GMW!$LQ$2:$LQ$60=Q$3)*(GMW!$LP$2:$LP$60=Q$4)*(GMW!$LR$2:$LR$60=Q$1),0),$C120-1966)</f>
        <v>414878</v>
      </c>
      <c r="R120" s="4" cm="1">
        <f t="array" ref="R120">INDEX(GMW!$A$2:$LR$60,MATCH(1,(GMW!$LQ$2:$LQ$60=R$3)*(GMW!$LP$2:$LP$60=R$4)*(GMW!$LR$2:$LR$60=R$1),0),$C120-1966)</f>
        <v>414878</v>
      </c>
      <c r="S120" s="4" cm="1">
        <f t="array" ref="S120">INDEX(GMW!$A$2:$LR$60,MATCH(1,(GMW!$LQ$2:$LQ$60=S$3)*(GMW!$LP$2:$LP$60=S$4)*(GMW!$LR$2:$LR$60=S$1),0),$C120-1966)</f>
        <v>414878</v>
      </c>
      <c r="T120" s="4" cm="1">
        <f t="array" ref="T120">INDEX(GMW!$A$2:$LR$60,MATCH(1,(GMW!$LQ$2:$LQ$60=T$3)*(GMW!$LP$2:$LP$60=T$4)*(GMW!$LR$2:$LR$60=T$1),0),$C120-1966)</f>
        <v>414878</v>
      </c>
      <c r="U120" s="4" cm="1">
        <f t="array" ref="U120">INDEX(GMW!$A$2:$LR$60,MATCH(1,(GMW!$LQ$2:$LQ$60=U$3)*(GMW!$LP$2:$LP$60=U$4)*(GMW!$LR$2:$LR$60=U$1),0),$C120-1966)</f>
        <v>327</v>
      </c>
      <c r="V120" s="4" cm="1">
        <f t="array" ref="V120">INDEX(GMW!$A$2:$LR$60,MATCH(1,(GMW!$LQ$2:$LQ$60=V$3)*(GMW!$LP$2:$LP$60=V$4)*(GMW!$LR$2:$LR$60=V$1),0),$C120-1966)</f>
        <v>73.833340000000007</v>
      </c>
      <c r="W120" s="4" cm="1">
        <f t="array" ref="W120">INDEX(GMW!$A$2:$LR$60,MATCH(1,(GMW!$LQ$2:$LQ$60=W$3)*(GMW!$LP$2:$LP$60=W$4)*(GMW!$LR$2:$LR$60=W$1),0),$C120-1966)</f>
        <v>65.966669999999993</v>
      </c>
      <c r="X120" s="4" cm="1">
        <f t="array" ref="X120">INDEX(GMW!$A$2:$LR$60,MATCH(1,(GMW!$LQ$2:$LQ$60=X$3)*(GMW!$LP$2:$LP$60=X$4)*(GMW!$LR$2:$LR$60=X$1),0),$C120-1966)</f>
        <v>69.366669999999999</v>
      </c>
      <c r="Y120" s="4" cm="1">
        <f t="array" ref="Y120">INDEX(GMW!$A$2:$LR$60,MATCH(1,(GMW!$LQ$2:$LQ$60=Y$3)*(GMW!$LP$2:$LP$60=Y$4)*(GMW!$LR$2:$LR$60=Y$1),0),$C120-1966)</f>
        <v>37.733330000000002</v>
      </c>
      <c r="Z120" s="4" cm="1">
        <f t="array" ref="Z120">INDEX(GMW!$A$2:$LR$60,MATCH(1,(GMW!$LQ$2:$LQ$60=Z$3)*(GMW!$LP$2:$LP$60=Z$4)*(GMW!$LR$2:$LR$60=Z$1),0),$C120-1966)</f>
        <v>78.2</v>
      </c>
      <c r="AA120" s="4" cm="1">
        <f t="array" ref="AA120">INDEX(GMW!$A$2:$LR$60,MATCH(1,(GMW!$LQ$2:$LQ$60=AA$3)*(GMW!$LP$2:$LP$60=AA$4)*(GMW!$LR$2:$LR$60=AA$1),0),$C120-1966)</f>
        <v>248659</v>
      </c>
      <c r="AB120" s="4" cm="1">
        <f t="array" ref="AB120">INDEX(GMW!$A$2:$LR$60,MATCH(1,(GMW!$LQ$2:$LQ$60=AB$3)*(GMW!$LP$2:$LP$60=AB$4)*(GMW!$LR$2:$LR$60=AB$1),0),$C120-1966)</f>
        <v>72760</v>
      </c>
      <c r="AC120" s="4" cm="1">
        <f t="array" ref="AC120">INDEX(GMW!$A$2:$LR$60,MATCH(1,(GMW!$LQ$2:$LQ$60=AC$3)*(GMW!$LP$2:$LP$60=AC$4)*(GMW!$LR$2:$LR$60=AC$1),0),$C120-1966)</f>
        <v>75005</v>
      </c>
      <c r="AD120" s="4" cm="1">
        <f t="array" ref="AD120">INDEX(GMW!$A$2:$LR$60,MATCH(1,(GMW!$LQ$2:$LQ$60=AD$3)*(GMW!$LP$2:$LP$60=AD$4)*(GMW!$LR$2:$LR$60=AD$1),0),$C120-1966)</f>
        <v>105073</v>
      </c>
      <c r="AE120" s="4" cm="1">
        <f t="array" ref="AE120">INDEX(GMW!$A$2:$LR$60,MATCH(1,(GMW!$LQ$2:$LQ$60=AE$3)*(GMW!$LP$2:$LP$60=AE$4)*(GMW!$LR$2:$LR$60=AE$1),0),$C120-1966)</f>
        <v>102718</v>
      </c>
      <c r="AF120" s="4" cm="1">
        <f t="array" ref="AF120">INDEX(GMW!$A$2:$LR$60,MATCH(1,(GMW!$LQ$2:$LQ$60=AF$3)*(GMW!$LP$2:$LP$60=AF$4)*(GMW!$LR$2:$LR$60=AF$1),0),$C120-1966)</f>
        <v>1E-3</v>
      </c>
      <c r="AG120" s="4" cm="1">
        <f t="array" ref="AG120">INDEX(GMW!$A$2:$LR$60,MATCH(1,(GMW!$LQ$2:$LQ$60=AG$3)*(GMW!$LP$2:$LP$60=AG$4)*(GMW!$LR$2:$LR$60=AG$1),0),$C120-1966)</f>
        <v>1E-3</v>
      </c>
    </row>
    <row r="121" spans="1:33" x14ac:dyDescent="0.25">
      <c r="B121" s="4">
        <f t="shared" si="3"/>
        <v>2001</v>
      </c>
      <c r="C121" s="4">
        <f t="shared" si="4"/>
        <v>2087</v>
      </c>
      <c r="D121" s="4" cm="1">
        <f t="array" ref="D121">INDEX(GMW!$A$2:$LR$60,MATCH(1,(GMW!$LQ$2:$LQ$60=D$3)*(GMW!$LP$2:$LP$60=D$4)*(GMW!$LR$2:$LR$60=D$1),0),$C121-1966)</f>
        <v>417085</v>
      </c>
      <c r="E121" s="4" cm="1">
        <f t="array" ref="E121">INDEX(GMW!$A$2:$LR$60,MATCH(1,(GMW!$LQ$2:$LQ$60=E$3)*(GMW!$LP$2:$LP$60=E$4)*(GMW!$LR$2:$LR$60=E$1),0),$C121-1966)</f>
        <v>417085</v>
      </c>
      <c r="F121" s="4" cm="1">
        <f t="array" ref="F121">INDEX(GMW!$A$2:$LR$60,MATCH(1,(GMW!$LQ$2:$LQ$60=F$3)*(GMW!$LP$2:$LP$60=F$4)*(GMW!$LR$2:$LR$60=F$1),0),$C121-1966)</f>
        <v>417085</v>
      </c>
      <c r="G121" s="4" cm="1">
        <f t="array" ref="G121">INDEX(GMW!$A$2:$LR$60,MATCH(1,(GMW!$LQ$2:$LQ$60=G$3)*(GMW!$LP$2:$LP$60=G$4)*(GMW!$LR$2:$LR$60=G$1),0),$C121-1966)</f>
        <v>417085</v>
      </c>
      <c r="H121" s="4" cm="1">
        <f t="array" ref="H121">INDEX(GMW!$A$2:$LR$60,MATCH(1,(GMW!$LQ$2:$LQ$60=H$3)*(GMW!$LP$2:$LP$60=H$4)*(GMW!$LR$2:$LR$60=H$1),0),$C121-1966)</f>
        <v>417085</v>
      </c>
      <c r="I121" s="4" cm="1">
        <f t="array" ref="I121">INDEX(GMW!$A$2:$LR$60,MATCH(1,(GMW!$LQ$2:$LQ$60=I$3)*(GMW!$LP$2:$LP$60=I$4)*(GMW!$LR$2:$LR$60=I$1),0),$C121-1966)</f>
        <v>417085</v>
      </c>
      <c r="J121" s="4" cm="1">
        <f t="array" ref="J121">INDEX(GMW!$A$2:$LR$60,MATCH(1,(GMW!$LQ$2:$LQ$60=J$3)*(GMW!$LP$2:$LP$60=J$4)*(GMW!$LR$2:$LR$60=J$1),0),$C121-1966)</f>
        <v>417085</v>
      </c>
      <c r="K121" s="4" cm="1">
        <f t="array" ref="K121">INDEX(GMW!$A$2:$LR$60,MATCH(1,(GMW!$LQ$2:$LQ$60=K$3)*(GMW!$LP$2:$LP$60=K$4)*(GMW!$LR$2:$LR$60=K$1),0),$C121-1966)</f>
        <v>417085</v>
      </c>
      <c r="L121" s="4" cm="1">
        <f t="array" ref="L121">INDEX(GMW!$A$2:$LR$60,MATCH(1,(GMW!$LQ$2:$LQ$60=L$3)*(GMW!$LP$2:$LP$60=L$4)*(GMW!$LR$2:$LR$60=L$1),0),$C121-1966)</f>
        <v>417085</v>
      </c>
      <c r="M121" s="4" cm="1">
        <f t="array" ref="M121">INDEX(GMW!$A$2:$LR$60,MATCH(1,(GMW!$LQ$2:$LQ$60=M$3)*(GMW!$LP$2:$LP$60=M$4)*(GMW!$LR$2:$LR$60=M$1),0),$C121-1966)</f>
        <v>417085</v>
      </c>
      <c r="N121" s="4" cm="1">
        <f t="array" ref="N121">INDEX(GMW!$A$2:$LR$60,MATCH(1,(GMW!$LQ$2:$LQ$60=N$3)*(GMW!$LP$2:$LP$60=N$4)*(GMW!$LR$2:$LR$60=N$1),0),$C121-1966)</f>
        <v>417085</v>
      </c>
      <c r="O121" s="4" cm="1">
        <f t="array" ref="O121">INDEX(GMW!$A$2:$LR$60,MATCH(1,(GMW!$LQ$2:$LQ$60=O$3)*(GMW!$LP$2:$LP$60=O$4)*(GMW!$LR$2:$LR$60=O$1),0),$C121-1966)</f>
        <v>417085</v>
      </c>
      <c r="P121" s="4" cm="1">
        <f t="array" ref="P121">INDEX(GMW!$A$2:$LR$60,MATCH(1,(GMW!$LQ$2:$LQ$60=P$3)*(GMW!$LP$2:$LP$60=P$4)*(GMW!$LR$2:$LR$60=P$1),0),$C121-1966)</f>
        <v>417085</v>
      </c>
      <c r="Q121" s="4" cm="1">
        <f t="array" ref="Q121">INDEX(GMW!$A$2:$LR$60,MATCH(1,(GMW!$LQ$2:$LQ$60=Q$3)*(GMW!$LP$2:$LP$60=Q$4)*(GMW!$LR$2:$LR$60=Q$1),0),$C121-1966)</f>
        <v>417085</v>
      </c>
      <c r="R121" s="4" cm="1">
        <f t="array" ref="R121">INDEX(GMW!$A$2:$LR$60,MATCH(1,(GMW!$LQ$2:$LQ$60=R$3)*(GMW!$LP$2:$LP$60=R$4)*(GMW!$LR$2:$LR$60=R$1),0),$C121-1966)</f>
        <v>417085</v>
      </c>
      <c r="S121" s="4" cm="1">
        <f t="array" ref="S121">INDEX(GMW!$A$2:$LR$60,MATCH(1,(GMW!$LQ$2:$LQ$60=S$3)*(GMW!$LP$2:$LP$60=S$4)*(GMW!$LR$2:$LR$60=S$1),0),$C121-1966)</f>
        <v>417085</v>
      </c>
      <c r="T121" s="4" cm="1">
        <f t="array" ref="T121">INDEX(GMW!$A$2:$LR$60,MATCH(1,(GMW!$LQ$2:$LQ$60=T$3)*(GMW!$LP$2:$LP$60=T$4)*(GMW!$LR$2:$LR$60=T$1),0),$C121-1966)</f>
        <v>417085</v>
      </c>
      <c r="U121" s="4" cm="1">
        <f t="array" ref="U121">INDEX(GMW!$A$2:$LR$60,MATCH(1,(GMW!$LQ$2:$LQ$60=U$3)*(GMW!$LP$2:$LP$60=U$4)*(GMW!$LR$2:$LR$60=U$1),0),$C121-1966)</f>
        <v>330</v>
      </c>
      <c r="V121" s="4" cm="1">
        <f t="array" ref="V121">INDEX(GMW!$A$2:$LR$60,MATCH(1,(GMW!$LQ$2:$LQ$60=V$3)*(GMW!$LP$2:$LP$60=V$4)*(GMW!$LR$2:$LR$60=V$1),0),$C121-1966)</f>
        <v>73.866669999999999</v>
      </c>
      <c r="W121" s="4" cm="1">
        <f t="array" ref="W121">INDEX(GMW!$A$2:$LR$60,MATCH(1,(GMW!$LQ$2:$LQ$60=W$3)*(GMW!$LP$2:$LP$60=W$4)*(GMW!$LR$2:$LR$60=W$1),0),$C121-1966)</f>
        <v>65.566670000000002</v>
      </c>
      <c r="X121" s="4" cm="1">
        <f t="array" ref="X121">INDEX(GMW!$A$2:$LR$60,MATCH(1,(GMW!$LQ$2:$LQ$60=X$3)*(GMW!$LP$2:$LP$60=X$4)*(GMW!$LR$2:$LR$60=X$1),0),$C121-1966)</f>
        <v>68.8</v>
      </c>
      <c r="Y121" s="4" cm="1">
        <f t="array" ref="Y121">INDEX(GMW!$A$2:$LR$60,MATCH(1,(GMW!$LQ$2:$LQ$60=Y$3)*(GMW!$LP$2:$LP$60=Y$4)*(GMW!$LR$2:$LR$60=Y$1),0),$C121-1966)</f>
        <v>37.866660000000003</v>
      </c>
      <c r="Z121" s="4" cm="1">
        <f t="array" ref="Z121">INDEX(GMW!$A$2:$LR$60,MATCH(1,(GMW!$LQ$2:$LQ$60=Z$3)*(GMW!$LP$2:$LP$60=Z$4)*(GMW!$LR$2:$LR$60=Z$1),0),$C121-1966)</f>
        <v>78.3</v>
      </c>
      <c r="AA121" s="4" cm="1">
        <f t="array" ref="AA121">INDEX(GMW!$A$2:$LR$60,MATCH(1,(GMW!$LQ$2:$LQ$60=AA$3)*(GMW!$LP$2:$LP$60=AA$4)*(GMW!$LR$2:$LR$60=AA$1),0),$C121-1966)</f>
        <v>252380</v>
      </c>
      <c r="AB121" s="4" cm="1">
        <f t="array" ref="AB121">INDEX(GMW!$A$2:$LR$60,MATCH(1,(GMW!$LQ$2:$LQ$60=AB$3)*(GMW!$LP$2:$LP$60=AB$4)*(GMW!$LR$2:$LR$60=AB$1),0),$C121-1966)</f>
        <v>72699</v>
      </c>
      <c r="AC121" s="4" cm="1">
        <f t="array" ref="AC121">INDEX(GMW!$A$2:$LR$60,MATCH(1,(GMW!$LQ$2:$LQ$60=AC$3)*(GMW!$LP$2:$LP$60=AC$4)*(GMW!$LR$2:$LR$60=AC$1),0),$C121-1966)</f>
        <v>76950</v>
      </c>
      <c r="AD121" s="4" cm="1">
        <f t="array" ref="AD121">INDEX(GMW!$A$2:$LR$60,MATCH(1,(GMW!$LQ$2:$LQ$60=AD$3)*(GMW!$LP$2:$LP$60=AD$4)*(GMW!$LR$2:$LR$60=AD$1),0),$C121-1966)</f>
        <v>102715</v>
      </c>
      <c r="AE121" s="4" cm="1">
        <f t="array" ref="AE121">INDEX(GMW!$A$2:$LR$60,MATCH(1,(GMW!$LQ$2:$LQ$60=AE$3)*(GMW!$LP$2:$LP$60=AE$4)*(GMW!$LR$2:$LR$60=AE$1),0),$C121-1966)</f>
        <v>101221</v>
      </c>
      <c r="AF121" s="4" cm="1">
        <f t="array" ref="AF121">INDEX(GMW!$A$2:$LR$60,MATCH(1,(GMW!$LQ$2:$LQ$60=AF$3)*(GMW!$LP$2:$LP$60=AF$4)*(GMW!$LR$2:$LR$60=AF$1),0),$C121-1966)</f>
        <v>1E-3</v>
      </c>
      <c r="AG121" s="4" cm="1">
        <f t="array" ref="AG121">INDEX(GMW!$A$2:$LR$60,MATCH(1,(GMW!$LQ$2:$LQ$60=AG$3)*(GMW!$LP$2:$LP$60=AG$4)*(GMW!$LR$2:$LR$60=AG$1),0),$C121-1966)</f>
        <v>1E-3</v>
      </c>
    </row>
    <row r="122" spans="1:33" x14ac:dyDescent="0.25">
      <c r="B122" s="4">
        <f t="shared" si="3"/>
        <v>2001</v>
      </c>
      <c r="C122" s="4">
        <f t="shared" si="4"/>
        <v>2088</v>
      </c>
      <c r="D122" s="4" cm="1">
        <f t="array" ref="D122">INDEX(GMW!$A$2:$LR$60,MATCH(1,(GMW!$LQ$2:$LQ$60=D$3)*(GMW!$LP$2:$LP$60=D$4)*(GMW!$LR$2:$LR$60=D$1),0),$C122-1966)</f>
        <v>418445</v>
      </c>
      <c r="E122" s="4" cm="1">
        <f t="array" ref="E122">INDEX(GMW!$A$2:$LR$60,MATCH(1,(GMW!$LQ$2:$LQ$60=E$3)*(GMW!$LP$2:$LP$60=E$4)*(GMW!$LR$2:$LR$60=E$1),0),$C122-1966)</f>
        <v>418445</v>
      </c>
      <c r="F122" s="4" cm="1">
        <f t="array" ref="F122">INDEX(GMW!$A$2:$LR$60,MATCH(1,(GMW!$LQ$2:$LQ$60=F$3)*(GMW!$LP$2:$LP$60=F$4)*(GMW!$LR$2:$LR$60=F$1),0),$C122-1966)</f>
        <v>418445</v>
      </c>
      <c r="G122" s="4" cm="1">
        <f t="array" ref="G122">INDEX(GMW!$A$2:$LR$60,MATCH(1,(GMW!$LQ$2:$LQ$60=G$3)*(GMW!$LP$2:$LP$60=G$4)*(GMW!$LR$2:$LR$60=G$1),0),$C122-1966)</f>
        <v>418445</v>
      </c>
      <c r="H122" s="4" cm="1">
        <f t="array" ref="H122">INDEX(GMW!$A$2:$LR$60,MATCH(1,(GMW!$LQ$2:$LQ$60=H$3)*(GMW!$LP$2:$LP$60=H$4)*(GMW!$LR$2:$LR$60=H$1),0),$C122-1966)</f>
        <v>418445</v>
      </c>
      <c r="I122" s="4" cm="1">
        <f t="array" ref="I122">INDEX(GMW!$A$2:$LR$60,MATCH(1,(GMW!$LQ$2:$LQ$60=I$3)*(GMW!$LP$2:$LP$60=I$4)*(GMW!$LR$2:$LR$60=I$1),0),$C122-1966)</f>
        <v>418445</v>
      </c>
      <c r="J122" s="4" cm="1">
        <f t="array" ref="J122">INDEX(GMW!$A$2:$LR$60,MATCH(1,(GMW!$LQ$2:$LQ$60=J$3)*(GMW!$LP$2:$LP$60=J$4)*(GMW!$LR$2:$LR$60=J$1),0),$C122-1966)</f>
        <v>418445</v>
      </c>
      <c r="K122" s="4" cm="1">
        <f t="array" ref="K122">INDEX(GMW!$A$2:$LR$60,MATCH(1,(GMW!$LQ$2:$LQ$60=K$3)*(GMW!$LP$2:$LP$60=K$4)*(GMW!$LR$2:$LR$60=K$1),0),$C122-1966)</f>
        <v>418445</v>
      </c>
      <c r="L122" s="4" cm="1">
        <f t="array" ref="L122">INDEX(GMW!$A$2:$LR$60,MATCH(1,(GMW!$LQ$2:$LQ$60=L$3)*(GMW!$LP$2:$LP$60=L$4)*(GMW!$LR$2:$LR$60=L$1),0),$C122-1966)</f>
        <v>418445</v>
      </c>
      <c r="M122" s="4" cm="1">
        <f t="array" ref="M122">INDEX(GMW!$A$2:$LR$60,MATCH(1,(GMW!$LQ$2:$LQ$60=M$3)*(GMW!$LP$2:$LP$60=M$4)*(GMW!$LR$2:$LR$60=M$1),0),$C122-1966)</f>
        <v>418445</v>
      </c>
      <c r="N122" s="4" cm="1">
        <f t="array" ref="N122">INDEX(GMW!$A$2:$LR$60,MATCH(1,(GMW!$LQ$2:$LQ$60=N$3)*(GMW!$LP$2:$LP$60=N$4)*(GMW!$LR$2:$LR$60=N$1),0),$C122-1966)</f>
        <v>418445</v>
      </c>
      <c r="O122" s="4" cm="1">
        <f t="array" ref="O122">INDEX(GMW!$A$2:$LR$60,MATCH(1,(GMW!$LQ$2:$LQ$60=O$3)*(GMW!$LP$2:$LP$60=O$4)*(GMW!$LR$2:$LR$60=O$1),0),$C122-1966)</f>
        <v>418445</v>
      </c>
      <c r="P122" s="4" cm="1">
        <f t="array" ref="P122">INDEX(GMW!$A$2:$LR$60,MATCH(1,(GMW!$LQ$2:$LQ$60=P$3)*(GMW!$LP$2:$LP$60=P$4)*(GMW!$LR$2:$LR$60=P$1),0),$C122-1966)</f>
        <v>418445</v>
      </c>
      <c r="Q122" s="4" cm="1">
        <f t="array" ref="Q122">INDEX(GMW!$A$2:$LR$60,MATCH(1,(GMW!$LQ$2:$LQ$60=Q$3)*(GMW!$LP$2:$LP$60=Q$4)*(GMW!$LR$2:$LR$60=Q$1),0),$C122-1966)</f>
        <v>418445</v>
      </c>
      <c r="R122" s="4" cm="1">
        <f t="array" ref="R122">INDEX(GMW!$A$2:$LR$60,MATCH(1,(GMW!$LQ$2:$LQ$60=R$3)*(GMW!$LP$2:$LP$60=R$4)*(GMW!$LR$2:$LR$60=R$1),0),$C122-1966)</f>
        <v>418445</v>
      </c>
      <c r="S122" s="4" cm="1">
        <f t="array" ref="S122">INDEX(GMW!$A$2:$LR$60,MATCH(1,(GMW!$LQ$2:$LQ$60=S$3)*(GMW!$LP$2:$LP$60=S$4)*(GMW!$LR$2:$LR$60=S$1),0),$C122-1966)</f>
        <v>418445</v>
      </c>
      <c r="T122" s="4" cm="1">
        <f t="array" ref="T122">INDEX(GMW!$A$2:$LR$60,MATCH(1,(GMW!$LQ$2:$LQ$60=T$3)*(GMW!$LP$2:$LP$60=T$4)*(GMW!$LR$2:$LR$60=T$1),0),$C122-1966)</f>
        <v>418445</v>
      </c>
      <c r="U122" s="4" cm="1">
        <f t="array" ref="U122">INDEX(GMW!$A$2:$LR$60,MATCH(1,(GMW!$LQ$2:$LQ$60=U$3)*(GMW!$LP$2:$LP$60=U$4)*(GMW!$LR$2:$LR$60=U$1),0),$C122-1966)</f>
        <v>333.66669999999999</v>
      </c>
      <c r="V122" s="4" cm="1">
        <f t="array" ref="V122">INDEX(GMW!$A$2:$LR$60,MATCH(1,(GMW!$LQ$2:$LQ$60=V$3)*(GMW!$LP$2:$LP$60=V$4)*(GMW!$LR$2:$LR$60=V$1),0),$C122-1966)</f>
        <v>73.900000000000006</v>
      </c>
      <c r="W122" s="4" cm="1">
        <f t="array" ref="W122">INDEX(GMW!$A$2:$LR$60,MATCH(1,(GMW!$LQ$2:$LQ$60=W$3)*(GMW!$LP$2:$LP$60=W$4)*(GMW!$LR$2:$LR$60=W$1),0),$C122-1966)</f>
        <v>65.633330000000001</v>
      </c>
      <c r="X122" s="4" cm="1">
        <f t="array" ref="X122">INDEX(GMW!$A$2:$LR$60,MATCH(1,(GMW!$LQ$2:$LQ$60=X$3)*(GMW!$LP$2:$LP$60=X$4)*(GMW!$LR$2:$LR$60=X$1),0),$C122-1966)</f>
        <v>64.566670000000002</v>
      </c>
      <c r="Y122" s="4" cm="1">
        <f t="array" ref="Y122">INDEX(GMW!$A$2:$LR$60,MATCH(1,(GMW!$LQ$2:$LQ$60=Y$3)*(GMW!$LP$2:$LP$60=Y$4)*(GMW!$LR$2:$LR$60=Y$1),0),$C122-1966)</f>
        <v>37.533329999999999</v>
      </c>
      <c r="Z122" s="4" cm="1">
        <f t="array" ref="Z122">INDEX(GMW!$A$2:$LR$60,MATCH(1,(GMW!$LQ$2:$LQ$60=Z$3)*(GMW!$LP$2:$LP$60=Z$4)*(GMW!$LR$2:$LR$60=Z$1),0),$C122-1966)</f>
        <v>78.633330000000001</v>
      </c>
      <c r="AA122" s="4" cm="1">
        <f t="array" ref="AA122">INDEX(GMW!$A$2:$LR$60,MATCH(1,(GMW!$LQ$2:$LQ$60=AA$3)*(GMW!$LP$2:$LP$60=AA$4)*(GMW!$LR$2:$LR$60=AA$1),0),$C122-1966)</f>
        <v>254436</v>
      </c>
      <c r="AB122" s="4" cm="1">
        <f t="array" ref="AB122">INDEX(GMW!$A$2:$LR$60,MATCH(1,(GMW!$LQ$2:$LQ$60=AB$3)*(GMW!$LP$2:$LP$60=AB$4)*(GMW!$LR$2:$LR$60=AB$1),0),$C122-1966)</f>
        <v>70239</v>
      </c>
      <c r="AC122" s="4" cm="1">
        <f t="array" ref="AC122">INDEX(GMW!$A$2:$LR$60,MATCH(1,(GMW!$LQ$2:$LQ$60=AC$3)*(GMW!$LP$2:$LP$60=AC$4)*(GMW!$LR$2:$LR$60=AC$1),0),$C122-1966)</f>
        <v>78478</v>
      </c>
      <c r="AD122" s="4" cm="1">
        <f t="array" ref="AD122">INDEX(GMW!$A$2:$LR$60,MATCH(1,(GMW!$LQ$2:$LQ$60=AD$3)*(GMW!$LP$2:$LP$60=AD$4)*(GMW!$LR$2:$LR$60=AD$1),0),$C122-1966)</f>
        <v>103824</v>
      </c>
      <c r="AE122" s="4" cm="1">
        <f t="array" ref="AE122">INDEX(GMW!$A$2:$LR$60,MATCH(1,(GMW!$LQ$2:$LQ$60=AE$3)*(GMW!$LP$2:$LP$60=AE$4)*(GMW!$LR$2:$LR$60=AE$1),0),$C122-1966)</f>
        <v>100700</v>
      </c>
      <c r="AF122" s="4" cm="1">
        <f t="array" ref="AF122">INDEX(GMW!$A$2:$LR$60,MATCH(1,(GMW!$LQ$2:$LQ$60=AF$3)*(GMW!$LP$2:$LP$60=AF$4)*(GMW!$LR$2:$LR$60=AF$1),0),$C122-1966)</f>
        <v>1E-3</v>
      </c>
      <c r="AG122" s="4" cm="1">
        <f t="array" ref="AG122">INDEX(GMW!$A$2:$LR$60,MATCH(1,(GMW!$LQ$2:$LQ$60=AG$3)*(GMW!$LP$2:$LP$60=AG$4)*(GMW!$LR$2:$LR$60=AG$1),0),$C122-1966)</f>
        <v>1E-3</v>
      </c>
    </row>
    <row r="123" spans="1:33" x14ac:dyDescent="0.25">
      <c r="A123" s="4">
        <v>2002</v>
      </c>
      <c r="B123" s="4">
        <f t="shared" si="3"/>
        <v>2002</v>
      </c>
      <c r="C123" s="4">
        <f t="shared" si="4"/>
        <v>2089</v>
      </c>
      <c r="D123" s="4" cm="1">
        <f t="array" ref="D123">INDEX(GMW!$A$2:$LR$60,MATCH(1,(GMW!$LQ$2:$LQ$60=D$3)*(GMW!$LP$2:$LP$60=D$4)*(GMW!$LR$2:$LR$60=D$1),0),$C123-1966)</f>
        <v>419534</v>
      </c>
      <c r="E123" s="4" cm="1">
        <f t="array" ref="E123">INDEX(GMW!$A$2:$LR$60,MATCH(1,(GMW!$LQ$2:$LQ$60=E$3)*(GMW!$LP$2:$LP$60=E$4)*(GMW!$LR$2:$LR$60=E$1),0),$C123-1966)</f>
        <v>419534</v>
      </c>
      <c r="F123" s="4" cm="1">
        <f t="array" ref="F123">INDEX(GMW!$A$2:$LR$60,MATCH(1,(GMW!$LQ$2:$LQ$60=F$3)*(GMW!$LP$2:$LP$60=F$4)*(GMW!$LR$2:$LR$60=F$1),0),$C123-1966)</f>
        <v>419534</v>
      </c>
      <c r="G123" s="4" cm="1">
        <f t="array" ref="G123">INDEX(GMW!$A$2:$LR$60,MATCH(1,(GMW!$LQ$2:$LQ$60=G$3)*(GMW!$LP$2:$LP$60=G$4)*(GMW!$LR$2:$LR$60=G$1),0),$C123-1966)</f>
        <v>419534</v>
      </c>
      <c r="H123" s="4" cm="1">
        <f t="array" ref="H123">INDEX(GMW!$A$2:$LR$60,MATCH(1,(GMW!$LQ$2:$LQ$60=H$3)*(GMW!$LP$2:$LP$60=H$4)*(GMW!$LR$2:$LR$60=H$1),0),$C123-1966)</f>
        <v>419534</v>
      </c>
      <c r="I123" s="4" cm="1">
        <f t="array" ref="I123">INDEX(GMW!$A$2:$LR$60,MATCH(1,(GMW!$LQ$2:$LQ$60=I$3)*(GMW!$LP$2:$LP$60=I$4)*(GMW!$LR$2:$LR$60=I$1),0),$C123-1966)</f>
        <v>419534</v>
      </c>
      <c r="J123" s="4" cm="1">
        <f t="array" ref="J123">INDEX(GMW!$A$2:$LR$60,MATCH(1,(GMW!$LQ$2:$LQ$60=J$3)*(GMW!$LP$2:$LP$60=J$4)*(GMW!$LR$2:$LR$60=J$1),0),$C123-1966)</f>
        <v>419534</v>
      </c>
      <c r="K123" s="4" cm="1">
        <f t="array" ref="K123">INDEX(GMW!$A$2:$LR$60,MATCH(1,(GMW!$LQ$2:$LQ$60=K$3)*(GMW!$LP$2:$LP$60=K$4)*(GMW!$LR$2:$LR$60=K$1),0),$C123-1966)</f>
        <v>419534</v>
      </c>
      <c r="L123" s="4" cm="1">
        <f t="array" ref="L123">INDEX(GMW!$A$2:$LR$60,MATCH(1,(GMW!$LQ$2:$LQ$60=L$3)*(GMW!$LP$2:$LP$60=L$4)*(GMW!$LR$2:$LR$60=L$1),0),$C123-1966)</f>
        <v>419534</v>
      </c>
      <c r="M123" s="4" cm="1">
        <f t="array" ref="M123">INDEX(GMW!$A$2:$LR$60,MATCH(1,(GMW!$LQ$2:$LQ$60=M$3)*(GMW!$LP$2:$LP$60=M$4)*(GMW!$LR$2:$LR$60=M$1),0),$C123-1966)</f>
        <v>419534</v>
      </c>
      <c r="N123" s="4" cm="1">
        <f t="array" ref="N123">INDEX(GMW!$A$2:$LR$60,MATCH(1,(GMW!$LQ$2:$LQ$60=N$3)*(GMW!$LP$2:$LP$60=N$4)*(GMW!$LR$2:$LR$60=N$1),0),$C123-1966)</f>
        <v>419534</v>
      </c>
      <c r="O123" s="4" cm="1">
        <f t="array" ref="O123">INDEX(GMW!$A$2:$LR$60,MATCH(1,(GMW!$LQ$2:$LQ$60=O$3)*(GMW!$LP$2:$LP$60=O$4)*(GMW!$LR$2:$LR$60=O$1),0),$C123-1966)</f>
        <v>419534</v>
      </c>
      <c r="P123" s="4" cm="1">
        <f t="array" ref="P123">INDEX(GMW!$A$2:$LR$60,MATCH(1,(GMW!$LQ$2:$LQ$60=P$3)*(GMW!$LP$2:$LP$60=P$4)*(GMW!$LR$2:$LR$60=P$1),0),$C123-1966)</f>
        <v>419534</v>
      </c>
      <c r="Q123" s="4" cm="1">
        <f t="array" ref="Q123">INDEX(GMW!$A$2:$LR$60,MATCH(1,(GMW!$LQ$2:$LQ$60=Q$3)*(GMW!$LP$2:$LP$60=Q$4)*(GMW!$LR$2:$LR$60=Q$1),0),$C123-1966)</f>
        <v>419534</v>
      </c>
      <c r="R123" s="4" cm="1">
        <f t="array" ref="R123">INDEX(GMW!$A$2:$LR$60,MATCH(1,(GMW!$LQ$2:$LQ$60=R$3)*(GMW!$LP$2:$LP$60=R$4)*(GMW!$LR$2:$LR$60=R$1),0),$C123-1966)</f>
        <v>419534</v>
      </c>
      <c r="S123" s="4" cm="1">
        <f t="array" ref="S123">INDEX(GMW!$A$2:$LR$60,MATCH(1,(GMW!$LQ$2:$LQ$60=S$3)*(GMW!$LP$2:$LP$60=S$4)*(GMW!$LR$2:$LR$60=S$1),0),$C123-1966)</f>
        <v>419534</v>
      </c>
      <c r="T123" s="4" cm="1">
        <f t="array" ref="T123">INDEX(GMW!$A$2:$LR$60,MATCH(1,(GMW!$LQ$2:$LQ$60=T$3)*(GMW!$LP$2:$LP$60=T$4)*(GMW!$LR$2:$LR$60=T$1),0),$C123-1966)</f>
        <v>419534</v>
      </c>
      <c r="U123" s="4" cm="1">
        <f t="array" ref="U123">INDEX(GMW!$A$2:$LR$60,MATCH(1,(GMW!$LQ$2:$LQ$60=U$3)*(GMW!$LP$2:$LP$60=U$4)*(GMW!$LR$2:$LR$60=U$1),0),$C123-1966)</f>
        <v>333.66669999999999</v>
      </c>
      <c r="V123" s="4" cm="1">
        <f t="array" ref="V123">INDEX(GMW!$A$2:$LR$60,MATCH(1,(GMW!$LQ$2:$LQ$60=V$3)*(GMW!$LP$2:$LP$60=V$4)*(GMW!$LR$2:$LR$60=V$1),0),$C123-1966)</f>
        <v>73.866669999999999</v>
      </c>
      <c r="W123" s="4" cm="1">
        <f t="array" ref="W123">INDEX(GMW!$A$2:$LR$60,MATCH(1,(GMW!$LQ$2:$LQ$60=W$3)*(GMW!$LP$2:$LP$60=W$4)*(GMW!$LR$2:$LR$60=W$1),0),$C123-1966)</f>
        <v>66.233329999999995</v>
      </c>
      <c r="X123" s="4" cm="1">
        <f t="array" ref="X123">INDEX(GMW!$A$2:$LR$60,MATCH(1,(GMW!$LQ$2:$LQ$60=X$3)*(GMW!$LP$2:$LP$60=X$4)*(GMW!$LR$2:$LR$60=X$1),0),$C123-1966)</f>
        <v>63.5</v>
      </c>
      <c r="Y123" s="4" cm="1">
        <f t="array" ref="Y123">INDEX(GMW!$A$2:$LR$60,MATCH(1,(GMW!$LQ$2:$LQ$60=Y$3)*(GMW!$LP$2:$LP$60=Y$4)*(GMW!$LR$2:$LR$60=Y$1),0),$C123-1966)</f>
        <v>38.200000000000003</v>
      </c>
      <c r="Z123" s="4" cm="1">
        <f t="array" ref="Z123">INDEX(GMW!$A$2:$LR$60,MATCH(1,(GMW!$LQ$2:$LQ$60=Z$3)*(GMW!$LP$2:$LP$60=Z$4)*(GMW!$LR$2:$LR$60=Z$1),0),$C123-1966)</f>
        <v>78.466669999999993</v>
      </c>
      <c r="AA123" s="4" cm="1">
        <f t="array" ref="AA123">INDEX(GMW!$A$2:$LR$60,MATCH(1,(GMW!$LQ$2:$LQ$60=AA$3)*(GMW!$LP$2:$LP$60=AA$4)*(GMW!$LR$2:$LR$60=AA$1),0),$C123-1966)</f>
        <v>254651</v>
      </c>
      <c r="AB123" s="4" cm="1">
        <f t="array" ref="AB123">INDEX(GMW!$A$2:$LR$60,MATCH(1,(GMW!$LQ$2:$LQ$60=AB$3)*(GMW!$LP$2:$LP$60=AB$4)*(GMW!$LR$2:$LR$60=AB$1),0),$C123-1966)</f>
        <v>70130</v>
      </c>
      <c r="AC123" s="4" cm="1">
        <f t="array" ref="AC123">INDEX(GMW!$A$2:$LR$60,MATCH(1,(GMW!$LQ$2:$LQ$60=AC$3)*(GMW!$LP$2:$LP$60=AC$4)*(GMW!$LR$2:$LR$60=AC$1),0),$C123-1966)</f>
        <v>78182</v>
      </c>
      <c r="AD123" s="4" cm="1">
        <f t="array" ref="AD123">INDEX(GMW!$A$2:$LR$60,MATCH(1,(GMW!$LQ$2:$LQ$60=AD$3)*(GMW!$LP$2:$LP$60=AD$4)*(GMW!$LR$2:$LR$60=AD$1),0),$C123-1966)</f>
        <v>105311</v>
      </c>
      <c r="AE123" s="4" cm="1">
        <f t="array" ref="AE123">INDEX(GMW!$A$2:$LR$60,MATCH(1,(GMW!$LQ$2:$LQ$60=AE$3)*(GMW!$LP$2:$LP$60=AE$4)*(GMW!$LR$2:$LR$60=AE$1),0),$C123-1966)</f>
        <v>104134</v>
      </c>
      <c r="AF123" s="4" cm="1">
        <f t="array" ref="AF123">INDEX(GMW!$A$2:$LR$60,MATCH(1,(GMW!$LQ$2:$LQ$60=AF$3)*(GMW!$LP$2:$LP$60=AF$4)*(GMW!$LR$2:$LR$60=AF$1),0),$C123-1966)</f>
        <v>1E-3</v>
      </c>
      <c r="AG123" s="4" cm="1">
        <f t="array" ref="AG123">INDEX(GMW!$A$2:$LR$60,MATCH(1,(GMW!$LQ$2:$LQ$60=AG$3)*(GMW!$LP$2:$LP$60=AG$4)*(GMW!$LR$2:$LR$60=AG$1),0),$C123-1966)</f>
        <v>1E-3</v>
      </c>
    </row>
    <row r="124" spans="1:33" x14ac:dyDescent="0.25">
      <c r="B124" s="4">
        <f t="shared" si="3"/>
        <v>2002</v>
      </c>
      <c r="C124" s="4">
        <f t="shared" si="4"/>
        <v>2090</v>
      </c>
      <c r="D124" s="4" cm="1">
        <f t="array" ref="D124">INDEX(GMW!$A$2:$LR$60,MATCH(1,(GMW!$LQ$2:$LQ$60=D$3)*(GMW!$LP$2:$LP$60=D$4)*(GMW!$LR$2:$LR$60=D$1),0),$C124-1966)</f>
        <v>421587</v>
      </c>
      <c r="E124" s="4" cm="1">
        <f t="array" ref="E124">INDEX(GMW!$A$2:$LR$60,MATCH(1,(GMW!$LQ$2:$LQ$60=E$3)*(GMW!$LP$2:$LP$60=E$4)*(GMW!$LR$2:$LR$60=E$1),0),$C124-1966)</f>
        <v>421587</v>
      </c>
      <c r="F124" s="4" cm="1">
        <f t="array" ref="F124">INDEX(GMW!$A$2:$LR$60,MATCH(1,(GMW!$LQ$2:$LQ$60=F$3)*(GMW!$LP$2:$LP$60=F$4)*(GMW!$LR$2:$LR$60=F$1),0),$C124-1966)</f>
        <v>421587</v>
      </c>
      <c r="G124" s="4" cm="1">
        <f t="array" ref="G124">INDEX(GMW!$A$2:$LR$60,MATCH(1,(GMW!$LQ$2:$LQ$60=G$3)*(GMW!$LP$2:$LP$60=G$4)*(GMW!$LR$2:$LR$60=G$1),0),$C124-1966)</f>
        <v>421587</v>
      </c>
      <c r="H124" s="4" cm="1">
        <f t="array" ref="H124">INDEX(GMW!$A$2:$LR$60,MATCH(1,(GMW!$LQ$2:$LQ$60=H$3)*(GMW!$LP$2:$LP$60=H$4)*(GMW!$LR$2:$LR$60=H$1),0),$C124-1966)</f>
        <v>421587</v>
      </c>
      <c r="I124" s="4" cm="1">
        <f t="array" ref="I124">INDEX(GMW!$A$2:$LR$60,MATCH(1,(GMW!$LQ$2:$LQ$60=I$3)*(GMW!$LP$2:$LP$60=I$4)*(GMW!$LR$2:$LR$60=I$1),0),$C124-1966)</f>
        <v>421587</v>
      </c>
      <c r="J124" s="4" cm="1">
        <f t="array" ref="J124">INDEX(GMW!$A$2:$LR$60,MATCH(1,(GMW!$LQ$2:$LQ$60=J$3)*(GMW!$LP$2:$LP$60=J$4)*(GMW!$LR$2:$LR$60=J$1),0),$C124-1966)</f>
        <v>421587</v>
      </c>
      <c r="K124" s="4" cm="1">
        <f t="array" ref="K124">INDEX(GMW!$A$2:$LR$60,MATCH(1,(GMW!$LQ$2:$LQ$60=K$3)*(GMW!$LP$2:$LP$60=K$4)*(GMW!$LR$2:$LR$60=K$1),0),$C124-1966)</f>
        <v>421587</v>
      </c>
      <c r="L124" s="4" cm="1">
        <f t="array" ref="L124">INDEX(GMW!$A$2:$LR$60,MATCH(1,(GMW!$LQ$2:$LQ$60=L$3)*(GMW!$LP$2:$LP$60=L$4)*(GMW!$LR$2:$LR$60=L$1),0),$C124-1966)</f>
        <v>421587</v>
      </c>
      <c r="M124" s="4" cm="1">
        <f t="array" ref="M124">INDEX(GMW!$A$2:$LR$60,MATCH(1,(GMW!$LQ$2:$LQ$60=M$3)*(GMW!$LP$2:$LP$60=M$4)*(GMW!$LR$2:$LR$60=M$1),0),$C124-1966)</f>
        <v>421587</v>
      </c>
      <c r="N124" s="4" cm="1">
        <f t="array" ref="N124">INDEX(GMW!$A$2:$LR$60,MATCH(1,(GMW!$LQ$2:$LQ$60=N$3)*(GMW!$LP$2:$LP$60=N$4)*(GMW!$LR$2:$LR$60=N$1),0),$C124-1966)</f>
        <v>421587</v>
      </c>
      <c r="O124" s="4" cm="1">
        <f t="array" ref="O124">INDEX(GMW!$A$2:$LR$60,MATCH(1,(GMW!$LQ$2:$LQ$60=O$3)*(GMW!$LP$2:$LP$60=O$4)*(GMW!$LR$2:$LR$60=O$1),0),$C124-1966)</f>
        <v>421587</v>
      </c>
      <c r="P124" s="4" cm="1">
        <f t="array" ref="P124">INDEX(GMW!$A$2:$LR$60,MATCH(1,(GMW!$LQ$2:$LQ$60=P$3)*(GMW!$LP$2:$LP$60=P$4)*(GMW!$LR$2:$LR$60=P$1),0),$C124-1966)</f>
        <v>421587</v>
      </c>
      <c r="Q124" s="4" cm="1">
        <f t="array" ref="Q124">INDEX(GMW!$A$2:$LR$60,MATCH(1,(GMW!$LQ$2:$LQ$60=Q$3)*(GMW!$LP$2:$LP$60=Q$4)*(GMW!$LR$2:$LR$60=Q$1),0),$C124-1966)</f>
        <v>421587</v>
      </c>
      <c r="R124" s="4" cm="1">
        <f t="array" ref="R124">INDEX(GMW!$A$2:$LR$60,MATCH(1,(GMW!$LQ$2:$LQ$60=R$3)*(GMW!$LP$2:$LP$60=R$4)*(GMW!$LR$2:$LR$60=R$1),0),$C124-1966)</f>
        <v>421587</v>
      </c>
      <c r="S124" s="4" cm="1">
        <f t="array" ref="S124">INDEX(GMW!$A$2:$LR$60,MATCH(1,(GMW!$LQ$2:$LQ$60=S$3)*(GMW!$LP$2:$LP$60=S$4)*(GMW!$LR$2:$LR$60=S$1),0),$C124-1966)</f>
        <v>421587</v>
      </c>
      <c r="T124" s="4" cm="1">
        <f t="array" ref="T124">INDEX(GMW!$A$2:$LR$60,MATCH(1,(GMW!$LQ$2:$LQ$60=T$3)*(GMW!$LP$2:$LP$60=T$4)*(GMW!$LR$2:$LR$60=T$1),0),$C124-1966)</f>
        <v>421587</v>
      </c>
      <c r="U124" s="4" cm="1">
        <f t="array" ref="U124">INDEX(GMW!$A$2:$LR$60,MATCH(1,(GMW!$LQ$2:$LQ$60=U$3)*(GMW!$LP$2:$LP$60=U$4)*(GMW!$LR$2:$LR$60=U$1),0),$C124-1966)</f>
        <v>339</v>
      </c>
      <c r="V124" s="4" cm="1">
        <f t="array" ref="V124">INDEX(GMW!$A$2:$LR$60,MATCH(1,(GMW!$LQ$2:$LQ$60=V$3)*(GMW!$LP$2:$LP$60=V$4)*(GMW!$LR$2:$LR$60=V$1),0),$C124-1966)</f>
        <v>74.533330000000007</v>
      </c>
      <c r="W124" s="4" cm="1">
        <f t="array" ref="W124">INDEX(GMW!$A$2:$LR$60,MATCH(1,(GMW!$LQ$2:$LQ$60=W$3)*(GMW!$LP$2:$LP$60=W$4)*(GMW!$LR$2:$LR$60=W$1),0),$C124-1966)</f>
        <v>66.133330000000001</v>
      </c>
      <c r="X124" s="4" cm="1">
        <f t="array" ref="X124">INDEX(GMW!$A$2:$LR$60,MATCH(1,(GMW!$LQ$2:$LQ$60=X$3)*(GMW!$LP$2:$LP$60=X$4)*(GMW!$LR$2:$LR$60=X$1),0),$C124-1966)</f>
        <v>66.766670000000005</v>
      </c>
      <c r="Y124" s="4" cm="1">
        <f t="array" ref="Y124">INDEX(GMW!$A$2:$LR$60,MATCH(1,(GMW!$LQ$2:$LQ$60=Y$3)*(GMW!$LP$2:$LP$60=Y$4)*(GMW!$LR$2:$LR$60=Y$1),0),$C124-1966)</f>
        <v>38.4</v>
      </c>
      <c r="Z124" s="4" cm="1">
        <f t="array" ref="Z124">INDEX(GMW!$A$2:$LR$60,MATCH(1,(GMW!$LQ$2:$LQ$60=Z$3)*(GMW!$LP$2:$LP$60=Z$4)*(GMW!$LR$2:$LR$60=Z$1),0),$C124-1966)</f>
        <v>79.233329999999995</v>
      </c>
      <c r="AA124" s="4" cm="1">
        <f t="array" ref="AA124">INDEX(GMW!$A$2:$LR$60,MATCH(1,(GMW!$LQ$2:$LQ$60=AA$3)*(GMW!$LP$2:$LP$60=AA$4)*(GMW!$LR$2:$LR$60=AA$1),0),$C124-1966)</f>
        <v>255669</v>
      </c>
      <c r="AB124" s="4" cm="1">
        <f t="array" ref="AB124">INDEX(GMW!$A$2:$LR$60,MATCH(1,(GMW!$LQ$2:$LQ$60=AB$3)*(GMW!$LP$2:$LP$60=AB$4)*(GMW!$LR$2:$LR$60=AB$1),0),$C124-1966)</f>
        <v>70128</v>
      </c>
      <c r="AC124" s="4" cm="1">
        <f t="array" ref="AC124">INDEX(GMW!$A$2:$LR$60,MATCH(1,(GMW!$LQ$2:$LQ$60=AC$3)*(GMW!$LP$2:$LP$60=AC$4)*(GMW!$LR$2:$LR$60=AC$1),0),$C124-1966)</f>
        <v>79508</v>
      </c>
      <c r="AD124" s="4" cm="1">
        <f t="array" ref="AD124">INDEX(GMW!$A$2:$LR$60,MATCH(1,(GMW!$LQ$2:$LQ$60=AD$3)*(GMW!$LP$2:$LP$60=AD$4)*(GMW!$LR$2:$LR$60=AD$1),0),$C124-1966)</f>
        <v>108384</v>
      </c>
      <c r="AE124" s="4" cm="1">
        <f t="array" ref="AE124">INDEX(GMW!$A$2:$LR$60,MATCH(1,(GMW!$LQ$2:$LQ$60=AE$3)*(GMW!$LP$2:$LP$60=AE$4)*(GMW!$LR$2:$LR$60=AE$1),0),$C124-1966)</f>
        <v>108310</v>
      </c>
      <c r="AF124" s="4" cm="1">
        <f t="array" ref="AF124">INDEX(GMW!$A$2:$LR$60,MATCH(1,(GMW!$LQ$2:$LQ$60=AF$3)*(GMW!$LP$2:$LP$60=AF$4)*(GMW!$LR$2:$LR$60=AF$1),0),$C124-1966)</f>
        <v>1E-3</v>
      </c>
      <c r="AG124" s="4" cm="1">
        <f t="array" ref="AG124">INDEX(GMW!$A$2:$LR$60,MATCH(1,(GMW!$LQ$2:$LQ$60=AG$3)*(GMW!$LP$2:$LP$60=AG$4)*(GMW!$LR$2:$LR$60=AG$1),0),$C124-1966)</f>
        <v>1E-3</v>
      </c>
    </row>
    <row r="125" spans="1:33" x14ac:dyDescent="0.25">
      <c r="B125" s="4">
        <f t="shared" si="3"/>
        <v>2002</v>
      </c>
      <c r="C125" s="4">
        <f t="shared" si="4"/>
        <v>2091</v>
      </c>
      <c r="D125" s="4" cm="1">
        <f t="array" ref="D125">INDEX(GMW!$A$2:$LR$60,MATCH(1,(GMW!$LQ$2:$LQ$60=D$3)*(GMW!$LP$2:$LP$60=D$4)*(GMW!$LR$2:$LR$60=D$1),0),$C125-1966)</f>
        <v>424425</v>
      </c>
      <c r="E125" s="4" cm="1">
        <f t="array" ref="E125">INDEX(GMW!$A$2:$LR$60,MATCH(1,(GMW!$LQ$2:$LQ$60=E$3)*(GMW!$LP$2:$LP$60=E$4)*(GMW!$LR$2:$LR$60=E$1),0),$C125-1966)</f>
        <v>424425</v>
      </c>
      <c r="F125" s="4" cm="1">
        <f t="array" ref="F125">INDEX(GMW!$A$2:$LR$60,MATCH(1,(GMW!$LQ$2:$LQ$60=F$3)*(GMW!$LP$2:$LP$60=F$4)*(GMW!$LR$2:$LR$60=F$1),0),$C125-1966)</f>
        <v>424425</v>
      </c>
      <c r="G125" s="4" cm="1">
        <f t="array" ref="G125">INDEX(GMW!$A$2:$LR$60,MATCH(1,(GMW!$LQ$2:$LQ$60=G$3)*(GMW!$LP$2:$LP$60=G$4)*(GMW!$LR$2:$LR$60=G$1),0),$C125-1966)</f>
        <v>424425</v>
      </c>
      <c r="H125" s="4" cm="1">
        <f t="array" ref="H125">INDEX(GMW!$A$2:$LR$60,MATCH(1,(GMW!$LQ$2:$LQ$60=H$3)*(GMW!$LP$2:$LP$60=H$4)*(GMW!$LR$2:$LR$60=H$1),0),$C125-1966)</f>
        <v>424425</v>
      </c>
      <c r="I125" s="4" cm="1">
        <f t="array" ref="I125">INDEX(GMW!$A$2:$LR$60,MATCH(1,(GMW!$LQ$2:$LQ$60=I$3)*(GMW!$LP$2:$LP$60=I$4)*(GMW!$LR$2:$LR$60=I$1),0),$C125-1966)</f>
        <v>424425</v>
      </c>
      <c r="J125" s="4" cm="1">
        <f t="array" ref="J125">INDEX(GMW!$A$2:$LR$60,MATCH(1,(GMW!$LQ$2:$LQ$60=J$3)*(GMW!$LP$2:$LP$60=J$4)*(GMW!$LR$2:$LR$60=J$1),0),$C125-1966)</f>
        <v>424425</v>
      </c>
      <c r="K125" s="4" cm="1">
        <f t="array" ref="K125">INDEX(GMW!$A$2:$LR$60,MATCH(1,(GMW!$LQ$2:$LQ$60=K$3)*(GMW!$LP$2:$LP$60=K$4)*(GMW!$LR$2:$LR$60=K$1),0),$C125-1966)</f>
        <v>424425</v>
      </c>
      <c r="L125" s="4" cm="1">
        <f t="array" ref="L125">INDEX(GMW!$A$2:$LR$60,MATCH(1,(GMW!$LQ$2:$LQ$60=L$3)*(GMW!$LP$2:$LP$60=L$4)*(GMW!$LR$2:$LR$60=L$1),0),$C125-1966)</f>
        <v>424425</v>
      </c>
      <c r="M125" s="4" cm="1">
        <f t="array" ref="M125">INDEX(GMW!$A$2:$LR$60,MATCH(1,(GMW!$LQ$2:$LQ$60=M$3)*(GMW!$LP$2:$LP$60=M$4)*(GMW!$LR$2:$LR$60=M$1),0),$C125-1966)</f>
        <v>424425</v>
      </c>
      <c r="N125" s="4" cm="1">
        <f t="array" ref="N125">INDEX(GMW!$A$2:$LR$60,MATCH(1,(GMW!$LQ$2:$LQ$60=N$3)*(GMW!$LP$2:$LP$60=N$4)*(GMW!$LR$2:$LR$60=N$1),0),$C125-1966)</f>
        <v>424425</v>
      </c>
      <c r="O125" s="4" cm="1">
        <f t="array" ref="O125">INDEX(GMW!$A$2:$LR$60,MATCH(1,(GMW!$LQ$2:$LQ$60=O$3)*(GMW!$LP$2:$LP$60=O$4)*(GMW!$LR$2:$LR$60=O$1),0),$C125-1966)</f>
        <v>424425</v>
      </c>
      <c r="P125" s="4" cm="1">
        <f t="array" ref="P125">INDEX(GMW!$A$2:$LR$60,MATCH(1,(GMW!$LQ$2:$LQ$60=P$3)*(GMW!$LP$2:$LP$60=P$4)*(GMW!$LR$2:$LR$60=P$1),0),$C125-1966)</f>
        <v>424425</v>
      </c>
      <c r="Q125" s="4" cm="1">
        <f t="array" ref="Q125">INDEX(GMW!$A$2:$LR$60,MATCH(1,(GMW!$LQ$2:$LQ$60=Q$3)*(GMW!$LP$2:$LP$60=Q$4)*(GMW!$LR$2:$LR$60=Q$1),0),$C125-1966)</f>
        <v>424425</v>
      </c>
      <c r="R125" s="4" cm="1">
        <f t="array" ref="R125">INDEX(GMW!$A$2:$LR$60,MATCH(1,(GMW!$LQ$2:$LQ$60=R$3)*(GMW!$LP$2:$LP$60=R$4)*(GMW!$LR$2:$LR$60=R$1),0),$C125-1966)</f>
        <v>424425</v>
      </c>
      <c r="S125" s="4" cm="1">
        <f t="array" ref="S125">INDEX(GMW!$A$2:$LR$60,MATCH(1,(GMW!$LQ$2:$LQ$60=S$3)*(GMW!$LP$2:$LP$60=S$4)*(GMW!$LR$2:$LR$60=S$1),0),$C125-1966)</f>
        <v>424425</v>
      </c>
      <c r="T125" s="4" cm="1">
        <f t="array" ref="T125">INDEX(GMW!$A$2:$LR$60,MATCH(1,(GMW!$LQ$2:$LQ$60=T$3)*(GMW!$LP$2:$LP$60=T$4)*(GMW!$LR$2:$LR$60=T$1),0),$C125-1966)</f>
        <v>424425</v>
      </c>
      <c r="U125" s="4" cm="1">
        <f t="array" ref="U125">INDEX(GMW!$A$2:$LR$60,MATCH(1,(GMW!$LQ$2:$LQ$60=U$3)*(GMW!$LP$2:$LP$60=U$4)*(GMW!$LR$2:$LR$60=U$1),0),$C125-1966)</f>
        <v>341.33330000000001</v>
      </c>
      <c r="V125" s="4" cm="1">
        <f t="array" ref="V125">INDEX(GMW!$A$2:$LR$60,MATCH(1,(GMW!$LQ$2:$LQ$60=V$3)*(GMW!$LP$2:$LP$60=V$4)*(GMW!$LR$2:$LR$60=V$1),0),$C125-1966)</f>
        <v>74.599999999999994</v>
      </c>
      <c r="W125" s="4" cm="1">
        <f t="array" ref="W125">INDEX(GMW!$A$2:$LR$60,MATCH(1,(GMW!$LQ$2:$LQ$60=W$3)*(GMW!$LP$2:$LP$60=W$4)*(GMW!$LR$2:$LR$60=W$1),0),$C125-1966)</f>
        <v>66</v>
      </c>
      <c r="X125" s="4" cm="1">
        <f t="array" ref="X125">INDEX(GMW!$A$2:$LR$60,MATCH(1,(GMW!$LQ$2:$LQ$60=X$3)*(GMW!$LP$2:$LP$60=X$4)*(GMW!$LR$2:$LR$60=X$1),0),$C125-1966)</f>
        <v>66.099999999999994</v>
      </c>
      <c r="Y125" s="4" cm="1">
        <f t="array" ref="Y125">INDEX(GMW!$A$2:$LR$60,MATCH(1,(GMW!$LQ$2:$LQ$60=Y$3)*(GMW!$LP$2:$LP$60=Y$4)*(GMW!$LR$2:$LR$60=Y$1),0),$C125-1966)</f>
        <v>38.466670000000001</v>
      </c>
      <c r="Z125" s="4" cm="1">
        <f t="array" ref="Z125">INDEX(GMW!$A$2:$LR$60,MATCH(1,(GMW!$LQ$2:$LQ$60=Z$3)*(GMW!$LP$2:$LP$60=Z$4)*(GMW!$LR$2:$LR$60=Z$1),0),$C125-1966)</f>
        <v>79.366669999999999</v>
      </c>
      <c r="AA125" s="4" cm="1">
        <f t="array" ref="AA125">INDEX(GMW!$A$2:$LR$60,MATCH(1,(GMW!$LQ$2:$LQ$60=AA$3)*(GMW!$LP$2:$LP$60=AA$4)*(GMW!$LR$2:$LR$60=AA$1),0),$C125-1966)</f>
        <v>258164</v>
      </c>
      <c r="AB125" s="4" cm="1">
        <f t="array" ref="AB125">INDEX(GMW!$A$2:$LR$60,MATCH(1,(GMW!$LQ$2:$LQ$60=AB$3)*(GMW!$LP$2:$LP$60=AB$4)*(GMW!$LR$2:$LR$60=AB$1),0),$C125-1966)</f>
        <v>73834</v>
      </c>
      <c r="AC125" s="4" cm="1">
        <f t="array" ref="AC125">INDEX(GMW!$A$2:$LR$60,MATCH(1,(GMW!$LQ$2:$LQ$60=AC$3)*(GMW!$LP$2:$LP$60=AC$4)*(GMW!$LR$2:$LR$60=AC$1),0),$C125-1966)</f>
        <v>80631</v>
      </c>
      <c r="AD125" s="4" cm="1">
        <f t="array" ref="AD125">INDEX(GMW!$A$2:$LR$60,MATCH(1,(GMW!$LQ$2:$LQ$60=AD$3)*(GMW!$LP$2:$LP$60=AD$4)*(GMW!$LR$2:$LR$60=AD$1),0),$C125-1966)</f>
        <v>107584</v>
      </c>
      <c r="AE125" s="4" cm="1">
        <f t="array" ref="AE125">INDEX(GMW!$A$2:$LR$60,MATCH(1,(GMW!$LQ$2:$LQ$60=AE$3)*(GMW!$LP$2:$LP$60=AE$4)*(GMW!$LR$2:$LR$60=AE$1),0),$C125-1966)</f>
        <v>106780</v>
      </c>
      <c r="AF125" s="4" cm="1">
        <f t="array" ref="AF125">INDEX(GMW!$A$2:$LR$60,MATCH(1,(GMW!$LQ$2:$LQ$60=AF$3)*(GMW!$LP$2:$LP$60=AF$4)*(GMW!$LR$2:$LR$60=AF$1),0),$C125-1966)</f>
        <v>1E-3</v>
      </c>
      <c r="AG125" s="4" cm="1">
        <f t="array" ref="AG125">INDEX(GMW!$A$2:$LR$60,MATCH(1,(GMW!$LQ$2:$LQ$60=AG$3)*(GMW!$LP$2:$LP$60=AG$4)*(GMW!$LR$2:$LR$60=AG$1),0),$C125-1966)</f>
        <v>1E-3</v>
      </c>
    </row>
    <row r="126" spans="1:33" x14ac:dyDescent="0.25">
      <c r="B126" s="4">
        <f t="shared" si="3"/>
        <v>2002</v>
      </c>
      <c r="C126" s="4">
        <f t="shared" si="4"/>
        <v>2092</v>
      </c>
      <c r="D126" s="4" cm="1">
        <f t="array" ref="D126">INDEX(GMW!$A$2:$LR$60,MATCH(1,(GMW!$LQ$2:$LQ$60=D$3)*(GMW!$LP$2:$LP$60=D$4)*(GMW!$LR$2:$LR$60=D$1),0),$C126-1966)</f>
        <v>427725</v>
      </c>
      <c r="E126" s="4" cm="1">
        <f t="array" ref="E126">INDEX(GMW!$A$2:$LR$60,MATCH(1,(GMW!$LQ$2:$LQ$60=E$3)*(GMW!$LP$2:$LP$60=E$4)*(GMW!$LR$2:$LR$60=E$1),0),$C126-1966)</f>
        <v>427725</v>
      </c>
      <c r="F126" s="4" cm="1">
        <f t="array" ref="F126">INDEX(GMW!$A$2:$LR$60,MATCH(1,(GMW!$LQ$2:$LQ$60=F$3)*(GMW!$LP$2:$LP$60=F$4)*(GMW!$LR$2:$LR$60=F$1),0),$C126-1966)</f>
        <v>427725</v>
      </c>
      <c r="G126" s="4" cm="1">
        <f t="array" ref="G126">INDEX(GMW!$A$2:$LR$60,MATCH(1,(GMW!$LQ$2:$LQ$60=G$3)*(GMW!$LP$2:$LP$60=G$4)*(GMW!$LR$2:$LR$60=G$1),0),$C126-1966)</f>
        <v>427725</v>
      </c>
      <c r="H126" s="4" cm="1">
        <f t="array" ref="H126">INDEX(GMW!$A$2:$LR$60,MATCH(1,(GMW!$LQ$2:$LQ$60=H$3)*(GMW!$LP$2:$LP$60=H$4)*(GMW!$LR$2:$LR$60=H$1),0),$C126-1966)</f>
        <v>427725</v>
      </c>
      <c r="I126" s="4" cm="1">
        <f t="array" ref="I126">INDEX(GMW!$A$2:$LR$60,MATCH(1,(GMW!$LQ$2:$LQ$60=I$3)*(GMW!$LP$2:$LP$60=I$4)*(GMW!$LR$2:$LR$60=I$1),0),$C126-1966)</f>
        <v>427725</v>
      </c>
      <c r="J126" s="4" cm="1">
        <f t="array" ref="J126">INDEX(GMW!$A$2:$LR$60,MATCH(1,(GMW!$LQ$2:$LQ$60=J$3)*(GMW!$LP$2:$LP$60=J$4)*(GMW!$LR$2:$LR$60=J$1),0),$C126-1966)</f>
        <v>427725</v>
      </c>
      <c r="K126" s="4" cm="1">
        <f t="array" ref="K126">INDEX(GMW!$A$2:$LR$60,MATCH(1,(GMW!$LQ$2:$LQ$60=K$3)*(GMW!$LP$2:$LP$60=K$4)*(GMW!$LR$2:$LR$60=K$1),0),$C126-1966)</f>
        <v>427725</v>
      </c>
      <c r="L126" s="4" cm="1">
        <f t="array" ref="L126">INDEX(GMW!$A$2:$LR$60,MATCH(1,(GMW!$LQ$2:$LQ$60=L$3)*(GMW!$LP$2:$LP$60=L$4)*(GMW!$LR$2:$LR$60=L$1),0),$C126-1966)</f>
        <v>427725</v>
      </c>
      <c r="M126" s="4" cm="1">
        <f t="array" ref="M126">INDEX(GMW!$A$2:$LR$60,MATCH(1,(GMW!$LQ$2:$LQ$60=M$3)*(GMW!$LP$2:$LP$60=M$4)*(GMW!$LR$2:$LR$60=M$1),0),$C126-1966)</f>
        <v>427725</v>
      </c>
      <c r="N126" s="4" cm="1">
        <f t="array" ref="N126">INDEX(GMW!$A$2:$LR$60,MATCH(1,(GMW!$LQ$2:$LQ$60=N$3)*(GMW!$LP$2:$LP$60=N$4)*(GMW!$LR$2:$LR$60=N$1),0),$C126-1966)</f>
        <v>427725</v>
      </c>
      <c r="O126" s="4" cm="1">
        <f t="array" ref="O126">INDEX(GMW!$A$2:$LR$60,MATCH(1,(GMW!$LQ$2:$LQ$60=O$3)*(GMW!$LP$2:$LP$60=O$4)*(GMW!$LR$2:$LR$60=O$1),0),$C126-1966)</f>
        <v>427725</v>
      </c>
      <c r="P126" s="4" cm="1">
        <f t="array" ref="P126">INDEX(GMW!$A$2:$LR$60,MATCH(1,(GMW!$LQ$2:$LQ$60=P$3)*(GMW!$LP$2:$LP$60=P$4)*(GMW!$LR$2:$LR$60=P$1),0),$C126-1966)</f>
        <v>427725</v>
      </c>
      <c r="Q126" s="4" cm="1">
        <f t="array" ref="Q126">INDEX(GMW!$A$2:$LR$60,MATCH(1,(GMW!$LQ$2:$LQ$60=Q$3)*(GMW!$LP$2:$LP$60=Q$4)*(GMW!$LR$2:$LR$60=Q$1),0),$C126-1966)</f>
        <v>427725</v>
      </c>
      <c r="R126" s="4" cm="1">
        <f t="array" ref="R126">INDEX(GMW!$A$2:$LR$60,MATCH(1,(GMW!$LQ$2:$LQ$60=R$3)*(GMW!$LP$2:$LP$60=R$4)*(GMW!$LR$2:$LR$60=R$1),0),$C126-1966)</f>
        <v>427725</v>
      </c>
      <c r="S126" s="4" cm="1">
        <f t="array" ref="S126">INDEX(GMW!$A$2:$LR$60,MATCH(1,(GMW!$LQ$2:$LQ$60=S$3)*(GMW!$LP$2:$LP$60=S$4)*(GMW!$LR$2:$LR$60=S$1),0),$C126-1966)</f>
        <v>427725</v>
      </c>
      <c r="T126" s="4" cm="1">
        <f t="array" ref="T126">INDEX(GMW!$A$2:$LR$60,MATCH(1,(GMW!$LQ$2:$LQ$60=T$3)*(GMW!$LP$2:$LP$60=T$4)*(GMW!$LR$2:$LR$60=T$1),0),$C126-1966)</f>
        <v>427725</v>
      </c>
      <c r="U126" s="4" cm="1">
        <f t="array" ref="U126">INDEX(GMW!$A$2:$LR$60,MATCH(1,(GMW!$LQ$2:$LQ$60=U$3)*(GMW!$LP$2:$LP$60=U$4)*(GMW!$LR$2:$LR$60=U$1),0),$C126-1966)</f>
        <v>342.66669999999999</v>
      </c>
      <c r="V126" s="4" cm="1">
        <f t="array" ref="V126">INDEX(GMW!$A$2:$LR$60,MATCH(1,(GMW!$LQ$2:$LQ$60=V$3)*(GMW!$LP$2:$LP$60=V$4)*(GMW!$LR$2:$LR$60=V$1),0),$C126-1966)</f>
        <v>75</v>
      </c>
      <c r="W126" s="4" cm="1">
        <f t="array" ref="W126">INDEX(GMW!$A$2:$LR$60,MATCH(1,(GMW!$LQ$2:$LQ$60=W$3)*(GMW!$LP$2:$LP$60=W$4)*(GMW!$LR$2:$LR$60=W$1),0),$C126-1966)</f>
        <v>66</v>
      </c>
      <c r="X126" s="4" cm="1">
        <f t="array" ref="X126">INDEX(GMW!$A$2:$LR$60,MATCH(1,(GMW!$LQ$2:$LQ$60=X$3)*(GMW!$LP$2:$LP$60=X$4)*(GMW!$LR$2:$LR$60=X$1),0),$C126-1966)</f>
        <v>66.333340000000007</v>
      </c>
      <c r="Y126" s="4" cm="1">
        <f t="array" ref="Y126">INDEX(GMW!$A$2:$LR$60,MATCH(1,(GMW!$LQ$2:$LQ$60=Y$3)*(GMW!$LP$2:$LP$60=Y$4)*(GMW!$LR$2:$LR$60=Y$1),0),$C126-1966)</f>
        <v>38.633339999999997</v>
      </c>
      <c r="Z126" s="4" cm="1">
        <f t="array" ref="Z126">INDEX(GMW!$A$2:$LR$60,MATCH(1,(GMW!$LQ$2:$LQ$60=Z$3)*(GMW!$LP$2:$LP$60=Z$4)*(GMW!$LR$2:$LR$60=Z$1),0),$C126-1966)</f>
        <v>79.933329999999998</v>
      </c>
      <c r="AA126" s="4" cm="1">
        <f t="array" ref="AA126">INDEX(GMW!$A$2:$LR$60,MATCH(1,(GMW!$LQ$2:$LQ$60=AA$3)*(GMW!$LP$2:$LP$60=AA$4)*(GMW!$LR$2:$LR$60=AA$1),0),$C126-1966)</f>
        <v>260499</v>
      </c>
      <c r="AB126" s="4" cm="1">
        <f t="array" ref="AB126">INDEX(GMW!$A$2:$LR$60,MATCH(1,(GMW!$LQ$2:$LQ$60=AB$3)*(GMW!$LP$2:$LP$60=AB$4)*(GMW!$LR$2:$LR$60=AB$1),0),$C126-1966)</f>
        <v>77492</v>
      </c>
      <c r="AC126" s="4" cm="1">
        <f t="array" ref="AC126">INDEX(GMW!$A$2:$LR$60,MATCH(1,(GMW!$LQ$2:$LQ$60=AC$3)*(GMW!$LP$2:$LP$60=AC$4)*(GMW!$LR$2:$LR$60=AC$1),0),$C126-1966)</f>
        <v>80726</v>
      </c>
      <c r="AD126" s="4" cm="1">
        <f t="array" ref="AD126">INDEX(GMW!$A$2:$LR$60,MATCH(1,(GMW!$LQ$2:$LQ$60=AD$3)*(GMW!$LP$2:$LP$60=AD$4)*(GMW!$LR$2:$LR$60=AD$1),0),$C126-1966)</f>
        <v>103885</v>
      </c>
      <c r="AE126" s="4" cm="1">
        <f t="array" ref="AE126">INDEX(GMW!$A$2:$LR$60,MATCH(1,(GMW!$LQ$2:$LQ$60=AE$3)*(GMW!$LP$2:$LP$60=AE$4)*(GMW!$LR$2:$LR$60=AE$1),0),$C126-1966)</f>
        <v>106804</v>
      </c>
      <c r="AF126" s="4" cm="1">
        <f t="array" ref="AF126">INDEX(GMW!$A$2:$LR$60,MATCH(1,(GMW!$LQ$2:$LQ$60=AF$3)*(GMW!$LP$2:$LP$60=AF$4)*(GMW!$LR$2:$LR$60=AF$1),0),$C126-1966)</f>
        <v>1E-3</v>
      </c>
      <c r="AG126" s="4" cm="1">
        <f t="array" ref="AG126">INDEX(GMW!$A$2:$LR$60,MATCH(1,(GMW!$LQ$2:$LQ$60=AG$3)*(GMW!$LP$2:$LP$60=AG$4)*(GMW!$LR$2:$LR$60=AG$1),0),$C126-1966)</f>
        <v>1E-3</v>
      </c>
    </row>
    <row r="127" spans="1:33" x14ac:dyDescent="0.25">
      <c r="A127" s="4">
        <v>2003</v>
      </c>
      <c r="B127" s="4">
        <f t="shared" si="3"/>
        <v>2003</v>
      </c>
      <c r="C127" s="4">
        <f t="shared" si="4"/>
        <v>2093</v>
      </c>
      <c r="D127" s="4" cm="1">
        <f t="array" ref="D127">INDEX(GMW!$A$2:$LR$60,MATCH(1,(GMW!$LQ$2:$LQ$60=D$3)*(GMW!$LP$2:$LP$60=D$4)*(GMW!$LR$2:$LR$60=D$1),0),$C127-1966)</f>
        <v>430832</v>
      </c>
      <c r="E127" s="4" cm="1">
        <f t="array" ref="E127">INDEX(GMW!$A$2:$LR$60,MATCH(1,(GMW!$LQ$2:$LQ$60=E$3)*(GMW!$LP$2:$LP$60=E$4)*(GMW!$LR$2:$LR$60=E$1),0),$C127-1966)</f>
        <v>430832</v>
      </c>
      <c r="F127" s="4" cm="1">
        <f t="array" ref="F127">INDEX(GMW!$A$2:$LR$60,MATCH(1,(GMW!$LQ$2:$LQ$60=F$3)*(GMW!$LP$2:$LP$60=F$4)*(GMW!$LR$2:$LR$60=F$1),0),$C127-1966)</f>
        <v>430832</v>
      </c>
      <c r="G127" s="4" cm="1">
        <f t="array" ref="G127">INDEX(GMW!$A$2:$LR$60,MATCH(1,(GMW!$LQ$2:$LQ$60=G$3)*(GMW!$LP$2:$LP$60=G$4)*(GMW!$LR$2:$LR$60=G$1),0),$C127-1966)</f>
        <v>430832</v>
      </c>
      <c r="H127" s="4" cm="1">
        <f t="array" ref="H127">INDEX(GMW!$A$2:$LR$60,MATCH(1,(GMW!$LQ$2:$LQ$60=H$3)*(GMW!$LP$2:$LP$60=H$4)*(GMW!$LR$2:$LR$60=H$1),0),$C127-1966)</f>
        <v>430832</v>
      </c>
      <c r="I127" s="4" cm="1">
        <f t="array" ref="I127">INDEX(GMW!$A$2:$LR$60,MATCH(1,(GMW!$LQ$2:$LQ$60=I$3)*(GMW!$LP$2:$LP$60=I$4)*(GMW!$LR$2:$LR$60=I$1),0),$C127-1966)</f>
        <v>430832</v>
      </c>
      <c r="J127" s="4" cm="1">
        <f t="array" ref="J127">INDEX(GMW!$A$2:$LR$60,MATCH(1,(GMW!$LQ$2:$LQ$60=J$3)*(GMW!$LP$2:$LP$60=J$4)*(GMW!$LR$2:$LR$60=J$1),0),$C127-1966)</f>
        <v>430832</v>
      </c>
      <c r="K127" s="4" cm="1">
        <f t="array" ref="K127">INDEX(GMW!$A$2:$LR$60,MATCH(1,(GMW!$LQ$2:$LQ$60=K$3)*(GMW!$LP$2:$LP$60=K$4)*(GMW!$LR$2:$LR$60=K$1),0),$C127-1966)</f>
        <v>430832</v>
      </c>
      <c r="L127" s="4" cm="1">
        <f t="array" ref="L127">INDEX(GMW!$A$2:$LR$60,MATCH(1,(GMW!$LQ$2:$LQ$60=L$3)*(GMW!$LP$2:$LP$60=L$4)*(GMW!$LR$2:$LR$60=L$1),0),$C127-1966)</f>
        <v>430832</v>
      </c>
      <c r="M127" s="4" cm="1">
        <f t="array" ref="M127">INDEX(GMW!$A$2:$LR$60,MATCH(1,(GMW!$LQ$2:$LQ$60=M$3)*(GMW!$LP$2:$LP$60=M$4)*(GMW!$LR$2:$LR$60=M$1),0),$C127-1966)</f>
        <v>430832</v>
      </c>
      <c r="N127" s="4" cm="1">
        <f t="array" ref="N127">INDEX(GMW!$A$2:$LR$60,MATCH(1,(GMW!$LQ$2:$LQ$60=N$3)*(GMW!$LP$2:$LP$60=N$4)*(GMW!$LR$2:$LR$60=N$1),0),$C127-1966)</f>
        <v>430832</v>
      </c>
      <c r="O127" s="4" cm="1">
        <f t="array" ref="O127">INDEX(GMW!$A$2:$LR$60,MATCH(1,(GMW!$LQ$2:$LQ$60=O$3)*(GMW!$LP$2:$LP$60=O$4)*(GMW!$LR$2:$LR$60=O$1),0),$C127-1966)</f>
        <v>430832</v>
      </c>
      <c r="P127" s="4" cm="1">
        <f t="array" ref="P127">INDEX(GMW!$A$2:$LR$60,MATCH(1,(GMW!$LQ$2:$LQ$60=P$3)*(GMW!$LP$2:$LP$60=P$4)*(GMW!$LR$2:$LR$60=P$1),0),$C127-1966)</f>
        <v>430832</v>
      </c>
      <c r="Q127" s="4" cm="1">
        <f t="array" ref="Q127">INDEX(GMW!$A$2:$LR$60,MATCH(1,(GMW!$LQ$2:$LQ$60=Q$3)*(GMW!$LP$2:$LP$60=Q$4)*(GMW!$LR$2:$LR$60=Q$1),0),$C127-1966)</f>
        <v>430832</v>
      </c>
      <c r="R127" s="4" cm="1">
        <f t="array" ref="R127">INDEX(GMW!$A$2:$LR$60,MATCH(1,(GMW!$LQ$2:$LQ$60=R$3)*(GMW!$LP$2:$LP$60=R$4)*(GMW!$LR$2:$LR$60=R$1),0),$C127-1966)</f>
        <v>430832</v>
      </c>
      <c r="S127" s="4" cm="1">
        <f t="array" ref="S127">INDEX(GMW!$A$2:$LR$60,MATCH(1,(GMW!$LQ$2:$LQ$60=S$3)*(GMW!$LP$2:$LP$60=S$4)*(GMW!$LR$2:$LR$60=S$1),0),$C127-1966)</f>
        <v>430832</v>
      </c>
      <c r="T127" s="4" cm="1">
        <f t="array" ref="T127">INDEX(GMW!$A$2:$LR$60,MATCH(1,(GMW!$LQ$2:$LQ$60=T$3)*(GMW!$LP$2:$LP$60=T$4)*(GMW!$LR$2:$LR$60=T$1),0),$C127-1966)</f>
        <v>430832</v>
      </c>
      <c r="U127" s="4" cm="1">
        <f t="array" ref="U127">INDEX(GMW!$A$2:$LR$60,MATCH(1,(GMW!$LQ$2:$LQ$60=U$3)*(GMW!$LP$2:$LP$60=U$4)*(GMW!$LR$2:$LR$60=U$1),0),$C127-1966)</f>
        <v>343</v>
      </c>
      <c r="V127" s="4" cm="1">
        <f t="array" ref="V127">INDEX(GMW!$A$2:$LR$60,MATCH(1,(GMW!$LQ$2:$LQ$60=V$3)*(GMW!$LP$2:$LP$60=V$4)*(GMW!$LR$2:$LR$60=V$1),0),$C127-1966)</f>
        <v>75</v>
      </c>
      <c r="W127" s="4" cm="1">
        <f t="array" ref="W127">INDEX(GMW!$A$2:$LR$60,MATCH(1,(GMW!$LQ$2:$LQ$60=W$3)*(GMW!$LP$2:$LP$60=W$4)*(GMW!$LR$2:$LR$60=W$1),0),$C127-1966)</f>
        <v>66.3</v>
      </c>
      <c r="X127" s="4" cm="1">
        <f t="array" ref="X127">INDEX(GMW!$A$2:$LR$60,MATCH(1,(GMW!$LQ$2:$LQ$60=X$3)*(GMW!$LP$2:$LP$60=X$4)*(GMW!$LR$2:$LR$60=X$1),0),$C127-1966)</f>
        <v>68.7</v>
      </c>
      <c r="Y127" s="4" cm="1">
        <f t="array" ref="Y127">INDEX(GMW!$A$2:$LR$60,MATCH(1,(GMW!$LQ$2:$LQ$60=Y$3)*(GMW!$LP$2:$LP$60=Y$4)*(GMW!$LR$2:$LR$60=Y$1),0),$C127-1966)</f>
        <v>38.966670000000001</v>
      </c>
      <c r="Z127" s="4" cm="1">
        <f t="array" ref="Z127">INDEX(GMW!$A$2:$LR$60,MATCH(1,(GMW!$LQ$2:$LQ$60=Z$3)*(GMW!$LP$2:$LP$60=Z$4)*(GMW!$LR$2:$LR$60=Z$1),0),$C127-1966)</f>
        <v>79.7</v>
      </c>
      <c r="AA127" s="4" cm="1">
        <f t="array" ref="AA127">INDEX(GMW!$A$2:$LR$60,MATCH(1,(GMW!$LQ$2:$LQ$60=AA$3)*(GMW!$LP$2:$LP$60=AA$4)*(GMW!$LR$2:$LR$60=AA$1),0),$C127-1966)</f>
        <v>262204</v>
      </c>
      <c r="AB127" s="4" cm="1">
        <f t="array" ref="AB127">INDEX(GMW!$A$2:$LR$60,MATCH(1,(GMW!$LQ$2:$LQ$60=AB$3)*(GMW!$LP$2:$LP$60=AB$4)*(GMW!$LR$2:$LR$60=AB$1),0),$C127-1966)</f>
        <v>77778</v>
      </c>
      <c r="AC127" s="4" cm="1">
        <f t="array" ref="AC127">INDEX(GMW!$A$2:$LR$60,MATCH(1,(GMW!$LQ$2:$LQ$60=AC$3)*(GMW!$LP$2:$LP$60=AC$4)*(GMW!$LR$2:$LR$60=AC$1),0),$C127-1966)</f>
        <v>81559</v>
      </c>
      <c r="AD127" s="4" cm="1">
        <f t="array" ref="AD127">INDEX(GMW!$A$2:$LR$60,MATCH(1,(GMW!$LQ$2:$LQ$60=AD$3)*(GMW!$LP$2:$LP$60=AD$4)*(GMW!$LR$2:$LR$60=AD$1),0),$C127-1966)</f>
        <v>108814</v>
      </c>
      <c r="AE127" s="4" cm="1">
        <f t="array" ref="AE127">INDEX(GMW!$A$2:$LR$60,MATCH(1,(GMW!$LQ$2:$LQ$60=AE$3)*(GMW!$LP$2:$LP$60=AE$4)*(GMW!$LR$2:$LR$60=AE$1),0),$C127-1966)</f>
        <v>107404</v>
      </c>
      <c r="AF127" s="4" cm="1">
        <f t="array" ref="AF127">INDEX(GMW!$A$2:$LR$60,MATCH(1,(GMW!$LQ$2:$LQ$60=AF$3)*(GMW!$LP$2:$LP$60=AF$4)*(GMW!$LR$2:$LR$60=AF$1),0),$C127-1966)</f>
        <v>1E-3</v>
      </c>
      <c r="AG127" s="4" cm="1">
        <f t="array" ref="AG127">INDEX(GMW!$A$2:$LR$60,MATCH(1,(GMW!$LQ$2:$LQ$60=AG$3)*(GMW!$LP$2:$LP$60=AG$4)*(GMW!$LR$2:$LR$60=AG$1),0),$C127-1966)</f>
        <v>1E-3</v>
      </c>
    </row>
    <row r="128" spans="1:33" x14ac:dyDescent="0.25">
      <c r="B128" s="4">
        <f t="shared" si="3"/>
        <v>2003</v>
      </c>
      <c r="C128" s="4">
        <f t="shared" si="4"/>
        <v>2094</v>
      </c>
      <c r="D128" s="4" cm="1">
        <f t="array" ref="D128">INDEX(GMW!$A$2:$LR$60,MATCH(1,(GMW!$LQ$2:$LQ$60=D$3)*(GMW!$LP$2:$LP$60=D$4)*(GMW!$LR$2:$LR$60=D$1),0),$C128-1966)</f>
        <v>434837</v>
      </c>
      <c r="E128" s="4" cm="1">
        <f t="array" ref="E128">INDEX(GMW!$A$2:$LR$60,MATCH(1,(GMW!$LQ$2:$LQ$60=E$3)*(GMW!$LP$2:$LP$60=E$4)*(GMW!$LR$2:$LR$60=E$1),0),$C128-1966)</f>
        <v>434837</v>
      </c>
      <c r="F128" s="4" cm="1">
        <f t="array" ref="F128">INDEX(GMW!$A$2:$LR$60,MATCH(1,(GMW!$LQ$2:$LQ$60=F$3)*(GMW!$LP$2:$LP$60=F$4)*(GMW!$LR$2:$LR$60=F$1),0),$C128-1966)</f>
        <v>434837</v>
      </c>
      <c r="G128" s="4" cm="1">
        <f t="array" ref="G128">INDEX(GMW!$A$2:$LR$60,MATCH(1,(GMW!$LQ$2:$LQ$60=G$3)*(GMW!$LP$2:$LP$60=G$4)*(GMW!$LR$2:$LR$60=G$1),0),$C128-1966)</f>
        <v>434837</v>
      </c>
      <c r="H128" s="4" cm="1">
        <f t="array" ref="H128">INDEX(GMW!$A$2:$LR$60,MATCH(1,(GMW!$LQ$2:$LQ$60=H$3)*(GMW!$LP$2:$LP$60=H$4)*(GMW!$LR$2:$LR$60=H$1),0),$C128-1966)</f>
        <v>434837</v>
      </c>
      <c r="I128" s="4" cm="1">
        <f t="array" ref="I128">INDEX(GMW!$A$2:$LR$60,MATCH(1,(GMW!$LQ$2:$LQ$60=I$3)*(GMW!$LP$2:$LP$60=I$4)*(GMW!$LR$2:$LR$60=I$1),0),$C128-1966)</f>
        <v>434837</v>
      </c>
      <c r="J128" s="4" cm="1">
        <f t="array" ref="J128">INDEX(GMW!$A$2:$LR$60,MATCH(1,(GMW!$LQ$2:$LQ$60=J$3)*(GMW!$LP$2:$LP$60=J$4)*(GMW!$LR$2:$LR$60=J$1),0),$C128-1966)</f>
        <v>434837</v>
      </c>
      <c r="K128" s="4" cm="1">
        <f t="array" ref="K128">INDEX(GMW!$A$2:$LR$60,MATCH(1,(GMW!$LQ$2:$LQ$60=K$3)*(GMW!$LP$2:$LP$60=K$4)*(GMW!$LR$2:$LR$60=K$1),0),$C128-1966)</f>
        <v>434837</v>
      </c>
      <c r="L128" s="4" cm="1">
        <f t="array" ref="L128">INDEX(GMW!$A$2:$LR$60,MATCH(1,(GMW!$LQ$2:$LQ$60=L$3)*(GMW!$LP$2:$LP$60=L$4)*(GMW!$LR$2:$LR$60=L$1),0),$C128-1966)</f>
        <v>434837</v>
      </c>
      <c r="M128" s="4" cm="1">
        <f t="array" ref="M128">INDEX(GMW!$A$2:$LR$60,MATCH(1,(GMW!$LQ$2:$LQ$60=M$3)*(GMW!$LP$2:$LP$60=M$4)*(GMW!$LR$2:$LR$60=M$1),0),$C128-1966)</f>
        <v>434837</v>
      </c>
      <c r="N128" s="4" cm="1">
        <f t="array" ref="N128">INDEX(GMW!$A$2:$LR$60,MATCH(1,(GMW!$LQ$2:$LQ$60=N$3)*(GMW!$LP$2:$LP$60=N$4)*(GMW!$LR$2:$LR$60=N$1),0),$C128-1966)</f>
        <v>434837</v>
      </c>
      <c r="O128" s="4" cm="1">
        <f t="array" ref="O128">INDEX(GMW!$A$2:$LR$60,MATCH(1,(GMW!$LQ$2:$LQ$60=O$3)*(GMW!$LP$2:$LP$60=O$4)*(GMW!$LR$2:$LR$60=O$1),0),$C128-1966)</f>
        <v>434837</v>
      </c>
      <c r="P128" s="4" cm="1">
        <f t="array" ref="P128">INDEX(GMW!$A$2:$LR$60,MATCH(1,(GMW!$LQ$2:$LQ$60=P$3)*(GMW!$LP$2:$LP$60=P$4)*(GMW!$LR$2:$LR$60=P$1),0),$C128-1966)</f>
        <v>434837</v>
      </c>
      <c r="Q128" s="4" cm="1">
        <f t="array" ref="Q128">INDEX(GMW!$A$2:$LR$60,MATCH(1,(GMW!$LQ$2:$LQ$60=Q$3)*(GMW!$LP$2:$LP$60=Q$4)*(GMW!$LR$2:$LR$60=Q$1),0),$C128-1966)</f>
        <v>434837</v>
      </c>
      <c r="R128" s="4" cm="1">
        <f t="array" ref="R128">INDEX(GMW!$A$2:$LR$60,MATCH(1,(GMW!$LQ$2:$LQ$60=R$3)*(GMW!$LP$2:$LP$60=R$4)*(GMW!$LR$2:$LR$60=R$1),0),$C128-1966)</f>
        <v>434837</v>
      </c>
      <c r="S128" s="4" cm="1">
        <f t="array" ref="S128">INDEX(GMW!$A$2:$LR$60,MATCH(1,(GMW!$LQ$2:$LQ$60=S$3)*(GMW!$LP$2:$LP$60=S$4)*(GMW!$LR$2:$LR$60=S$1),0),$C128-1966)</f>
        <v>434837</v>
      </c>
      <c r="T128" s="4" cm="1">
        <f t="array" ref="T128">INDEX(GMW!$A$2:$LR$60,MATCH(1,(GMW!$LQ$2:$LQ$60=T$3)*(GMW!$LP$2:$LP$60=T$4)*(GMW!$LR$2:$LR$60=T$1),0),$C128-1966)</f>
        <v>434837</v>
      </c>
      <c r="U128" s="4" cm="1">
        <f t="array" ref="U128">INDEX(GMW!$A$2:$LR$60,MATCH(1,(GMW!$LQ$2:$LQ$60=U$3)*(GMW!$LP$2:$LP$60=U$4)*(GMW!$LR$2:$LR$60=U$1),0),$C128-1966)</f>
        <v>348</v>
      </c>
      <c r="V128" s="4" cm="1">
        <f t="array" ref="V128">INDEX(GMW!$A$2:$LR$60,MATCH(1,(GMW!$LQ$2:$LQ$60=V$3)*(GMW!$LP$2:$LP$60=V$4)*(GMW!$LR$2:$LR$60=V$1),0),$C128-1966)</f>
        <v>75.466669999999993</v>
      </c>
      <c r="W128" s="4" cm="1">
        <f t="array" ref="W128">INDEX(GMW!$A$2:$LR$60,MATCH(1,(GMW!$LQ$2:$LQ$60=W$3)*(GMW!$LP$2:$LP$60=W$4)*(GMW!$LR$2:$LR$60=W$1),0),$C128-1966)</f>
        <v>67.033330000000007</v>
      </c>
      <c r="X128" s="4" cm="1">
        <f t="array" ref="X128">INDEX(GMW!$A$2:$LR$60,MATCH(1,(GMW!$LQ$2:$LQ$60=X$3)*(GMW!$LP$2:$LP$60=X$4)*(GMW!$LR$2:$LR$60=X$1),0),$C128-1966)</f>
        <v>68.099999999999994</v>
      </c>
      <c r="Y128" s="4" cm="1">
        <f t="array" ref="Y128">INDEX(GMW!$A$2:$LR$60,MATCH(1,(GMW!$LQ$2:$LQ$60=Y$3)*(GMW!$LP$2:$LP$60=Y$4)*(GMW!$LR$2:$LR$60=Y$1),0),$C128-1966)</f>
        <v>38.799999999999997</v>
      </c>
      <c r="Z128" s="4" cm="1">
        <f t="array" ref="Z128">INDEX(GMW!$A$2:$LR$60,MATCH(1,(GMW!$LQ$2:$LQ$60=Z$3)*(GMW!$LP$2:$LP$60=Z$4)*(GMW!$LR$2:$LR$60=Z$1),0),$C128-1966)</f>
        <v>80.233329999999995</v>
      </c>
      <c r="AA128" s="4" cm="1">
        <f t="array" ref="AA128">INDEX(GMW!$A$2:$LR$60,MATCH(1,(GMW!$LQ$2:$LQ$60=AA$3)*(GMW!$LP$2:$LP$60=AA$4)*(GMW!$LR$2:$LR$60=AA$1),0),$C128-1966)</f>
        <v>265387</v>
      </c>
      <c r="AB128" s="4" cm="1">
        <f t="array" ref="AB128">INDEX(GMW!$A$2:$LR$60,MATCH(1,(GMW!$LQ$2:$LQ$60=AB$3)*(GMW!$LP$2:$LP$60=AB$4)*(GMW!$LR$2:$LR$60=AB$1),0),$C128-1966)</f>
        <v>72951</v>
      </c>
      <c r="AC128" s="4" cm="1">
        <f t="array" ref="AC128">INDEX(GMW!$A$2:$LR$60,MATCH(1,(GMW!$LQ$2:$LQ$60=AC$3)*(GMW!$LP$2:$LP$60=AC$4)*(GMW!$LR$2:$LR$60=AC$1),0),$C128-1966)</f>
        <v>82704</v>
      </c>
      <c r="AD128" s="4" cm="1">
        <f t="array" ref="AD128">INDEX(GMW!$A$2:$LR$60,MATCH(1,(GMW!$LQ$2:$LQ$60=AD$3)*(GMW!$LP$2:$LP$60=AD$4)*(GMW!$LR$2:$LR$60=AD$1),0),$C128-1966)</f>
        <v>106872</v>
      </c>
      <c r="AE128" s="4" cm="1">
        <f t="array" ref="AE128">INDEX(GMW!$A$2:$LR$60,MATCH(1,(GMW!$LQ$2:$LQ$60=AE$3)*(GMW!$LP$2:$LP$60=AE$4)*(GMW!$LR$2:$LR$60=AE$1),0),$C128-1966)</f>
        <v>106886</v>
      </c>
      <c r="AF128" s="4" cm="1">
        <f t="array" ref="AF128">INDEX(GMW!$A$2:$LR$60,MATCH(1,(GMW!$LQ$2:$LQ$60=AF$3)*(GMW!$LP$2:$LP$60=AF$4)*(GMW!$LR$2:$LR$60=AF$1),0),$C128-1966)</f>
        <v>1E-3</v>
      </c>
      <c r="AG128" s="4" cm="1">
        <f t="array" ref="AG128">INDEX(GMW!$A$2:$LR$60,MATCH(1,(GMW!$LQ$2:$LQ$60=AG$3)*(GMW!$LP$2:$LP$60=AG$4)*(GMW!$LR$2:$LR$60=AG$1),0),$C128-1966)</f>
        <v>1E-3</v>
      </c>
    </row>
    <row r="129" spans="1:33" x14ac:dyDescent="0.25">
      <c r="B129" s="4">
        <f t="shared" si="3"/>
        <v>2003</v>
      </c>
      <c r="C129" s="4">
        <f t="shared" si="4"/>
        <v>2095</v>
      </c>
      <c r="D129" s="4" cm="1">
        <f t="array" ref="D129">INDEX(GMW!$A$2:$LR$60,MATCH(1,(GMW!$LQ$2:$LQ$60=D$3)*(GMW!$LP$2:$LP$60=D$4)*(GMW!$LR$2:$LR$60=D$1),0),$C129-1966)</f>
        <v>438710</v>
      </c>
      <c r="E129" s="4" cm="1">
        <f t="array" ref="E129">INDEX(GMW!$A$2:$LR$60,MATCH(1,(GMW!$LQ$2:$LQ$60=E$3)*(GMW!$LP$2:$LP$60=E$4)*(GMW!$LR$2:$LR$60=E$1),0),$C129-1966)</f>
        <v>438710</v>
      </c>
      <c r="F129" s="4" cm="1">
        <f t="array" ref="F129">INDEX(GMW!$A$2:$LR$60,MATCH(1,(GMW!$LQ$2:$LQ$60=F$3)*(GMW!$LP$2:$LP$60=F$4)*(GMW!$LR$2:$LR$60=F$1),0),$C129-1966)</f>
        <v>438710</v>
      </c>
      <c r="G129" s="4" cm="1">
        <f t="array" ref="G129">INDEX(GMW!$A$2:$LR$60,MATCH(1,(GMW!$LQ$2:$LQ$60=G$3)*(GMW!$LP$2:$LP$60=G$4)*(GMW!$LR$2:$LR$60=G$1),0),$C129-1966)</f>
        <v>438710</v>
      </c>
      <c r="H129" s="4" cm="1">
        <f t="array" ref="H129">INDEX(GMW!$A$2:$LR$60,MATCH(1,(GMW!$LQ$2:$LQ$60=H$3)*(GMW!$LP$2:$LP$60=H$4)*(GMW!$LR$2:$LR$60=H$1),0),$C129-1966)</f>
        <v>438710</v>
      </c>
      <c r="I129" s="4" cm="1">
        <f t="array" ref="I129">INDEX(GMW!$A$2:$LR$60,MATCH(1,(GMW!$LQ$2:$LQ$60=I$3)*(GMW!$LP$2:$LP$60=I$4)*(GMW!$LR$2:$LR$60=I$1),0),$C129-1966)</f>
        <v>438710</v>
      </c>
      <c r="J129" s="4" cm="1">
        <f t="array" ref="J129">INDEX(GMW!$A$2:$LR$60,MATCH(1,(GMW!$LQ$2:$LQ$60=J$3)*(GMW!$LP$2:$LP$60=J$4)*(GMW!$LR$2:$LR$60=J$1),0),$C129-1966)</f>
        <v>438710</v>
      </c>
      <c r="K129" s="4" cm="1">
        <f t="array" ref="K129">INDEX(GMW!$A$2:$LR$60,MATCH(1,(GMW!$LQ$2:$LQ$60=K$3)*(GMW!$LP$2:$LP$60=K$4)*(GMW!$LR$2:$LR$60=K$1),0),$C129-1966)</f>
        <v>438710</v>
      </c>
      <c r="L129" s="4" cm="1">
        <f t="array" ref="L129">INDEX(GMW!$A$2:$LR$60,MATCH(1,(GMW!$LQ$2:$LQ$60=L$3)*(GMW!$LP$2:$LP$60=L$4)*(GMW!$LR$2:$LR$60=L$1),0),$C129-1966)</f>
        <v>438710</v>
      </c>
      <c r="M129" s="4" cm="1">
        <f t="array" ref="M129">INDEX(GMW!$A$2:$LR$60,MATCH(1,(GMW!$LQ$2:$LQ$60=M$3)*(GMW!$LP$2:$LP$60=M$4)*(GMW!$LR$2:$LR$60=M$1),0),$C129-1966)</f>
        <v>438710</v>
      </c>
      <c r="N129" s="4" cm="1">
        <f t="array" ref="N129">INDEX(GMW!$A$2:$LR$60,MATCH(1,(GMW!$LQ$2:$LQ$60=N$3)*(GMW!$LP$2:$LP$60=N$4)*(GMW!$LR$2:$LR$60=N$1),0),$C129-1966)</f>
        <v>438710</v>
      </c>
      <c r="O129" s="4" cm="1">
        <f t="array" ref="O129">INDEX(GMW!$A$2:$LR$60,MATCH(1,(GMW!$LQ$2:$LQ$60=O$3)*(GMW!$LP$2:$LP$60=O$4)*(GMW!$LR$2:$LR$60=O$1),0),$C129-1966)</f>
        <v>438710</v>
      </c>
      <c r="P129" s="4" cm="1">
        <f t="array" ref="P129">INDEX(GMW!$A$2:$LR$60,MATCH(1,(GMW!$LQ$2:$LQ$60=P$3)*(GMW!$LP$2:$LP$60=P$4)*(GMW!$LR$2:$LR$60=P$1),0),$C129-1966)</f>
        <v>438710</v>
      </c>
      <c r="Q129" s="4" cm="1">
        <f t="array" ref="Q129">INDEX(GMW!$A$2:$LR$60,MATCH(1,(GMW!$LQ$2:$LQ$60=Q$3)*(GMW!$LP$2:$LP$60=Q$4)*(GMW!$LR$2:$LR$60=Q$1),0),$C129-1966)</f>
        <v>438710</v>
      </c>
      <c r="R129" s="4" cm="1">
        <f t="array" ref="R129">INDEX(GMW!$A$2:$LR$60,MATCH(1,(GMW!$LQ$2:$LQ$60=R$3)*(GMW!$LP$2:$LP$60=R$4)*(GMW!$LR$2:$LR$60=R$1),0),$C129-1966)</f>
        <v>438710</v>
      </c>
      <c r="S129" s="4" cm="1">
        <f t="array" ref="S129">INDEX(GMW!$A$2:$LR$60,MATCH(1,(GMW!$LQ$2:$LQ$60=S$3)*(GMW!$LP$2:$LP$60=S$4)*(GMW!$LR$2:$LR$60=S$1),0),$C129-1966)</f>
        <v>438710</v>
      </c>
      <c r="T129" s="4" cm="1">
        <f t="array" ref="T129">INDEX(GMW!$A$2:$LR$60,MATCH(1,(GMW!$LQ$2:$LQ$60=T$3)*(GMW!$LP$2:$LP$60=T$4)*(GMW!$LR$2:$LR$60=T$1),0),$C129-1966)</f>
        <v>438710</v>
      </c>
      <c r="U129" s="4" cm="1">
        <f t="array" ref="U129">INDEX(GMW!$A$2:$LR$60,MATCH(1,(GMW!$LQ$2:$LQ$60=U$3)*(GMW!$LP$2:$LP$60=U$4)*(GMW!$LR$2:$LR$60=U$1),0),$C129-1966)</f>
        <v>352.66669999999999</v>
      </c>
      <c r="V129" s="4" cm="1">
        <f t="array" ref="V129">INDEX(GMW!$A$2:$LR$60,MATCH(1,(GMW!$LQ$2:$LQ$60=V$3)*(GMW!$LP$2:$LP$60=V$4)*(GMW!$LR$2:$LR$60=V$1),0),$C129-1966)</f>
        <v>75.599999999999994</v>
      </c>
      <c r="W129" s="4" cm="1">
        <f t="array" ref="W129">INDEX(GMW!$A$2:$LR$60,MATCH(1,(GMW!$LQ$2:$LQ$60=W$3)*(GMW!$LP$2:$LP$60=W$4)*(GMW!$LR$2:$LR$60=W$1),0),$C129-1966)</f>
        <v>67.166659999999993</v>
      </c>
      <c r="X129" s="4" cm="1">
        <f t="array" ref="X129">INDEX(GMW!$A$2:$LR$60,MATCH(1,(GMW!$LQ$2:$LQ$60=X$3)*(GMW!$LP$2:$LP$60=X$4)*(GMW!$LR$2:$LR$60=X$1),0),$C129-1966)</f>
        <v>67.533330000000007</v>
      </c>
      <c r="Y129" s="4" cm="1">
        <f t="array" ref="Y129">INDEX(GMW!$A$2:$LR$60,MATCH(1,(GMW!$LQ$2:$LQ$60=Y$3)*(GMW!$LP$2:$LP$60=Y$4)*(GMW!$LR$2:$LR$60=Y$1),0),$C129-1966)</f>
        <v>39.166670000000003</v>
      </c>
      <c r="Z129" s="4" cm="1">
        <f t="array" ref="Z129">INDEX(GMW!$A$2:$LR$60,MATCH(1,(GMW!$LQ$2:$LQ$60=Z$3)*(GMW!$LP$2:$LP$60=Z$4)*(GMW!$LR$2:$LR$60=Z$1),0),$C129-1966)</f>
        <v>80.366669999999999</v>
      </c>
      <c r="AA129" s="4" cm="1">
        <f t="array" ref="AA129">INDEX(GMW!$A$2:$LR$60,MATCH(1,(GMW!$LQ$2:$LQ$60=AA$3)*(GMW!$LP$2:$LP$60=AA$4)*(GMW!$LR$2:$LR$60=AA$1),0),$C129-1966)</f>
        <v>267161</v>
      </c>
      <c r="AB129" s="4" cm="1">
        <f t="array" ref="AB129">INDEX(GMW!$A$2:$LR$60,MATCH(1,(GMW!$LQ$2:$LQ$60=AB$3)*(GMW!$LP$2:$LP$60=AB$4)*(GMW!$LR$2:$LR$60=AB$1),0),$C129-1966)</f>
        <v>74012</v>
      </c>
      <c r="AC129" s="4" cm="1">
        <f t="array" ref="AC129">INDEX(GMW!$A$2:$LR$60,MATCH(1,(GMW!$LQ$2:$LQ$60=AC$3)*(GMW!$LP$2:$LP$60=AC$4)*(GMW!$LR$2:$LR$60=AC$1),0),$C129-1966)</f>
        <v>83793</v>
      </c>
      <c r="AD129" s="4" cm="1">
        <f t="array" ref="AD129">INDEX(GMW!$A$2:$LR$60,MATCH(1,(GMW!$LQ$2:$LQ$60=AD$3)*(GMW!$LP$2:$LP$60=AD$4)*(GMW!$LR$2:$LR$60=AD$1),0),$C129-1966)</f>
        <v>106922</v>
      </c>
      <c r="AE129" s="4" cm="1">
        <f t="array" ref="AE129">INDEX(GMW!$A$2:$LR$60,MATCH(1,(GMW!$LQ$2:$LQ$60=AE$3)*(GMW!$LP$2:$LP$60=AE$4)*(GMW!$LR$2:$LR$60=AE$1),0),$C129-1966)</f>
        <v>107791</v>
      </c>
      <c r="AF129" s="4" cm="1">
        <f t="array" ref="AF129">INDEX(GMW!$A$2:$LR$60,MATCH(1,(GMW!$LQ$2:$LQ$60=AF$3)*(GMW!$LP$2:$LP$60=AF$4)*(GMW!$LR$2:$LR$60=AF$1),0),$C129-1966)</f>
        <v>1E-3</v>
      </c>
      <c r="AG129" s="4" cm="1">
        <f t="array" ref="AG129">INDEX(GMW!$A$2:$LR$60,MATCH(1,(GMW!$LQ$2:$LQ$60=AG$3)*(GMW!$LP$2:$LP$60=AG$4)*(GMW!$LR$2:$LR$60=AG$1),0),$C129-1966)</f>
        <v>1E-3</v>
      </c>
    </row>
    <row r="130" spans="1:33" x14ac:dyDescent="0.25">
      <c r="B130" s="4">
        <f t="shared" si="3"/>
        <v>2003</v>
      </c>
      <c r="C130" s="4">
        <f t="shared" si="4"/>
        <v>2096</v>
      </c>
      <c r="D130" s="4" cm="1">
        <f t="array" ref="D130">INDEX(GMW!$A$2:$LR$60,MATCH(1,(GMW!$LQ$2:$LQ$60=D$3)*(GMW!$LP$2:$LP$60=D$4)*(GMW!$LR$2:$LR$60=D$1),0),$C130-1966)</f>
        <v>442172</v>
      </c>
      <c r="E130" s="4" cm="1">
        <f t="array" ref="E130">INDEX(GMW!$A$2:$LR$60,MATCH(1,(GMW!$LQ$2:$LQ$60=E$3)*(GMW!$LP$2:$LP$60=E$4)*(GMW!$LR$2:$LR$60=E$1),0),$C130-1966)</f>
        <v>442172</v>
      </c>
      <c r="F130" s="4" cm="1">
        <f t="array" ref="F130">INDEX(GMW!$A$2:$LR$60,MATCH(1,(GMW!$LQ$2:$LQ$60=F$3)*(GMW!$LP$2:$LP$60=F$4)*(GMW!$LR$2:$LR$60=F$1),0),$C130-1966)</f>
        <v>442172</v>
      </c>
      <c r="G130" s="4" cm="1">
        <f t="array" ref="G130">INDEX(GMW!$A$2:$LR$60,MATCH(1,(GMW!$LQ$2:$LQ$60=G$3)*(GMW!$LP$2:$LP$60=G$4)*(GMW!$LR$2:$LR$60=G$1),0),$C130-1966)</f>
        <v>442172</v>
      </c>
      <c r="H130" s="4" cm="1">
        <f t="array" ref="H130">INDEX(GMW!$A$2:$LR$60,MATCH(1,(GMW!$LQ$2:$LQ$60=H$3)*(GMW!$LP$2:$LP$60=H$4)*(GMW!$LR$2:$LR$60=H$1),0),$C130-1966)</f>
        <v>442172</v>
      </c>
      <c r="I130" s="4" cm="1">
        <f t="array" ref="I130">INDEX(GMW!$A$2:$LR$60,MATCH(1,(GMW!$LQ$2:$LQ$60=I$3)*(GMW!$LP$2:$LP$60=I$4)*(GMW!$LR$2:$LR$60=I$1),0),$C130-1966)</f>
        <v>442172</v>
      </c>
      <c r="J130" s="4" cm="1">
        <f t="array" ref="J130">INDEX(GMW!$A$2:$LR$60,MATCH(1,(GMW!$LQ$2:$LQ$60=J$3)*(GMW!$LP$2:$LP$60=J$4)*(GMW!$LR$2:$LR$60=J$1),0),$C130-1966)</f>
        <v>442172</v>
      </c>
      <c r="K130" s="4" cm="1">
        <f t="array" ref="K130">INDEX(GMW!$A$2:$LR$60,MATCH(1,(GMW!$LQ$2:$LQ$60=K$3)*(GMW!$LP$2:$LP$60=K$4)*(GMW!$LR$2:$LR$60=K$1),0),$C130-1966)</f>
        <v>442172</v>
      </c>
      <c r="L130" s="4" cm="1">
        <f t="array" ref="L130">INDEX(GMW!$A$2:$LR$60,MATCH(1,(GMW!$LQ$2:$LQ$60=L$3)*(GMW!$LP$2:$LP$60=L$4)*(GMW!$LR$2:$LR$60=L$1),0),$C130-1966)</f>
        <v>442172</v>
      </c>
      <c r="M130" s="4" cm="1">
        <f t="array" ref="M130">INDEX(GMW!$A$2:$LR$60,MATCH(1,(GMW!$LQ$2:$LQ$60=M$3)*(GMW!$LP$2:$LP$60=M$4)*(GMW!$LR$2:$LR$60=M$1),0),$C130-1966)</f>
        <v>442172</v>
      </c>
      <c r="N130" s="4" cm="1">
        <f t="array" ref="N130">INDEX(GMW!$A$2:$LR$60,MATCH(1,(GMW!$LQ$2:$LQ$60=N$3)*(GMW!$LP$2:$LP$60=N$4)*(GMW!$LR$2:$LR$60=N$1),0),$C130-1966)</f>
        <v>442172</v>
      </c>
      <c r="O130" s="4" cm="1">
        <f t="array" ref="O130">INDEX(GMW!$A$2:$LR$60,MATCH(1,(GMW!$LQ$2:$LQ$60=O$3)*(GMW!$LP$2:$LP$60=O$4)*(GMW!$LR$2:$LR$60=O$1),0),$C130-1966)</f>
        <v>442172</v>
      </c>
      <c r="P130" s="4" cm="1">
        <f t="array" ref="P130">INDEX(GMW!$A$2:$LR$60,MATCH(1,(GMW!$LQ$2:$LQ$60=P$3)*(GMW!$LP$2:$LP$60=P$4)*(GMW!$LR$2:$LR$60=P$1),0),$C130-1966)</f>
        <v>442172</v>
      </c>
      <c r="Q130" s="4" cm="1">
        <f t="array" ref="Q130">INDEX(GMW!$A$2:$LR$60,MATCH(1,(GMW!$LQ$2:$LQ$60=Q$3)*(GMW!$LP$2:$LP$60=Q$4)*(GMW!$LR$2:$LR$60=Q$1),0),$C130-1966)</f>
        <v>442172</v>
      </c>
      <c r="R130" s="4" cm="1">
        <f t="array" ref="R130">INDEX(GMW!$A$2:$LR$60,MATCH(1,(GMW!$LQ$2:$LQ$60=R$3)*(GMW!$LP$2:$LP$60=R$4)*(GMW!$LR$2:$LR$60=R$1),0),$C130-1966)</f>
        <v>442172</v>
      </c>
      <c r="S130" s="4" cm="1">
        <f t="array" ref="S130">INDEX(GMW!$A$2:$LR$60,MATCH(1,(GMW!$LQ$2:$LQ$60=S$3)*(GMW!$LP$2:$LP$60=S$4)*(GMW!$LR$2:$LR$60=S$1),0),$C130-1966)</f>
        <v>442172</v>
      </c>
      <c r="T130" s="4" cm="1">
        <f t="array" ref="T130">INDEX(GMW!$A$2:$LR$60,MATCH(1,(GMW!$LQ$2:$LQ$60=T$3)*(GMW!$LP$2:$LP$60=T$4)*(GMW!$LR$2:$LR$60=T$1),0),$C130-1966)</f>
        <v>442172</v>
      </c>
      <c r="U130" s="4" cm="1">
        <f t="array" ref="U130">INDEX(GMW!$A$2:$LR$60,MATCH(1,(GMW!$LQ$2:$LQ$60=U$3)*(GMW!$LP$2:$LP$60=U$4)*(GMW!$LR$2:$LR$60=U$1),0),$C130-1966)</f>
        <v>357</v>
      </c>
      <c r="V130" s="4" cm="1">
        <f t="array" ref="V130">INDEX(GMW!$A$2:$LR$60,MATCH(1,(GMW!$LQ$2:$LQ$60=V$3)*(GMW!$LP$2:$LP$60=V$4)*(GMW!$LR$2:$LR$60=V$1),0),$C130-1966)</f>
        <v>76.033330000000007</v>
      </c>
      <c r="W130" s="4" cm="1">
        <f t="array" ref="W130">INDEX(GMW!$A$2:$LR$60,MATCH(1,(GMW!$LQ$2:$LQ$60=W$3)*(GMW!$LP$2:$LP$60=W$4)*(GMW!$LR$2:$LR$60=W$1),0),$C130-1966)</f>
        <v>67.566670000000002</v>
      </c>
      <c r="X130" s="4" cm="1">
        <f t="array" ref="X130">INDEX(GMW!$A$2:$LR$60,MATCH(1,(GMW!$LQ$2:$LQ$60=X$3)*(GMW!$LP$2:$LP$60=X$4)*(GMW!$LR$2:$LR$60=X$1),0),$C130-1966)</f>
        <v>67.866669999999999</v>
      </c>
      <c r="Y130" s="4" cm="1">
        <f t="array" ref="Y130">INDEX(GMW!$A$2:$LR$60,MATCH(1,(GMW!$LQ$2:$LQ$60=Y$3)*(GMW!$LP$2:$LP$60=Y$4)*(GMW!$LR$2:$LR$60=Y$1),0),$C130-1966)</f>
        <v>39.566670000000002</v>
      </c>
      <c r="Z130" s="4" cm="1">
        <f t="array" ref="Z130">INDEX(GMW!$A$2:$LR$60,MATCH(1,(GMW!$LQ$2:$LQ$60=Z$3)*(GMW!$LP$2:$LP$60=Z$4)*(GMW!$LR$2:$LR$60=Z$1),0),$C130-1966)</f>
        <v>80.766670000000005</v>
      </c>
      <c r="AA130" s="4" cm="1">
        <f t="array" ref="AA130">INDEX(GMW!$A$2:$LR$60,MATCH(1,(GMW!$LQ$2:$LQ$60=AA$3)*(GMW!$LP$2:$LP$60=AA$4)*(GMW!$LR$2:$LR$60=AA$1),0),$C130-1966)</f>
        <v>268672</v>
      </c>
      <c r="AB130" s="4" cm="1">
        <f t="array" ref="AB130">INDEX(GMW!$A$2:$LR$60,MATCH(1,(GMW!$LQ$2:$LQ$60=AB$3)*(GMW!$LP$2:$LP$60=AB$4)*(GMW!$LR$2:$LR$60=AB$1),0),$C130-1966)</f>
        <v>74176</v>
      </c>
      <c r="AC130" s="4" cm="1">
        <f t="array" ref="AC130">INDEX(GMW!$A$2:$LR$60,MATCH(1,(GMW!$LQ$2:$LQ$60=AC$3)*(GMW!$LP$2:$LP$60=AC$4)*(GMW!$LR$2:$LR$60=AC$1),0),$C130-1966)</f>
        <v>85348</v>
      </c>
      <c r="AD130" s="4" cm="1">
        <f t="array" ref="AD130">INDEX(GMW!$A$2:$LR$60,MATCH(1,(GMW!$LQ$2:$LQ$60=AD$3)*(GMW!$LP$2:$LP$60=AD$4)*(GMW!$LR$2:$LR$60=AD$1),0),$C130-1966)</f>
        <v>109813</v>
      </c>
      <c r="AE130" s="4" cm="1">
        <f t="array" ref="AE130">INDEX(GMW!$A$2:$LR$60,MATCH(1,(GMW!$LQ$2:$LQ$60=AE$3)*(GMW!$LP$2:$LP$60=AE$4)*(GMW!$LR$2:$LR$60=AE$1),0),$C130-1966)</f>
        <v>110963</v>
      </c>
      <c r="AF130" s="4" cm="1">
        <f t="array" ref="AF130">INDEX(GMW!$A$2:$LR$60,MATCH(1,(GMW!$LQ$2:$LQ$60=AF$3)*(GMW!$LP$2:$LP$60=AF$4)*(GMW!$LR$2:$LR$60=AF$1),0),$C130-1966)</f>
        <v>1E-3</v>
      </c>
      <c r="AG130" s="4" cm="1">
        <f t="array" ref="AG130">INDEX(GMW!$A$2:$LR$60,MATCH(1,(GMW!$LQ$2:$LQ$60=AG$3)*(GMW!$LP$2:$LP$60=AG$4)*(GMW!$LR$2:$LR$60=AG$1),0),$C130-1966)</f>
        <v>1E-3</v>
      </c>
    </row>
    <row r="131" spans="1:33" x14ac:dyDescent="0.25">
      <c r="A131" s="4">
        <v>2004</v>
      </c>
      <c r="B131" s="4">
        <f t="shared" si="3"/>
        <v>2004</v>
      </c>
      <c r="C131" s="4">
        <f t="shared" si="4"/>
        <v>2097</v>
      </c>
      <c r="D131" s="4" cm="1">
        <f t="array" ref="D131">INDEX(GMW!$A$2:$LR$60,MATCH(1,(GMW!$LQ$2:$LQ$60=D$3)*(GMW!$LP$2:$LP$60=D$4)*(GMW!$LR$2:$LR$60=D$1),0),$C131-1966)</f>
        <v>443853</v>
      </c>
      <c r="E131" s="4" cm="1">
        <f t="array" ref="E131">INDEX(GMW!$A$2:$LR$60,MATCH(1,(GMW!$LQ$2:$LQ$60=E$3)*(GMW!$LP$2:$LP$60=E$4)*(GMW!$LR$2:$LR$60=E$1),0),$C131-1966)</f>
        <v>443853</v>
      </c>
      <c r="F131" s="4" cm="1">
        <f t="array" ref="F131">INDEX(GMW!$A$2:$LR$60,MATCH(1,(GMW!$LQ$2:$LQ$60=F$3)*(GMW!$LP$2:$LP$60=F$4)*(GMW!$LR$2:$LR$60=F$1),0),$C131-1966)</f>
        <v>443853</v>
      </c>
      <c r="G131" s="4" cm="1">
        <f t="array" ref="G131">INDEX(GMW!$A$2:$LR$60,MATCH(1,(GMW!$LQ$2:$LQ$60=G$3)*(GMW!$LP$2:$LP$60=G$4)*(GMW!$LR$2:$LR$60=G$1),0),$C131-1966)</f>
        <v>443853</v>
      </c>
      <c r="H131" s="4" cm="1">
        <f t="array" ref="H131">INDEX(GMW!$A$2:$LR$60,MATCH(1,(GMW!$LQ$2:$LQ$60=H$3)*(GMW!$LP$2:$LP$60=H$4)*(GMW!$LR$2:$LR$60=H$1),0),$C131-1966)</f>
        <v>443853</v>
      </c>
      <c r="I131" s="4" cm="1">
        <f t="array" ref="I131">INDEX(GMW!$A$2:$LR$60,MATCH(1,(GMW!$LQ$2:$LQ$60=I$3)*(GMW!$LP$2:$LP$60=I$4)*(GMW!$LR$2:$LR$60=I$1),0),$C131-1966)</f>
        <v>443853</v>
      </c>
      <c r="J131" s="4" cm="1">
        <f t="array" ref="J131">INDEX(GMW!$A$2:$LR$60,MATCH(1,(GMW!$LQ$2:$LQ$60=J$3)*(GMW!$LP$2:$LP$60=J$4)*(GMW!$LR$2:$LR$60=J$1),0),$C131-1966)</f>
        <v>443853</v>
      </c>
      <c r="K131" s="4" cm="1">
        <f t="array" ref="K131">INDEX(GMW!$A$2:$LR$60,MATCH(1,(GMW!$LQ$2:$LQ$60=K$3)*(GMW!$LP$2:$LP$60=K$4)*(GMW!$LR$2:$LR$60=K$1),0),$C131-1966)</f>
        <v>443853</v>
      </c>
      <c r="L131" s="4" cm="1">
        <f t="array" ref="L131">INDEX(GMW!$A$2:$LR$60,MATCH(1,(GMW!$LQ$2:$LQ$60=L$3)*(GMW!$LP$2:$LP$60=L$4)*(GMW!$LR$2:$LR$60=L$1),0),$C131-1966)</f>
        <v>443853</v>
      </c>
      <c r="M131" s="4" cm="1">
        <f t="array" ref="M131">INDEX(GMW!$A$2:$LR$60,MATCH(1,(GMW!$LQ$2:$LQ$60=M$3)*(GMW!$LP$2:$LP$60=M$4)*(GMW!$LR$2:$LR$60=M$1),0),$C131-1966)</f>
        <v>443853</v>
      </c>
      <c r="N131" s="4" cm="1">
        <f t="array" ref="N131">INDEX(GMW!$A$2:$LR$60,MATCH(1,(GMW!$LQ$2:$LQ$60=N$3)*(GMW!$LP$2:$LP$60=N$4)*(GMW!$LR$2:$LR$60=N$1),0),$C131-1966)</f>
        <v>443853</v>
      </c>
      <c r="O131" s="4" cm="1">
        <f t="array" ref="O131">INDEX(GMW!$A$2:$LR$60,MATCH(1,(GMW!$LQ$2:$LQ$60=O$3)*(GMW!$LP$2:$LP$60=O$4)*(GMW!$LR$2:$LR$60=O$1),0),$C131-1966)</f>
        <v>443853</v>
      </c>
      <c r="P131" s="4" cm="1">
        <f t="array" ref="P131">INDEX(GMW!$A$2:$LR$60,MATCH(1,(GMW!$LQ$2:$LQ$60=P$3)*(GMW!$LP$2:$LP$60=P$4)*(GMW!$LR$2:$LR$60=P$1),0),$C131-1966)</f>
        <v>443853</v>
      </c>
      <c r="Q131" s="4" cm="1">
        <f t="array" ref="Q131">INDEX(GMW!$A$2:$LR$60,MATCH(1,(GMW!$LQ$2:$LQ$60=Q$3)*(GMW!$LP$2:$LP$60=Q$4)*(GMW!$LR$2:$LR$60=Q$1),0),$C131-1966)</f>
        <v>443853</v>
      </c>
      <c r="R131" s="4" cm="1">
        <f t="array" ref="R131">INDEX(GMW!$A$2:$LR$60,MATCH(1,(GMW!$LQ$2:$LQ$60=R$3)*(GMW!$LP$2:$LP$60=R$4)*(GMW!$LR$2:$LR$60=R$1),0),$C131-1966)</f>
        <v>443853</v>
      </c>
      <c r="S131" s="4" cm="1">
        <f t="array" ref="S131">INDEX(GMW!$A$2:$LR$60,MATCH(1,(GMW!$LQ$2:$LQ$60=S$3)*(GMW!$LP$2:$LP$60=S$4)*(GMW!$LR$2:$LR$60=S$1),0),$C131-1966)</f>
        <v>443853</v>
      </c>
      <c r="T131" s="4" cm="1">
        <f t="array" ref="T131">INDEX(GMW!$A$2:$LR$60,MATCH(1,(GMW!$LQ$2:$LQ$60=T$3)*(GMW!$LP$2:$LP$60=T$4)*(GMW!$LR$2:$LR$60=T$1),0),$C131-1966)</f>
        <v>443853</v>
      </c>
      <c r="U131" s="4" cm="1">
        <f t="array" ref="U131">INDEX(GMW!$A$2:$LR$60,MATCH(1,(GMW!$LQ$2:$LQ$60=U$3)*(GMW!$LP$2:$LP$60=U$4)*(GMW!$LR$2:$LR$60=U$1),0),$C131-1966)</f>
        <v>359</v>
      </c>
      <c r="V131" s="4" cm="1">
        <f t="array" ref="V131">INDEX(GMW!$A$2:$LR$60,MATCH(1,(GMW!$LQ$2:$LQ$60=V$3)*(GMW!$LP$2:$LP$60=V$4)*(GMW!$LR$2:$LR$60=V$1),0),$C131-1966)</f>
        <v>75.966669999999993</v>
      </c>
      <c r="W131" s="4" cm="1">
        <f t="array" ref="W131">INDEX(GMW!$A$2:$LR$60,MATCH(1,(GMW!$LQ$2:$LQ$60=W$3)*(GMW!$LP$2:$LP$60=W$4)*(GMW!$LR$2:$LR$60=W$1),0),$C131-1966)</f>
        <v>67.7</v>
      </c>
      <c r="X131" s="4" cm="1">
        <f t="array" ref="X131">INDEX(GMW!$A$2:$LR$60,MATCH(1,(GMW!$LQ$2:$LQ$60=X$3)*(GMW!$LP$2:$LP$60=X$4)*(GMW!$LR$2:$LR$60=X$1),0),$C131-1966)</f>
        <v>68.599999999999994</v>
      </c>
      <c r="Y131" s="4" cm="1">
        <f t="array" ref="Y131">INDEX(GMW!$A$2:$LR$60,MATCH(1,(GMW!$LQ$2:$LQ$60=Y$3)*(GMW!$LP$2:$LP$60=Y$4)*(GMW!$LR$2:$LR$60=Y$1),0),$C131-1966)</f>
        <v>40.200000000000003</v>
      </c>
      <c r="Z131" s="4" cm="1">
        <f t="array" ref="Z131">INDEX(GMW!$A$2:$LR$60,MATCH(1,(GMW!$LQ$2:$LQ$60=Z$3)*(GMW!$LP$2:$LP$60=Z$4)*(GMW!$LR$2:$LR$60=Z$1),0),$C131-1966)</f>
        <v>80.566670000000002</v>
      </c>
      <c r="AA131" s="4" cm="1">
        <f t="array" ref="AA131">INDEX(GMW!$A$2:$LR$60,MATCH(1,(GMW!$LQ$2:$LQ$60=AA$3)*(GMW!$LP$2:$LP$60=AA$4)*(GMW!$LR$2:$LR$60=AA$1),0),$C131-1966)</f>
        <v>270161</v>
      </c>
      <c r="AB131" s="4" cm="1">
        <f t="array" ref="AB131">INDEX(GMW!$A$2:$LR$60,MATCH(1,(GMW!$LQ$2:$LQ$60=AB$3)*(GMW!$LP$2:$LP$60=AB$4)*(GMW!$LR$2:$LR$60=AB$1),0),$C131-1966)</f>
        <v>76337</v>
      </c>
      <c r="AC131" s="4" cm="1">
        <f t="array" ref="AC131">INDEX(GMW!$A$2:$LR$60,MATCH(1,(GMW!$LQ$2:$LQ$60=AC$3)*(GMW!$LP$2:$LP$60=AC$4)*(GMW!$LR$2:$LR$60=AC$1),0),$C131-1966)</f>
        <v>85615</v>
      </c>
      <c r="AD131" s="4" cm="1">
        <f t="array" ref="AD131">INDEX(GMW!$A$2:$LR$60,MATCH(1,(GMW!$LQ$2:$LQ$60=AD$3)*(GMW!$LP$2:$LP$60=AD$4)*(GMW!$LR$2:$LR$60=AD$1),0),$C131-1966)</f>
        <v>110683</v>
      </c>
      <c r="AE131" s="4" cm="1">
        <f t="array" ref="AE131">INDEX(GMW!$A$2:$LR$60,MATCH(1,(GMW!$LQ$2:$LQ$60=AE$3)*(GMW!$LP$2:$LP$60=AE$4)*(GMW!$LR$2:$LR$60=AE$1),0),$C131-1966)</f>
        <v>111518</v>
      </c>
      <c r="AF131" s="4" cm="1">
        <f t="array" ref="AF131">INDEX(GMW!$A$2:$LR$60,MATCH(1,(GMW!$LQ$2:$LQ$60=AF$3)*(GMW!$LP$2:$LP$60=AF$4)*(GMW!$LR$2:$LR$60=AF$1),0),$C131-1966)</f>
        <v>1E-3</v>
      </c>
      <c r="AG131" s="4" cm="1">
        <f t="array" ref="AG131">INDEX(GMW!$A$2:$LR$60,MATCH(1,(GMW!$LQ$2:$LQ$60=AG$3)*(GMW!$LP$2:$LP$60=AG$4)*(GMW!$LR$2:$LR$60=AG$1),0),$C131-1966)</f>
        <v>1E-3</v>
      </c>
    </row>
    <row r="132" spans="1:33" x14ac:dyDescent="0.25">
      <c r="B132" s="4">
        <f t="shared" si="3"/>
        <v>2004</v>
      </c>
      <c r="C132" s="4">
        <f t="shared" si="4"/>
        <v>2098</v>
      </c>
      <c r="D132" s="4" cm="1">
        <f t="array" ref="D132">INDEX(GMW!$A$2:$LR$60,MATCH(1,(GMW!$LQ$2:$LQ$60=D$3)*(GMW!$LP$2:$LP$60=D$4)*(GMW!$LR$2:$LR$60=D$1),0),$C132-1966)</f>
        <v>446443</v>
      </c>
      <c r="E132" s="4" cm="1">
        <f t="array" ref="E132">INDEX(GMW!$A$2:$LR$60,MATCH(1,(GMW!$LQ$2:$LQ$60=E$3)*(GMW!$LP$2:$LP$60=E$4)*(GMW!$LR$2:$LR$60=E$1),0),$C132-1966)</f>
        <v>446443</v>
      </c>
      <c r="F132" s="4" cm="1">
        <f t="array" ref="F132">INDEX(GMW!$A$2:$LR$60,MATCH(1,(GMW!$LQ$2:$LQ$60=F$3)*(GMW!$LP$2:$LP$60=F$4)*(GMW!$LR$2:$LR$60=F$1),0),$C132-1966)</f>
        <v>446443</v>
      </c>
      <c r="G132" s="4" cm="1">
        <f t="array" ref="G132">INDEX(GMW!$A$2:$LR$60,MATCH(1,(GMW!$LQ$2:$LQ$60=G$3)*(GMW!$LP$2:$LP$60=G$4)*(GMW!$LR$2:$LR$60=G$1),0),$C132-1966)</f>
        <v>446443</v>
      </c>
      <c r="H132" s="4" cm="1">
        <f t="array" ref="H132">INDEX(GMW!$A$2:$LR$60,MATCH(1,(GMW!$LQ$2:$LQ$60=H$3)*(GMW!$LP$2:$LP$60=H$4)*(GMW!$LR$2:$LR$60=H$1),0),$C132-1966)</f>
        <v>446443</v>
      </c>
      <c r="I132" s="4" cm="1">
        <f t="array" ref="I132">INDEX(GMW!$A$2:$LR$60,MATCH(1,(GMW!$LQ$2:$LQ$60=I$3)*(GMW!$LP$2:$LP$60=I$4)*(GMW!$LR$2:$LR$60=I$1),0),$C132-1966)</f>
        <v>446443</v>
      </c>
      <c r="J132" s="4" cm="1">
        <f t="array" ref="J132">INDEX(GMW!$A$2:$LR$60,MATCH(1,(GMW!$LQ$2:$LQ$60=J$3)*(GMW!$LP$2:$LP$60=J$4)*(GMW!$LR$2:$LR$60=J$1),0),$C132-1966)</f>
        <v>446443</v>
      </c>
      <c r="K132" s="4" cm="1">
        <f t="array" ref="K132">INDEX(GMW!$A$2:$LR$60,MATCH(1,(GMW!$LQ$2:$LQ$60=K$3)*(GMW!$LP$2:$LP$60=K$4)*(GMW!$LR$2:$LR$60=K$1),0),$C132-1966)</f>
        <v>446443</v>
      </c>
      <c r="L132" s="4" cm="1">
        <f t="array" ref="L132">INDEX(GMW!$A$2:$LR$60,MATCH(1,(GMW!$LQ$2:$LQ$60=L$3)*(GMW!$LP$2:$LP$60=L$4)*(GMW!$LR$2:$LR$60=L$1),0),$C132-1966)</f>
        <v>446443</v>
      </c>
      <c r="M132" s="4" cm="1">
        <f t="array" ref="M132">INDEX(GMW!$A$2:$LR$60,MATCH(1,(GMW!$LQ$2:$LQ$60=M$3)*(GMW!$LP$2:$LP$60=M$4)*(GMW!$LR$2:$LR$60=M$1),0),$C132-1966)</f>
        <v>446443</v>
      </c>
      <c r="N132" s="4" cm="1">
        <f t="array" ref="N132">INDEX(GMW!$A$2:$LR$60,MATCH(1,(GMW!$LQ$2:$LQ$60=N$3)*(GMW!$LP$2:$LP$60=N$4)*(GMW!$LR$2:$LR$60=N$1),0),$C132-1966)</f>
        <v>446443</v>
      </c>
      <c r="O132" s="4" cm="1">
        <f t="array" ref="O132">INDEX(GMW!$A$2:$LR$60,MATCH(1,(GMW!$LQ$2:$LQ$60=O$3)*(GMW!$LP$2:$LP$60=O$4)*(GMW!$LR$2:$LR$60=O$1),0),$C132-1966)</f>
        <v>446443</v>
      </c>
      <c r="P132" s="4" cm="1">
        <f t="array" ref="P132">INDEX(GMW!$A$2:$LR$60,MATCH(1,(GMW!$LQ$2:$LQ$60=P$3)*(GMW!$LP$2:$LP$60=P$4)*(GMW!$LR$2:$LR$60=P$1),0),$C132-1966)</f>
        <v>446443</v>
      </c>
      <c r="Q132" s="4" cm="1">
        <f t="array" ref="Q132">INDEX(GMW!$A$2:$LR$60,MATCH(1,(GMW!$LQ$2:$LQ$60=Q$3)*(GMW!$LP$2:$LP$60=Q$4)*(GMW!$LR$2:$LR$60=Q$1),0),$C132-1966)</f>
        <v>446443</v>
      </c>
      <c r="R132" s="4" cm="1">
        <f t="array" ref="R132">INDEX(GMW!$A$2:$LR$60,MATCH(1,(GMW!$LQ$2:$LQ$60=R$3)*(GMW!$LP$2:$LP$60=R$4)*(GMW!$LR$2:$LR$60=R$1),0),$C132-1966)</f>
        <v>446443</v>
      </c>
      <c r="S132" s="4" cm="1">
        <f t="array" ref="S132">INDEX(GMW!$A$2:$LR$60,MATCH(1,(GMW!$LQ$2:$LQ$60=S$3)*(GMW!$LP$2:$LP$60=S$4)*(GMW!$LR$2:$LR$60=S$1),0),$C132-1966)</f>
        <v>446443</v>
      </c>
      <c r="T132" s="4" cm="1">
        <f t="array" ref="T132">INDEX(GMW!$A$2:$LR$60,MATCH(1,(GMW!$LQ$2:$LQ$60=T$3)*(GMW!$LP$2:$LP$60=T$4)*(GMW!$LR$2:$LR$60=T$1),0),$C132-1966)</f>
        <v>446443</v>
      </c>
      <c r="U132" s="4" cm="1">
        <f t="array" ref="U132">INDEX(GMW!$A$2:$LR$60,MATCH(1,(GMW!$LQ$2:$LQ$60=U$3)*(GMW!$LP$2:$LP$60=U$4)*(GMW!$LR$2:$LR$60=U$1),0),$C132-1966)</f>
        <v>363</v>
      </c>
      <c r="V132" s="4" cm="1">
        <f t="array" ref="V132">INDEX(GMW!$A$2:$LR$60,MATCH(1,(GMW!$LQ$2:$LQ$60=V$3)*(GMW!$LP$2:$LP$60=V$4)*(GMW!$LR$2:$LR$60=V$1),0),$C132-1966)</f>
        <v>76.533330000000007</v>
      </c>
      <c r="W132" s="4" cm="1">
        <f t="array" ref="W132">INDEX(GMW!$A$2:$LR$60,MATCH(1,(GMW!$LQ$2:$LQ$60=W$3)*(GMW!$LP$2:$LP$60=W$4)*(GMW!$LR$2:$LR$60=W$1),0),$C132-1966)</f>
        <v>67.900000000000006</v>
      </c>
      <c r="X132" s="4" cm="1">
        <f t="array" ref="X132">INDEX(GMW!$A$2:$LR$60,MATCH(1,(GMW!$LQ$2:$LQ$60=X$3)*(GMW!$LP$2:$LP$60=X$4)*(GMW!$LR$2:$LR$60=X$1),0),$C132-1966)</f>
        <v>71.833340000000007</v>
      </c>
      <c r="Y132" s="4" cm="1">
        <f t="array" ref="Y132">INDEX(GMW!$A$2:$LR$60,MATCH(1,(GMW!$LQ$2:$LQ$60=Y$3)*(GMW!$LP$2:$LP$60=Y$4)*(GMW!$LR$2:$LR$60=Y$1),0),$C132-1966)</f>
        <v>41.333329999999997</v>
      </c>
      <c r="Z132" s="4" cm="1">
        <f t="array" ref="Z132">INDEX(GMW!$A$2:$LR$60,MATCH(1,(GMW!$LQ$2:$LQ$60=Z$3)*(GMW!$LP$2:$LP$60=Z$4)*(GMW!$LR$2:$LR$60=Z$1),0),$C132-1966)</f>
        <v>81.133330000000001</v>
      </c>
      <c r="AA132" s="4" cm="1">
        <f t="array" ref="AA132">INDEX(GMW!$A$2:$LR$60,MATCH(1,(GMW!$LQ$2:$LQ$60=AA$3)*(GMW!$LP$2:$LP$60=AA$4)*(GMW!$LR$2:$LR$60=AA$1),0),$C132-1966)</f>
        <v>272609</v>
      </c>
      <c r="AB132" s="4" cm="1">
        <f t="array" ref="AB132">INDEX(GMW!$A$2:$LR$60,MATCH(1,(GMW!$LQ$2:$LQ$60=AB$3)*(GMW!$LP$2:$LP$60=AB$4)*(GMW!$LR$2:$LR$60=AB$1),0),$C132-1966)</f>
        <v>75848</v>
      </c>
      <c r="AC132" s="4" cm="1">
        <f t="array" ref="AC132">INDEX(GMW!$A$2:$LR$60,MATCH(1,(GMW!$LQ$2:$LQ$60=AC$3)*(GMW!$LP$2:$LP$60=AC$4)*(GMW!$LR$2:$LR$60=AC$1),0),$C132-1966)</f>
        <v>86593</v>
      </c>
      <c r="AD132" s="4" cm="1">
        <f t="array" ref="AD132">INDEX(GMW!$A$2:$LR$60,MATCH(1,(GMW!$LQ$2:$LQ$60=AD$3)*(GMW!$LP$2:$LP$60=AD$4)*(GMW!$LR$2:$LR$60=AD$1),0),$C132-1966)</f>
        <v>112338</v>
      </c>
      <c r="AE132" s="4" cm="1">
        <f t="array" ref="AE132">INDEX(GMW!$A$2:$LR$60,MATCH(1,(GMW!$LQ$2:$LQ$60=AE$3)*(GMW!$LP$2:$LP$60=AE$4)*(GMW!$LR$2:$LR$60=AE$1),0),$C132-1966)</f>
        <v>114226</v>
      </c>
      <c r="AF132" s="4" cm="1">
        <f t="array" ref="AF132">INDEX(GMW!$A$2:$LR$60,MATCH(1,(GMW!$LQ$2:$LQ$60=AF$3)*(GMW!$LP$2:$LP$60=AF$4)*(GMW!$LR$2:$LR$60=AF$1),0),$C132-1966)</f>
        <v>1E-3</v>
      </c>
      <c r="AG132" s="4" cm="1">
        <f t="array" ref="AG132">INDEX(GMW!$A$2:$LR$60,MATCH(1,(GMW!$LQ$2:$LQ$60=AG$3)*(GMW!$LP$2:$LP$60=AG$4)*(GMW!$LR$2:$LR$60=AG$1),0),$C132-1966)</f>
        <v>1E-3</v>
      </c>
    </row>
    <row r="133" spans="1:33" x14ac:dyDescent="0.25">
      <c r="B133" s="4">
        <f t="shared" si="3"/>
        <v>2004</v>
      </c>
      <c r="C133" s="4">
        <f t="shared" si="4"/>
        <v>2099</v>
      </c>
      <c r="D133" s="4" cm="1">
        <f t="array" ref="D133">INDEX(GMW!$A$2:$LR$60,MATCH(1,(GMW!$LQ$2:$LQ$60=D$3)*(GMW!$LP$2:$LP$60=D$4)*(GMW!$LR$2:$LR$60=D$1),0),$C133-1966)</f>
        <v>448171</v>
      </c>
      <c r="E133" s="4" cm="1">
        <f t="array" ref="E133">INDEX(GMW!$A$2:$LR$60,MATCH(1,(GMW!$LQ$2:$LQ$60=E$3)*(GMW!$LP$2:$LP$60=E$4)*(GMW!$LR$2:$LR$60=E$1),0),$C133-1966)</f>
        <v>448171</v>
      </c>
      <c r="F133" s="4" cm="1">
        <f t="array" ref="F133">INDEX(GMW!$A$2:$LR$60,MATCH(1,(GMW!$LQ$2:$LQ$60=F$3)*(GMW!$LP$2:$LP$60=F$4)*(GMW!$LR$2:$LR$60=F$1),0),$C133-1966)</f>
        <v>448171</v>
      </c>
      <c r="G133" s="4" cm="1">
        <f t="array" ref="G133">INDEX(GMW!$A$2:$LR$60,MATCH(1,(GMW!$LQ$2:$LQ$60=G$3)*(GMW!$LP$2:$LP$60=G$4)*(GMW!$LR$2:$LR$60=G$1),0),$C133-1966)</f>
        <v>448171</v>
      </c>
      <c r="H133" s="4" cm="1">
        <f t="array" ref="H133">INDEX(GMW!$A$2:$LR$60,MATCH(1,(GMW!$LQ$2:$LQ$60=H$3)*(GMW!$LP$2:$LP$60=H$4)*(GMW!$LR$2:$LR$60=H$1),0),$C133-1966)</f>
        <v>448171</v>
      </c>
      <c r="I133" s="4" cm="1">
        <f t="array" ref="I133">INDEX(GMW!$A$2:$LR$60,MATCH(1,(GMW!$LQ$2:$LQ$60=I$3)*(GMW!$LP$2:$LP$60=I$4)*(GMW!$LR$2:$LR$60=I$1),0),$C133-1966)</f>
        <v>448171</v>
      </c>
      <c r="J133" s="4" cm="1">
        <f t="array" ref="J133">INDEX(GMW!$A$2:$LR$60,MATCH(1,(GMW!$LQ$2:$LQ$60=J$3)*(GMW!$LP$2:$LP$60=J$4)*(GMW!$LR$2:$LR$60=J$1),0),$C133-1966)</f>
        <v>448171</v>
      </c>
      <c r="K133" s="4" cm="1">
        <f t="array" ref="K133">INDEX(GMW!$A$2:$LR$60,MATCH(1,(GMW!$LQ$2:$LQ$60=K$3)*(GMW!$LP$2:$LP$60=K$4)*(GMW!$LR$2:$LR$60=K$1),0),$C133-1966)</f>
        <v>448171</v>
      </c>
      <c r="L133" s="4" cm="1">
        <f t="array" ref="L133">INDEX(GMW!$A$2:$LR$60,MATCH(1,(GMW!$LQ$2:$LQ$60=L$3)*(GMW!$LP$2:$LP$60=L$4)*(GMW!$LR$2:$LR$60=L$1),0),$C133-1966)</f>
        <v>448171</v>
      </c>
      <c r="M133" s="4" cm="1">
        <f t="array" ref="M133">INDEX(GMW!$A$2:$LR$60,MATCH(1,(GMW!$LQ$2:$LQ$60=M$3)*(GMW!$LP$2:$LP$60=M$4)*(GMW!$LR$2:$LR$60=M$1),0),$C133-1966)</f>
        <v>448171</v>
      </c>
      <c r="N133" s="4" cm="1">
        <f t="array" ref="N133">INDEX(GMW!$A$2:$LR$60,MATCH(1,(GMW!$LQ$2:$LQ$60=N$3)*(GMW!$LP$2:$LP$60=N$4)*(GMW!$LR$2:$LR$60=N$1),0),$C133-1966)</f>
        <v>448171</v>
      </c>
      <c r="O133" s="4" cm="1">
        <f t="array" ref="O133">INDEX(GMW!$A$2:$LR$60,MATCH(1,(GMW!$LQ$2:$LQ$60=O$3)*(GMW!$LP$2:$LP$60=O$4)*(GMW!$LR$2:$LR$60=O$1),0),$C133-1966)</f>
        <v>448171</v>
      </c>
      <c r="P133" s="4" cm="1">
        <f t="array" ref="P133">INDEX(GMW!$A$2:$LR$60,MATCH(1,(GMW!$LQ$2:$LQ$60=P$3)*(GMW!$LP$2:$LP$60=P$4)*(GMW!$LR$2:$LR$60=P$1),0),$C133-1966)</f>
        <v>448171</v>
      </c>
      <c r="Q133" s="4" cm="1">
        <f t="array" ref="Q133">INDEX(GMW!$A$2:$LR$60,MATCH(1,(GMW!$LQ$2:$LQ$60=Q$3)*(GMW!$LP$2:$LP$60=Q$4)*(GMW!$LR$2:$LR$60=Q$1),0),$C133-1966)</f>
        <v>448171</v>
      </c>
      <c r="R133" s="4" cm="1">
        <f t="array" ref="R133">INDEX(GMW!$A$2:$LR$60,MATCH(1,(GMW!$LQ$2:$LQ$60=R$3)*(GMW!$LP$2:$LP$60=R$4)*(GMW!$LR$2:$LR$60=R$1),0),$C133-1966)</f>
        <v>448171</v>
      </c>
      <c r="S133" s="4" cm="1">
        <f t="array" ref="S133">INDEX(GMW!$A$2:$LR$60,MATCH(1,(GMW!$LQ$2:$LQ$60=S$3)*(GMW!$LP$2:$LP$60=S$4)*(GMW!$LR$2:$LR$60=S$1),0),$C133-1966)</f>
        <v>448171</v>
      </c>
      <c r="T133" s="4" cm="1">
        <f t="array" ref="T133">INDEX(GMW!$A$2:$LR$60,MATCH(1,(GMW!$LQ$2:$LQ$60=T$3)*(GMW!$LP$2:$LP$60=T$4)*(GMW!$LR$2:$LR$60=T$1),0),$C133-1966)</f>
        <v>448171</v>
      </c>
      <c r="U133" s="4" cm="1">
        <f t="array" ref="U133">INDEX(GMW!$A$2:$LR$60,MATCH(1,(GMW!$LQ$2:$LQ$60=U$3)*(GMW!$LP$2:$LP$60=U$4)*(GMW!$LR$2:$LR$60=U$1),0),$C133-1966)</f>
        <v>367</v>
      </c>
      <c r="V133" s="4" cm="1">
        <f t="array" ref="V133">INDEX(GMW!$A$2:$LR$60,MATCH(1,(GMW!$LQ$2:$LQ$60=V$3)*(GMW!$LP$2:$LP$60=V$4)*(GMW!$LR$2:$LR$60=V$1),0),$C133-1966)</f>
        <v>76.566670000000002</v>
      </c>
      <c r="W133" s="4" cm="1">
        <f t="array" ref="W133">INDEX(GMW!$A$2:$LR$60,MATCH(1,(GMW!$LQ$2:$LQ$60=W$3)*(GMW!$LP$2:$LP$60=W$4)*(GMW!$LR$2:$LR$60=W$1),0),$C133-1966)</f>
        <v>67.5</v>
      </c>
      <c r="X133" s="4" cm="1">
        <f t="array" ref="X133">INDEX(GMW!$A$2:$LR$60,MATCH(1,(GMW!$LQ$2:$LQ$60=X$3)*(GMW!$LP$2:$LP$60=X$4)*(GMW!$LR$2:$LR$60=X$1),0),$C133-1966)</f>
        <v>72.433329999999998</v>
      </c>
      <c r="Y133" s="4" cm="1">
        <f t="array" ref="Y133">INDEX(GMW!$A$2:$LR$60,MATCH(1,(GMW!$LQ$2:$LQ$60=Y$3)*(GMW!$LP$2:$LP$60=Y$4)*(GMW!$LR$2:$LR$60=Y$1),0),$C133-1966)</f>
        <v>41.866660000000003</v>
      </c>
      <c r="Z133" s="4" cm="1">
        <f t="array" ref="Z133">INDEX(GMW!$A$2:$LR$60,MATCH(1,(GMW!$LQ$2:$LQ$60=Z$3)*(GMW!$LP$2:$LP$60=Z$4)*(GMW!$LR$2:$LR$60=Z$1),0),$C133-1966)</f>
        <v>81.166659999999993</v>
      </c>
      <c r="AA133" s="4" cm="1">
        <f t="array" ref="AA133">INDEX(GMW!$A$2:$LR$60,MATCH(1,(GMW!$LQ$2:$LQ$60=AA$3)*(GMW!$LP$2:$LP$60=AA$4)*(GMW!$LR$2:$LR$60=AA$1),0),$C133-1966)</f>
        <v>273932</v>
      </c>
      <c r="AB133" s="4" cm="1">
        <f t="array" ref="AB133">INDEX(GMW!$A$2:$LR$60,MATCH(1,(GMW!$LQ$2:$LQ$60=AB$3)*(GMW!$LP$2:$LP$60=AB$4)*(GMW!$LR$2:$LR$60=AB$1),0),$C133-1966)</f>
        <v>77191</v>
      </c>
      <c r="AC133" s="4" cm="1">
        <f t="array" ref="AC133">INDEX(GMW!$A$2:$LR$60,MATCH(1,(GMW!$LQ$2:$LQ$60=AC$3)*(GMW!$LP$2:$LP$60=AC$4)*(GMW!$LR$2:$LR$60=AC$1),0),$C133-1966)</f>
        <v>87065</v>
      </c>
      <c r="AD133" s="4" cm="1">
        <f t="array" ref="AD133">INDEX(GMW!$A$2:$LR$60,MATCH(1,(GMW!$LQ$2:$LQ$60=AD$3)*(GMW!$LP$2:$LP$60=AD$4)*(GMW!$LR$2:$LR$60=AD$1),0),$C133-1966)</f>
        <v>113785</v>
      </c>
      <c r="AE133" s="4" cm="1">
        <f t="array" ref="AE133">INDEX(GMW!$A$2:$LR$60,MATCH(1,(GMW!$LQ$2:$LQ$60=AE$3)*(GMW!$LP$2:$LP$60=AE$4)*(GMW!$LR$2:$LR$60=AE$1),0),$C133-1966)</f>
        <v>117309</v>
      </c>
      <c r="AF133" s="4" cm="1">
        <f t="array" ref="AF133">INDEX(GMW!$A$2:$LR$60,MATCH(1,(GMW!$LQ$2:$LQ$60=AF$3)*(GMW!$LP$2:$LP$60=AF$4)*(GMW!$LR$2:$LR$60=AF$1),0),$C133-1966)</f>
        <v>1E-3</v>
      </c>
      <c r="AG133" s="4" cm="1">
        <f t="array" ref="AG133">INDEX(GMW!$A$2:$LR$60,MATCH(1,(GMW!$LQ$2:$LQ$60=AG$3)*(GMW!$LP$2:$LP$60=AG$4)*(GMW!$LR$2:$LR$60=AG$1),0),$C133-1966)</f>
        <v>1E-3</v>
      </c>
    </row>
    <row r="134" spans="1:33" x14ac:dyDescent="0.25">
      <c r="B134" s="4">
        <f t="shared" si="3"/>
        <v>2004</v>
      </c>
      <c r="C134" s="4">
        <f t="shared" si="4"/>
        <v>2100</v>
      </c>
      <c r="D134" s="4" cm="1">
        <f t="array" ref="D134">INDEX(GMW!$A$2:$LR$60,MATCH(1,(GMW!$LQ$2:$LQ$60=D$3)*(GMW!$LP$2:$LP$60=D$4)*(GMW!$LR$2:$LR$60=D$1),0),$C134-1966)</f>
        <v>450464</v>
      </c>
      <c r="E134" s="4" cm="1">
        <f t="array" ref="E134">INDEX(GMW!$A$2:$LR$60,MATCH(1,(GMW!$LQ$2:$LQ$60=E$3)*(GMW!$LP$2:$LP$60=E$4)*(GMW!$LR$2:$LR$60=E$1),0),$C134-1966)</f>
        <v>450464</v>
      </c>
      <c r="F134" s="4" cm="1">
        <f t="array" ref="F134">INDEX(GMW!$A$2:$LR$60,MATCH(1,(GMW!$LQ$2:$LQ$60=F$3)*(GMW!$LP$2:$LP$60=F$4)*(GMW!$LR$2:$LR$60=F$1),0),$C134-1966)</f>
        <v>450464</v>
      </c>
      <c r="G134" s="4" cm="1">
        <f t="array" ref="G134">INDEX(GMW!$A$2:$LR$60,MATCH(1,(GMW!$LQ$2:$LQ$60=G$3)*(GMW!$LP$2:$LP$60=G$4)*(GMW!$LR$2:$LR$60=G$1),0),$C134-1966)</f>
        <v>450464</v>
      </c>
      <c r="H134" s="4" cm="1">
        <f t="array" ref="H134">INDEX(GMW!$A$2:$LR$60,MATCH(1,(GMW!$LQ$2:$LQ$60=H$3)*(GMW!$LP$2:$LP$60=H$4)*(GMW!$LR$2:$LR$60=H$1),0),$C134-1966)</f>
        <v>450464</v>
      </c>
      <c r="I134" s="4" cm="1">
        <f t="array" ref="I134">INDEX(GMW!$A$2:$LR$60,MATCH(1,(GMW!$LQ$2:$LQ$60=I$3)*(GMW!$LP$2:$LP$60=I$4)*(GMW!$LR$2:$LR$60=I$1),0),$C134-1966)</f>
        <v>450464</v>
      </c>
      <c r="J134" s="4" cm="1">
        <f t="array" ref="J134">INDEX(GMW!$A$2:$LR$60,MATCH(1,(GMW!$LQ$2:$LQ$60=J$3)*(GMW!$LP$2:$LP$60=J$4)*(GMW!$LR$2:$LR$60=J$1),0),$C134-1966)</f>
        <v>450464</v>
      </c>
      <c r="K134" s="4" cm="1">
        <f t="array" ref="K134">INDEX(GMW!$A$2:$LR$60,MATCH(1,(GMW!$LQ$2:$LQ$60=K$3)*(GMW!$LP$2:$LP$60=K$4)*(GMW!$LR$2:$LR$60=K$1),0),$C134-1966)</f>
        <v>450464</v>
      </c>
      <c r="L134" s="4" cm="1">
        <f t="array" ref="L134">INDEX(GMW!$A$2:$LR$60,MATCH(1,(GMW!$LQ$2:$LQ$60=L$3)*(GMW!$LP$2:$LP$60=L$4)*(GMW!$LR$2:$LR$60=L$1),0),$C134-1966)</f>
        <v>450464</v>
      </c>
      <c r="M134" s="4" cm="1">
        <f t="array" ref="M134">INDEX(GMW!$A$2:$LR$60,MATCH(1,(GMW!$LQ$2:$LQ$60=M$3)*(GMW!$LP$2:$LP$60=M$4)*(GMW!$LR$2:$LR$60=M$1),0),$C134-1966)</f>
        <v>450464</v>
      </c>
      <c r="N134" s="4" cm="1">
        <f t="array" ref="N134">INDEX(GMW!$A$2:$LR$60,MATCH(1,(GMW!$LQ$2:$LQ$60=N$3)*(GMW!$LP$2:$LP$60=N$4)*(GMW!$LR$2:$LR$60=N$1),0),$C134-1966)</f>
        <v>450464</v>
      </c>
      <c r="O134" s="4" cm="1">
        <f t="array" ref="O134">INDEX(GMW!$A$2:$LR$60,MATCH(1,(GMW!$LQ$2:$LQ$60=O$3)*(GMW!$LP$2:$LP$60=O$4)*(GMW!$LR$2:$LR$60=O$1),0),$C134-1966)</f>
        <v>450464</v>
      </c>
      <c r="P134" s="4" cm="1">
        <f t="array" ref="P134">INDEX(GMW!$A$2:$LR$60,MATCH(1,(GMW!$LQ$2:$LQ$60=P$3)*(GMW!$LP$2:$LP$60=P$4)*(GMW!$LR$2:$LR$60=P$1),0),$C134-1966)</f>
        <v>450464</v>
      </c>
      <c r="Q134" s="4" cm="1">
        <f t="array" ref="Q134">INDEX(GMW!$A$2:$LR$60,MATCH(1,(GMW!$LQ$2:$LQ$60=Q$3)*(GMW!$LP$2:$LP$60=Q$4)*(GMW!$LR$2:$LR$60=Q$1),0),$C134-1966)</f>
        <v>450464</v>
      </c>
      <c r="R134" s="4" cm="1">
        <f t="array" ref="R134">INDEX(GMW!$A$2:$LR$60,MATCH(1,(GMW!$LQ$2:$LQ$60=R$3)*(GMW!$LP$2:$LP$60=R$4)*(GMW!$LR$2:$LR$60=R$1),0),$C134-1966)</f>
        <v>450464</v>
      </c>
      <c r="S134" s="4" cm="1">
        <f t="array" ref="S134">INDEX(GMW!$A$2:$LR$60,MATCH(1,(GMW!$LQ$2:$LQ$60=S$3)*(GMW!$LP$2:$LP$60=S$4)*(GMW!$LR$2:$LR$60=S$1),0),$C134-1966)</f>
        <v>450464</v>
      </c>
      <c r="T134" s="4" cm="1">
        <f t="array" ref="T134">INDEX(GMW!$A$2:$LR$60,MATCH(1,(GMW!$LQ$2:$LQ$60=T$3)*(GMW!$LP$2:$LP$60=T$4)*(GMW!$LR$2:$LR$60=T$1),0),$C134-1966)</f>
        <v>450464</v>
      </c>
      <c r="U134" s="4" cm="1">
        <f t="array" ref="U134">INDEX(GMW!$A$2:$LR$60,MATCH(1,(GMW!$LQ$2:$LQ$60=U$3)*(GMW!$LP$2:$LP$60=U$4)*(GMW!$LR$2:$LR$60=U$1),0),$C134-1966)</f>
        <v>372.33330000000001</v>
      </c>
      <c r="V134" s="4" cm="1">
        <f t="array" ref="V134">INDEX(GMW!$A$2:$LR$60,MATCH(1,(GMW!$LQ$2:$LQ$60=V$3)*(GMW!$LP$2:$LP$60=V$4)*(GMW!$LR$2:$LR$60=V$1),0),$C134-1966)</f>
        <v>77.099999999999994</v>
      </c>
      <c r="W134" s="4" cm="1">
        <f t="array" ref="W134">INDEX(GMW!$A$2:$LR$60,MATCH(1,(GMW!$LQ$2:$LQ$60=W$3)*(GMW!$LP$2:$LP$60=W$4)*(GMW!$LR$2:$LR$60=W$1),0),$C134-1966)</f>
        <v>67.833340000000007</v>
      </c>
      <c r="X134" s="4" cm="1">
        <f t="array" ref="X134">INDEX(GMW!$A$2:$LR$60,MATCH(1,(GMW!$LQ$2:$LQ$60=X$3)*(GMW!$LP$2:$LP$60=X$4)*(GMW!$LR$2:$LR$60=X$1),0),$C134-1966)</f>
        <v>74.533330000000007</v>
      </c>
      <c r="Y134" s="4" cm="1">
        <f t="array" ref="Y134">INDEX(GMW!$A$2:$LR$60,MATCH(1,(GMW!$LQ$2:$LQ$60=Y$3)*(GMW!$LP$2:$LP$60=Y$4)*(GMW!$LR$2:$LR$60=Y$1),0),$C134-1966)</f>
        <v>43.766669999999998</v>
      </c>
      <c r="Z134" s="4" cm="1">
        <f t="array" ref="Z134">INDEX(GMW!$A$2:$LR$60,MATCH(1,(GMW!$LQ$2:$LQ$60=Z$3)*(GMW!$LP$2:$LP$60=Z$4)*(GMW!$LR$2:$LR$60=Z$1),0),$C134-1966)</f>
        <v>81.633330000000001</v>
      </c>
      <c r="AA134" s="4" cm="1">
        <f t="array" ref="AA134">INDEX(GMW!$A$2:$LR$60,MATCH(1,(GMW!$LQ$2:$LQ$60=AA$3)*(GMW!$LP$2:$LP$60=AA$4)*(GMW!$LR$2:$LR$60=AA$1),0),$C134-1966)</f>
        <v>276132</v>
      </c>
      <c r="AB134" s="4" cm="1">
        <f t="array" ref="AB134">INDEX(GMW!$A$2:$LR$60,MATCH(1,(GMW!$LQ$2:$LQ$60=AB$3)*(GMW!$LP$2:$LP$60=AB$4)*(GMW!$LR$2:$LR$60=AB$1),0),$C134-1966)</f>
        <v>77494</v>
      </c>
      <c r="AC134" s="4" cm="1">
        <f t="array" ref="AC134">INDEX(GMW!$A$2:$LR$60,MATCH(1,(GMW!$LQ$2:$LQ$60=AC$3)*(GMW!$LP$2:$LP$60=AC$4)*(GMW!$LR$2:$LR$60=AC$1),0),$C134-1966)</f>
        <v>87908</v>
      </c>
      <c r="AD134" s="4" cm="1">
        <f t="array" ref="AD134">INDEX(GMW!$A$2:$LR$60,MATCH(1,(GMW!$LQ$2:$LQ$60=AD$3)*(GMW!$LP$2:$LP$60=AD$4)*(GMW!$LR$2:$LR$60=AD$1),0),$C134-1966)</f>
        <v>117399</v>
      </c>
      <c r="AE134" s="4" cm="1">
        <f t="array" ref="AE134">INDEX(GMW!$A$2:$LR$60,MATCH(1,(GMW!$LQ$2:$LQ$60=AE$3)*(GMW!$LP$2:$LP$60=AE$4)*(GMW!$LR$2:$LR$60=AE$1),0),$C134-1966)</f>
        <v>119067</v>
      </c>
      <c r="AF134" s="4" cm="1">
        <f t="array" ref="AF134">INDEX(GMW!$A$2:$LR$60,MATCH(1,(GMW!$LQ$2:$LQ$60=AF$3)*(GMW!$LP$2:$LP$60=AF$4)*(GMW!$LR$2:$LR$60=AF$1),0),$C134-1966)</f>
        <v>1E-3</v>
      </c>
      <c r="AG134" s="4" cm="1">
        <f t="array" ref="AG134">INDEX(GMW!$A$2:$LR$60,MATCH(1,(GMW!$LQ$2:$LQ$60=AG$3)*(GMW!$LP$2:$LP$60=AG$4)*(GMW!$LR$2:$LR$60=AG$1),0),$C134-1966)</f>
        <v>1E-3</v>
      </c>
    </row>
    <row r="135" spans="1:33" x14ac:dyDescent="0.25">
      <c r="A135" s="4">
        <v>2005</v>
      </c>
      <c r="B135" s="4">
        <f t="shared" si="3"/>
        <v>2005</v>
      </c>
      <c r="C135" s="4">
        <f t="shared" si="4"/>
        <v>2101</v>
      </c>
      <c r="D135" s="4" cm="1">
        <f t="array" ref="D135">INDEX(GMW!$A$2:$LR$60,MATCH(1,(GMW!$LQ$2:$LQ$60=D$3)*(GMW!$LP$2:$LP$60=D$4)*(GMW!$LR$2:$LR$60=D$1),0),$C135-1966)</f>
        <v>453784</v>
      </c>
      <c r="E135" s="4" cm="1">
        <f t="array" ref="E135">INDEX(GMW!$A$2:$LR$60,MATCH(1,(GMW!$LQ$2:$LQ$60=E$3)*(GMW!$LP$2:$LP$60=E$4)*(GMW!$LR$2:$LR$60=E$1),0),$C135-1966)</f>
        <v>453784</v>
      </c>
      <c r="F135" s="4" cm="1">
        <f t="array" ref="F135">INDEX(GMW!$A$2:$LR$60,MATCH(1,(GMW!$LQ$2:$LQ$60=F$3)*(GMW!$LP$2:$LP$60=F$4)*(GMW!$LR$2:$LR$60=F$1),0),$C135-1966)</f>
        <v>453784</v>
      </c>
      <c r="G135" s="4" cm="1">
        <f t="array" ref="G135">INDEX(GMW!$A$2:$LR$60,MATCH(1,(GMW!$LQ$2:$LQ$60=G$3)*(GMW!$LP$2:$LP$60=G$4)*(GMW!$LR$2:$LR$60=G$1),0),$C135-1966)</f>
        <v>453784</v>
      </c>
      <c r="H135" s="4" cm="1">
        <f t="array" ref="H135">INDEX(GMW!$A$2:$LR$60,MATCH(1,(GMW!$LQ$2:$LQ$60=H$3)*(GMW!$LP$2:$LP$60=H$4)*(GMW!$LR$2:$LR$60=H$1),0),$C135-1966)</f>
        <v>453784</v>
      </c>
      <c r="I135" s="4" cm="1">
        <f t="array" ref="I135">INDEX(GMW!$A$2:$LR$60,MATCH(1,(GMW!$LQ$2:$LQ$60=I$3)*(GMW!$LP$2:$LP$60=I$4)*(GMW!$LR$2:$LR$60=I$1),0),$C135-1966)</f>
        <v>453784</v>
      </c>
      <c r="J135" s="4" cm="1">
        <f t="array" ref="J135">INDEX(GMW!$A$2:$LR$60,MATCH(1,(GMW!$LQ$2:$LQ$60=J$3)*(GMW!$LP$2:$LP$60=J$4)*(GMW!$LR$2:$LR$60=J$1),0),$C135-1966)</f>
        <v>453784</v>
      </c>
      <c r="K135" s="4" cm="1">
        <f t="array" ref="K135">INDEX(GMW!$A$2:$LR$60,MATCH(1,(GMW!$LQ$2:$LQ$60=K$3)*(GMW!$LP$2:$LP$60=K$4)*(GMW!$LR$2:$LR$60=K$1),0),$C135-1966)</f>
        <v>453784</v>
      </c>
      <c r="L135" s="4" cm="1">
        <f t="array" ref="L135">INDEX(GMW!$A$2:$LR$60,MATCH(1,(GMW!$LQ$2:$LQ$60=L$3)*(GMW!$LP$2:$LP$60=L$4)*(GMW!$LR$2:$LR$60=L$1),0),$C135-1966)</f>
        <v>453784</v>
      </c>
      <c r="M135" s="4" cm="1">
        <f t="array" ref="M135">INDEX(GMW!$A$2:$LR$60,MATCH(1,(GMW!$LQ$2:$LQ$60=M$3)*(GMW!$LP$2:$LP$60=M$4)*(GMW!$LR$2:$LR$60=M$1),0),$C135-1966)</f>
        <v>453784</v>
      </c>
      <c r="N135" s="4" cm="1">
        <f t="array" ref="N135">INDEX(GMW!$A$2:$LR$60,MATCH(1,(GMW!$LQ$2:$LQ$60=N$3)*(GMW!$LP$2:$LP$60=N$4)*(GMW!$LR$2:$LR$60=N$1),0),$C135-1966)</f>
        <v>453784</v>
      </c>
      <c r="O135" s="4" cm="1">
        <f t="array" ref="O135">INDEX(GMW!$A$2:$LR$60,MATCH(1,(GMW!$LQ$2:$LQ$60=O$3)*(GMW!$LP$2:$LP$60=O$4)*(GMW!$LR$2:$LR$60=O$1),0),$C135-1966)</f>
        <v>453784</v>
      </c>
      <c r="P135" s="4" cm="1">
        <f t="array" ref="P135">INDEX(GMW!$A$2:$LR$60,MATCH(1,(GMW!$LQ$2:$LQ$60=P$3)*(GMW!$LP$2:$LP$60=P$4)*(GMW!$LR$2:$LR$60=P$1),0),$C135-1966)</f>
        <v>453784</v>
      </c>
      <c r="Q135" s="4" cm="1">
        <f t="array" ref="Q135">INDEX(GMW!$A$2:$LR$60,MATCH(1,(GMW!$LQ$2:$LQ$60=Q$3)*(GMW!$LP$2:$LP$60=Q$4)*(GMW!$LR$2:$LR$60=Q$1),0),$C135-1966)</f>
        <v>453784</v>
      </c>
      <c r="R135" s="4" cm="1">
        <f t="array" ref="R135">INDEX(GMW!$A$2:$LR$60,MATCH(1,(GMW!$LQ$2:$LQ$60=R$3)*(GMW!$LP$2:$LP$60=R$4)*(GMW!$LR$2:$LR$60=R$1),0),$C135-1966)</f>
        <v>453784</v>
      </c>
      <c r="S135" s="4" cm="1">
        <f t="array" ref="S135">INDEX(GMW!$A$2:$LR$60,MATCH(1,(GMW!$LQ$2:$LQ$60=S$3)*(GMW!$LP$2:$LP$60=S$4)*(GMW!$LR$2:$LR$60=S$1),0),$C135-1966)</f>
        <v>453784</v>
      </c>
      <c r="T135" s="4" cm="1">
        <f t="array" ref="T135">INDEX(GMW!$A$2:$LR$60,MATCH(1,(GMW!$LQ$2:$LQ$60=T$3)*(GMW!$LP$2:$LP$60=T$4)*(GMW!$LR$2:$LR$60=T$1),0),$C135-1966)</f>
        <v>453784</v>
      </c>
      <c r="U135" s="4" cm="1">
        <f t="array" ref="U135">INDEX(GMW!$A$2:$LR$60,MATCH(1,(GMW!$LQ$2:$LQ$60=U$3)*(GMW!$LP$2:$LP$60=U$4)*(GMW!$LR$2:$LR$60=U$1),0),$C135-1966)</f>
        <v>375.33330000000001</v>
      </c>
      <c r="V135" s="4" cm="1">
        <f t="array" ref="V135">INDEX(GMW!$A$2:$LR$60,MATCH(1,(GMW!$LQ$2:$LQ$60=V$3)*(GMW!$LP$2:$LP$60=V$4)*(GMW!$LR$2:$LR$60=V$1),0),$C135-1966)</f>
        <v>77.233329999999995</v>
      </c>
      <c r="W135" s="4" cm="1">
        <f t="array" ref="W135">INDEX(GMW!$A$2:$LR$60,MATCH(1,(GMW!$LQ$2:$LQ$60=W$3)*(GMW!$LP$2:$LP$60=W$4)*(GMW!$LR$2:$LR$60=W$1),0),$C135-1966)</f>
        <v>68.666659999999993</v>
      </c>
      <c r="X135" s="4" cm="1">
        <f t="array" ref="X135">INDEX(GMW!$A$2:$LR$60,MATCH(1,(GMW!$LQ$2:$LQ$60=X$3)*(GMW!$LP$2:$LP$60=X$4)*(GMW!$LR$2:$LR$60=X$1),0),$C135-1966)</f>
        <v>72.433329999999998</v>
      </c>
      <c r="Y135" s="4" cm="1">
        <f t="array" ref="Y135">INDEX(GMW!$A$2:$LR$60,MATCH(1,(GMW!$LQ$2:$LQ$60=Y$3)*(GMW!$LP$2:$LP$60=Y$4)*(GMW!$LR$2:$LR$60=Y$1),0),$C135-1966)</f>
        <v>45.666670000000003</v>
      </c>
      <c r="Z135" s="4" cm="1">
        <f t="array" ref="Z135">INDEX(GMW!$A$2:$LR$60,MATCH(1,(GMW!$LQ$2:$LQ$60=Z$3)*(GMW!$LP$2:$LP$60=Z$4)*(GMW!$LR$2:$LR$60=Z$1),0),$C135-1966)</f>
        <v>81.566670000000002</v>
      </c>
      <c r="AA135" s="4" cm="1">
        <f t="array" ref="AA135">INDEX(GMW!$A$2:$LR$60,MATCH(1,(GMW!$LQ$2:$LQ$60=AA$3)*(GMW!$LP$2:$LP$60=AA$4)*(GMW!$LR$2:$LR$60=AA$1),0),$C135-1966)</f>
        <v>279030</v>
      </c>
      <c r="AB135" s="4" cm="1">
        <f t="array" ref="AB135">INDEX(GMW!$A$2:$LR$60,MATCH(1,(GMW!$LQ$2:$LQ$60=AB$3)*(GMW!$LP$2:$LP$60=AB$4)*(GMW!$LR$2:$LR$60=AB$1),0),$C135-1966)</f>
        <v>78969</v>
      </c>
      <c r="AC135" s="4" cm="1">
        <f t="array" ref="AC135">INDEX(GMW!$A$2:$LR$60,MATCH(1,(GMW!$LQ$2:$LQ$60=AC$3)*(GMW!$LP$2:$LP$60=AC$4)*(GMW!$LR$2:$LR$60=AC$1),0),$C135-1966)</f>
        <v>87543</v>
      </c>
      <c r="AD135" s="4" cm="1">
        <f t="array" ref="AD135">INDEX(GMW!$A$2:$LR$60,MATCH(1,(GMW!$LQ$2:$LQ$60=AD$3)*(GMW!$LP$2:$LP$60=AD$4)*(GMW!$LR$2:$LR$60=AD$1),0),$C135-1966)</f>
        <v>115115</v>
      </c>
      <c r="AE135" s="4" cm="1">
        <f t="array" ref="AE135">INDEX(GMW!$A$2:$LR$60,MATCH(1,(GMW!$LQ$2:$LQ$60=AE$3)*(GMW!$LP$2:$LP$60=AE$4)*(GMW!$LR$2:$LR$60=AE$1),0),$C135-1966)</f>
        <v>118498</v>
      </c>
      <c r="AF135" s="4" cm="1">
        <f t="array" ref="AF135">INDEX(GMW!$A$2:$LR$60,MATCH(1,(GMW!$LQ$2:$LQ$60=AF$3)*(GMW!$LP$2:$LP$60=AF$4)*(GMW!$LR$2:$LR$60=AF$1),0),$C135-1966)</f>
        <v>1E-3</v>
      </c>
      <c r="AG135" s="4" cm="1">
        <f t="array" ref="AG135">INDEX(GMW!$A$2:$LR$60,MATCH(1,(GMW!$LQ$2:$LQ$60=AG$3)*(GMW!$LP$2:$LP$60=AG$4)*(GMW!$LR$2:$LR$60=AG$1),0),$C135-1966)</f>
        <v>1E-3</v>
      </c>
    </row>
    <row r="136" spans="1:33" x14ac:dyDescent="0.25">
      <c r="B136" s="4">
        <f t="shared" si="3"/>
        <v>2005</v>
      </c>
      <c r="C136" s="4">
        <f t="shared" si="4"/>
        <v>2102</v>
      </c>
      <c r="D136" s="4" cm="1">
        <f t="array" ref="D136">INDEX(GMW!$A$2:$LR$60,MATCH(1,(GMW!$LQ$2:$LQ$60=D$3)*(GMW!$LP$2:$LP$60=D$4)*(GMW!$LR$2:$LR$60=D$1),0),$C136-1966)</f>
        <v>457557</v>
      </c>
      <c r="E136" s="4" cm="1">
        <f t="array" ref="E136">INDEX(GMW!$A$2:$LR$60,MATCH(1,(GMW!$LQ$2:$LQ$60=E$3)*(GMW!$LP$2:$LP$60=E$4)*(GMW!$LR$2:$LR$60=E$1),0),$C136-1966)</f>
        <v>457557</v>
      </c>
      <c r="F136" s="4" cm="1">
        <f t="array" ref="F136">INDEX(GMW!$A$2:$LR$60,MATCH(1,(GMW!$LQ$2:$LQ$60=F$3)*(GMW!$LP$2:$LP$60=F$4)*(GMW!$LR$2:$LR$60=F$1),0),$C136-1966)</f>
        <v>457557</v>
      </c>
      <c r="G136" s="4" cm="1">
        <f t="array" ref="G136">INDEX(GMW!$A$2:$LR$60,MATCH(1,(GMW!$LQ$2:$LQ$60=G$3)*(GMW!$LP$2:$LP$60=G$4)*(GMW!$LR$2:$LR$60=G$1),0),$C136-1966)</f>
        <v>457557</v>
      </c>
      <c r="H136" s="4" cm="1">
        <f t="array" ref="H136">INDEX(GMW!$A$2:$LR$60,MATCH(1,(GMW!$LQ$2:$LQ$60=H$3)*(GMW!$LP$2:$LP$60=H$4)*(GMW!$LR$2:$LR$60=H$1),0),$C136-1966)</f>
        <v>457557</v>
      </c>
      <c r="I136" s="4" cm="1">
        <f t="array" ref="I136">INDEX(GMW!$A$2:$LR$60,MATCH(1,(GMW!$LQ$2:$LQ$60=I$3)*(GMW!$LP$2:$LP$60=I$4)*(GMW!$LR$2:$LR$60=I$1),0),$C136-1966)</f>
        <v>457557</v>
      </c>
      <c r="J136" s="4" cm="1">
        <f t="array" ref="J136">INDEX(GMW!$A$2:$LR$60,MATCH(1,(GMW!$LQ$2:$LQ$60=J$3)*(GMW!$LP$2:$LP$60=J$4)*(GMW!$LR$2:$LR$60=J$1),0),$C136-1966)</f>
        <v>457557</v>
      </c>
      <c r="K136" s="4" cm="1">
        <f t="array" ref="K136">INDEX(GMW!$A$2:$LR$60,MATCH(1,(GMW!$LQ$2:$LQ$60=K$3)*(GMW!$LP$2:$LP$60=K$4)*(GMW!$LR$2:$LR$60=K$1),0),$C136-1966)</f>
        <v>457557</v>
      </c>
      <c r="L136" s="4" cm="1">
        <f t="array" ref="L136">INDEX(GMW!$A$2:$LR$60,MATCH(1,(GMW!$LQ$2:$LQ$60=L$3)*(GMW!$LP$2:$LP$60=L$4)*(GMW!$LR$2:$LR$60=L$1),0),$C136-1966)</f>
        <v>457557</v>
      </c>
      <c r="M136" s="4" cm="1">
        <f t="array" ref="M136">INDEX(GMW!$A$2:$LR$60,MATCH(1,(GMW!$LQ$2:$LQ$60=M$3)*(GMW!$LP$2:$LP$60=M$4)*(GMW!$LR$2:$LR$60=M$1),0),$C136-1966)</f>
        <v>457557</v>
      </c>
      <c r="N136" s="4" cm="1">
        <f t="array" ref="N136">INDEX(GMW!$A$2:$LR$60,MATCH(1,(GMW!$LQ$2:$LQ$60=N$3)*(GMW!$LP$2:$LP$60=N$4)*(GMW!$LR$2:$LR$60=N$1),0),$C136-1966)</f>
        <v>457557</v>
      </c>
      <c r="O136" s="4" cm="1">
        <f t="array" ref="O136">INDEX(GMW!$A$2:$LR$60,MATCH(1,(GMW!$LQ$2:$LQ$60=O$3)*(GMW!$LP$2:$LP$60=O$4)*(GMW!$LR$2:$LR$60=O$1),0),$C136-1966)</f>
        <v>457557</v>
      </c>
      <c r="P136" s="4" cm="1">
        <f t="array" ref="P136">INDEX(GMW!$A$2:$LR$60,MATCH(1,(GMW!$LQ$2:$LQ$60=P$3)*(GMW!$LP$2:$LP$60=P$4)*(GMW!$LR$2:$LR$60=P$1),0),$C136-1966)</f>
        <v>457557</v>
      </c>
      <c r="Q136" s="4" cm="1">
        <f t="array" ref="Q136">INDEX(GMW!$A$2:$LR$60,MATCH(1,(GMW!$LQ$2:$LQ$60=Q$3)*(GMW!$LP$2:$LP$60=Q$4)*(GMW!$LR$2:$LR$60=Q$1),0),$C136-1966)</f>
        <v>457557</v>
      </c>
      <c r="R136" s="4" cm="1">
        <f t="array" ref="R136">INDEX(GMW!$A$2:$LR$60,MATCH(1,(GMW!$LQ$2:$LQ$60=R$3)*(GMW!$LP$2:$LP$60=R$4)*(GMW!$LR$2:$LR$60=R$1),0),$C136-1966)</f>
        <v>457557</v>
      </c>
      <c r="S136" s="4" cm="1">
        <f t="array" ref="S136">INDEX(GMW!$A$2:$LR$60,MATCH(1,(GMW!$LQ$2:$LQ$60=S$3)*(GMW!$LP$2:$LP$60=S$4)*(GMW!$LR$2:$LR$60=S$1),0),$C136-1966)</f>
        <v>457557</v>
      </c>
      <c r="T136" s="4" cm="1">
        <f t="array" ref="T136">INDEX(GMW!$A$2:$LR$60,MATCH(1,(GMW!$LQ$2:$LQ$60=T$3)*(GMW!$LP$2:$LP$60=T$4)*(GMW!$LR$2:$LR$60=T$1),0),$C136-1966)</f>
        <v>457557</v>
      </c>
      <c r="U136" s="4" cm="1">
        <f t="array" ref="U136">INDEX(GMW!$A$2:$LR$60,MATCH(1,(GMW!$LQ$2:$LQ$60=U$3)*(GMW!$LP$2:$LP$60=U$4)*(GMW!$LR$2:$LR$60=U$1),0),$C136-1966)</f>
        <v>379.66669999999999</v>
      </c>
      <c r="V136" s="4" cm="1">
        <f t="array" ref="V136">INDEX(GMW!$A$2:$LR$60,MATCH(1,(GMW!$LQ$2:$LQ$60=V$3)*(GMW!$LP$2:$LP$60=V$4)*(GMW!$LR$2:$LR$60=V$1),0),$C136-1966)</f>
        <v>78</v>
      </c>
      <c r="W136" s="4" cm="1">
        <f t="array" ref="W136">INDEX(GMW!$A$2:$LR$60,MATCH(1,(GMW!$LQ$2:$LQ$60=W$3)*(GMW!$LP$2:$LP$60=W$4)*(GMW!$LR$2:$LR$60=W$1),0),$C136-1966)</f>
        <v>69.099999999999994</v>
      </c>
      <c r="X136" s="4" cm="1">
        <f t="array" ref="X136">INDEX(GMW!$A$2:$LR$60,MATCH(1,(GMW!$LQ$2:$LQ$60=X$3)*(GMW!$LP$2:$LP$60=X$4)*(GMW!$LR$2:$LR$60=X$1),0),$C136-1966)</f>
        <v>76.633330000000001</v>
      </c>
      <c r="Y136" s="4" cm="1">
        <f t="array" ref="Y136">INDEX(GMW!$A$2:$LR$60,MATCH(1,(GMW!$LQ$2:$LQ$60=Y$3)*(GMW!$LP$2:$LP$60=Y$4)*(GMW!$LR$2:$LR$60=Y$1),0),$C136-1966)</f>
        <v>46.4</v>
      </c>
      <c r="Z136" s="4" cm="1">
        <f t="array" ref="Z136">INDEX(GMW!$A$2:$LR$60,MATCH(1,(GMW!$LQ$2:$LQ$60=Z$3)*(GMW!$LP$2:$LP$60=Z$4)*(GMW!$LR$2:$LR$60=Z$1),0),$C136-1966)</f>
        <v>82.3</v>
      </c>
      <c r="AA136" s="4" cm="1">
        <f t="array" ref="AA136">INDEX(GMW!$A$2:$LR$60,MATCH(1,(GMW!$LQ$2:$LQ$60=AA$3)*(GMW!$LP$2:$LP$60=AA$4)*(GMW!$LR$2:$LR$60=AA$1),0),$C136-1966)</f>
        <v>278914</v>
      </c>
      <c r="AB136" s="4" cm="1">
        <f t="array" ref="AB136">INDEX(GMW!$A$2:$LR$60,MATCH(1,(GMW!$LQ$2:$LQ$60=AB$3)*(GMW!$LP$2:$LP$60=AB$4)*(GMW!$LR$2:$LR$60=AB$1),0),$C136-1966)</f>
        <v>80832</v>
      </c>
      <c r="AC136" s="4" cm="1">
        <f t="array" ref="AC136">INDEX(GMW!$A$2:$LR$60,MATCH(1,(GMW!$LQ$2:$LQ$60=AC$3)*(GMW!$LP$2:$LP$60=AC$4)*(GMW!$LR$2:$LR$60=AC$1),0),$C136-1966)</f>
        <v>88907</v>
      </c>
      <c r="AD136" s="4" cm="1">
        <f t="array" ref="AD136">INDEX(GMW!$A$2:$LR$60,MATCH(1,(GMW!$LQ$2:$LQ$60=AD$3)*(GMW!$LP$2:$LP$60=AD$4)*(GMW!$LR$2:$LR$60=AD$1),0),$C136-1966)</f>
        <v>121928</v>
      </c>
      <c r="AE136" s="4" cm="1">
        <f t="array" ref="AE136">INDEX(GMW!$A$2:$LR$60,MATCH(1,(GMW!$LQ$2:$LQ$60=AE$3)*(GMW!$LP$2:$LP$60=AE$4)*(GMW!$LR$2:$LR$60=AE$1),0),$C136-1966)</f>
        <v>123401</v>
      </c>
      <c r="AF136" s="4" cm="1">
        <f t="array" ref="AF136">INDEX(GMW!$A$2:$LR$60,MATCH(1,(GMW!$LQ$2:$LQ$60=AF$3)*(GMW!$LP$2:$LP$60=AF$4)*(GMW!$LR$2:$LR$60=AF$1),0),$C136-1966)</f>
        <v>1E-3</v>
      </c>
      <c r="AG136" s="4" cm="1">
        <f t="array" ref="AG136">INDEX(GMW!$A$2:$LR$60,MATCH(1,(GMW!$LQ$2:$LQ$60=AG$3)*(GMW!$LP$2:$LP$60=AG$4)*(GMW!$LR$2:$LR$60=AG$1),0),$C136-1966)</f>
        <v>1E-3</v>
      </c>
    </row>
    <row r="137" spans="1:33" x14ac:dyDescent="0.25">
      <c r="B137" s="4">
        <f t="shared" si="3"/>
        <v>2005</v>
      </c>
      <c r="C137" s="4">
        <f t="shared" si="4"/>
        <v>2103</v>
      </c>
      <c r="D137" s="4" cm="1">
        <f t="array" ref="D137">INDEX(GMW!$A$2:$LR$60,MATCH(1,(GMW!$LQ$2:$LQ$60=D$3)*(GMW!$LP$2:$LP$60=D$4)*(GMW!$LR$2:$LR$60=D$1),0),$C137-1966)</f>
        <v>461135</v>
      </c>
      <c r="E137" s="4" cm="1">
        <f t="array" ref="E137">INDEX(GMW!$A$2:$LR$60,MATCH(1,(GMW!$LQ$2:$LQ$60=E$3)*(GMW!$LP$2:$LP$60=E$4)*(GMW!$LR$2:$LR$60=E$1),0),$C137-1966)</f>
        <v>461135</v>
      </c>
      <c r="F137" s="4" cm="1">
        <f t="array" ref="F137">INDEX(GMW!$A$2:$LR$60,MATCH(1,(GMW!$LQ$2:$LQ$60=F$3)*(GMW!$LP$2:$LP$60=F$4)*(GMW!$LR$2:$LR$60=F$1),0),$C137-1966)</f>
        <v>461135</v>
      </c>
      <c r="G137" s="4" cm="1">
        <f t="array" ref="G137">INDEX(GMW!$A$2:$LR$60,MATCH(1,(GMW!$LQ$2:$LQ$60=G$3)*(GMW!$LP$2:$LP$60=G$4)*(GMW!$LR$2:$LR$60=G$1),0),$C137-1966)</f>
        <v>461135</v>
      </c>
      <c r="H137" s="4" cm="1">
        <f t="array" ref="H137">INDEX(GMW!$A$2:$LR$60,MATCH(1,(GMW!$LQ$2:$LQ$60=H$3)*(GMW!$LP$2:$LP$60=H$4)*(GMW!$LR$2:$LR$60=H$1),0),$C137-1966)</f>
        <v>461135</v>
      </c>
      <c r="I137" s="4" cm="1">
        <f t="array" ref="I137">INDEX(GMW!$A$2:$LR$60,MATCH(1,(GMW!$LQ$2:$LQ$60=I$3)*(GMW!$LP$2:$LP$60=I$4)*(GMW!$LR$2:$LR$60=I$1),0),$C137-1966)</f>
        <v>461135</v>
      </c>
      <c r="J137" s="4" cm="1">
        <f t="array" ref="J137">INDEX(GMW!$A$2:$LR$60,MATCH(1,(GMW!$LQ$2:$LQ$60=J$3)*(GMW!$LP$2:$LP$60=J$4)*(GMW!$LR$2:$LR$60=J$1),0),$C137-1966)</f>
        <v>461135</v>
      </c>
      <c r="K137" s="4" cm="1">
        <f t="array" ref="K137">INDEX(GMW!$A$2:$LR$60,MATCH(1,(GMW!$LQ$2:$LQ$60=K$3)*(GMW!$LP$2:$LP$60=K$4)*(GMW!$LR$2:$LR$60=K$1),0),$C137-1966)</f>
        <v>461135</v>
      </c>
      <c r="L137" s="4" cm="1">
        <f t="array" ref="L137">INDEX(GMW!$A$2:$LR$60,MATCH(1,(GMW!$LQ$2:$LQ$60=L$3)*(GMW!$LP$2:$LP$60=L$4)*(GMW!$LR$2:$LR$60=L$1),0),$C137-1966)</f>
        <v>461135</v>
      </c>
      <c r="M137" s="4" cm="1">
        <f t="array" ref="M137">INDEX(GMW!$A$2:$LR$60,MATCH(1,(GMW!$LQ$2:$LQ$60=M$3)*(GMW!$LP$2:$LP$60=M$4)*(GMW!$LR$2:$LR$60=M$1),0),$C137-1966)</f>
        <v>461135</v>
      </c>
      <c r="N137" s="4" cm="1">
        <f t="array" ref="N137">INDEX(GMW!$A$2:$LR$60,MATCH(1,(GMW!$LQ$2:$LQ$60=N$3)*(GMW!$LP$2:$LP$60=N$4)*(GMW!$LR$2:$LR$60=N$1),0),$C137-1966)</f>
        <v>461135</v>
      </c>
      <c r="O137" s="4" cm="1">
        <f t="array" ref="O137">INDEX(GMW!$A$2:$LR$60,MATCH(1,(GMW!$LQ$2:$LQ$60=O$3)*(GMW!$LP$2:$LP$60=O$4)*(GMW!$LR$2:$LR$60=O$1),0),$C137-1966)</f>
        <v>461135</v>
      </c>
      <c r="P137" s="4" cm="1">
        <f t="array" ref="P137">INDEX(GMW!$A$2:$LR$60,MATCH(1,(GMW!$LQ$2:$LQ$60=P$3)*(GMW!$LP$2:$LP$60=P$4)*(GMW!$LR$2:$LR$60=P$1),0),$C137-1966)</f>
        <v>461135</v>
      </c>
      <c r="Q137" s="4" cm="1">
        <f t="array" ref="Q137">INDEX(GMW!$A$2:$LR$60,MATCH(1,(GMW!$LQ$2:$LQ$60=Q$3)*(GMW!$LP$2:$LP$60=Q$4)*(GMW!$LR$2:$LR$60=Q$1),0),$C137-1966)</f>
        <v>461135</v>
      </c>
      <c r="R137" s="4" cm="1">
        <f t="array" ref="R137">INDEX(GMW!$A$2:$LR$60,MATCH(1,(GMW!$LQ$2:$LQ$60=R$3)*(GMW!$LP$2:$LP$60=R$4)*(GMW!$LR$2:$LR$60=R$1),0),$C137-1966)</f>
        <v>461135</v>
      </c>
      <c r="S137" s="4" cm="1">
        <f t="array" ref="S137">INDEX(GMW!$A$2:$LR$60,MATCH(1,(GMW!$LQ$2:$LQ$60=S$3)*(GMW!$LP$2:$LP$60=S$4)*(GMW!$LR$2:$LR$60=S$1),0),$C137-1966)</f>
        <v>461135</v>
      </c>
      <c r="T137" s="4" cm="1">
        <f t="array" ref="T137">INDEX(GMW!$A$2:$LR$60,MATCH(1,(GMW!$LQ$2:$LQ$60=T$3)*(GMW!$LP$2:$LP$60=T$4)*(GMW!$LR$2:$LR$60=T$1),0),$C137-1966)</f>
        <v>461135</v>
      </c>
      <c r="U137" s="4" cm="1">
        <f t="array" ref="U137">INDEX(GMW!$A$2:$LR$60,MATCH(1,(GMW!$LQ$2:$LQ$60=U$3)*(GMW!$LP$2:$LP$60=U$4)*(GMW!$LR$2:$LR$60=U$1),0),$C137-1966)</f>
        <v>385.33330000000001</v>
      </c>
      <c r="V137" s="4" cm="1">
        <f t="array" ref="V137">INDEX(GMW!$A$2:$LR$60,MATCH(1,(GMW!$LQ$2:$LQ$60=V$3)*(GMW!$LP$2:$LP$60=V$4)*(GMW!$LR$2:$LR$60=V$1),0),$C137-1966)</f>
        <v>78.400000000000006</v>
      </c>
      <c r="W137" s="4" cm="1">
        <f t="array" ref="W137">INDEX(GMW!$A$2:$LR$60,MATCH(1,(GMW!$LQ$2:$LQ$60=W$3)*(GMW!$LP$2:$LP$60=W$4)*(GMW!$LR$2:$LR$60=W$1),0),$C137-1966)</f>
        <v>68.766670000000005</v>
      </c>
      <c r="X137" s="4" cm="1">
        <f t="array" ref="X137">INDEX(GMW!$A$2:$LR$60,MATCH(1,(GMW!$LQ$2:$LQ$60=X$3)*(GMW!$LP$2:$LP$60=X$4)*(GMW!$LR$2:$LR$60=X$1),0),$C137-1966)</f>
        <v>82.033330000000007</v>
      </c>
      <c r="Y137" s="4" cm="1">
        <f t="array" ref="Y137">INDEX(GMW!$A$2:$LR$60,MATCH(1,(GMW!$LQ$2:$LQ$60=Y$3)*(GMW!$LP$2:$LP$60=Y$4)*(GMW!$LR$2:$LR$60=Y$1),0),$C137-1966)</f>
        <v>47.133339999999997</v>
      </c>
      <c r="Z137" s="4" cm="1">
        <f t="array" ref="Z137">INDEX(GMW!$A$2:$LR$60,MATCH(1,(GMW!$LQ$2:$LQ$60=Z$3)*(GMW!$LP$2:$LP$60=Z$4)*(GMW!$LR$2:$LR$60=Z$1),0),$C137-1966)</f>
        <v>82.633330000000001</v>
      </c>
      <c r="AA137" s="4" cm="1">
        <f t="array" ref="AA137">INDEX(GMW!$A$2:$LR$60,MATCH(1,(GMW!$LQ$2:$LQ$60=AA$3)*(GMW!$LP$2:$LP$60=AA$4)*(GMW!$LR$2:$LR$60=AA$1),0),$C137-1966)</f>
        <v>282162</v>
      </c>
      <c r="AB137" s="4" cm="1">
        <f t="array" ref="AB137">INDEX(GMW!$A$2:$LR$60,MATCH(1,(GMW!$LQ$2:$LQ$60=AB$3)*(GMW!$LP$2:$LP$60=AB$4)*(GMW!$LR$2:$LR$60=AB$1),0),$C137-1966)</f>
        <v>80052</v>
      </c>
      <c r="AC137" s="4" cm="1">
        <f t="array" ref="AC137">INDEX(GMW!$A$2:$LR$60,MATCH(1,(GMW!$LQ$2:$LQ$60=AC$3)*(GMW!$LP$2:$LP$60=AC$4)*(GMW!$LR$2:$LR$60=AC$1),0),$C137-1966)</f>
        <v>89272</v>
      </c>
      <c r="AD137" s="4" cm="1">
        <f t="array" ref="AD137">INDEX(GMW!$A$2:$LR$60,MATCH(1,(GMW!$LQ$2:$LQ$60=AD$3)*(GMW!$LP$2:$LP$60=AD$4)*(GMW!$LR$2:$LR$60=AD$1),0),$C137-1966)</f>
        <v>123317</v>
      </c>
      <c r="AE137" s="4" cm="1">
        <f t="array" ref="AE137">INDEX(GMW!$A$2:$LR$60,MATCH(1,(GMW!$LQ$2:$LQ$60=AE$3)*(GMW!$LP$2:$LP$60=AE$4)*(GMW!$LR$2:$LR$60=AE$1),0),$C137-1966)</f>
        <v>124774</v>
      </c>
      <c r="AF137" s="4" cm="1">
        <f t="array" ref="AF137">INDEX(GMW!$A$2:$LR$60,MATCH(1,(GMW!$LQ$2:$LQ$60=AF$3)*(GMW!$LP$2:$LP$60=AF$4)*(GMW!$LR$2:$LR$60=AF$1),0),$C137-1966)</f>
        <v>1E-3</v>
      </c>
      <c r="AG137" s="4" cm="1">
        <f t="array" ref="AG137">INDEX(GMW!$A$2:$LR$60,MATCH(1,(GMW!$LQ$2:$LQ$60=AG$3)*(GMW!$LP$2:$LP$60=AG$4)*(GMW!$LR$2:$LR$60=AG$1),0),$C137-1966)</f>
        <v>1E-3</v>
      </c>
    </row>
    <row r="138" spans="1:33" x14ac:dyDescent="0.25">
      <c r="B138" s="4">
        <f t="shared" si="3"/>
        <v>2005</v>
      </c>
      <c r="C138" s="4">
        <f t="shared" si="4"/>
        <v>2104</v>
      </c>
      <c r="D138" s="4" cm="1">
        <f t="array" ref="D138">INDEX(GMW!$A$2:$LR$60,MATCH(1,(GMW!$LQ$2:$LQ$60=D$3)*(GMW!$LP$2:$LP$60=D$4)*(GMW!$LR$2:$LR$60=D$1),0),$C138-1966)</f>
        <v>465451</v>
      </c>
      <c r="E138" s="4" cm="1">
        <f t="array" ref="E138">INDEX(GMW!$A$2:$LR$60,MATCH(1,(GMW!$LQ$2:$LQ$60=E$3)*(GMW!$LP$2:$LP$60=E$4)*(GMW!$LR$2:$LR$60=E$1),0),$C138-1966)</f>
        <v>465451</v>
      </c>
      <c r="F138" s="4" cm="1">
        <f t="array" ref="F138">INDEX(GMW!$A$2:$LR$60,MATCH(1,(GMW!$LQ$2:$LQ$60=F$3)*(GMW!$LP$2:$LP$60=F$4)*(GMW!$LR$2:$LR$60=F$1),0),$C138-1966)</f>
        <v>465451</v>
      </c>
      <c r="G138" s="4" cm="1">
        <f t="array" ref="G138">INDEX(GMW!$A$2:$LR$60,MATCH(1,(GMW!$LQ$2:$LQ$60=G$3)*(GMW!$LP$2:$LP$60=G$4)*(GMW!$LR$2:$LR$60=G$1),0),$C138-1966)</f>
        <v>465451</v>
      </c>
      <c r="H138" s="4" cm="1">
        <f t="array" ref="H138">INDEX(GMW!$A$2:$LR$60,MATCH(1,(GMW!$LQ$2:$LQ$60=H$3)*(GMW!$LP$2:$LP$60=H$4)*(GMW!$LR$2:$LR$60=H$1),0),$C138-1966)</f>
        <v>465451</v>
      </c>
      <c r="I138" s="4" cm="1">
        <f t="array" ref="I138">INDEX(GMW!$A$2:$LR$60,MATCH(1,(GMW!$LQ$2:$LQ$60=I$3)*(GMW!$LP$2:$LP$60=I$4)*(GMW!$LR$2:$LR$60=I$1),0),$C138-1966)</f>
        <v>465451</v>
      </c>
      <c r="J138" s="4" cm="1">
        <f t="array" ref="J138">INDEX(GMW!$A$2:$LR$60,MATCH(1,(GMW!$LQ$2:$LQ$60=J$3)*(GMW!$LP$2:$LP$60=J$4)*(GMW!$LR$2:$LR$60=J$1),0),$C138-1966)</f>
        <v>465451</v>
      </c>
      <c r="K138" s="4" cm="1">
        <f t="array" ref="K138">INDEX(GMW!$A$2:$LR$60,MATCH(1,(GMW!$LQ$2:$LQ$60=K$3)*(GMW!$LP$2:$LP$60=K$4)*(GMW!$LR$2:$LR$60=K$1),0),$C138-1966)</f>
        <v>465451</v>
      </c>
      <c r="L138" s="4" cm="1">
        <f t="array" ref="L138">INDEX(GMW!$A$2:$LR$60,MATCH(1,(GMW!$LQ$2:$LQ$60=L$3)*(GMW!$LP$2:$LP$60=L$4)*(GMW!$LR$2:$LR$60=L$1),0),$C138-1966)</f>
        <v>465451</v>
      </c>
      <c r="M138" s="4" cm="1">
        <f t="array" ref="M138">INDEX(GMW!$A$2:$LR$60,MATCH(1,(GMW!$LQ$2:$LQ$60=M$3)*(GMW!$LP$2:$LP$60=M$4)*(GMW!$LR$2:$LR$60=M$1),0),$C138-1966)</f>
        <v>465451</v>
      </c>
      <c r="N138" s="4" cm="1">
        <f t="array" ref="N138">INDEX(GMW!$A$2:$LR$60,MATCH(1,(GMW!$LQ$2:$LQ$60=N$3)*(GMW!$LP$2:$LP$60=N$4)*(GMW!$LR$2:$LR$60=N$1),0),$C138-1966)</f>
        <v>465451</v>
      </c>
      <c r="O138" s="4" cm="1">
        <f t="array" ref="O138">INDEX(GMW!$A$2:$LR$60,MATCH(1,(GMW!$LQ$2:$LQ$60=O$3)*(GMW!$LP$2:$LP$60=O$4)*(GMW!$LR$2:$LR$60=O$1),0),$C138-1966)</f>
        <v>465451</v>
      </c>
      <c r="P138" s="4" cm="1">
        <f t="array" ref="P138">INDEX(GMW!$A$2:$LR$60,MATCH(1,(GMW!$LQ$2:$LQ$60=P$3)*(GMW!$LP$2:$LP$60=P$4)*(GMW!$LR$2:$LR$60=P$1),0),$C138-1966)</f>
        <v>465451</v>
      </c>
      <c r="Q138" s="4" cm="1">
        <f t="array" ref="Q138">INDEX(GMW!$A$2:$LR$60,MATCH(1,(GMW!$LQ$2:$LQ$60=Q$3)*(GMW!$LP$2:$LP$60=Q$4)*(GMW!$LR$2:$LR$60=Q$1),0),$C138-1966)</f>
        <v>465451</v>
      </c>
      <c r="R138" s="4" cm="1">
        <f t="array" ref="R138">INDEX(GMW!$A$2:$LR$60,MATCH(1,(GMW!$LQ$2:$LQ$60=R$3)*(GMW!$LP$2:$LP$60=R$4)*(GMW!$LR$2:$LR$60=R$1),0),$C138-1966)</f>
        <v>465451</v>
      </c>
      <c r="S138" s="4" cm="1">
        <f t="array" ref="S138">INDEX(GMW!$A$2:$LR$60,MATCH(1,(GMW!$LQ$2:$LQ$60=S$3)*(GMW!$LP$2:$LP$60=S$4)*(GMW!$LR$2:$LR$60=S$1),0),$C138-1966)</f>
        <v>465451</v>
      </c>
      <c r="T138" s="4" cm="1">
        <f t="array" ref="T138">INDEX(GMW!$A$2:$LR$60,MATCH(1,(GMW!$LQ$2:$LQ$60=T$3)*(GMW!$LP$2:$LP$60=T$4)*(GMW!$LR$2:$LR$60=T$1),0),$C138-1966)</f>
        <v>465451</v>
      </c>
      <c r="U138" s="4" cm="1">
        <f t="array" ref="U138">INDEX(GMW!$A$2:$LR$60,MATCH(1,(GMW!$LQ$2:$LQ$60=U$3)*(GMW!$LP$2:$LP$60=U$4)*(GMW!$LR$2:$LR$60=U$1),0),$C138-1966)</f>
        <v>389.33330000000001</v>
      </c>
      <c r="V138" s="4" cm="1">
        <f t="array" ref="V138">INDEX(GMW!$A$2:$LR$60,MATCH(1,(GMW!$LQ$2:$LQ$60=V$3)*(GMW!$LP$2:$LP$60=V$4)*(GMW!$LR$2:$LR$60=V$1),0),$C138-1966)</f>
        <v>78.766670000000005</v>
      </c>
      <c r="W138" s="4" cm="1">
        <f t="array" ref="W138">INDEX(GMW!$A$2:$LR$60,MATCH(1,(GMW!$LQ$2:$LQ$60=W$3)*(GMW!$LP$2:$LP$60=W$4)*(GMW!$LR$2:$LR$60=W$1),0),$C138-1966)</f>
        <v>69.066670000000002</v>
      </c>
      <c r="X138" s="4" cm="1">
        <f t="array" ref="X138">INDEX(GMW!$A$2:$LR$60,MATCH(1,(GMW!$LQ$2:$LQ$60=X$3)*(GMW!$LP$2:$LP$60=X$4)*(GMW!$LR$2:$LR$60=X$1),0),$C138-1966)</f>
        <v>81.466669999999993</v>
      </c>
      <c r="Y138" s="4" cm="1">
        <f t="array" ref="Y138">INDEX(GMW!$A$2:$LR$60,MATCH(1,(GMW!$LQ$2:$LQ$60=Y$3)*(GMW!$LP$2:$LP$60=Y$4)*(GMW!$LR$2:$LR$60=Y$1),0),$C138-1966)</f>
        <v>49.933329999999998</v>
      </c>
      <c r="Z138" s="4" cm="1">
        <f t="array" ref="Z138">INDEX(GMW!$A$2:$LR$60,MATCH(1,(GMW!$LQ$2:$LQ$60=Z$3)*(GMW!$LP$2:$LP$60=Z$4)*(GMW!$LR$2:$LR$60=Z$1),0),$C138-1966)</f>
        <v>82.9</v>
      </c>
      <c r="AA138" s="4" cm="1">
        <f t="array" ref="AA138">INDEX(GMW!$A$2:$LR$60,MATCH(1,(GMW!$LQ$2:$LQ$60=AA$3)*(GMW!$LP$2:$LP$60=AA$4)*(GMW!$LR$2:$LR$60=AA$1),0),$C138-1966)</f>
        <v>283724</v>
      </c>
      <c r="AB138" s="4" cm="1">
        <f t="array" ref="AB138">INDEX(GMW!$A$2:$LR$60,MATCH(1,(GMW!$LQ$2:$LQ$60=AB$3)*(GMW!$LP$2:$LP$60=AB$4)*(GMW!$LR$2:$LR$60=AB$1),0),$C138-1966)</f>
        <v>79646</v>
      </c>
      <c r="AC138" s="4" cm="1">
        <f t="array" ref="AC138">INDEX(GMW!$A$2:$LR$60,MATCH(1,(GMW!$LQ$2:$LQ$60=AC$3)*(GMW!$LP$2:$LP$60=AC$4)*(GMW!$LR$2:$LR$60=AC$1),0),$C138-1966)</f>
        <v>89771</v>
      </c>
      <c r="AD138" s="4" cm="1">
        <f t="array" ref="AD138">INDEX(GMW!$A$2:$LR$60,MATCH(1,(GMW!$LQ$2:$LQ$60=AD$3)*(GMW!$LP$2:$LP$60=AD$4)*(GMW!$LR$2:$LR$60=AD$1),0),$C138-1966)</f>
        <v>128163</v>
      </c>
      <c r="AE138" s="4" cm="1">
        <f t="array" ref="AE138">INDEX(GMW!$A$2:$LR$60,MATCH(1,(GMW!$LQ$2:$LQ$60=AE$3)*(GMW!$LP$2:$LP$60=AE$4)*(GMW!$LR$2:$LR$60=AE$1),0),$C138-1966)</f>
        <v>127931</v>
      </c>
      <c r="AF138" s="4" cm="1">
        <f t="array" ref="AF138">INDEX(GMW!$A$2:$LR$60,MATCH(1,(GMW!$LQ$2:$LQ$60=AF$3)*(GMW!$LP$2:$LP$60=AF$4)*(GMW!$LR$2:$LR$60=AF$1),0),$C138-1966)</f>
        <v>1E-3</v>
      </c>
      <c r="AG138" s="4" cm="1">
        <f t="array" ref="AG138">INDEX(GMW!$A$2:$LR$60,MATCH(1,(GMW!$LQ$2:$LQ$60=AG$3)*(GMW!$LP$2:$LP$60=AG$4)*(GMW!$LR$2:$LR$60=AG$1),0),$C138-1966)</f>
        <v>1E-3</v>
      </c>
    </row>
    <row r="139" spans="1:33" x14ac:dyDescent="0.25">
      <c r="A139" s="4">
        <v>2006</v>
      </c>
      <c r="B139" s="4">
        <f t="shared" si="3"/>
        <v>2006</v>
      </c>
      <c r="C139" s="4">
        <f t="shared" si="4"/>
        <v>2105</v>
      </c>
      <c r="D139" s="4" cm="1">
        <f t="array" ref="D139">INDEX(GMW!$A$2:$LR$60,MATCH(1,(GMW!$LQ$2:$LQ$60=D$3)*(GMW!$LP$2:$LP$60=D$4)*(GMW!$LR$2:$LR$60=D$1),0),$C139-1966)</f>
        <v>467840</v>
      </c>
      <c r="E139" s="4" cm="1">
        <f t="array" ref="E139">INDEX(GMW!$A$2:$LR$60,MATCH(1,(GMW!$LQ$2:$LQ$60=E$3)*(GMW!$LP$2:$LP$60=E$4)*(GMW!$LR$2:$LR$60=E$1),0),$C139-1966)</f>
        <v>467840</v>
      </c>
      <c r="F139" s="4" cm="1">
        <f t="array" ref="F139">INDEX(GMW!$A$2:$LR$60,MATCH(1,(GMW!$LQ$2:$LQ$60=F$3)*(GMW!$LP$2:$LP$60=F$4)*(GMW!$LR$2:$LR$60=F$1),0),$C139-1966)</f>
        <v>467840</v>
      </c>
      <c r="G139" s="4" cm="1">
        <f t="array" ref="G139">INDEX(GMW!$A$2:$LR$60,MATCH(1,(GMW!$LQ$2:$LQ$60=G$3)*(GMW!$LP$2:$LP$60=G$4)*(GMW!$LR$2:$LR$60=G$1),0),$C139-1966)</f>
        <v>467840</v>
      </c>
      <c r="H139" s="4" cm="1">
        <f t="array" ref="H139">INDEX(GMW!$A$2:$LR$60,MATCH(1,(GMW!$LQ$2:$LQ$60=H$3)*(GMW!$LP$2:$LP$60=H$4)*(GMW!$LR$2:$LR$60=H$1),0),$C139-1966)</f>
        <v>467840</v>
      </c>
      <c r="I139" s="4" cm="1">
        <f t="array" ref="I139">INDEX(GMW!$A$2:$LR$60,MATCH(1,(GMW!$LQ$2:$LQ$60=I$3)*(GMW!$LP$2:$LP$60=I$4)*(GMW!$LR$2:$LR$60=I$1),0),$C139-1966)</f>
        <v>467840</v>
      </c>
      <c r="J139" s="4" cm="1">
        <f t="array" ref="J139">INDEX(GMW!$A$2:$LR$60,MATCH(1,(GMW!$LQ$2:$LQ$60=J$3)*(GMW!$LP$2:$LP$60=J$4)*(GMW!$LR$2:$LR$60=J$1),0),$C139-1966)</f>
        <v>467840</v>
      </c>
      <c r="K139" s="4" cm="1">
        <f t="array" ref="K139">INDEX(GMW!$A$2:$LR$60,MATCH(1,(GMW!$LQ$2:$LQ$60=K$3)*(GMW!$LP$2:$LP$60=K$4)*(GMW!$LR$2:$LR$60=K$1),0),$C139-1966)</f>
        <v>467840</v>
      </c>
      <c r="L139" s="4" cm="1">
        <f t="array" ref="L139">INDEX(GMW!$A$2:$LR$60,MATCH(1,(GMW!$LQ$2:$LQ$60=L$3)*(GMW!$LP$2:$LP$60=L$4)*(GMW!$LR$2:$LR$60=L$1),0),$C139-1966)</f>
        <v>467840</v>
      </c>
      <c r="M139" s="4" cm="1">
        <f t="array" ref="M139">INDEX(GMW!$A$2:$LR$60,MATCH(1,(GMW!$LQ$2:$LQ$60=M$3)*(GMW!$LP$2:$LP$60=M$4)*(GMW!$LR$2:$LR$60=M$1),0),$C139-1966)</f>
        <v>467840</v>
      </c>
      <c r="N139" s="4" cm="1">
        <f t="array" ref="N139">INDEX(GMW!$A$2:$LR$60,MATCH(1,(GMW!$LQ$2:$LQ$60=N$3)*(GMW!$LP$2:$LP$60=N$4)*(GMW!$LR$2:$LR$60=N$1),0),$C139-1966)</f>
        <v>467840</v>
      </c>
      <c r="O139" s="4" cm="1">
        <f t="array" ref="O139">INDEX(GMW!$A$2:$LR$60,MATCH(1,(GMW!$LQ$2:$LQ$60=O$3)*(GMW!$LP$2:$LP$60=O$4)*(GMW!$LR$2:$LR$60=O$1),0),$C139-1966)</f>
        <v>467840</v>
      </c>
      <c r="P139" s="4" cm="1">
        <f t="array" ref="P139">INDEX(GMW!$A$2:$LR$60,MATCH(1,(GMW!$LQ$2:$LQ$60=P$3)*(GMW!$LP$2:$LP$60=P$4)*(GMW!$LR$2:$LR$60=P$1),0),$C139-1966)</f>
        <v>467840</v>
      </c>
      <c r="Q139" s="4" cm="1">
        <f t="array" ref="Q139">INDEX(GMW!$A$2:$LR$60,MATCH(1,(GMW!$LQ$2:$LQ$60=Q$3)*(GMW!$LP$2:$LP$60=Q$4)*(GMW!$LR$2:$LR$60=Q$1),0),$C139-1966)</f>
        <v>467840</v>
      </c>
      <c r="R139" s="4" cm="1">
        <f t="array" ref="R139">INDEX(GMW!$A$2:$LR$60,MATCH(1,(GMW!$LQ$2:$LQ$60=R$3)*(GMW!$LP$2:$LP$60=R$4)*(GMW!$LR$2:$LR$60=R$1),0),$C139-1966)</f>
        <v>467840</v>
      </c>
      <c r="S139" s="4" cm="1">
        <f t="array" ref="S139">INDEX(GMW!$A$2:$LR$60,MATCH(1,(GMW!$LQ$2:$LQ$60=S$3)*(GMW!$LP$2:$LP$60=S$4)*(GMW!$LR$2:$LR$60=S$1),0),$C139-1966)</f>
        <v>467840</v>
      </c>
      <c r="T139" s="4" cm="1">
        <f t="array" ref="T139">INDEX(GMW!$A$2:$LR$60,MATCH(1,(GMW!$LQ$2:$LQ$60=T$3)*(GMW!$LP$2:$LP$60=T$4)*(GMW!$LR$2:$LR$60=T$1),0),$C139-1966)</f>
        <v>467840</v>
      </c>
      <c r="U139" s="4" cm="1">
        <f t="array" ref="U139">INDEX(GMW!$A$2:$LR$60,MATCH(1,(GMW!$LQ$2:$LQ$60=U$3)*(GMW!$LP$2:$LP$60=U$4)*(GMW!$LR$2:$LR$60=U$1),0),$C139-1966)</f>
        <v>393.66669999999999</v>
      </c>
      <c r="V139" s="4" cm="1">
        <f t="array" ref="V139">INDEX(GMW!$A$2:$LR$60,MATCH(1,(GMW!$LQ$2:$LQ$60=V$3)*(GMW!$LP$2:$LP$60=V$4)*(GMW!$LR$2:$LR$60=V$1),0),$C139-1966)</f>
        <v>78.733329999999995</v>
      </c>
      <c r="W139" s="4" cm="1">
        <f t="array" ref="W139">INDEX(GMW!$A$2:$LR$60,MATCH(1,(GMW!$LQ$2:$LQ$60=W$3)*(GMW!$LP$2:$LP$60=W$4)*(GMW!$LR$2:$LR$60=W$1),0),$C139-1966)</f>
        <v>69.400000000000006</v>
      </c>
      <c r="X139" s="4" cm="1">
        <f t="array" ref="X139">INDEX(GMW!$A$2:$LR$60,MATCH(1,(GMW!$LQ$2:$LQ$60=X$3)*(GMW!$LP$2:$LP$60=X$4)*(GMW!$LR$2:$LR$60=X$1),0),$C139-1966)</f>
        <v>80.433329999999998</v>
      </c>
      <c r="Y139" s="4" cm="1">
        <f t="array" ref="Y139">INDEX(GMW!$A$2:$LR$60,MATCH(1,(GMW!$LQ$2:$LQ$60=Y$3)*(GMW!$LP$2:$LP$60=Y$4)*(GMW!$LR$2:$LR$60=Y$1),0),$C139-1966)</f>
        <v>52.033329999999999</v>
      </c>
      <c r="Z139" s="4" cm="1">
        <f t="array" ref="Z139">INDEX(GMW!$A$2:$LR$60,MATCH(1,(GMW!$LQ$2:$LQ$60=Z$3)*(GMW!$LP$2:$LP$60=Z$4)*(GMW!$LR$2:$LR$60=Z$1),0),$C139-1966)</f>
        <v>82.7</v>
      </c>
      <c r="AA139" s="4" cm="1">
        <f t="array" ref="AA139">INDEX(GMW!$A$2:$LR$60,MATCH(1,(GMW!$LQ$2:$LQ$60=AA$3)*(GMW!$LP$2:$LP$60=AA$4)*(GMW!$LR$2:$LR$60=AA$1),0),$C139-1966)</f>
        <v>282222</v>
      </c>
      <c r="AB139" s="4" cm="1">
        <f t="array" ref="AB139">INDEX(GMW!$A$2:$LR$60,MATCH(1,(GMW!$LQ$2:$LQ$60=AB$3)*(GMW!$LP$2:$LP$60=AB$4)*(GMW!$LR$2:$LR$60=AB$1),0),$C139-1966)</f>
        <v>80595</v>
      </c>
      <c r="AC139" s="4" cm="1">
        <f t="array" ref="AC139">INDEX(GMW!$A$2:$LR$60,MATCH(1,(GMW!$LQ$2:$LQ$60=AC$3)*(GMW!$LP$2:$LP$60=AC$4)*(GMW!$LR$2:$LR$60=AC$1),0),$C139-1966)</f>
        <v>90598</v>
      </c>
      <c r="AD139" s="4" cm="1">
        <f t="array" ref="AD139">INDEX(GMW!$A$2:$LR$60,MATCH(1,(GMW!$LQ$2:$LQ$60=AD$3)*(GMW!$LP$2:$LP$60=AD$4)*(GMW!$LR$2:$LR$60=AD$1),0),$C139-1966)</f>
        <v>143233</v>
      </c>
      <c r="AE139" s="4" cm="1">
        <f t="array" ref="AE139">INDEX(GMW!$A$2:$LR$60,MATCH(1,(GMW!$LQ$2:$LQ$60=AE$3)*(GMW!$LP$2:$LP$60=AE$4)*(GMW!$LR$2:$LR$60=AE$1),0),$C139-1966)</f>
        <v>142048</v>
      </c>
      <c r="AF139" s="4" cm="1">
        <f t="array" ref="AF139">INDEX(GMW!$A$2:$LR$60,MATCH(1,(GMW!$LQ$2:$LQ$60=AF$3)*(GMW!$LP$2:$LP$60=AF$4)*(GMW!$LR$2:$LR$60=AF$1),0),$C139-1966)</f>
        <v>1E-3</v>
      </c>
      <c r="AG139" s="4" cm="1">
        <f t="array" ref="AG139">INDEX(GMW!$A$2:$LR$60,MATCH(1,(GMW!$LQ$2:$LQ$60=AG$3)*(GMW!$LP$2:$LP$60=AG$4)*(GMW!$LR$2:$LR$60=AG$1),0),$C139-1966)</f>
        <v>1E-3</v>
      </c>
    </row>
    <row r="140" spans="1:33" x14ac:dyDescent="0.25">
      <c r="B140" s="4">
        <f t="shared" ref="B140:B203" si="5">B136+1</f>
        <v>2006</v>
      </c>
      <c r="C140" s="4">
        <f t="shared" si="4"/>
        <v>2106</v>
      </c>
      <c r="D140" s="4" cm="1">
        <f t="array" ref="D140">INDEX(GMW!$A$2:$LR$60,MATCH(1,(GMW!$LQ$2:$LQ$60=D$3)*(GMW!$LP$2:$LP$60=D$4)*(GMW!$LR$2:$LR$60=D$1),0),$C140-1966)</f>
        <v>469655</v>
      </c>
      <c r="E140" s="4" cm="1">
        <f t="array" ref="E140">INDEX(GMW!$A$2:$LR$60,MATCH(1,(GMW!$LQ$2:$LQ$60=E$3)*(GMW!$LP$2:$LP$60=E$4)*(GMW!$LR$2:$LR$60=E$1),0),$C140-1966)</f>
        <v>469655</v>
      </c>
      <c r="F140" s="4" cm="1">
        <f t="array" ref="F140">INDEX(GMW!$A$2:$LR$60,MATCH(1,(GMW!$LQ$2:$LQ$60=F$3)*(GMW!$LP$2:$LP$60=F$4)*(GMW!$LR$2:$LR$60=F$1),0),$C140-1966)</f>
        <v>469655</v>
      </c>
      <c r="G140" s="4" cm="1">
        <f t="array" ref="G140">INDEX(GMW!$A$2:$LR$60,MATCH(1,(GMW!$LQ$2:$LQ$60=G$3)*(GMW!$LP$2:$LP$60=G$4)*(GMW!$LR$2:$LR$60=G$1),0),$C140-1966)</f>
        <v>469655</v>
      </c>
      <c r="H140" s="4" cm="1">
        <f t="array" ref="H140">INDEX(GMW!$A$2:$LR$60,MATCH(1,(GMW!$LQ$2:$LQ$60=H$3)*(GMW!$LP$2:$LP$60=H$4)*(GMW!$LR$2:$LR$60=H$1),0),$C140-1966)</f>
        <v>469655</v>
      </c>
      <c r="I140" s="4" cm="1">
        <f t="array" ref="I140">INDEX(GMW!$A$2:$LR$60,MATCH(1,(GMW!$LQ$2:$LQ$60=I$3)*(GMW!$LP$2:$LP$60=I$4)*(GMW!$LR$2:$LR$60=I$1),0),$C140-1966)</f>
        <v>469655</v>
      </c>
      <c r="J140" s="4" cm="1">
        <f t="array" ref="J140">INDEX(GMW!$A$2:$LR$60,MATCH(1,(GMW!$LQ$2:$LQ$60=J$3)*(GMW!$LP$2:$LP$60=J$4)*(GMW!$LR$2:$LR$60=J$1),0),$C140-1966)</f>
        <v>469655</v>
      </c>
      <c r="K140" s="4" cm="1">
        <f t="array" ref="K140">INDEX(GMW!$A$2:$LR$60,MATCH(1,(GMW!$LQ$2:$LQ$60=K$3)*(GMW!$LP$2:$LP$60=K$4)*(GMW!$LR$2:$LR$60=K$1),0),$C140-1966)</f>
        <v>469655</v>
      </c>
      <c r="L140" s="4" cm="1">
        <f t="array" ref="L140">INDEX(GMW!$A$2:$LR$60,MATCH(1,(GMW!$LQ$2:$LQ$60=L$3)*(GMW!$LP$2:$LP$60=L$4)*(GMW!$LR$2:$LR$60=L$1),0),$C140-1966)</f>
        <v>469655</v>
      </c>
      <c r="M140" s="4" cm="1">
        <f t="array" ref="M140">INDEX(GMW!$A$2:$LR$60,MATCH(1,(GMW!$LQ$2:$LQ$60=M$3)*(GMW!$LP$2:$LP$60=M$4)*(GMW!$LR$2:$LR$60=M$1),0),$C140-1966)</f>
        <v>469655</v>
      </c>
      <c r="N140" s="4" cm="1">
        <f t="array" ref="N140">INDEX(GMW!$A$2:$LR$60,MATCH(1,(GMW!$LQ$2:$LQ$60=N$3)*(GMW!$LP$2:$LP$60=N$4)*(GMW!$LR$2:$LR$60=N$1),0),$C140-1966)</f>
        <v>469655</v>
      </c>
      <c r="O140" s="4" cm="1">
        <f t="array" ref="O140">INDEX(GMW!$A$2:$LR$60,MATCH(1,(GMW!$LQ$2:$LQ$60=O$3)*(GMW!$LP$2:$LP$60=O$4)*(GMW!$LR$2:$LR$60=O$1),0),$C140-1966)</f>
        <v>469655</v>
      </c>
      <c r="P140" s="4" cm="1">
        <f t="array" ref="P140">INDEX(GMW!$A$2:$LR$60,MATCH(1,(GMW!$LQ$2:$LQ$60=P$3)*(GMW!$LP$2:$LP$60=P$4)*(GMW!$LR$2:$LR$60=P$1),0),$C140-1966)</f>
        <v>469655</v>
      </c>
      <c r="Q140" s="4" cm="1">
        <f t="array" ref="Q140">INDEX(GMW!$A$2:$LR$60,MATCH(1,(GMW!$LQ$2:$LQ$60=Q$3)*(GMW!$LP$2:$LP$60=Q$4)*(GMW!$LR$2:$LR$60=Q$1),0),$C140-1966)</f>
        <v>469655</v>
      </c>
      <c r="R140" s="4" cm="1">
        <f t="array" ref="R140">INDEX(GMW!$A$2:$LR$60,MATCH(1,(GMW!$LQ$2:$LQ$60=R$3)*(GMW!$LP$2:$LP$60=R$4)*(GMW!$LR$2:$LR$60=R$1),0),$C140-1966)</f>
        <v>469655</v>
      </c>
      <c r="S140" s="4" cm="1">
        <f t="array" ref="S140">INDEX(GMW!$A$2:$LR$60,MATCH(1,(GMW!$LQ$2:$LQ$60=S$3)*(GMW!$LP$2:$LP$60=S$4)*(GMW!$LR$2:$LR$60=S$1),0),$C140-1966)</f>
        <v>469655</v>
      </c>
      <c r="T140" s="4" cm="1">
        <f t="array" ref="T140">INDEX(GMW!$A$2:$LR$60,MATCH(1,(GMW!$LQ$2:$LQ$60=T$3)*(GMW!$LP$2:$LP$60=T$4)*(GMW!$LR$2:$LR$60=T$1),0),$C140-1966)</f>
        <v>469655</v>
      </c>
      <c r="U140" s="4" cm="1">
        <f t="array" ref="U140">INDEX(GMW!$A$2:$LR$60,MATCH(1,(GMW!$LQ$2:$LQ$60=U$3)*(GMW!$LP$2:$LP$60=U$4)*(GMW!$LR$2:$LR$60=U$1),0),$C140-1966)</f>
        <v>397.66669999999999</v>
      </c>
      <c r="V140" s="4" cm="1">
        <f t="array" ref="V140">INDEX(GMW!$A$2:$LR$60,MATCH(1,(GMW!$LQ$2:$LQ$60=V$3)*(GMW!$LP$2:$LP$60=V$4)*(GMW!$LR$2:$LR$60=V$1),0),$C140-1966)</f>
        <v>79.8</v>
      </c>
      <c r="W140" s="4" cm="1">
        <f t="array" ref="W140">INDEX(GMW!$A$2:$LR$60,MATCH(1,(GMW!$LQ$2:$LQ$60=W$3)*(GMW!$LP$2:$LP$60=W$4)*(GMW!$LR$2:$LR$60=W$1),0),$C140-1966)</f>
        <v>70.166659999999993</v>
      </c>
      <c r="X140" s="4" cm="1">
        <f t="array" ref="X140">INDEX(GMW!$A$2:$LR$60,MATCH(1,(GMW!$LQ$2:$LQ$60=X$3)*(GMW!$LP$2:$LP$60=X$4)*(GMW!$LR$2:$LR$60=X$1),0),$C140-1966)</f>
        <v>85.3</v>
      </c>
      <c r="Y140" s="4" cm="1">
        <f t="array" ref="Y140">INDEX(GMW!$A$2:$LR$60,MATCH(1,(GMW!$LQ$2:$LQ$60=Y$3)*(GMW!$LP$2:$LP$60=Y$4)*(GMW!$LR$2:$LR$60=Y$1),0),$C140-1966)</f>
        <v>57.933329999999998</v>
      </c>
      <c r="Z140" s="4" cm="1">
        <f t="array" ref="Z140">INDEX(GMW!$A$2:$LR$60,MATCH(1,(GMW!$LQ$2:$LQ$60=Z$3)*(GMW!$LP$2:$LP$60=Z$4)*(GMW!$LR$2:$LR$60=Z$1),0),$C140-1966)</f>
        <v>83.3</v>
      </c>
      <c r="AA140" s="4" cm="1">
        <f t="array" ref="AA140">INDEX(GMW!$A$2:$LR$60,MATCH(1,(GMW!$LQ$2:$LQ$60=AA$3)*(GMW!$LP$2:$LP$60=AA$4)*(GMW!$LR$2:$LR$60=AA$1),0),$C140-1966)</f>
        <v>282292</v>
      </c>
      <c r="AB140" s="4" cm="1">
        <f t="array" ref="AB140">INDEX(GMW!$A$2:$LR$60,MATCH(1,(GMW!$LQ$2:$LQ$60=AB$3)*(GMW!$LP$2:$LP$60=AB$4)*(GMW!$LR$2:$LR$60=AB$1),0),$C140-1966)</f>
        <v>80940</v>
      </c>
      <c r="AC140" s="4" cm="1">
        <f t="array" ref="AC140">INDEX(GMW!$A$2:$LR$60,MATCH(1,(GMW!$LQ$2:$LQ$60=AC$3)*(GMW!$LP$2:$LP$60=AC$4)*(GMW!$LR$2:$LR$60=AC$1),0),$C140-1966)</f>
        <v>90130</v>
      </c>
      <c r="AD140" s="4" cm="1">
        <f t="array" ref="AD140">INDEX(GMW!$A$2:$LR$60,MATCH(1,(GMW!$LQ$2:$LQ$60=AD$3)*(GMW!$LP$2:$LP$60=AD$4)*(GMW!$LR$2:$LR$60=AD$1),0),$C140-1966)</f>
        <v>147708</v>
      </c>
      <c r="AE140" s="4" cm="1">
        <f t="array" ref="AE140">INDEX(GMW!$A$2:$LR$60,MATCH(1,(GMW!$LQ$2:$LQ$60=AE$3)*(GMW!$LP$2:$LP$60=AE$4)*(GMW!$LR$2:$LR$60=AE$1),0),$C140-1966)</f>
        <v>145208</v>
      </c>
      <c r="AF140" s="4" cm="1">
        <f t="array" ref="AF140">INDEX(GMW!$A$2:$LR$60,MATCH(1,(GMW!$LQ$2:$LQ$60=AF$3)*(GMW!$LP$2:$LP$60=AF$4)*(GMW!$LR$2:$LR$60=AF$1),0),$C140-1966)</f>
        <v>1E-3</v>
      </c>
      <c r="AG140" s="4" cm="1">
        <f t="array" ref="AG140">INDEX(GMW!$A$2:$LR$60,MATCH(1,(GMW!$LQ$2:$LQ$60=AG$3)*(GMW!$LP$2:$LP$60=AG$4)*(GMW!$LR$2:$LR$60=AG$1),0),$C140-1966)</f>
        <v>1E-3</v>
      </c>
    </row>
    <row r="141" spans="1:33" x14ac:dyDescent="0.25">
      <c r="B141" s="4">
        <f t="shared" si="5"/>
        <v>2006</v>
      </c>
      <c r="C141" s="4">
        <f t="shared" si="4"/>
        <v>2107</v>
      </c>
      <c r="D141" s="4" cm="1">
        <f t="array" ref="D141">INDEX(GMW!$A$2:$LR$60,MATCH(1,(GMW!$LQ$2:$LQ$60=D$3)*(GMW!$LP$2:$LP$60=D$4)*(GMW!$LR$2:$LR$60=D$1),0),$C141-1966)</f>
        <v>470918</v>
      </c>
      <c r="E141" s="4" cm="1">
        <f t="array" ref="E141">INDEX(GMW!$A$2:$LR$60,MATCH(1,(GMW!$LQ$2:$LQ$60=E$3)*(GMW!$LP$2:$LP$60=E$4)*(GMW!$LR$2:$LR$60=E$1),0),$C141-1966)</f>
        <v>470918</v>
      </c>
      <c r="F141" s="4" cm="1">
        <f t="array" ref="F141">INDEX(GMW!$A$2:$LR$60,MATCH(1,(GMW!$LQ$2:$LQ$60=F$3)*(GMW!$LP$2:$LP$60=F$4)*(GMW!$LR$2:$LR$60=F$1),0),$C141-1966)</f>
        <v>470918</v>
      </c>
      <c r="G141" s="4" cm="1">
        <f t="array" ref="G141">INDEX(GMW!$A$2:$LR$60,MATCH(1,(GMW!$LQ$2:$LQ$60=G$3)*(GMW!$LP$2:$LP$60=G$4)*(GMW!$LR$2:$LR$60=G$1),0),$C141-1966)</f>
        <v>470918</v>
      </c>
      <c r="H141" s="4" cm="1">
        <f t="array" ref="H141">INDEX(GMW!$A$2:$LR$60,MATCH(1,(GMW!$LQ$2:$LQ$60=H$3)*(GMW!$LP$2:$LP$60=H$4)*(GMW!$LR$2:$LR$60=H$1),0),$C141-1966)</f>
        <v>470918</v>
      </c>
      <c r="I141" s="4" cm="1">
        <f t="array" ref="I141">INDEX(GMW!$A$2:$LR$60,MATCH(1,(GMW!$LQ$2:$LQ$60=I$3)*(GMW!$LP$2:$LP$60=I$4)*(GMW!$LR$2:$LR$60=I$1),0),$C141-1966)</f>
        <v>470918</v>
      </c>
      <c r="J141" s="4" cm="1">
        <f t="array" ref="J141">INDEX(GMW!$A$2:$LR$60,MATCH(1,(GMW!$LQ$2:$LQ$60=J$3)*(GMW!$LP$2:$LP$60=J$4)*(GMW!$LR$2:$LR$60=J$1),0),$C141-1966)</f>
        <v>470918</v>
      </c>
      <c r="K141" s="4" cm="1">
        <f t="array" ref="K141">INDEX(GMW!$A$2:$LR$60,MATCH(1,(GMW!$LQ$2:$LQ$60=K$3)*(GMW!$LP$2:$LP$60=K$4)*(GMW!$LR$2:$LR$60=K$1),0),$C141-1966)</f>
        <v>470918</v>
      </c>
      <c r="L141" s="4" cm="1">
        <f t="array" ref="L141">INDEX(GMW!$A$2:$LR$60,MATCH(1,(GMW!$LQ$2:$LQ$60=L$3)*(GMW!$LP$2:$LP$60=L$4)*(GMW!$LR$2:$LR$60=L$1),0),$C141-1966)</f>
        <v>470918</v>
      </c>
      <c r="M141" s="4" cm="1">
        <f t="array" ref="M141">INDEX(GMW!$A$2:$LR$60,MATCH(1,(GMW!$LQ$2:$LQ$60=M$3)*(GMW!$LP$2:$LP$60=M$4)*(GMW!$LR$2:$LR$60=M$1),0),$C141-1966)</f>
        <v>470918</v>
      </c>
      <c r="N141" s="4" cm="1">
        <f t="array" ref="N141">INDEX(GMW!$A$2:$LR$60,MATCH(1,(GMW!$LQ$2:$LQ$60=N$3)*(GMW!$LP$2:$LP$60=N$4)*(GMW!$LR$2:$LR$60=N$1),0),$C141-1966)</f>
        <v>470918</v>
      </c>
      <c r="O141" s="4" cm="1">
        <f t="array" ref="O141">INDEX(GMW!$A$2:$LR$60,MATCH(1,(GMW!$LQ$2:$LQ$60=O$3)*(GMW!$LP$2:$LP$60=O$4)*(GMW!$LR$2:$LR$60=O$1),0),$C141-1966)</f>
        <v>470918</v>
      </c>
      <c r="P141" s="4" cm="1">
        <f t="array" ref="P141">INDEX(GMW!$A$2:$LR$60,MATCH(1,(GMW!$LQ$2:$LQ$60=P$3)*(GMW!$LP$2:$LP$60=P$4)*(GMW!$LR$2:$LR$60=P$1),0),$C141-1966)</f>
        <v>470918</v>
      </c>
      <c r="Q141" s="4" cm="1">
        <f t="array" ref="Q141">INDEX(GMW!$A$2:$LR$60,MATCH(1,(GMW!$LQ$2:$LQ$60=Q$3)*(GMW!$LP$2:$LP$60=Q$4)*(GMW!$LR$2:$LR$60=Q$1),0),$C141-1966)</f>
        <v>470918</v>
      </c>
      <c r="R141" s="4" cm="1">
        <f t="array" ref="R141">INDEX(GMW!$A$2:$LR$60,MATCH(1,(GMW!$LQ$2:$LQ$60=R$3)*(GMW!$LP$2:$LP$60=R$4)*(GMW!$LR$2:$LR$60=R$1),0),$C141-1966)</f>
        <v>470918</v>
      </c>
      <c r="S141" s="4" cm="1">
        <f t="array" ref="S141">INDEX(GMW!$A$2:$LR$60,MATCH(1,(GMW!$LQ$2:$LQ$60=S$3)*(GMW!$LP$2:$LP$60=S$4)*(GMW!$LR$2:$LR$60=S$1),0),$C141-1966)</f>
        <v>470918</v>
      </c>
      <c r="T141" s="4" cm="1">
        <f t="array" ref="T141">INDEX(GMW!$A$2:$LR$60,MATCH(1,(GMW!$LQ$2:$LQ$60=T$3)*(GMW!$LP$2:$LP$60=T$4)*(GMW!$LR$2:$LR$60=T$1),0),$C141-1966)</f>
        <v>470918</v>
      </c>
      <c r="U141" s="4" cm="1">
        <f t="array" ref="U141">INDEX(GMW!$A$2:$LR$60,MATCH(1,(GMW!$LQ$2:$LQ$60=U$3)*(GMW!$LP$2:$LP$60=U$4)*(GMW!$LR$2:$LR$60=U$1),0),$C141-1966)</f>
        <v>401.33330000000001</v>
      </c>
      <c r="V141" s="4" cm="1">
        <f t="array" ref="V141">INDEX(GMW!$A$2:$LR$60,MATCH(1,(GMW!$LQ$2:$LQ$60=V$3)*(GMW!$LP$2:$LP$60=V$4)*(GMW!$LR$2:$LR$60=V$1),0),$C141-1966)</f>
        <v>80.3</v>
      </c>
      <c r="W141" s="4" cm="1">
        <f t="array" ref="W141">INDEX(GMW!$A$2:$LR$60,MATCH(1,(GMW!$LQ$2:$LQ$60=W$3)*(GMW!$LP$2:$LP$60=W$4)*(GMW!$LR$2:$LR$60=W$1),0),$C141-1966)</f>
        <v>71.133330000000001</v>
      </c>
      <c r="X141" s="4" cm="1">
        <f t="array" ref="X141">INDEX(GMW!$A$2:$LR$60,MATCH(1,(GMW!$LQ$2:$LQ$60=X$3)*(GMW!$LP$2:$LP$60=X$4)*(GMW!$LR$2:$LR$60=X$1),0),$C141-1966)</f>
        <v>85.733329999999995</v>
      </c>
      <c r="Y141" s="4" cm="1">
        <f t="array" ref="Y141">INDEX(GMW!$A$2:$LR$60,MATCH(1,(GMW!$LQ$2:$LQ$60=Y$3)*(GMW!$LP$2:$LP$60=Y$4)*(GMW!$LR$2:$LR$60=Y$1),0),$C141-1966)</f>
        <v>61</v>
      </c>
      <c r="Z141" s="4" cm="1">
        <f t="array" ref="Z141">INDEX(GMW!$A$2:$LR$60,MATCH(1,(GMW!$LQ$2:$LQ$60=Z$3)*(GMW!$LP$2:$LP$60=Z$4)*(GMW!$LR$2:$LR$60=Z$1),0),$C141-1966)</f>
        <v>83.533330000000007</v>
      </c>
      <c r="AA141" s="4" cm="1">
        <f t="array" ref="AA141">INDEX(GMW!$A$2:$LR$60,MATCH(1,(GMW!$LQ$2:$LQ$60=AA$3)*(GMW!$LP$2:$LP$60=AA$4)*(GMW!$LR$2:$LR$60=AA$1),0),$C141-1966)</f>
        <v>284098</v>
      </c>
      <c r="AB141" s="4" cm="1">
        <f t="array" ref="AB141">INDEX(GMW!$A$2:$LR$60,MATCH(1,(GMW!$LQ$2:$LQ$60=AB$3)*(GMW!$LP$2:$LP$60=AB$4)*(GMW!$LR$2:$LR$60=AB$1),0),$C141-1966)</f>
        <v>83735</v>
      </c>
      <c r="AC141" s="4" cm="1">
        <f t="array" ref="AC141">INDEX(GMW!$A$2:$LR$60,MATCH(1,(GMW!$LQ$2:$LQ$60=AC$3)*(GMW!$LP$2:$LP$60=AC$4)*(GMW!$LR$2:$LR$60=AC$1),0),$C141-1966)</f>
        <v>91164</v>
      </c>
      <c r="AD141" s="4" cm="1">
        <f t="array" ref="AD141">INDEX(GMW!$A$2:$LR$60,MATCH(1,(GMW!$LQ$2:$LQ$60=AD$3)*(GMW!$LP$2:$LP$60=AD$4)*(GMW!$LR$2:$LR$60=AD$1),0),$C141-1966)</f>
        <v>130234</v>
      </c>
      <c r="AE141" s="4" cm="1">
        <f t="array" ref="AE141">INDEX(GMW!$A$2:$LR$60,MATCH(1,(GMW!$LQ$2:$LQ$60=AE$3)*(GMW!$LP$2:$LP$60=AE$4)*(GMW!$LR$2:$LR$60=AE$1),0),$C141-1966)</f>
        <v>129894</v>
      </c>
      <c r="AF141" s="4" cm="1">
        <f t="array" ref="AF141">INDEX(GMW!$A$2:$LR$60,MATCH(1,(GMW!$LQ$2:$LQ$60=AF$3)*(GMW!$LP$2:$LP$60=AF$4)*(GMW!$LR$2:$LR$60=AF$1),0),$C141-1966)</f>
        <v>1E-3</v>
      </c>
      <c r="AG141" s="4" cm="1">
        <f t="array" ref="AG141">INDEX(GMW!$A$2:$LR$60,MATCH(1,(GMW!$LQ$2:$LQ$60=AG$3)*(GMW!$LP$2:$LP$60=AG$4)*(GMW!$LR$2:$LR$60=AG$1),0),$C141-1966)</f>
        <v>1E-3</v>
      </c>
    </row>
    <row r="142" spans="1:33" x14ac:dyDescent="0.25">
      <c r="B142" s="4">
        <f t="shared" si="5"/>
        <v>2006</v>
      </c>
      <c r="C142" s="4">
        <f t="shared" si="4"/>
        <v>2108</v>
      </c>
      <c r="D142" s="4" cm="1">
        <f t="array" ref="D142">INDEX(GMW!$A$2:$LR$60,MATCH(1,(GMW!$LQ$2:$LQ$60=D$3)*(GMW!$LP$2:$LP$60=D$4)*(GMW!$LR$2:$LR$60=D$1),0),$C142-1966)</f>
        <v>473372</v>
      </c>
      <c r="E142" s="4" cm="1">
        <f t="array" ref="E142">INDEX(GMW!$A$2:$LR$60,MATCH(1,(GMW!$LQ$2:$LQ$60=E$3)*(GMW!$LP$2:$LP$60=E$4)*(GMW!$LR$2:$LR$60=E$1),0),$C142-1966)</f>
        <v>473372</v>
      </c>
      <c r="F142" s="4" cm="1">
        <f t="array" ref="F142">INDEX(GMW!$A$2:$LR$60,MATCH(1,(GMW!$LQ$2:$LQ$60=F$3)*(GMW!$LP$2:$LP$60=F$4)*(GMW!$LR$2:$LR$60=F$1),0),$C142-1966)</f>
        <v>473372</v>
      </c>
      <c r="G142" s="4" cm="1">
        <f t="array" ref="G142">INDEX(GMW!$A$2:$LR$60,MATCH(1,(GMW!$LQ$2:$LQ$60=G$3)*(GMW!$LP$2:$LP$60=G$4)*(GMW!$LR$2:$LR$60=G$1),0),$C142-1966)</f>
        <v>473372</v>
      </c>
      <c r="H142" s="4" cm="1">
        <f t="array" ref="H142">INDEX(GMW!$A$2:$LR$60,MATCH(1,(GMW!$LQ$2:$LQ$60=H$3)*(GMW!$LP$2:$LP$60=H$4)*(GMW!$LR$2:$LR$60=H$1),0),$C142-1966)</f>
        <v>473372</v>
      </c>
      <c r="I142" s="4" cm="1">
        <f t="array" ref="I142">INDEX(GMW!$A$2:$LR$60,MATCH(1,(GMW!$LQ$2:$LQ$60=I$3)*(GMW!$LP$2:$LP$60=I$4)*(GMW!$LR$2:$LR$60=I$1),0),$C142-1966)</f>
        <v>473372</v>
      </c>
      <c r="J142" s="4" cm="1">
        <f t="array" ref="J142">INDEX(GMW!$A$2:$LR$60,MATCH(1,(GMW!$LQ$2:$LQ$60=J$3)*(GMW!$LP$2:$LP$60=J$4)*(GMW!$LR$2:$LR$60=J$1),0),$C142-1966)</f>
        <v>473372</v>
      </c>
      <c r="K142" s="4" cm="1">
        <f t="array" ref="K142">INDEX(GMW!$A$2:$LR$60,MATCH(1,(GMW!$LQ$2:$LQ$60=K$3)*(GMW!$LP$2:$LP$60=K$4)*(GMW!$LR$2:$LR$60=K$1),0),$C142-1966)</f>
        <v>473372</v>
      </c>
      <c r="L142" s="4" cm="1">
        <f t="array" ref="L142">INDEX(GMW!$A$2:$LR$60,MATCH(1,(GMW!$LQ$2:$LQ$60=L$3)*(GMW!$LP$2:$LP$60=L$4)*(GMW!$LR$2:$LR$60=L$1),0),$C142-1966)</f>
        <v>473372</v>
      </c>
      <c r="M142" s="4" cm="1">
        <f t="array" ref="M142">INDEX(GMW!$A$2:$LR$60,MATCH(1,(GMW!$LQ$2:$LQ$60=M$3)*(GMW!$LP$2:$LP$60=M$4)*(GMW!$LR$2:$LR$60=M$1),0),$C142-1966)</f>
        <v>473372</v>
      </c>
      <c r="N142" s="4" cm="1">
        <f t="array" ref="N142">INDEX(GMW!$A$2:$LR$60,MATCH(1,(GMW!$LQ$2:$LQ$60=N$3)*(GMW!$LP$2:$LP$60=N$4)*(GMW!$LR$2:$LR$60=N$1),0),$C142-1966)</f>
        <v>473372</v>
      </c>
      <c r="O142" s="4" cm="1">
        <f t="array" ref="O142">INDEX(GMW!$A$2:$LR$60,MATCH(1,(GMW!$LQ$2:$LQ$60=O$3)*(GMW!$LP$2:$LP$60=O$4)*(GMW!$LR$2:$LR$60=O$1),0),$C142-1966)</f>
        <v>473372</v>
      </c>
      <c r="P142" s="4" cm="1">
        <f t="array" ref="P142">INDEX(GMW!$A$2:$LR$60,MATCH(1,(GMW!$LQ$2:$LQ$60=P$3)*(GMW!$LP$2:$LP$60=P$4)*(GMW!$LR$2:$LR$60=P$1),0),$C142-1966)</f>
        <v>473372</v>
      </c>
      <c r="Q142" s="4" cm="1">
        <f t="array" ref="Q142">INDEX(GMW!$A$2:$LR$60,MATCH(1,(GMW!$LQ$2:$LQ$60=Q$3)*(GMW!$LP$2:$LP$60=Q$4)*(GMW!$LR$2:$LR$60=Q$1),0),$C142-1966)</f>
        <v>473372</v>
      </c>
      <c r="R142" s="4" cm="1">
        <f t="array" ref="R142">INDEX(GMW!$A$2:$LR$60,MATCH(1,(GMW!$LQ$2:$LQ$60=R$3)*(GMW!$LP$2:$LP$60=R$4)*(GMW!$LR$2:$LR$60=R$1),0),$C142-1966)</f>
        <v>473372</v>
      </c>
      <c r="S142" s="4" cm="1">
        <f t="array" ref="S142">INDEX(GMW!$A$2:$LR$60,MATCH(1,(GMW!$LQ$2:$LQ$60=S$3)*(GMW!$LP$2:$LP$60=S$4)*(GMW!$LR$2:$LR$60=S$1),0),$C142-1966)</f>
        <v>473372</v>
      </c>
      <c r="T142" s="4" cm="1">
        <f t="array" ref="T142">INDEX(GMW!$A$2:$LR$60,MATCH(1,(GMW!$LQ$2:$LQ$60=T$3)*(GMW!$LP$2:$LP$60=T$4)*(GMW!$LR$2:$LR$60=T$1),0),$C142-1966)</f>
        <v>473372</v>
      </c>
      <c r="U142" s="4" cm="1">
        <f t="array" ref="U142">INDEX(GMW!$A$2:$LR$60,MATCH(1,(GMW!$LQ$2:$LQ$60=U$3)*(GMW!$LP$2:$LP$60=U$4)*(GMW!$LR$2:$LR$60=U$1),0),$C142-1966)</f>
        <v>408</v>
      </c>
      <c r="V142" s="4" cm="1">
        <f t="array" ref="V142">INDEX(GMW!$A$2:$LR$60,MATCH(1,(GMW!$LQ$2:$LQ$60=V$3)*(GMW!$LP$2:$LP$60=V$4)*(GMW!$LR$2:$LR$60=V$1),0),$C142-1966)</f>
        <v>80.900000000000006</v>
      </c>
      <c r="W142" s="4" cm="1">
        <f t="array" ref="W142">INDEX(GMW!$A$2:$LR$60,MATCH(1,(GMW!$LQ$2:$LQ$60=W$3)*(GMW!$LP$2:$LP$60=W$4)*(GMW!$LR$2:$LR$60=W$1),0),$C142-1966)</f>
        <v>71.966669999999993</v>
      </c>
      <c r="X142" s="4" cm="1">
        <f t="array" ref="X142">INDEX(GMW!$A$2:$LR$60,MATCH(1,(GMW!$LQ$2:$LQ$60=X$3)*(GMW!$LP$2:$LP$60=X$4)*(GMW!$LR$2:$LR$60=X$1),0),$C142-1966)</f>
        <v>78.3</v>
      </c>
      <c r="Y142" s="4" cm="1">
        <f t="array" ref="Y142">INDEX(GMW!$A$2:$LR$60,MATCH(1,(GMW!$LQ$2:$LQ$60=Y$3)*(GMW!$LP$2:$LP$60=Y$4)*(GMW!$LR$2:$LR$60=Y$1),0),$C142-1966)</f>
        <v>64.900000000000006</v>
      </c>
      <c r="Z142" s="4" cm="1">
        <f t="array" ref="Z142">INDEX(GMW!$A$2:$LR$60,MATCH(1,(GMW!$LQ$2:$LQ$60=Z$3)*(GMW!$LP$2:$LP$60=Z$4)*(GMW!$LR$2:$LR$60=Z$1),0),$C142-1966)</f>
        <v>84.233329999999995</v>
      </c>
      <c r="AA142" s="4" cm="1">
        <f t="array" ref="AA142">INDEX(GMW!$A$2:$LR$60,MATCH(1,(GMW!$LQ$2:$LQ$60=AA$3)*(GMW!$LP$2:$LP$60=AA$4)*(GMW!$LR$2:$LR$60=AA$1),0),$C142-1966)</f>
        <v>284633</v>
      </c>
      <c r="AB142" s="4" cm="1">
        <f t="array" ref="AB142">INDEX(GMW!$A$2:$LR$60,MATCH(1,(GMW!$LQ$2:$LQ$60=AB$3)*(GMW!$LP$2:$LP$60=AB$4)*(GMW!$LR$2:$LR$60=AB$1),0),$C142-1966)</f>
        <v>83427</v>
      </c>
      <c r="AC142" s="4" cm="1">
        <f t="array" ref="AC142">INDEX(GMW!$A$2:$LR$60,MATCH(1,(GMW!$LQ$2:$LQ$60=AC$3)*(GMW!$LP$2:$LP$60=AC$4)*(GMW!$LR$2:$LR$60=AC$1),0),$C142-1966)</f>
        <v>91286</v>
      </c>
      <c r="AD142" s="4" cm="1">
        <f t="array" ref="AD142">INDEX(GMW!$A$2:$LR$60,MATCH(1,(GMW!$LQ$2:$LQ$60=AD$3)*(GMW!$LP$2:$LP$60=AD$4)*(GMW!$LR$2:$LR$60=AD$1),0),$C142-1966)</f>
        <v>129493</v>
      </c>
      <c r="AE142" s="4" cm="1">
        <f t="array" ref="AE142">INDEX(GMW!$A$2:$LR$60,MATCH(1,(GMW!$LQ$2:$LQ$60=AE$3)*(GMW!$LP$2:$LP$60=AE$4)*(GMW!$LR$2:$LR$60=AE$1),0),$C142-1966)</f>
        <v>129701</v>
      </c>
      <c r="AF142" s="4" cm="1">
        <f t="array" ref="AF142">INDEX(GMW!$A$2:$LR$60,MATCH(1,(GMW!$LQ$2:$LQ$60=AF$3)*(GMW!$LP$2:$LP$60=AF$4)*(GMW!$LR$2:$LR$60=AF$1),0),$C142-1966)</f>
        <v>1E-3</v>
      </c>
      <c r="AG142" s="4" cm="1">
        <f t="array" ref="AG142">INDEX(GMW!$A$2:$LR$60,MATCH(1,(GMW!$LQ$2:$LQ$60=AG$3)*(GMW!$LP$2:$LP$60=AG$4)*(GMW!$LR$2:$LR$60=AG$1),0),$C142-1966)</f>
        <v>1E-3</v>
      </c>
    </row>
    <row r="143" spans="1:33" x14ac:dyDescent="0.25">
      <c r="A143" s="4">
        <v>2007</v>
      </c>
      <c r="B143" s="4">
        <f t="shared" si="5"/>
        <v>2007</v>
      </c>
      <c r="C143" s="4">
        <f t="shared" si="4"/>
        <v>2109</v>
      </c>
      <c r="D143" s="4" cm="1">
        <f t="array" ref="D143">INDEX(GMW!$A$2:$LR$60,MATCH(1,(GMW!$LQ$2:$LQ$60=D$3)*(GMW!$LP$2:$LP$60=D$4)*(GMW!$LR$2:$LR$60=D$1),0),$C143-1966)</f>
        <v>477823</v>
      </c>
      <c r="E143" s="4" cm="1">
        <f t="array" ref="E143">INDEX(GMW!$A$2:$LR$60,MATCH(1,(GMW!$LQ$2:$LQ$60=E$3)*(GMW!$LP$2:$LP$60=E$4)*(GMW!$LR$2:$LR$60=E$1),0),$C143-1966)</f>
        <v>477823</v>
      </c>
      <c r="F143" s="4" cm="1">
        <f t="array" ref="F143">INDEX(GMW!$A$2:$LR$60,MATCH(1,(GMW!$LQ$2:$LQ$60=F$3)*(GMW!$LP$2:$LP$60=F$4)*(GMW!$LR$2:$LR$60=F$1),0),$C143-1966)</f>
        <v>477823</v>
      </c>
      <c r="G143" s="4" cm="1">
        <f t="array" ref="G143">INDEX(GMW!$A$2:$LR$60,MATCH(1,(GMW!$LQ$2:$LQ$60=G$3)*(GMW!$LP$2:$LP$60=G$4)*(GMW!$LR$2:$LR$60=G$1),0),$C143-1966)</f>
        <v>477823</v>
      </c>
      <c r="H143" s="4" cm="1">
        <f t="array" ref="H143">INDEX(GMW!$A$2:$LR$60,MATCH(1,(GMW!$LQ$2:$LQ$60=H$3)*(GMW!$LP$2:$LP$60=H$4)*(GMW!$LR$2:$LR$60=H$1),0),$C143-1966)</f>
        <v>477823</v>
      </c>
      <c r="I143" s="4" cm="1">
        <f t="array" ref="I143">INDEX(GMW!$A$2:$LR$60,MATCH(1,(GMW!$LQ$2:$LQ$60=I$3)*(GMW!$LP$2:$LP$60=I$4)*(GMW!$LR$2:$LR$60=I$1),0),$C143-1966)</f>
        <v>477823</v>
      </c>
      <c r="J143" s="4" cm="1">
        <f t="array" ref="J143">INDEX(GMW!$A$2:$LR$60,MATCH(1,(GMW!$LQ$2:$LQ$60=J$3)*(GMW!$LP$2:$LP$60=J$4)*(GMW!$LR$2:$LR$60=J$1),0),$C143-1966)</f>
        <v>477823</v>
      </c>
      <c r="K143" s="4" cm="1">
        <f t="array" ref="K143">INDEX(GMW!$A$2:$LR$60,MATCH(1,(GMW!$LQ$2:$LQ$60=K$3)*(GMW!$LP$2:$LP$60=K$4)*(GMW!$LR$2:$LR$60=K$1),0),$C143-1966)</f>
        <v>477823</v>
      </c>
      <c r="L143" s="4" cm="1">
        <f t="array" ref="L143">INDEX(GMW!$A$2:$LR$60,MATCH(1,(GMW!$LQ$2:$LQ$60=L$3)*(GMW!$LP$2:$LP$60=L$4)*(GMW!$LR$2:$LR$60=L$1),0),$C143-1966)</f>
        <v>477823</v>
      </c>
      <c r="M143" s="4" cm="1">
        <f t="array" ref="M143">INDEX(GMW!$A$2:$LR$60,MATCH(1,(GMW!$LQ$2:$LQ$60=M$3)*(GMW!$LP$2:$LP$60=M$4)*(GMW!$LR$2:$LR$60=M$1),0),$C143-1966)</f>
        <v>477823</v>
      </c>
      <c r="N143" s="4" cm="1">
        <f t="array" ref="N143">INDEX(GMW!$A$2:$LR$60,MATCH(1,(GMW!$LQ$2:$LQ$60=N$3)*(GMW!$LP$2:$LP$60=N$4)*(GMW!$LR$2:$LR$60=N$1),0),$C143-1966)</f>
        <v>477823</v>
      </c>
      <c r="O143" s="4" cm="1">
        <f t="array" ref="O143">INDEX(GMW!$A$2:$LR$60,MATCH(1,(GMW!$LQ$2:$LQ$60=O$3)*(GMW!$LP$2:$LP$60=O$4)*(GMW!$LR$2:$LR$60=O$1),0),$C143-1966)</f>
        <v>477823</v>
      </c>
      <c r="P143" s="4" cm="1">
        <f t="array" ref="P143">INDEX(GMW!$A$2:$LR$60,MATCH(1,(GMW!$LQ$2:$LQ$60=P$3)*(GMW!$LP$2:$LP$60=P$4)*(GMW!$LR$2:$LR$60=P$1),0),$C143-1966)</f>
        <v>477823</v>
      </c>
      <c r="Q143" s="4" cm="1">
        <f t="array" ref="Q143">INDEX(GMW!$A$2:$LR$60,MATCH(1,(GMW!$LQ$2:$LQ$60=Q$3)*(GMW!$LP$2:$LP$60=Q$4)*(GMW!$LR$2:$LR$60=Q$1),0),$C143-1966)</f>
        <v>477823</v>
      </c>
      <c r="R143" s="4" cm="1">
        <f t="array" ref="R143">INDEX(GMW!$A$2:$LR$60,MATCH(1,(GMW!$LQ$2:$LQ$60=R$3)*(GMW!$LP$2:$LP$60=R$4)*(GMW!$LR$2:$LR$60=R$1),0),$C143-1966)</f>
        <v>477823</v>
      </c>
      <c r="S143" s="4" cm="1">
        <f t="array" ref="S143">INDEX(GMW!$A$2:$LR$60,MATCH(1,(GMW!$LQ$2:$LQ$60=S$3)*(GMW!$LP$2:$LP$60=S$4)*(GMW!$LR$2:$LR$60=S$1),0),$C143-1966)</f>
        <v>477823</v>
      </c>
      <c r="T143" s="4" cm="1">
        <f t="array" ref="T143">INDEX(GMW!$A$2:$LR$60,MATCH(1,(GMW!$LQ$2:$LQ$60=T$3)*(GMW!$LP$2:$LP$60=T$4)*(GMW!$LR$2:$LR$60=T$1),0),$C143-1966)</f>
        <v>477823</v>
      </c>
      <c r="U143" s="4" cm="1">
        <f t="array" ref="U143">INDEX(GMW!$A$2:$LR$60,MATCH(1,(GMW!$LQ$2:$LQ$60=U$3)*(GMW!$LP$2:$LP$60=U$4)*(GMW!$LR$2:$LR$60=U$1),0),$C143-1966)</f>
        <v>417</v>
      </c>
      <c r="V143" s="4" cm="1">
        <f t="array" ref="V143">INDEX(GMW!$A$2:$LR$60,MATCH(1,(GMW!$LQ$2:$LQ$60=V$3)*(GMW!$LP$2:$LP$60=V$4)*(GMW!$LR$2:$LR$60=V$1),0),$C143-1966)</f>
        <v>81</v>
      </c>
      <c r="W143" s="4" cm="1">
        <f t="array" ref="W143">INDEX(GMW!$A$2:$LR$60,MATCH(1,(GMW!$LQ$2:$LQ$60=W$3)*(GMW!$LP$2:$LP$60=W$4)*(GMW!$LR$2:$LR$60=W$1),0),$C143-1966)</f>
        <v>72.466669999999993</v>
      </c>
      <c r="X143" s="4" cm="1">
        <f t="array" ref="X143">INDEX(GMW!$A$2:$LR$60,MATCH(1,(GMW!$LQ$2:$LQ$60=X$3)*(GMW!$LP$2:$LP$60=X$4)*(GMW!$LR$2:$LR$60=X$1),0),$C143-1966)</f>
        <v>78.733329999999995</v>
      </c>
      <c r="Y143" s="4" cm="1">
        <f t="array" ref="Y143">INDEX(GMW!$A$2:$LR$60,MATCH(1,(GMW!$LQ$2:$LQ$60=Y$3)*(GMW!$LP$2:$LP$60=Y$4)*(GMW!$LR$2:$LR$60=Y$1),0),$C143-1966)</f>
        <v>66.333340000000007</v>
      </c>
      <c r="Z143" s="4" cm="1">
        <f t="array" ref="Z143">INDEX(GMW!$A$2:$LR$60,MATCH(1,(GMW!$LQ$2:$LQ$60=Z$3)*(GMW!$LP$2:$LP$60=Z$4)*(GMW!$LR$2:$LR$60=Z$1),0),$C143-1966)</f>
        <v>84.133330000000001</v>
      </c>
      <c r="AA143" s="4" cm="1">
        <f t="array" ref="AA143">INDEX(GMW!$A$2:$LR$60,MATCH(1,(GMW!$LQ$2:$LQ$60=AA$3)*(GMW!$LP$2:$LP$60=AA$4)*(GMW!$LR$2:$LR$60=AA$1),0),$C143-1966)</f>
        <v>287775</v>
      </c>
      <c r="AB143" s="4" cm="1">
        <f t="array" ref="AB143">INDEX(GMW!$A$2:$LR$60,MATCH(1,(GMW!$LQ$2:$LQ$60=AB$3)*(GMW!$LP$2:$LP$60=AB$4)*(GMW!$LR$2:$LR$60=AB$1),0),$C143-1966)</f>
        <v>84438</v>
      </c>
      <c r="AC143" s="4" cm="1">
        <f t="array" ref="AC143">INDEX(GMW!$A$2:$LR$60,MATCH(1,(GMW!$LQ$2:$LQ$60=AC$3)*(GMW!$LP$2:$LP$60=AC$4)*(GMW!$LR$2:$LR$60=AC$1),0),$C143-1966)</f>
        <v>91933</v>
      </c>
      <c r="AD143" s="4" cm="1">
        <f t="array" ref="AD143">INDEX(GMW!$A$2:$LR$60,MATCH(1,(GMW!$LQ$2:$LQ$60=AD$3)*(GMW!$LP$2:$LP$60=AD$4)*(GMW!$LR$2:$LR$60=AD$1),0),$C143-1966)</f>
        <v>130611</v>
      </c>
      <c r="AE143" s="4" cm="1">
        <f t="array" ref="AE143">INDEX(GMW!$A$2:$LR$60,MATCH(1,(GMW!$LQ$2:$LQ$60=AE$3)*(GMW!$LP$2:$LP$60=AE$4)*(GMW!$LR$2:$LR$60=AE$1),0),$C143-1966)</f>
        <v>133130</v>
      </c>
      <c r="AF143" s="4" cm="1">
        <f t="array" ref="AF143">INDEX(GMW!$A$2:$LR$60,MATCH(1,(GMW!$LQ$2:$LQ$60=AF$3)*(GMW!$LP$2:$LP$60=AF$4)*(GMW!$LR$2:$LR$60=AF$1),0),$C143-1966)</f>
        <v>1E-3</v>
      </c>
      <c r="AG143" s="4" cm="1">
        <f t="array" ref="AG143">INDEX(GMW!$A$2:$LR$60,MATCH(1,(GMW!$LQ$2:$LQ$60=AG$3)*(GMW!$LP$2:$LP$60=AG$4)*(GMW!$LR$2:$LR$60=AG$1),0),$C143-1966)</f>
        <v>1E-3</v>
      </c>
    </row>
    <row r="144" spans="1:33" x14ac:dyDescent="0.25">
      <c r="B144" s="4">
        <f t="shared" si="5"/>
        <v>2007</v>
      </c>
      <c r="C144" s="4">
        <f t="shared" si="4"/>
        <v>2110</v>
      </c>
      <c r="D144" s="4" cm="1">
        <f t="array" ref="D144">INDEX(GMW!$A$2:$LR$60,MATCH(1,(GMW!$LQ$2:$LQ$60=D$3)*(GMW!$LP$2:$LP$60=D$4)*(GMW!$LR$2:$LR$60=D$1),0),$C144-1966)</f>
        <v>481314</v>
      </c>
      <c r="E144" s="4" cm="1">
        <f t="array" ref="E144">INDEX(GMW!$A$2:$LR$60,MATCH(1,(GMW!$LQ$2:$LQ$60=E$3)*(GMW!$LP$2:$LP$60=E$4)*(GMW!$LR$2:$LR$60=E$1),0),$C144-1966)</f>
        <v>481314</v>
      </c>
      <c r="F144" s="4" cm="1">
        <f t="array" ref="F144">INDEX(GMW!$A$2:$LR$60,MATCH(1,(GMW!$LQ$2:$LQ$60=F$3)*(GMW!$LP$2:$LP$60=F$4)*(GMW!$LR$2:$LR$60=F$1),0),$C144-1966)</f>
        <v>481314</v>
      </c>
      <c r="G144" s="4" cm="1">
        <f t="array" ref="G144">INDEX(GMW!$A$2:$LR$60,MATCH(1,(GMW!$LQ$2:$LQ$60=G$3)*(GMW!$LP$2:$LP$60=G$4)*(GMW!$LR$2:$LR$60=G$1),0),$C144-1966)</f>
        <v>481314</v>
      </c>
      <c r="H144" s="4" cm="1">
        <f t="array" ref="H144">INDEX(GMW!$A$2:$LR$60,MATCH(1,(GMW!$LQ$2:$LQ$60=H$3)*(GMW!$LP$2:$LP$60=H$4)*(GMW!$LR$2:$LR$60=H$1),0),$C144-1966)</f>
        <v>481314</v>
      </c>
      <c r="I144" s="4" cm="1">
        <f t="array" ref="I144">INDEX(GMW!$A$2:$LR$60,MATCH(1,(GMW!$LQ$2:$LQ$60=I$3)*(GMW!$LP$2:$LP$60=I$4)*(GMW!$LR$2:$LR$60=I$1),0),$C144-1966)</f>
        <v>481314</v>
      </c>
      <c r="J144" s="4" cm="1">
        <f t="array" ref="J144">INDEX(GMW!$A$2:$LR$60,MATCH(1,(GMW!$LQ$2:$LQ$60=J$3)*(GMW!$LP$2:$LP$60=J$4)*(GMW!$LR$2:$LR$60=J$1),0),$C144-1966)</f>
        <v>481314</v>
      </c>
      <c r="K144" s="4" cm="1">
        <f t="array" ref="K144">INDEX(GMW!$A$2:$LR$60,MATCH(1,(GMW!$LQ$2:$LQ$60=K$3)*(GMW!$LP$2:$LP$60=K$4)*(GMW!$LR$2:$LR$60=K$1),0),$C144-1966)</f>
        <v>481314</v>
      </c>
      <c r="L144" s="4" cm="1">
        <f t="array" ref="L144">INDEX(GMW!$A$2:$LR$60,MATCH(1,(GMW!$LQ$2:$LQ$60=L$3)*(GMW!$LP$2:$LP$60=L$4)*(GMW!$LR$2:$LR$60=L$1),0),$C144-1966)</f>
        <v>481314</v>
      </c>
      <c r="M144" s="4" cm="1">
        <f t="array" ref="M144">INDEX(GMW!$A$2:$LR$60,MATCH(1,(GMW!$LQ$2:$LQ$60=M$3)*(GMW!$LP$2:$LP$60=M$4)*(GMW!$LR$2:$LR$60=M$1),0),$C144-1966)</f>
        <v>481314</v>
      </c>
      <c r="N144" s="4" cm="1">
        <f t="array" ref="N144">INDEX(GMW!$A$2:$LR$60,MATCH(1,(GMW!$LQ$2:$LQ$60=N$3)*(GMW!$LP$2:$LP$60=N$4)*(GMW!$LR$2:$LR$60=N$1),0),$C144-1966)</f>
        <v>481314</v>
      </c>
      <c r="O144" s="4" cm="1">
        <f t="array" ref="O144">INDEX(GMW!$A$2:$LR$60,MATCH(1,(GMW!$LQ$2:$LQ$60=O$3)*(GMW!$LP$2:$LP$60=O$4)*(GMW!$LR$2:$LR$60=O$1),0),$C144-1966)</f>
        <v>481314</v>
      </c>
      <c r="P144" s="4" cm="1">
        <f t="array" ref="P144">INDEX(GMW!$A$2:$LR$60,MATCH(1,(GMW!$LQ$2:$LQ$60=P$3)*(GMW!$LP$2:$LP$60=P$4)*(GMW!$LR$2:$LR$60=P$1),0),$C144-1966)</f>
        <v>481314</v>
      </c>
      <c r="Q144" s="4" cm="1">
        <f t="array" ref="Q144">INDEX(GMW!$A$2:$LR$60,MATCH(1,(GMW!$LQ$2:$LQ$60=Q$3)*(GMW!$LP$2:$LP$60=Q$4)*(GMW!$LR$2:$LR$60=Q$1),0),$C144-1966)</f>
        <v>481314</v>
      </c>
      <c r="R144" s="4" cm="1">
        <f t="array" ref="R144">INDEX(GMW!$A$2:$LR$60,MATCH(1,(GMW!$LQ$2:$LQ$60=R$3)*(GMW!$LP$2:$LP$60=R$4)*(GMW!$LR$2:$LR$60=R$1),0),$C144-1966)</f>
        <v>481314</v>
      </c>
      <c r="S144" s="4" cm="1">
        <f t="array" ref="S144">INDEX(GMW!$A$2:$LR$60,MATCH(1,(GMW!$LQ$2:$LQ$60=S$3)*(GMW!$LP$2:$LP$60=S$4)*(GMW!$LR$2:$LR$60=S$1),0),$C144-1966)</f>
        <v>481314</v>
      </c>
      <c r="T144" s="4" cm="1">
        <f t="array" ref="T144">INDEX(GMW!$A$2:$LR$60,MATCH(1,(GMW!$LQ$2:$LQ$60=T$3)*(GMW!$LP$2:$LP$60=T$4)*(GMW!$LR$2:$LR$60=T$1),0),$C144-1966)</f>
        <v>481314</v>
      </c>
      <c r="U144" s="4" cm="1">
        <f t="array" ref="U144">INDEX(GMW!$A$2:$LR$60,MATCH(1,(GMW!$LQ$2:$LQ$60=U$3)*(GMW!$LP$2:$LP$60=U$4)*(GMW!$LR$2:$LR$60=U$1),0),$C144-1966)</f>
        <v>415.33330000000001</v>
      </c>
      <c r="V144" s="4" cm="1">
        <f t="array" ref="V144">INDEX(GMW!$A$2:$LR$60,MATCH(1,(GMW!$LQ$2:$LQ$60=V$3)*(GMW!$LP$2:$LP$60=V$4)*(GMW!$LR$2:$LR$60=V$1),0),$C144-1966)</f>
        <v>81.8</v>
      </c>
      <c r="W144" s="4" cm="1">
        <f t="array" ref="W144">INDEX(GMW!$A$2:$LR$60,MATCH(1,(GMW!$LQ$2:$LQ$60=W$3)*(GMW!$LP$2:$LP$60=W$4)*(GMW!$LR$2:$LR$60=W$1),0),$C144-1966)</f>
        <v>73.633330000000001</v>
      </c>
      <c r="X144" s="4" cm="1">
        <f t="array" ref="X144">INDEX(GMW!$A$2:$LR$60,MATCH(1,(GMW!$LQ$2:$LQ$60=X$3)*(GMW!$LP$2:$LP$60=X$4)*(GMW!$LR$2:$LR$60=X$1),0),$C144-1966)</f>
        <v>84.833340000000007</v>
      </c>
      <c r="Y144" s="4" cm="1">
        <f t="array" ref="Y144">INDEX(GMW!$A$2:$LR$60,MATCH(1,(GMW!$LQ$2:$LQ$60=Y$3)*(GMW!$LP$2:$LP$60=Y$4)*(GMW!$LR$2:$LR$60=Y$1),0),$C144-1966)</f>
        <v>63.933329999999998</v>
      </c>
      <c r="Z144" s="4" cm="1">
        <f t="array" ref="Z144">INDEX(GMW!$A$2:$LR$60,MATCH(1,(GMW!$LQ$2:$LQ$60=Z$3)*(GMW!$LP$2:$LP$60=Z$4)*(GMW!$LR$2:$LR$60=Z$1),0),$C144-1966)</f>
        <v>84.9</v>
      </c>
      <c r="AA144" s="4" cm="1">
        <f t="array" ref="AA144">INDEX(GMW!$A$2:$LR$60,MATCH(1,(GMW!$LQ$2:$LQ$60=AA$3)*(GMW!$LP$2:$LP$60=AA$4)*(GMW!$LR$2:$LR$60=AA$1),0),$C144-1966)</f>
        <v>290946</v>
      </c>
      <c r="AB144" s="4" cm="1">
        <f t="array" ref="AB144">INDEX(GMW!$A$2:$LR$60,MATCH(1,(GMW!$LQ$2:$LQ$60=AB$3)*(GMW!$LP$2:$LP$60=AB$4)*(GMW!$LR$2:$LR$60=AB$1),0),$C144-1966)</f>
        <v>86522</v>
      </c>
      <c r="AC144" s="4" cm="1">
        <f t="array" ref="AC144">INDEX(GMW!$A$2:$LR$60,MATCH(1,(GMW!$LQ$2:$LQ$60=AC$3)*(GMW!$LP$2:$LP$60=AC$4)*(GMW!$LR$2:$LR$60=AC$1),0),$C144-1966)</f>
        <v>91848</v>
      </c>
      <c r="AD144" s="4" cm="1">
        <f t="array" ref="AD144">INDEX(GMW!$A$2:$LR$60,MATCH(1,(GMW!$LQ$2:$LQ$60=AD$3)*(GMW!$LP$2:$LP$60=AD$4)*(GMW!$LR$2:$LR$60=AD$1),0),$C144-1966)</f>
        <v>135331</v>
      </c>
      <c r="AE144" s="4" cm="1">
        <f t="array" ref="AE144">INDEX(GMW!$A$2:$LR$60,MATCH(1,(GMW!$LQ$2:$LQ$60=AE$3)*(GMW!$LP$2:$LP$60=AE$4)*(GMW!$LR$2:$LR$60=AE$1),0),$C144-1966)</f>
        <v>132622</v>
      </c>
      <c r="AF144" s="4" cm="1">
        <f t="array" ref="AF144">INDEX(GMW!$A$2:$LR$60,MATCH(1,(GMW!$LQ$2:$LQ$60=AF$3)*(GMW!$LP$2:$LP$60=AF$4)*(GMW!$LR$2:$LR$60=AF$1),0),$C144-1966)</f>
        <v>1E-3</v>
      </c>
      <c r="AG144" s="4" cm="1">
        <f t="array" ref="AG144">INDEX(GMW!$A$2:$LR$60,MATCH(1,(GMW!$LQ$2:$LQ$60=AG$3)*(GMW!$LP$2:$LP$60=AG$4)*(GMW!$LR$2:$LR$60=AG$1),0),$C144-1966)</f>
        <v>1E-3</v>
      </c>
    </row>
    <row r="145" spans="1:33" x14ac:dyDescent="0.25">
      <c r="B145" s="4">
        <f t="shared" si="5"/>
        <v>2007</v>
      </c>
      <c r="C145" s="4">
        <f t="shared" si="4"/>
        <v>2111</v>
      </c>
      <c r="D145" s="4" cm="1">
        <f t="array" ref="D145">INDEX(GMW!$A$2:$LR$60,MATCH(1,(GMW!$LQ$2:$LQ$60=D$3)*(GMW!$LP$2:$LP$60=D$4)*(GMW!$LR$2:$LR$60=D$1),0),$C145-1966)</f>
        <v>484544</v>
      </c>
      <c r="E145" s="4" cm="1">
        <f t="array" ref="E145">INDEX(GMW!$A$2:$LR$60,MATCH(1,(GMW!$LQ$2:$LQ$60=E$3)*(GMW!$LP$2:$LP$60=E$4)*(GMW!$LR$2:$LR$60=E$1),0),$C145-1966)</f>
        <v>484544</v>
      </c>
      <c r="F145" s="4" cm="1">
        <f t="array" ref="F145">INDEX(GMW!$A$2:$LR$60,MATCH(1,(GMW!$LQ$2:$LQ$60=F$3)*(GMW!$LP$2:$LP$60=F$4)*(GMW!$LR$2:$LR$60=F$1),0),$C145-1966)</f>
        <v>484544</v>
      </c>
      <c r="G145" s="4" cm="1">
        <f t="array" ref="G145">INDEX(GMW!$A$2:$LR$60,MATCH(1,(GMW!$LQ$2:$LQ$60=G$3)*(GMW!$LP$2:$LP$60=G$4)*(GMW!$LR$2:$LR$60=G$1),0),$C145-1966)</f>
        <v>484544</v>
      </c>
      <c r="H145" s="4" cm="1">
        <f t="array" ref="H145">INDEX(GMW!$A$2:$LR$60,MATCH(1,(GMW!$LQ$2:$LQ$60=H$3)*(GMW!$LP$2:$LP$60=H$4)*(GMW!$LR$2:$LR$60=H$1),0),$C145-1966)</f>
        <v>484544</v>
      </c>
      <c r="I145" s="4" cm="1">
        <f t="array" ref="I145">INDEX(GMW!$A$2:$LR$60,MATCH(1,(GMW!$LQ$2:$LQ$60=I$3)*(GMW!$LP$2:$LP$60=I$4)*(GMW!$LR$2:$LR$60=I$1),0),$C145-1966)</f>
        <v>484544</v>
      </c>
      <c r="J145" s="4" cm="1">
        <f t="array" ref="J145">INDEX(GMW!$A$2:$LR$60,MATCH(1,(GMW!$LQ$2:$LQ$60=J$3)*(GMW!$LP$2:$LP$60=J$4)*(GMW!$LR$2:$LR$60=J$1),0),$C145-1966)</f>
        <v>484544</v>
      </c>
      <c r="K145" s="4" cm="1">
        <f t="array" ref="K145">INDEX(GMW!$A$2:$LR$60,MATCH(1,(GMW!$LQ$2:$LQ$60=K$3)*(GMW!$LP$2:$LP$60=K$4)*(GMW!$LR$2:$LR$60=K$1),0),$C145-1966)</f>
        <v>484544</v>
      </c>
      <c r="L145" s="4" cm="1">
        <f t="array" ref="L145">INDEX(GMW!$A$2:$LR$60,MATCH(1,(GMW!$LQ$2:$LQ$60=L$3)*(GMW!$LP$2:$LP$60=L$4)*(GMW!$LR$2:$LR$60=L$1),0),$C145-1966)</f>
        <v>484544</v>
      </c>
      <c r="M145" s="4" cm="1">
        <f t="array" ref="M145">INDEX(GMW!$A$2:$LR$60,MATCH(1,(GMW!$LQ$2:$LQ$60=M$3)*(GMW!$LP$2:$LP$60=M$4)*(GMW!$LR$2:$LR$60=M$1),0),$C145-1966)</f>
        <v>484544</v>
      </c>
      <c r="N145" s="4" cm="1">
        <f t="array" ref="N145">INDEX(GMW!$A$2:$LR$60,MATCH(1,(GMW!$LQ$2:$LQ$60=N$3)*(GMW!$LP$2:$LP$60=N$4)*(GMW!$LR$2:$LR$60=N$1),0),$C145-1966)</f>
        <v>484544</v>
      </c>
      <c r="O145" s="4" cm="1">
        <f t="array" ref="O145">INDEX(GMW!$A$2:$LR$60,MATCH(1,(GMW!$LQ$2:$LQ$60=O$3)*(GMW!$LP$2:$LP$60=O$4)*(GMW!$LR$2:$LR$60=O$1),0),$C145-1966)</f>
        <v>484544</v>
      </c>
      <c r="P145" s="4" cm="1">
        <f t="array" ref="P145">INDEX(GMW!$A$2:$LR$60,MATCH(1,(GMW!$LQ$2:$LQ$60=P$3)*(GMW!$LP$2:$LP$60=P$4)*(GMW!$LR$2:$LR$60=P$1),0),$C145-1966)</f>
        <v>484544</v>
      </c>
      <c r="Q145" s="4" cm="1">
        <f t="array" ref="Q145">INDEX(GMW!$A$2:$LR$60,MATCH(1,(GMW!$LQ$2:$LQ$60=Q$3)*(GMW!$LP$2:$LP$60=Q$4)*(GMW!$LR$2:$LR$60=Q$1),0),$C145-1966)</f>
        <v>484544</v>
      </c>
      <c r="R145" s="4" cm="1">
        <f t="array" ref="R145">INDEX(GMW!$A$2:$LR$60,MATCH(1,(GMW!$LQ$2:$LQ$60=R$3)*(GMW!$LP$2:$LP$60=R$4)*(GMW!$LR$2:$LR$60=R$1),0),$C145-1966)</f>
        <v>484544</v>
      </c>
      <c r="S145" s="4" cm="1">
        <f t="array" ref="S145">INDEX(GMW!$A$2:$LR$60,MATCH(1,(GMW!$LQ$2:$LQ$60=S$3)*(GMW!$LP$2:$LP$60=S$4)*(GMW!$LR$2:$LR$60=S$1),0),$C145-1966)</f>
        <v>484544</v>
      </c>
      <c r="T145" s="4" cm="1">
        <f t="array" ref="T145">INDEX(GMW!$A$2:$LR$60,MATCH(1,(GMW!$LQ$2:$LQ$60=T$3)*(GMW!$LP$2:$LP$60=T$4)*(GMW!$LR$2:$LR$60=T$1),0),$C145-1966)</f>
        <v>484544</v>
      </c>
      <c r="U145" s="4" cm="1">
        <f t="array" ref="U145">INDEX(GMW!$A$2:$LR$60,MATCH(1,(GMW!$LQ$2:$LQ$60=U$3)*(GMW!$LP$2:$LP$60=U$4)*(GMW!$LR$2:$LR$60=U$1),0),$C145-1966)</f>
        <v>422</v>
      </c>
      <c r="V145" s="4" cm="1">
        <f t="array" ref="V145">INDEX(GMW!$A$2:$LR$60,MATCH(1,(GMW!$LQ$2:$LQ$60=V$3)*(GMW!$LP$2:$LP$60=V$4)*(GMW!$LR$2:$LR$60=V$1),0),$C145-1966)</f>
        <v>81.733329999999995</v>
      </c>
      <c r="W145" s="4" cm="1">
        <f t="array" ref="W145">INDEX(GMW!$A$2:$LR$60,MATCH(1,(GMW!$LQ$2:$LQ$60=W$3)*(GMW!$LP$2:$LP$60=W$4)*(GMW!$LR$2:$LR$60=W$1),0),$C145-1966)</f>
        <v>73.433329999999998</v>
      </c>
      <c r="X145" s="4" cm="1">
        <f t="array" ref="X145">INDEX(GMW!$A$2:$LR$60,MATCH(1,(GMW!$LQ$2:$LQ$60=X$3)*(GMW!$LP$2:$LP$60=X$4)*(GMW!$LR$2:$LR$60=X$1),0),$C145-1966)</f>
        <v>85.566670000000002</v>
      </c>
      <c r="Y145" s="4" cm="1">
        <f t="array" ref="Y145">INDEX(GMW!$A$2:$LR$60,MATCH(1,(GMW!$LQ$2:$LQ$60=Y$3)*(GMW!$LP$2:$LP$60=Y$4)*(GMW!$LR$2:$LR$60=Y$1),0),$C145-1966)</f>
        <v>61.333329999999997</v>
      </c>
      <c r="Z145" s="4" cm="1">
        <f t="array" ref="Z145">INDEX(GMW!$A$2:$LR$60,MATCH(1,(GMW!$LQ$2:$LQ$60=Z$3)*(GMW!$LP$2:$LP$60=Z$4)*(GMW!$LR$2:$LR$60=Z$1),0),$C145-1966)</f>
        <v>84.9</v>
      </c>
      <c r="AA145" s="4" cm="1">
        <f t="array" ref="AA145">INDEX(GMW!$A$2:$LR$60,MATCH(1,(GMW!$LQ$2:$LQ$60=AA$3)*(GMW!$LP$2:$LP$60=AA$4)*(GMW!$LR$2:$LR$60=AA$1),0),$C145-1966)</f>
        <v>296705</v>
      </c>
      <c r="AB145" s="4" cm="1">
        <f t="array" ref="AB145">INDEX(GMW!$A$2:$LR$60,MATCH(1,(GMW!$LQ$2:$LQ$60=AB$3)*(GMW!$LP$2:$LP$60=AB$4)*(GMW!$LR$2:$LR$60=AB$1),0),$C145-1966)</f>
        <v>83075</v>
      </c>
      <c r="AC145" s="4" cm="1">
        <f t="array" ref="AC145">INDEX(GMW!$A$2:$LR$60,MATCH(1,(GMW!$LQ$2:$LQ$60=AC$3)*(GMW!$LP$2:$LP$60=AC$4)*(GMW!$LR$2:$LR$60=AC$1),0),$C145-1966)</f>
        <v>92672</v>
      </c>
      <c r="AD145" s="4" cm="1">
        <f t="array" ref="AD145">INDEX(GMW!$A$2:$LR$60,MATCH(1,(GMW!$LQ$2:$LQ$60=AD$3)*(GMW!$LP$2:$LP$60=AD$4)*(GMW!$LR$2:$LR$60=AD$1),0),$C145-1966)</f>
        <v>135736</v>
      </c>
      <c r="AE145" s="4" cm="1">
        <f t="array" ref="AE145">INDEX(GMW!$A$2:$LR$60,MATCH(1,(GMW!$LQ$2:$LQ$60=AE$3)*(GMW!$LP$2:$LP$60=AE$4)*(GMW!$LR$2:$LR$60=AE$1),0),$C145-1966)</f>
        <v>137053</v>
      </c>
      <c r="AF145" s="4" cm="1">
        <f t="array" ref="AF145">INDEX(GMW!$A$2:$LR$60,MATCH(1,(GMW!$LQ$2:$LQ$60=AF$3)*(GMW!$LP$2:$LP$60=AF$4)*(GMW!$LR$2:$LR$60=AF$1),0),$C145-1966)</f>
        <v>5.8152299999999997</v>
      </c>
      <c r="AG145" s="4" cm="1">
        <f t="array" ref="AG145">INDEX(GMW!$A$2:$LR$60,MATCH(1,(GMW!$LQ$2:$LQ$60=AG$3)*(GMW!$LP$2:$LP$60=AG$4)*(GMW!$LR$2:$LR$60=AG$1),0),$C145-1966)</f>
        <v>1E-3</v>
      </c>
    </row>
    <row r="146" spans="1:33" x14ac:dyDescent="0.25">
      <c r="B146" s="4">
        <f t="shared" si="5"/>
        <v>2007</v>
      </c>
      <c r="C146" s="4">
        <f t="shared" si="4"/>
        <v>2112</v>
      </c>
      <c r="D146" s="4" cm="1">
        <f t="array" ref="D146">INDEX(GMW!$A$2:$LR$60,MATCH(1,(GMW!$LQ$2:$LQ$60=D$3)*(GMW!$LP$2:$LP$60=D$4)*(GMW!$LR$2:$LR$60=D$1),0),$C146-1966)</f>
        <v>487413</v>
      </c>
      <c r="E146" s="4" cm="1">
        <f t="array" ref="E146">INDEX(GMW!$A$2:$LR$60,MATCH(1,(GMW!$LQ$2:$LQ$60=E$3)*(GMW!$LP$2:$LP$60=E$4)*(GMW!$LR$2:$LR$60=E$1),0),$C146-1966)</f>
        <v>487413</v>
      </c>
      <c r="F146" s="4" cm="1">
        <f t="array" ref="F146">INDEX(GMW!$A$2:$LR$60,MATCH(1,(GMW!$LQ$2:$LQ$60=F$3)*(GMW!$LP$2:$LP$60=F$4)*(GMW!$LR$2:$LR$60=F$1),0),$C146-1966)</f>
        <v>487413</v>
      </c>
      <c r="G146" s="4" cm="1">
        <f t="array" ref="G146">INDEX(GMW!$A$2:$LR$60,MATCH(1,(GMW!$LQ$2:$LQ$60=G$3)*(GMW!$LP$2:$LP$60=G$4)*(GMW!$LR$2:$LR$60=G$1),0),$C146-1966)</f>
        <v>487413</v>
      </c>
      <c r="H146" s="4" cm="1">
        <f t="array" ref="H146">INDEX(GMW!$A$2:$LR$60,MATCH(1,(GMW!$LQ$2:$LQ$60=H$3)*(GMW!$LP$2:$LP$60=H$4)*(GMW!$LR$2:$LR$60=H$1),0),$C146-1966)</f>
        <v>487413</v>
      </c>
      <c r="I146" s="4" cm="1">
        <f t="array" ref="I146">INDEX(GMW!$A$2:$LR$60,MATCH(1,(GMW!$LQ$2:$LQ$60=I$3)*(GMW!$LP$2:$LP$60=I$4)*(GMW!$LR$2:$LR$60=I$1),0),$C146-1966)</f>
        <v>487413</v>
      </c>
      <c r="J146" s="4" cm="1">
        <f t="array" ref="J146">INDEX(GMW!$A$2:$LR$60,MATCH(1,(GMW!$LQ$2:$LQ$60=J$3)*(GMW!$LP$2:$LP$60=J$4)*(GMW!$LR$2:$LR$60=J$1),0),$C146-1966)</f>
        <v>487413</v>
      </c>
      <c r="K146" s="4" cm="1">
        <f t="array" ref="K146">INDEX(GMW!$A$2:$LR$60,MATCH(1,(GMW!$LQ$2:$LQ$60=K$3)*(GMW!$LP$2:$LP$60=K$4)*(GMW!$LR$2:$LR$60=K$1),0),$C146-1966)</f>
        <v>487413</v>
      </c>
      <c r="L146" s="4" cm="1">
        <f t="array" ref="L146">INDEX(GMW!$A$2:$LR$60,MATCH(1,(GMW!$LQ$2:$LQ$60=L$3)*(GMW!$LP$2:$LP$60=L$4)*(GMW!$LR$2:$LR$60=L$1),0),$C146-1966)</f>
        <v>487413</v>
      </c>
      <c r="M146" s="4" cm="1">
        <f t="array" ref="M146">INDEX(GMW!$A$2:$LR$60,MATCH(1,(GMW!$LQ$2:$LQ$60=M$3)*(GMW!$LP$2:$LP$60=M$4)*(GMW!$LR$2:$LR$60=M$1),0),$C146-1966)</f>
        <v>487413</v>
      </c>
      <c r="N146" s="4" cm="1">
        <f t="array" ref="N146">INDEX(GMW!$A$2:$LR$60,MATCH(1,(GMW!$LQ$2:$LQ$60=N$3)*(GMW!$LP$2:$LP$60=N$4)*(GMW!$LR$2:$LR$60=N$1),0),$C146-1966)</f>
        <v>487413</v>
      </c>
      <c r="O146" s="4" cm="1">
        <f t="array" ref="O146">INDEX(GMW!$A$2:$LR$60,MATCH(1,(GMW!$LQ$2:$LQ$60=O$3)*(GMW!$LP$2:$LP$60=O$4)*(GMW!$LR$2:$LR$60=O$1),0),$C146-1966)</f>
        <v>487413</v>
      </c>
      <c r="P146" s="4" cm="1">
        <f t="array" ref="P146">INDEX(GMW!$A$2:$LR$60,MATCH(1,(GMW!$LQ$2:$LQ$60=P$3)*(GMW!$LP$2:$LP$60=P$4)*(GMW!$LR$2:$LR$60=P$1),0),$C146-1966)</f>
        <v>487413</v>
      </c>
      <c r="Q146" s="4" cm="1">
        <f t="array" ref="Q146">INDEX(GMW!$A$2:$LR$60,MATCH(1,(GMW!$LQ$2:$LQ$60=Q$3)*(GMW!$LP$2:$LP$60=Q$4)*(GMW!$LR$2:$LR$60=Q$1),0),$C146-1966)</f>
        <v>487413</v>
      </c>
      <c r="R146" s="4" cm="1">
        <f t="array" ref="R146">INDEX(GMW!$A$2:$LR$60,MATCH(1,(GMW!$LQ$2:$LQ$60=R$3)*(GMW!$LP$2:$LP$60=R$4)*(GMW!$LR$2:$LR$60=R$1),0),$C146-1966)</f>
        <v>487413</v>
      </c>
      <c r="S146" s="4" cm="1">
        <f t="array" ref="S146">INDEX(GMW!$A$2:$LR$60,MATCH(1,(GMW!$LQ$2:$LQ$60=S$3)*(GMW!$LP$2:$LP$60=S$4)*(GMW!$LR$2:$LR$60=S$1),0),$C146-1966)</f>
        <v>487413</v>
      </c>
      <c r="T146" s="4" cm="1">
        <f t="array" ref="T146">INDEX(GMW!$A$2:$LR$60,MATCH(1,(GMW!$LQ$2:$LQ$60=T$3)*(GMW!$LP$2:$LP$60=T$4)*(GMW!$LR$2:$LR$60=T$1),0),$C146-1966)</f>
        <v>487413</v>
      </c>
      <c r="U146" s="4" cm="1">
        <f t="array" ref="U146">INDEX(GMW!$A$2:$LR$60,MATCH(1,(GMW!$LQ$2:$LQ$60=U$3)*(GMW!$LP$2:$LP$60=U$4)*(GMW!$LR$2:$LR$60=U$1),0),$C146-1966)</f>
        <v>425</v>
      </c>
      <c r="V146" s="4" cm="1">
        <f t="array" ref="V146">INDEX(GMW!$A$2:$LR$60,MATCH(1,(GMW!$LQ$2:$LQ$60=V$3)*(GMW!$LP$2:$LP$60=V$4)*(GMW!$LR$2:$LR$60=V$1),0),$C146-1966)</f>
        <v>82.6</v>
      </c>
      <c r="W146" s="4" cm="1">
        <f t="array" ref="W146">INDEX(GMW!$A$2:$LR$60,MATCH(1,(GMW!$LQ$2:$LQ$60=W$3)*(GMW!$LP$2:$LP$60=W$4)*(GMW!$LR$2:$LR$60=W$1),0),$C146-1966)</f>
        <v>75.099999999999994</v>
      </c>
      <c r="X146" s="4" cm="1">
        <f t="array" ref="X146">INDEX(GMW!$A$2:$LR$60,MATCH(1,(GMW!$LQ$2:$LQ$60=X$3)*(GMW!$LP$2:$LP$60=X$4)*(GMW!$LR$2:$LR$60=X$1),0),$C146-1966)</f>
        <v>90.2</v>
      </c>
      <c r="Y146" s="4" cm="1">
        <f t="array" ref="Y146">INDEX(GMW!$A$2:$LR$60,MATCH(1,(GMW!$LQ$2:$LQ$60=Y$3)*(GMW!$LP$2:$LP$60=Y$4)*(GMW!$LR$2:$LR$60=Y$1),0),$C146-1966)</f>
        <v>61.333329999999997</v>
      </c>
      <c r="Z146" s="4" cm="1">
        <f t="array" ref="Z146">INDEX(GMW!$A$2:$LR$60,MATCH(1,(GMW!$LQ$2:$LQ$60=Z$3)*(GMW!$LP$2:$LP$60=Z$4)*(GMW!$LR$2:$LR$60=Z$1),0),$C146-1966)</f>
        <v>85.466669999999993</v>
      </c>
      <c r="AA146" s="4" cm="1">
        <f t="array" ref="AA146">INDEX(GMW!$A$2:$LR$60,MATCH(1,(GMW!$LQ$2:$LQ$60=AA$3)*(GMW!$LP$2:$LP$60=AA$4)*(GMW!$LR$2:$LR$60=AA$1),0),$C146-1966)</f>
        <v>296380</v>
      </c>
      <c r="AB146" s="4" cm="1">
        <f t="array" ref="AB146">INDEX(GMW!$A$2:$LR$60,MATCH(1,(GMW!$LQ$2:$LQ$60=AB$3)*(GMW!$LP$2:$LP$60=AB$4)*(GMW!$LR$2:$LR$60=AB$1),0),$C146-1966)</f>
        <v>88993</v>
      </c>
      <c r="AC146" s="4" cm="1">
        <f t="array" ref="AC146">INDEX(GMW!$A$2:$LR$60,MATCH(1,(GMW!$LQ$2:$LQ$60=AC$3)*(GMW!$LP$2:$LP$60=AC$4)*(GMW!$LR$2:$LR$60=AC$1),0),$C146-1966)</f>
        <v>91879</v>
      </c>
      <c r="AD146" s="4" cm="1">
        <f t="array" ref="AD146">INDEX(GMW!$A$2:$LR$60,MATCH(1,(GMW!$LQ$2:$LQ$60=AD$3)*(GMW!$LP$2:$LP$60=AD$4)*(GMW!$LR$2:$LR$60=AD$1),0),$C146-1966)</f>
        <v>140367</v>
      </c>
      <c r="AE146" s="4" cm="1">
        <f t="array" ref="AE146">INDEX(GMW!$A$2:$LR$60,MATCH(1,(GMW!$LQ$2:$LQ$60=AE$3)*(GMW!$LP$2:$LP$60=AE$4)*(GMW!$LR$2:$LR$60=AE$1),0),$C146-1966)</f>
        <v>136527</v>
      </c>
      <c r="AF146" s="4" cm="1">
        <f t="array" ref="AF146">INDEX(GMW!$A$2:$LR$60,MATCH(1,(GMW!$LQ$2:$LQ$60=AF$3)*(GMW!$LP$2:$LP$60=AF$4)*(GMW!$LR$2:$LR$60=AF$1),0),$C146-1966)</f>
        <v>5.2973499999999998</v>
      </c>
      <c r="AG146" s="4" cm="1">
        <f t="array" ref="AG146">INDEX(GMW!$A$2:$LR$60,MATCH(1,(GMW!$LQ$2:$LQ$60=AG$3)*(GMW!$LP$2:$LP$60=AG$4)*(GMW!$LR$2:$LR$60=AG$1),0),$C146-1966)</f>
        <v>1E-3</v>
      </c>
    </row>
    <row r="147" spans="1:33" x14ac:dyDescent="0.25">
      <c r="A147" s="4">
        <v>2008</v>
      </c>
      <c r="B147" s="4">
        <f t="shared" si="5"/>
        <v>2008</v>
      </c>
      <c r="C147" s="4">
        <f t="shared" si="4"/>
        <v>2113</v>
      </c>
      <c r="D147" s="4" cm="1">
        <f t="array" ref="D147">INDEX(GMW!$A$2:$LR$60,MATCH(1,(GMW!$LQ$2:$LQ$60=D$3)*(GMW!$LP$2:$LP$60=D$4)*(GMW!$LR$2:$LR$60=D$1),0),$C147-1966)</f>
        <v>489783</v>
      </c>
      <c r="E147" s="4" cm="1">
        <f t="array" ref="E147">INDEX(GMW!$A$2:$LR$60,MATCH(1,(GMW!$LQ$2:$LQ$60=E$3)*(GMW!$LP$2:$LP$60=E$4)*(GMW!$LR$2:$LR$60=E$1),0),$C147-1966)</f>
        <v>489783</v>
      </c>
      <c r="F147" s="4" cm="1">
        <f t="array" ref="F147">INDEX(GMW!$A$2:$LR$60,MATCH(1,(GMW!$LQ$2:$LQ$60=F$3)*(GMW!$LP$2:$LP$60=F$4)*(GMW!$LR$2:$LR$60=F$1),0),$C147-1966)</f>
        <v>489783</v>
      </c>
      <c r="G147" s="4" cm="1">
        <f t="array" ref="G147">INDEX(GMW!$A$2:$LR$60,MATCH(1,(GMW!$LQ$2:$LQ$60=G$3)*(GMW!$LP$2:$LP$60=G$4)*(GMW!$LR$2:$LR$60=G$1),0),$C147-1966)</f>
        <v>489783</v>
      </c>
      <c r="H147" s="4" cm="1">
        <f t="array" ref="H147">INDEX(GMW!$A$2:$LR$60,MATCH(1,(GMW!$LQ$2:$LQ$60=H$3)*(GMW!$LP$2:$LP$60=H$4)*(GMW!$LR$2:$LR$60=H$1),0),$C147-1966)</f>
        <v>489783</v>
      </c>
      <c r="I147" s="4" cm="1">
        <f t="array" ref="I147">INDEX(GMW!$A$2:$LR$60,MATCH(1,(GMW!$LQ$2:$LQ$60=I$3)*(GMW!$LP$2:$LP$60=I$4)*(GMW!$LR$2:$LR$60=I$1),0),$C147-1966)</f>
        <v>489783</v>
      </c>
      <c r="J147" s="4" cm="1">
        <f t="array" ref="J147">INDEX(GMW!$A$2:$LR$60,MATCH(1,(GMW!$LQ$2:$LQ$60=J$3)*(GMW!$LP$2:$LP$60=J$4)*(GMW!$LR$2:$LR$60=J$1),0),$C147-1966)</f>
        <v>489783</v>
      </c>
      <c r="K147" s="4" cm="1">
        <f t="array" ref="K147">INDEX(GMW!$A$2:$LR$60,MATCH(1,(GMW!$LQ$2:$LQ$60=K$3)*(GMW!$LP$2:$LP$60=K$4)*(GMW!$LR$2:$LR$60=K$1),0),$C147-1966)</f>
        <v>489783</v>
      </c>
      <c r="L147" s="4" cm="1">
        <f t="array" ref="L147">INDEX(GMW!$A$2:$LR$60,MATCH(1,(GMW!$LQ$2:$LQ$60=L$3)*(GMW!$LP$2:$LP$60=L$4)*(GMW!$LR$2:$LR$60=L$1),0),$C147-1966)</f>
        <v>489783</v>
      </c>
      <c r="M147" s="4" cm="1">
        <f t="array" ref="M147">INDEX(GMW!$A$2:$LR$60,MATCH(1,(GMW!$LQ$2:$LQ$60=M$3)*(GMW!$LP$2:$LP$60=M$4)*(GMW!$LR$2:$LR$60=M$1),0),$C147-1966)</f>
        <v>489783</v>
      </c>
      <c r="N147" s="4" cm="1">
        <f t="array" ref="N147">INDEX(GMW!$A$2:$LR$60,MATCH(1,(GMW!$LQ$2:$LQ$60=N$3)*(GMW!$LP$2:$LP$60=N$4)*(GMW!$LR$2:$LR$60=N$1),0),$C147-1966)</f>
        <v>489783</v>
      </c>
      <c r="O147" s="4" cm="1">
        <f t="array" ref="O147">INDEX(GMW!$A$2:$LR$60,MATCH(1,(GMW!$LQ$2:$LQ$60=O$3)*(GMW!$LP$2:$LP$60=O$4)*(GMW!$LR$2:$LR$60=O$1),0),$C147-1966)</f>
        <v>489783</v>
      </c>
      <c r="P147" s="4" cm="1">
        <f t="array" ref="P147">INDEX(GMW!$A$2:$LR$60,MATCH(1,(GMW!$LQ$2:$LQ$60=P$3)*(GMW!$LP$2:$LP$60=P$4)*(GMW!$LR$2:$LR$60=P$1),0),$C147-1966)</f>
        <v>489783</v>
      </c>
      <c r="Q147" s="4" cm="1">
        <f t="array" ref="Q147">INDEX(GMW!$A$2:$LR$60,MATCH(1,(GMW!$LQ$2:$LQ$60=Q$3)*(GMW!$LP$2:$LP$60=Q$4)*(GMW!$LR$2:$LR$60=Q$1),0),$C147-1966)</f>
        <v>489783</v>
      </c>
      <c r="R147" s="4" cm="1">
        <f t="array" ref="R147">INDEX(GMW!$A$2:$LR$60,MATCH(1,(GMW!$LQ$2:$LQ$60=R$3)*(GMW!$LP$2:$LP$60=R$4)*(GMW!$LR$2:$LR$60=R$1),0),$C147-1966)</f>
        <v>489783</v>
      </c>
      <c r="S147" s="4" cm="1">
        <f t="array" ref="S147">INDEX(GMW!$A$2:$LR$60,MATCH(1,(GMW!$LQ$2:$LQ$60=S$3)*(GMW!$LP$2:$LP$60=S$4)*(GMW!$LR$2:$LR$60=S$1),0),$C147-1966)</f>
        <v>489783</v>
      </c>
      <c r="T147" s="4" cm="1">
        <f t="array" ref="T147">INDEX(GMW!$A$2:$LR$60,MATCH(1,(GMW!$LQ$2:$LQ$60=T$3)*(GMW!$LP$2:$LP$60=T$4)*(GMW!$LR$2:$LR$60=T$1),0),$C147-1966)</f>
        <v>489783</v>
      </c>
      <c r="U147" s="4" cm="1">
        <f t="array" ref="U147">INDEX(GMW!$A$2:$LR$60,MATCH(1,(GMW!$LQ$2:$LQ$60=U$3)*(GMW!$LP$2:$LP$60=U$4)*(GMW!$LR$2:$LR$60=U$1),0),$C147-1966)</f>
        <v>433.66669999999999</v>
      </c>
      <c r="V147" s="4" cm="1">
        <f t="array" ref="V147">INDEX(GMW!$A$2:$LR$60,MATCH(1,(GMW!$LQ$2:$LQ$60=V$3)*(GMW!$LP$2:$LP$60=V$4)*(GMW!$LR$2:$LR$60=V$1),0),$C147-1966)</f>
        <v>82.933329999999998</v>
      </c>
      <c r="W147" s="4" cm="1">
        <f t="array" ref="W147">INDEX(GMW!$A$2:$LR$60,MATCH(1,(GMW!$LQ$2:$LQ$60=W$3)*(GMW!$LP$2:$LP$60=W$4)*(GMW!$LR$2:$LR$60=W$1),0),$C147-1966)</f>
        <v>75.933329999999998</v>
      </c>
      <c r="X147" s="4" cm="1">
        <f t="array" ref="X147">INDEX(GMW!$A$2:$LR$60,MATCH(1,(GMW!$LQ$2:$LQ$60=X$3)*(GMW!$LP$2:$LP$60=X$4)*(GMW!$LR$2:$LR$60=X$1),0),$C147-1966)</f>
        <v>94.5</v>
      </c>
      <c r="Y147" s="4" cm="1">
        <f t="array" ref="Y147">INDEX(GMW!$A$2:$LR$60,MATCH(1,(GMW!$LQ$2:$LQ$60=Y$3)*(GMW!$LP$2:$LP$60=Y$4)*(GMW!$LR$2:$LR$60=Y$1),0),$C147-1966)</f>
        <v>66.400000000000006</v>
      </c>
      <c r="Z147" s="4" cm="1">
        <f t="array" ref="Z147">INDEX(GMW!$A$2:$LR$60,MATCH(1,(GMW!$LQ$2:$LQ$60=Z$3)*(GMW!$LP$2:$LP$60=Z$4)*(GMW!$LR$2:$LR$60=Z$1),0),$C147-1966)</f>
        <v>85.2</v>
      </c>
      <c r="AA147" s="4" cm="1">
        <f t="array" ref="AA147">INDEX(GMW!$A$2:$LR$60,MATCH(1,(GMW!$LQ$2:$LQ$60=AA$3)*(GMW!$LP$2:$LP$60=AA$4)*(GMW!$LR$2:$LR$60=AA$1),0),$C147-1966)</f>
        <v>297826</v>
      </c>
      <c r="AB147" s="4" cm="1">
        <f t="array" ref="AB147">INDEX(GMW!$A$2:$LR$60,MATCH(1,(GMW!$LQ$2:$LQ$60=AB$3)*(GMW!$LP$2:$LP$60=AB$4)*(GMW!$LR$2:$LR$60=AB$1),0),$C147-1966)</f>
        <v>84847</v>
      </c>
      <c r="AC147" s="4" cm="1">
        <f t="array" ref="AC147">INDEX(GMW!$A$2:$LR$60,MATCH(1,(GMW!$LQ$2:$LQ$60=AC$3)*(GMW!$LP$2:$LP$60=AC$4)*(GMW!$LR$2:$LR$60=AC$1),0),$C147-1966)</f>
        <v>93323</v>
      </c>
      <c r="AD147" s="4" cm="1">
        <f t="array" ref="AD147">INDEX(GMW!$A$2:$LR$60,MATCH(1,(GMW!$LQ$2:$LQ$60=AD$3)*(GMW!$LP$2:$LP$60=AD$4)*(GMW!$LR$2:$LR$60=AD$1),0),$C147-1966)</f>
        <v>140286</v>
      </c>
      <c r="AE147" s="4" cm="1">
        <f t="array" ref="AE147">INDEX(GMW!$A$2:$LR$60,MATCH(1,(GMW!$LQ$2:$LQ$60=AE$3)*(GMW!$LP$2:$LP$60=AE$4)*(GMW!$LR$2:$LR$60=AE$1),0),$C147-1966)</f>
        <v>137103</v>
      </c>
      <c r="AF147" s="4" cm="1">
        <f t="array" ref="AF147">INDEX(GMW!$A$2:$LR$60,MATCH(1,(GMW!$LQ$2:$LQ$60=AF$3)*(GMW!$LP$2:$LP$60=AF$4)*(GMW!$LR$2:$LR$60=AF$1),0),$C147-1966)</f>
        <v>4.6163600000000002</v>
      </c>
      <c r="AG147" s="4" cm="1">
        <f t="array" ref="AG147">INDEX(GMW!$A$2:$LR$60,MATCH(1,(GMW!$LQ$2:$LQ$60=AG$3)*(GMW!$LP$2:$LP$60=AG$4)*(GMW!$LR$2:$LR$60=AG$1),0),$C147-1966)</f>
        <v>1E-3</v>
      </c>
    </row>
    <row r="148" spans="1:33" x14ac:dyDescent="0.25">
      <c r="B148" s="4">
        <f t="shared" si="5"/>
        <v>2008</v>
      </c>
      <c r="C148" s="4">
        <f t="shared" si="4"/>
        <v>2114</v>
      </c>
      <c r="D148" s="4" cm="1">
        <f t="array" ref="D148">INDEX(GMW!$A$2:$LR$60,MATCH(1,(GMW!$LQ$2:$LQ$60=D$3)*(GMW!$LP$2:$LP$60=D$4)*(GMW!$LR$2:$LR$60=D$1),0),$C148-1966)</f>
        <v>487386</v>
      </c>
      <c r="E148" s="4" cm="1">
        <f t="array" ref="E148">INDEX(GMW!$A$2:$LR$60,MATCH(1,(GMW!$LQ$2:$LQ$60=E$3)*(GMW!$LP$2:$LP$60=E$4)*(GMW!$LR$2:$LR$60=E$1),0),$C148-1966)</f>
        <v>487386</v>
      </c>
      <c r="F148" s="4" cm="1">
        <f t="array" ref="F148">INDEX(GMW!$A$2:$LR$60,MATCH(1,(GMW!$LQ$2:$LQ$60=F$3)*(GMW!$LP$2:$LP$60=F$4)*(GMW!$LR$2:$LR$60=F$1),0),$C148-1966)</f>
        <v>487386</v>
      </c>
      <c r="G148" s="4" cm="1">
        <f t="array" ref="G148">INDEX(GMW!$A$2:$LR$60,MATCH(1,(GMW!$LQ$2:$LQ$60=G$3)*(GMW!$LP$2:$LP$60=G$4)*(GMW!$LR$2:$LR$60=G$1),0),$C148-1966)</f>
        <v>487386</v>
      </c>
      <c r="H148" s="4" cm="1">
        <f t="array" ref="H148">INDEX(GMW!$A$2:$LR$60,MATCH(1,(GMW!$LQ$2:$LQ$60=H$3)*(GMW!$LP$2:$LP$60=H$4)*(GMW!$LR$2:$LR$60=H$1),0),$C148-1966)</f>
        <v>487386</v>
      </c>
      <c r="I148" s="4" cm="1">
        <f t="array" ref="I148">INDEX(GMW!$A$2:$LR$60,MATCH(1,(GMW!$LQ$2:$LQ$60=I$3)*(GMW!$LP$2:$LP$60=I$4)*(GMW!$LR$2:$LR$60=I$1),0),$C148-1966)</f>
        <v>487386</v>
      </c>
      <c r="J148" s="4" cm="1">
        <f t="array" ref="J148">INDEX(GMW!$A$2:$LR$60,MATCH(1,(GMW!$LQ$2:$LQ$60=J$3)*(GMW!$LP$2:$LP$60=J$4)*(GMW!$LR$2:$LR$60=J$1),0),$C148-1966)</f>
        <v>487386</v>
      </c>
      <c r="K148" s="4" cm="1">
        <f t="array" ref="K148">INDEX(GMW!$A$2:$LR$60,MATCH(1,(GMW!$LQ$2:$LQ$60=K$3)*(GMW!$LP$2:$LP$60=K$4)*(GMW!$LR$2:$LR$60=K$1),0),$C148-1966)</f>
        <v>487386</v>
      </c>
      <c r="L148" s="4" cm="1">
        <f t="array" ref="L148">INDEX(GMW!$A$2:$LR$60,MATCH(1,(GMW!$LQ$2:$LQ$60=L$3)*(GMW!$LP$2:$LP$60=L$4)*(GMW!$LR$2:$LR$60=L$1),0),$C148-1966)</f>
        <v>487386</v>
      </c>
      <c r="M148" s="4" cm="1">
        <f t="array" ref="M148">INDEX(GMW!$A$2:$LR$60,MATCH(1,(GMW!$LQ$2:$LQ$60=M$3)*(GMW!$LP$2:$LP$60=M$4)*(GMW!$LR$2:$LR$60=M$1),0),$C148-1966)</f>
        <v>487386</v>
      </c>
      <c r="N148" s="4" cm="1">
        <f t="array" ref="N148">INDEX(GMW!$A$2:$LR$60,MATCH(1,(GMW!$LQ$2:$LQ$60=N$3)*(GMW!$LP$2:$LP$60=N$4)*(GMW!$LR$2:$LR$60=N$1),0),$C148-1966)</f>
        <v>487386</v>
      </c>
      <c r="O148" s="4" cm="1">
        <f t="array" ref="O148">INDEX(GMW!$A$2:$LR$60,MATCH(1,(GMW!$LQ$2:$LQ$60=O$3)*(GMW!$LP$2:$LP$60=O$4)*(GMW!$LR$2:$LR$60=O$1),0),$C148-1966)</f>
        <v>487386</v>
      </c>
      <c r="P148" s="4" cm="1">
        <f t="array" ref="P148">INDEX(GMW!$A$2:$LR$60,MATCH(1,(GMW!$LQ$2:$LQ$60=P$3)*(GMW!$LP$2:$LP$60=P$4)*(GMW!$LR$2:$LR$60=P$1),0),$C148-1966)</f>
        <v>487386</v>
      </c>
      <c r="Q148" s="4" cm="1">
        <f t="array" ref="Q148">INDEX(GMW!$A$2:$LR$60,MATCH(1,(GMW!$LQ$2:$LQ$60=Q$3)*(GMW!$LP$2:$LP$60=Q$4)*(GMW!$LR$2:$LR$60=Q$1),0),$C148-1966)</f>
        <v>487386</v>
      </c>
      <c r="R148" s="4" cm="1">
        <f t="array" ref="R148">INDEX(GMW!$A$2:$LR$60,MATCH(1,(GMW!$LQ$2:$LQ$60=R$3)*(GMW!$LP$2:$LP$60=R$4)*(GMW!$LR$2:$LR$60=R$1),0),$C148-1966)</f>
        <v>487386</v>
      </c>
      <c r="S148" s="4" cm="1">
        <f t="array" ref="S148">INDEX(GMW!$A$2:$LR$60,MATCH(1,(GMW!$LQ$2:$LQ$60=S$3)*(GMW!$LP$2:$LP$60=S$4)*(GMW!$LR$2:$LR$60=S$1),0),$C148-1966)</f>
        <v>487386</v>
      </c>
      <c r="T148" s="4" cm="1">
        <f t="array" ref="T148">INDEX(GMW!$A$2:$LR$60,MATCH(1,(GMW!$LQ$2:$LQ$60=T$3)*(GMW!$LP$2:$LP$60=T$4)*(GMW!$LR$2:$LR$60=T$1),0),$C148-1966)</f>
        <v>487386</v>
      </c>
      <c r="U148" s="4" cm="1">
        <f t="array" ref="U148">INDEX(GMW!$A$2:$LR$60,MATCH(1,(GMW!$LQ$2:$LQ$60=U$3)*(GMW!$LP$2:$LP$60=U$4)*(GMW!$LR$2:$LR$60=U$1),0),$C148-1966)</f>
        <v>433</v>
      </c>
      <c r="V148" s="4" cm="1">
        <f t="array" ref="V148">INDEX(GMW!$A$2:$LR$60,MATCH(1,(GMW!$LQ$2:$LQ$60=V$3)*(GMW!$LP$2:$LP$60=V$4)*(GMW!$LR$2:$LR$60=V$1),0),$C148-1966)</f>
        <v>84.6</v>
      </c>
      <c r="W148" s="4" cm="1">
        <f t="array" ref="W148">INDEX(GMW!$A$2:$LR$60,MATCH(1,(GMW!$LQ$2:$LQ$60=W$3)*(GMW!$LP$2:$LP$60=W$4)*(GMW!$LR$2:$LR$60=W$1),0),$C148-1966)</f>
        <v>78.7</v>
      </c>
      <c r="X148" s="4" cm="1">
        <f t="array" ref="X148">INDEX(GMW!$A$2:$LR$60,MATCH(1,(GMW!$LQ$2:$LQ$60=X$3)*(GMW!$LP$2:$LP$60=X$4)*(GMW!$LR$2:$LR$60=X$1),0),$C148-1966)</f>
        <v>102.4333</v>
      </c>
      <c r="Y148" s="4" cm="1">
        <f t="array" ref="Y148">INDEX(GMW!$A$2:$LR$60,MATCH(1,(GMW!$LQ$2:$LQ$60=Y$3)*(GMW!$LP$2:$LP$60=Y$4)*(GMW!$LR$2:$LR$60=Y$1),0),$C148-1966)</f>
        <v>71</v>
      </c>
      <c r="Z148" s="4" cm="1">
        <f t="array" ref="Z148">INDEX(GMW!$A$2:$LR$60,MATCH(1,(GMW!$LQ$2:$LQ$60=Z$3)*(GMW!$LP$2:$LP$60=Z$4)*(GMW!$LR$2:$LR$60=Z$1),0),$C148-1966)</f>
        <v>86.166659999999993</v>
      </c>
      <c r="AA148" s="4" cm="1">
        <f t="array" ref="AA148">INDEX(GMW!$A$2:$LR$60,MATCH(1,(GMW!$LQ$2:$LQ$60=AA$3)*(GMW!$LP$2:$LP$60=AA$4)*(GMW!$LR$2:$LR$60=AA$1),0),$C148-1966)</f>
        <v>293976</v>
      </c>
      <c r="AB148" s="4" cm="1">
        <f t="array" ref="AB148">INDEX(GMW!$A$2:$LR$60,MATCH(1,(GMW!$LQ$2:$LQ$60=AB$3)*(GMW!$LP$2:$LP$60=AB$4)*(GMW!$LR$2:$LR$60=AB$1),0),$C148-1966)</f>
        <v>85799</v>
      </c>
      <c r="AC148" s="4" cm="1">
        <f t="array" ref="AC148">INDEX(GMW!$A$2:$LR$60,MATCH(1,(GMW!$LQ$2:$LQ$60=AC$3)*(GMW!$LP$2:$LP$60=AC$4)*(GMW!$LR$2:$LR$60=AC$1),0),$C148-1966)</f>
        <v>92738</v>
      </c>
      <c r="AD148" s="4" cm="1">
        <f t="array" ref="AD148">INDEX(GMW!$A$2:$LR$60,MATCH(1,(GMW!$LQ$2:$LQ$60=AD$3)*(GMW!$LP$2:$LP$60=AD$4)*(GMW!$LR$2:$LR$60=AD$1),0),$C148-1966)</f>
        <v>140305</v>
      </c>
      <c r="AE148" s="4" cm="1">
        <f t="array" ref="AE148">INDEX(GMW!$A$2:$LR$60,MATCH(1,(GMW!$LQ$2:$LQ$60=AE$3)*(GMW!$LP$2:$LP$60=AE$4)*(GMW!$LR$2:$LR$60=AE$1),0),$C148-1966)</f>
        <v>136253</v>
      </c>
      <c r="AF148" s="4" cm="1">
        <f t="array" ref="AF148">INDEX(GMW!$A$2:$LR$60,MATCH(1,(GMW!$LQ$2:$LQ$60=AF$3)*(GMW!$LP$2:$LP$60=AF$4)*(GMW!$LR$2:$LR$60=AF$1),0),$C148-1966)</f>
        <v>5.0938999999999997</v>
      </c>
      <c r="AG148" s="4" cm="1">
        <f t="array" ref="AG148">INDEX(GMW!$A$2:$LR$60,MATCH(1,(GMW!$LQ$2:$LQ$60=AG$3)*(GMW!$LP$2:$LP$60=AG$4)*(GMW!$LR$2:$LR$60=AG$1),0),$C148-1966)</f>
        <v>1E-3</v>
      </c>
    </row>
    <row r="149" spans="1:33" x14ac:dyDescent="0.25">
      <c r="B149" s="4">
        <f t="shared" si="5"/>
        <v>2008</v>
      </c>
      <c r="C149" s="4">
        <f t="shared" si="4"/>
        <v>2115</v>
      </c>
      <c r="D149" s="4" cm="1">
        <f t="array" ref="D149">INDEX(GMW!$A$2:$LR$60,MATCH(1,(GMW!$LQ$2:$LQ$60=D$3)*(GMW!$LP$2:$LP$60=D$4)*(GMW!$LR$2:$LR$60=D$1),0),$C149-1966)</f>
        <v>479872</v>
      </c>
      <c r="E149" s="4" cm="1">
        <f t="array" ref="E149">INDEX(GMW!$A$2:$LR$60,MATCH(1,(GMW!$LQ$2:$LQ$60=E$3)*(GMW!$LP$2:$LP$60=E$4)*(GMW!$LR$2:$LR$60=E$1),0),$C149-1966)</f>
        <v>479872</v>
      </c>
      <c r="F149" s="4" cm="1">
        <f t="array" ref="F149">INDEX(GMW!$A$2:$LR$60,MATCH(1,(GMW!$LQ$2:$LQ$60=F$3)*(GMW!$LP$2:$LP$60=F$4)*(GMW!$LR$2:$LR$60=F$1),0),$C149-1966)</f>
        <v>479872</v>
      </c>
      <c r="G149" s="4" cm="1">
        <f t="array" ref="G149">INDEX(GMW!$A$2:$LR$60,MATCH(1,(GMW!$LQ$2:$LQ$60=G$3)*(GMW!$LP$2:$LP$60=G$4)*(GMW!$LR$2:$LR$60=G$1),0),$C149-1966)</f>
        <v>479872</v>
      </c>
      <c r="H149" s="4" cm="1">
        <f t="array" ref="H149">INDEX(GMW!$A$2:$LR$60,MATCH(1,(GMW!$LQ$2:$LQ$60=H$3)*(GMW!$LP$2:$LP$60=H$4)*(GMW!$LR$2:$LR$60=H$1),0),$C149-1966)</f>
        <v>479872</v>
      </c>
      <c r="I149" s="4" cm="1">
        <f t="array" ref="I149">INDEX(GMW!$A$2:$LR$60,MATCH(1,(GMW!$LQ$2:$LQ$60=I$3)*(GMW!$LP$2:$LP$60=I$4)*(GMW!$LR$2:$LR$60=I$1),0),$C149-1966)</f>
        <v>479872</v>
      </c>
      <c r="J149" s="4" cm="1">
        <f t="array" ref="J149">INDEX(GMW!$A$2:$LR$60,MATCH(1,(GMW!$LQ$2:$LQ$60=J$3)*(GMW!$LP$2:$LP$60=J$4)*(GMW!$LR$2:$LR$60=J$1),0),$C149-1966)</f>
        <v>479872</v>
      </c>
      <c r="K149" s="4" cm="1">
        <f t="array" ref="K149">INDEX(GMW!$A$2:$LR$60,MATCH(1,(GMW!$LQ$2:$LQ$60=K$3)*(GMW!$LP$2:$LP$60=K$4)*(GMW!$LR$2:$LR$60=K$1),0),$C149-1966)</f>
        <v>479872</v>
      </c>
      <c r="L149" s="4" cm="1">
        <f t="array" ref="L149">INDEX(GMW!$A$2:$LR$60,MATCH(1,(GMW!$LQ$2:$LQ$60=L$3)*(GMW!$LP$2:$LP$60=L$4)*(GMW!$LR$2:$LR$60=L$1),0),$C149-1966)</f>
        <v>479872</v>
      </c>
      <c r="M149" s="4" cm="1">
        <f t="array" ref="M149">INDEX(GMW!$A$2:$LR$60,MATCH(1,(GMW!$LQ$2:$LQ$60=M$3)*(GMW!$LP$2:$LP$60=M$4)*(GMW!$LR$2:$LR$60=M$1),0),$C149-1966)</f>
        <v>479872</v>
      </c>
      <c r="N149" s="4" cm="1">
        <f t="array" ref="N149">INDEX(GMW!$A$2:$LR$60,MATCH(1,(GMW!$LQ$2:$LQ$60=N$3)*(GMW!$LP$2:$LP$60=N$4)*(GMW!$LR$2:$LR$60=N$1),0),$C149-1966)</f>
        <v>479872</v>
      </c>
      <c r="O149" s="4" cm="1">
        <f t="array" ref="O149">INDEX(GMW!$A$2:$LR$60,MATCH(1,(GMW!$LQ$2:$LQ$60=O$3)*(GMW!$LP$2:$LP$60=O$4)*(GMW!$LR$2:$LR$60=O$1),0),$C149-1966)</f>
        <v>479872</v>
      </c>
      <c r="P149" s="4" cm="1">
        <f t="array" ref="P149">INDEX(GMW!$A$2:$LR$60,MATCH(1,(GMW!$LQ$2:$LQ$60=P$3)*(GMW!$LP$2:$LP$60=P$4)*(GMW!$LR$2:$LR$60=P$1),0),$C149-1966)</f>
        <v>479872</v>
      </c>
      <c r="Q149" s="4" cm="1">
        <f t="array" ref="Q149">INDEX(GMW!$A$2:$LR$60,MATCH(1,(GMW!$LQ$2:$LQ$60=Q$3)*(GMW!$LP$2:$LP$60=Q$4)*(GMW!$LR$2:$LR$60=Q$1),0),$C149-1966)</f>
        <v>479872</v>
      </c>
      <c r="R149" s="4" cm="1">
        <f t="array" ref="R149">INDEX(GMW!$A$2:$LR$60,MATCH(1,(GMW!$LQ$2:$LQ$60=R$3)*(GMW!$LP$2:$LP$60=R$4)*(GMW!$LR$2:$LR$60=R$1),0),$C149-1966)</f>
        <v>479872</v>
      </c>
      <c r="S149" s="4" cm="1">
        <f t="array" ref="S149">INDEX(GMW!$A$2:$LR$60,MATCH(1,(GMW!$LQ$2:$LQ$60=S$3)*(GMW!$LP$2:$LP$60=S$4)*(GMW!$LR$2:$LR$60=S$1),0),$C149-1966)</f>
        <v>479872</v>
      </c>
      <c r="T149" s="4" cm="1">
        <f t="array" ref="T149">INDEX(GMW!$A$2:$LR$60,MATCH(1,(GMW!$LQ$2:$LQ$60=T$3)*(GMW!$LP$2:$LP$60=T$4)*(GMW!$LR$2:$LR$60=T$1),0),$C149-1966)</f>
        <v>479872</v>
      </c>
      <c r="U149" s="4" cm="1">
        <f t="array" ref="U149">INDEX(GMW!$A$2:$LR$60,MATCH(1,(GMW!$LQ$2:$LQ$60=U$3)*(GMW!$LP$2:$LP$60=U$4)*(GMW!$LR$2:$LR$60=U$1),0),$C149-1966)</f>
        <v>434.66669999999999</v>
      </c>
      <c r="V149" s="4" cm="1">
        <f t="array" ref="V149">INDEX(GMW!$A$2:$LR$60,MATCH(1,(GMW!$LQ$2:$LQ$60=V$3)*(GMW!$LP$2:$LP$60=V$4)*(GMW!$LR$2:$LR$60=V$1),0),$C149-1966)</f>
        <v>85.633330000000001</v>
      </c>
      <c r="W149" s="4" cm="1">
        <f t="array" ref="W149">INDEX(GMW!$A$2:$LR$60,MATCH(1,(GMW!$LQ$2:$LQ$60=W$3)*(GMW!$LP$2:$LP$60=W$4)*(GMW!$LR$2:$LR$60=W$1),0),$C149-1966)</f>
        <v>80.666659999999993</v>
      </c>
      <c r="X149" s="4" cm="1">
        <f t="array" ref="X149">INDEX(GMW!$A$2:$LR$60,MATCH(1,(GMW!$LQ$2:$LQ$60=X$3)*(GMW!$LP$2:$LP$60=X$4)*(GMW!$LR$2:$LR$60=X$1),0),$C149-1966)</f>
        <v>104.4333</v>
      </c>
      <c r="Y149" s="4" cm="1">
        <f t="array" ref="Y149">INDEX(GMW!$A$2:$LR$60,MATCH(1,(GMW!$LQ$2:$LQ$60=Y$3)*(GMW!$LP$2:$LP$60=Y$4)*(GMW!$LR$2:$LR$60=Y$1),0),$C149-1966)</f>
        <v>77.566670000000002</v>
      </c>
      <c r="Z149" s="4" cm="1">
        <f t="array" ref="Z149">INDEX(GMW!$A$2:$LR$60,MATCH(1,(GMW!$LQ$2:$LQ$60=Z$3)*(GMW!$LP$2:$LP$60=Z$4)*(GMW!$LR$2:$LR$60=Z$1),0),$C149-1966)</f>
        <v>86.666659999999993</v>
      </c>
      <c r="AA149" s="4" cm="1">
        <f t="array" ref="AA149">INDEX(GMW!$A$2:$LR$60,MATCH(1,(GMW!$LQ$2:$LQ$60=AA$3)*(GMW!$LP$2:$LP$60=AA$4)*(GMW!$LR$2:$LR$60=AA$1),0),$C149-1966)</f>
        <v>288865</v>
      </c>
      <c r="AB149" s="4" cm="1">
        <f t="array" ref="AB149">INDEX(GMW!$A$2:$LR$60,MATCH(1,(GMW!$LQ$2:$LQ$60=AB$3)*(GMW!$LP$2:$LP$60=AB$4)*(GMW!$LR$2:$LR$60=AB$1),0),$C149-1966)</f>
        <v>81323</v>
      </c>
      <c r="AC149" s="4" cm="1">
        <f t="array" ref="AC149">INDEX(GMW!$A$2:$LR$60,MATCH(1,(GMW!$LQ$2:$LQ$60=AC$3)*(GMW!$LP$2:$LP$60=AC$4)*(GMW!$LR$2:$LR$60=AC$1),0),$C149-1966)</f>
        <v>94397</v>
      </c>
      <c r="AD149" s="4" cm="1">
        <f t="array" ref="AD149">INDEX(GMW!$A$2:$LR$60,MATCH(1,(GMW!$LQ$2:$LQ$60=AD$3)*(GMW!$LP$2:$LP$60=AD$4)*(GMW!$LR$2:$LR$60=AD$1),0),$C149-1966)</f>
        <v>140846</v>
      </c>
      <c r="AE149" s="4" cm="1">
        <f t="array" ref="AE149">INDEX(GMW!$A$2:$LR$60,MATCH(1,(GMW!$LQ$2:$LQ$60=AE$3)*(GMW!$LP$2:$LP$60=AE$4)*(GMW!$LR$2:$LR$60=AE$1),0),$C149-1966)</f>
        <v>133811</v>
      </c>
      <c r="AF149" s="4" cm="1">
        <f t="array" ref="AF149">INDEX(GMW!$A$2:$LR$60,MATCH(1,(GMW!$LQ$2:$LQ$60=AF$3)*(GMW!$LP$2:$LP$60=AF$4)*(GMW!$LR$2:$LR$60=AF$1),0),$C149-1966)</f>
        <v>4.8329899999999997</v>
      </c>
      <c r="AG149" s="4" cm="1">
        <f t="array" ref="AG149">INDEX(GMW!$A$2:$LR$60,MATCH(1,(GMW!$LQ$2:$LQ$60=AG$3)*(GMW!$LP$2:$LP$60=AG$4)*(GMW!$LR$2:$LR$60=AG$1),0),$C149-1966)</f>
        <v>1E-3</v>
      </c>
    </row>
    <row r="150" spans="1:33" x14ac:dyDescent="0.25">
      <c r="B150" s="4">
        <f t="shared" si="5"/>
        <v>2008</v>
      </c>
      <c r="C150" s="4">
        <f t="shared" si="4"/>
        <v>2116</v>
      </c>
      <c r="D150" s="4" cm="1">
        <f t="array" ref="D150">INDEX(GMW!$A$2:$LR$60,MATCH(1,(GMW!$LQ$2:$LQ$60=D$3)*(GMW!$LP$2:$LP$60=D$4)*(GMW!$LR$2:$LR$60=D$1),0),$C150-1966)</f>
        <v>469694</v>
      </c>
      <c r="E150" s="4" cm="1">
        <f t="array" ref="E150">INDEX(GMW!$A$2:$LR$60,MATCH(1,(GMW!$LQ$2:$LQ$60=E$3)*(GMW!$LP$2:$LP$60=E$4)*(GMW!$LR$2:$LR$60=E$1),0),$C150-1966)</f>
        <v>469694</v>
      </c>
      <c r="F150" s="4" cm="1">
        <f t="array" ref="F150">INDEX(GMW!$A$2:$LR$60,MATCH(1,(GMW!$LQ$2:$LQ$60=F$3)*(GMW!$LP$2:$LP$60=F$4)*(GMW!$LR$2:$LR$60=F$1),0),$C150-1966)</f>
        <v>469694</v>
      </c>
      <c r="G150" s="4" cm="1">
        <f t="array" ref="G150">INDEX(GMW!$A$2:$LR$60,MATCH(1,(GMW!$LQ$2:$LQ$60=G$3)*(GMW!$LP$2:$LP$60=G$4)*(GMW!$LR$2:$LR$60=G$1),0),$C150-1966)</f>
        <v>469694</v>
      </c>
      <c r="H150" s="4" cm="1">
        <f t="array" ref="H150">INDEX(GMW!$A$2:$LR$60,MATCH(1,(GMW!$LQ$2:$LQ$60=H$3)*(GMW!$LP$2:$LP$60=H$4)*(GMW!$LR$2:$LR$60=H$1),0),$C150-1966)</f>
        <v>469694</v>
      </c>
      <c r="I150" s="4" cm="1">
        <f t="array" ref="I150">INDEX(GMW!$A$2:$LR$60,MATCH(1,(GMW!$LQ$2:$LQ$60=I$3)*(GMW!$LP$2:$LP$60=I$4)*(GMW!$LR$2:$LR$60=I$1),0),$C150-1966)</f>
        <v>469694</v>
      </c>
      <c r="J150" s="4" cm="1">
        <f t="array" ref="J150">INDEX(GMW!$A$2:$LR$60,MATCH(1,(GMW!$LQ$2:$LQ$60=J$3)*(GMW!$LP$2:$LP$60=J$4)*(GMW!$LR$2:$LR$60=J$1),0),$C150-1966)</f>
        <v>469694</v>
      </c>
      <c r="K150" s="4" cm="1">
        <f t="array" ref="K150">INDEX(GMW!$A$2:$LR$60,MATCH(1,(GMW!$LQ$2:$LQ$60=K$3)*(GMW!$LP$2:$LP$60=K$4)*(GMW!$LR$2:$LR$60=K$1),0),$C150-1966)</f>
        <v>469694</v>
      </c>
      <c r="L150" s="4" cm="1">
        <f t="array" ref="L150">INDEX(GMW!$A$2:$LR$60,MATCH(1,(GMW!$LQ$2:$LQ$60=L$3)*(GMW!$LP$2:$LP$60=L$4)*(GMW!$LR$2:$LR$60=L$1),0),$C150-1966)</f>
        <v>469694</v>
      </c>
      <c r="M150" s="4" cm="1">
        <f t="array" ref="M150">INDEX(GMW!$A$2:$LR$60,MATCH(1,(GMW!$LQ$2:$LQ$60=M$3)*(GMW!$LP$2:$LP$60=M$4)*(GMW!$LR$2:$LR$60=M$1),0),$C150-1966)</f>
        <v>469694</v>
      </c>
      <c r="N150" s="4" cm="1">
        <f t="array" ref="N150">INDEX(GMW!$A$2:$LR$60,MATCH(1,(GMW!$LQ$2:$LQ$60=N$3)*(GMW!$LP$2:$LP$60=N$4)*(GMW!$LR$2:$LR$60=N$1),0),$C150-1966)</f>
        <v>469694</v>
      </c>
      <c r="O150" s="4" cm="1">
        <f t="array" ref="O150">INDEX(GMW!$A$2:$LR$60,MATCH(1,(GMW!$LQ$2:$LQ$60=O$3)*(GMW!$LP$2:$LP$60=O$4)*(GMW!$LR$2:$LR$60=O$1),0),$C150-1966)</f>
        <v>469694</v>
      </c>
      <c r="P150" s="4" cm="1">
        <f t="array" ref="P150">INDEX(GMW!$A$2:$LR$60,MATCH(1,(GMW!$LQ$2:$LQ$60=P$3)*(GMW!$LP$2:$LP$60=P$4)*(GMW!$LR$2:$LR$60=P$1),0),$C150-1966)</f>
        <v>469694</v>
      </c>
      <c r="Q150" s="4" cm="1">
        <f t="array" ref="Q150">INDEX(GMW!$A$2:$LR$60,MATCH(1,(GMW!$LQ$2:$LQ$60=Q$3)*(GMW!$LP$2:$LP$60=Q$4)*(GMW!$LR$2:$LR$60=Q$1),0),$C150-1966)</f>
        <v>469694</v>
      </c>
      <c r="R150" s="4" cm="1">
        <f t="array" ref="R150">INDEX(GMW!$A$2:$LR$60,MATCH(1,(GMW!$LQ$2:$LQ$60=R$3)*(GMW!$LP$2:$LP$60=R$4)*(GMW!$LR$2:$LR$60=R$1),0),$C150-1966)</f>
        <v>469694</v>
      </c>
      <c r="S150" s="4" cm="1">
        <f t="array" ref="S150">INDEX(GMW!$A$2:$LR$60,MATCH(1,(GMW!$LQ$2:$LQ$60=S$3)*(GMW!$LP$2:$LP$60=S$4)*(GMW!$LR$2:$LR$60=S$1),0),$C150-1966)</f>
        <v>469694</v>
      </c>
      <c r="T150" s="4" cm="1">
        <f t="array" ref="T150">INDEX(GMW!$A$2:$LR$60,MATCH(1,(GMW!$LQ$2:$LQ$60=T$3)*(GMW!$LP$2:$LP$60=T$4)*(GMW!$LR$2:$LR$60=T$1),0),$C150-1966)</f>
        <v>469694</v>
      </c>
      <c r="U150" s="4" cm="1">
        <f t="array" ref="U150">INDEX(GMW!$A$2:$LR$60,MATCH(1,(GMW!$LQ$2:$LQ$60=U$3)*(GMW!$LP$2:$LP$60=U$4)*(GMW!$LR$2:$LR$60=U$1),0),$C150-1966)</f>
        <v>436.33330000000001</v>
      </c>
      <c r="V150" s="4" cm="1">
        <f t="array" ref="V150">INDEX(GMW!$A$2:$LR$60,MATCH(1,(GMW!$LQ$2:$LQ$60=V$3)*(GMW!$LP$2:$LP$60=V$4)*(GMW!$LR$2:$LR$60=V$1),0),$C150-1966)</f>
        <v>85.733329999999995</v>
      </c>
      <c r="W150" s="4" cm="1">
        <f t="array" ref="W150">INDEX(GMW!$A$2:$LR$60,MATCH(1,(GMW!$LQ$2:$LQ$60=W$3)*(GMW!$LP$2:$LP$60=W$4)*(GMW!$LR$2:$LR$60=W$1),0),$C150-1966)</f>
        <v>81.599999999999994</v>
      </c>
      <c r="X150" s="4" cm="1">
        <f t="array" ref="X150">INDEX(GMW!$A$2:$LR$60,MATCH(1,(GMW!$LQ$2:$LQ$60=X$3)*(GMW!$LP$2:$LP$60=X$4)*(GMW!$LR$2:$LR$60=X$1),0),$C150-1966)</f>
        <v>88.333340000000007</v>
      </c>
      <c r="Y150" s="4" cm="1">
        <f t="array" ref="Y150">INDEX(GMW!$A$2:$LR$60,MATCH(1,(GMW!$LQ$2:$LQ$60=Y$3)*(GMW!$LP$2:$LP$60=Y$4)*(GMW!$LR$2:$LR$60=Y$1),0),$C150-1966)</f>
        <v>84.766670000000005</v>
      </c>
      <c r="Z150" s="4" cm="1">
        <f t="array" ref="Z150">INDEX(GMW!$A$2:$LR$60,MATCH(1,(GMW!$LQ$2:$LQ$60=Z$3)*(GMW!$LP$2:$LP$60=Z$4)*(GMW!$LR$2:$LR$60=Z$1),0),$C150-1966)</f>
        <v>86.866669999999999</v>
      </c>
      <c r="AA150" s="4" cm="1">
        <f t="array" ref="AA150">INDEX(GMW!$A$2:$LR$60,MATCH(1,(GMW!$LQ$2:$LQ$60=AA$3)*(GMW!$LP$2:$LP$60=AA$4)*(GMW!$LR$2:$LR$60=AA$1),0),$C150-1966)</f>
        <v>281423</v>
      </c>
      <c r="AB150" s="4" cm="1">
        <f t="array" ref="AB150">INDEX(GMW!$A$2:$LR$60,MATCH(1,(GMW!$LQ$2:$LQ$60=AB$3)*(GMW!$LP$2:$LP$60=AB$4)*(GMW!$LR$2:$LR$60=AB$1),0),$C150-1966)</f>
        <v>79978</v>
      </c>
      <c r="AC150" s="4" cm="1">
        <f t="array" ref="AC150">INDEX(GMW!$A$2:$LR$60,MATCH(1,(GMW!$LQ$2:$LQ$60=AC$3)*(GMW!$LP$2:$LP$60=AC$4)*(GMW!$LR$2:$LR$60=AC$1),0),$C150-1966)</f>
        <v>95402</v>
      </c>
      <c r="AD150" s="4" cm="1">
        <f t="array" ref="AD150">INDEX(GMW!$A$2:$LR$60,MATCH(1,(GMW!$LQ$2:$LQ$60=AD$3)*(GMW!$LP$2:$LP$60=AD$4)*(GMW!$LR$2:$LR$60=AD$1),0),$C150-1966)</f>
        <v>135424</v>
      </c>
      <c r="AE150" s="4" cm="1">
        <f t="array" ref="AE150">INDEX(GMW!$A$2:$LR$60,MATCH(1,(GMW!$LQ$2:$LQ$60=AE$3)*(GMW!$LP$2:$LP$60=AE$4)*(GMW!$LR$2:$LR$60=AE$1),0),$C150-1966)</f>
        <v>126724</v>
      </c>
      <c r="AF150" s="4" cm="1">
        <f t="array" ref="AF150">INDEX(GMW!$A$2:$LR$60,MATCH(1,(GMW!$LQ$2:$LQ$60=AF$3)*(GMW!$LP$2:$LP$60=AF$4)*(GMW!$LR$2:$LR$60=AF$1),0),$C150-1966)</f>
        <v>2.4878300000000002</v>
      </c>
      <c r="AG150" s="4" cm="1">
        <f t="array" ref="AG150">INDEX(GMW!$A$2:$LR$60,MATCH(1,(GMW!$LQ$2:$LQ$60=AG$3)*(GMW!$LP$2:$LP$60=AG$4)*(GMW!$LR$2:$LR$60=AG$1),0),$C150-1966)</f>
        <v>1E-3</v>
      </c>
    </row>
    <row r="151" spans="1:33" x14ac:dyDescent="0.25">
      <c r="A151" s="4">
        <v>2009</v>
      </c>
      <c r="B151" s="4">
        <f t="shared" si="5"/>
        <v>2009</v>
      </c>
      <c r="C151" s="4">
        <f t="shared" si="4"/>
        <v>2117</v>
      </c>
      <c r="D151" s="4" cm="1">
        <f t="array" ref="D151">INDEX(GMW!$A$2:$LR$60,MATCH(1,(GMW!$LQ$2:$LQ$60=D$3)*(GMW!$LP$2:$LP$60=D$4)*(GMW!$LR$2:$LR$60=D$1),0),$C151-1966)</f>
        <v>460105</v>
      </c>
      <c r="E151" s="4" cm="1">
        <f t="array" ref="E151">INDEX(GMW!$A$2:$LR$60,MATCH(1,(GMW!$LQ$2:$LQ$60=E$3)*(GMW!$LP$2:$LP$60=E$4)*(GMW!$LR$2:$LR$60=E$1),0),$C151-1966)</f>
        <v>460105</v>
      </c>
      <c r="F151" s="4" cm="1">
        <f t="array" ref="F151">INDEX(GMW!$A$2:$LR$60,MATCH(1,(GMW!$LQ$2:$LQ$60=F$3)*(GMW!$LP$2:$LP$60=F$4)*(GMW!$LR$2:$LR$60=F$1),0),$C151-1966)</f>
        <v>460105</v>
      </c>
      <c r="G151" s="4" cm="1">
        <f t="array" ref="G151">INDEX(GMW!$A$2:$LR$60,MATCH(1,(GMW!$LQ$2:$LQ$60=G$3)*(GMW!$LP$2:$LP$60=G$4)*(GMW!$LR$2:$LR$60=G$1),0),$C151-1966)</f>
        <v>460105</v>
      </c>
      <c r="H151" s="4" cm="1">
        <f t="array" ref="H151">INDEX(GMW!$A$2:$LR$60,MATCH(1,(GMW!$LQ$2:$LQ$60=H$3)*(GMW!$LP$2:$LP$60=H$4)*(GMW!$LR$2:$LR$60=H$1),0),$C151-1966)</f>
        <v>460105</v>
      </c>
      <c r="I151" s="4" cm="1">
        <f t="array" ref="I151">INDEX(GMW!$A$2:$LR$60,MATCH(1,(GMW!$LQ$2:$LQ$60=I$3)*(GMW!$LP$2:$LP$60=I$4)*(GMW!$LR$2:$LR$60=I$1),0),$C151-1966)</f>
        <v>460105</v>
      </c>
      <c r="J151" s="4" cm="1">
        <f t="array" ref="J151">INDEX(GMW!$A$2:$LR$60,MATCH(1,(GMW!$LQ$2:$LQ$60=J$3)*(GMW!$LP$2:$LP$60=J$4)*(GMW!$LR$2:$LR$60=J$1),0),$C151-1966)</f>
        <v>460105</v>
      </c>
      <c r="K151" s="4" cm="1">
        <f t="array" ref="K151">INDEX(GMW!$A$2:$LR$60,MATCH(1,(GMW!$LQ$2:$LQ$60=K$3)*(GMW!$LP$2:$LP$60=K$4)*(GMW!$LR$2:$LR$60=K$1),0),$C151-1966)</f>
        <v>460105</v>
      </c>
      <c r="L151" s="4" cm="1">
        <f t="array" ref="L151">INDEX(GMW!$A$2:$LR$60,MATCH(1,(GMW!$LQ$2:$LQ$60=L$3)*(GMW!$LP$2:$LP$60=L$4)*(GMW!$LR$2:$LR$60=L$1),0),$C151-1966)</f>
        <v>460105</v>
      </c>
      <c r="M151" s="4" cm="1">
        <f t="array" ref="M151">INDEX(GMW!$A$2:$LR$60,MATCH(1,(GMW!$LQ$2:$LQ$60=M$3)*(GMW!$LP$2:$LP$60=M$4)*(GMW!$LR$2:$LR$60=M$1),0),$C151-1966)</f>
        <v>460105</v>
      </c>
      <c r="N151" s="4" cm="1">
        <f t="array" ref="N151">INDEX(GMW!$A$2:$LR$60,MATCH(1,(GMW!$LQ$2:$LQ$60=N$3)*(GMW!$LP$2:$LP$60=N$4)*(GMW!$LR$2:$LR$60=N$1),0),$C151-1966)</f>
        <v>460105</v>
      </c>
      <c r="O151" s="4" cm="1">
        <f t="array" ref="O151">INDEX(GMW!$A$2:$LR$60,MATCH(1,(GMW!$LQ$2:$LQ$60=O$3)*(GMW!$LP$2:$LP$60=O$4)*(GMW!$LR$2:$LR$60=O$1),0),$C151-1966)</f>
        <v>460105</v>
      </c>
      <c r="P151" s="4" cm="1">
        <f t="array" ref="P151">INDEX(GMW!$A$2:$LR$60,MATCH(1,(GMW!$LQ$2:$LQ$60=P$3)*(GMW!$LP$2:$LP$60=P$4)*(GMW!$LR$2:$LR$60=P$1),0),$C151-1966)</f>
        <v>460105</v>
      </c>
      <c r="Q151" s="4" cm="1">
        <f t="array" ref="Q151">INDEX(GMW!$A$2:$LR$60,MATCH(1,(GMW!$LQ$2:$LQ$60=Q$3)*(GMW!$LP$2:$LP$60=Q$4)*(GMW!$LR$2:$LR$60=Q$1),0),$C151-1966)</f>
        <v>460105</v>
      </c>
      <c r="R151" s="4" cm="1">
        <f t="array" ref="R151">INDEX(GMW!$A$2:$LR$60,MATCH(1,(GMW!$LQ$2:$LQ$60=R$3)*(GMW!$LP$2:$LP$60=R$4)*(GMW!$LR$2:$LR$60=R$1),0),$C151-1966)</f>
        <v>460105</v>
      </c>
      <c r="S151" s="4" cm="1">
        <f t="array" ref="S151">INDEX(GMW!$A$2:$LR$60,MATCH(1,(GMW!$LQ$2:$LQ$60=S$3)*(GMW!$LP$2:$LP$60=S$4)*(GMW!$LR$2:$LR$60=S$1),0),$C151-1966)</f>
        <v>460105</v>
      </c>
      <c r="T151" s="4" cm="1">
        <f t="array" ref="T151">INDEX(GMW!$A$2:$LR$60,MATCH(1,(GMW!$LQ$2:$LQ$60=T$3)*(GMW!$LP$2:$LP$60=T$4)*(GMW!$LR$2:$LR$60=T$1),0),$C151-1966)</f>
        <v>460105</v>
      </c>
      <c r="U151" s="4" cm="1">
        <f t="array" ref="U151">INDEX(GMW!$A$2:$LR$60,MATCH(1,(GMW!$LQ$2:$LQ$60=U$3)*(GMW!$LP$2:$LP$60=U$4)*(GMW!$LR$2:$LR$60=U$1),0),$C151-1966)</f>
        <v>421</v>
      </c>
      <c r="V151" s="4" cm="1">
        <f t="array" ref="V151">INDEX(GMW!$A$2:$LR$60,MATCH(1,(GMW!$LQ$2:$LQ$60=V$3)*(GMW!$LP$2:$LP$60=V$4)*(GMW!$LR$2:$LR$60=V$1),0),$C151-1966)</f>
        <v>85.433329999999998</v>
      </c>
      <c r="W151" s="4" cm="1">
        <f t="array" ref="W151">INDEX(GMW!$A$2:$LR$60,MATCH(1,(GMW!$LQ$2:$LQ$60=W$3)*(GMW!$LP$2:$LP$60=W$4)*(GMW!$LR$2:$LR$60=W$1),0),$C151-1966)</f>
        <v>83</v>
      </c>
      <c r="X151" s="4" cm="1">
        <f t="array" ref="X151">INDEX(GMW!$A$2:$LR$60,MATCH(1,(GMW!$LQ$2:$LQ$60=X$3)*(GMW!$LP$2:$LP$60=X$4)*(GMW!$LR$2:$LR$60=X$1),0),$C151-1966)</f>
        <v>81.333340000000007</v>
      </c>
      <c r="Y151" s="4" cm="1">
        <f t="array" ref="Y151">INDEX(GMW!$A$2:$LR$60,MATCH(1,(GMW!$LQ$2:$LQ$60=Y$3)*(GMW!$LP$2:$LP$60=Y$4)*(GMW!$LR$2:$LR$60=Y$1),0),$C151-1966)</f>
        <v>83.366669999999999</v>
      </c>
      <c r="Z151" s="4" cm="1">
        <f t="array" ref="Z151">INDEX(GMW!$A$2:$LR$60,MATCH(1,(GMW!$LQ$2:$LQ$60=Z$3)*(GMW!$LP$2:$LP$60=Z$4)*(GMW!$LR$2:$LR$60=Z$1),0),$C151-1966)</f>
        <v>86.5</v>
      </c>
      <c r="AA151" s="4" cm="1">
        <f t="array" ref="AA151">INDEX(GMW!$A$2:$LR$60,MATCH(1,(GMW!$LQ$2:$LQ$60=AA$3)*(GMW!$LP$2:$LP$60=AA$4)*(GMW!$LR$2:$LR$60=AA$1),0),$C151-1966)</f>
        <v>280177</v>
      </c>
      <c r="AB151" s="4" cm="1">
        <f t="array" ref="AB151">INDEX(GMW!$A$2:$LR$60,MATCH(1,(GMW!$LQ$2:$LQ$60=AB$3)*(GMW!$LP$2:$LP$60=AB$4)*(GMW!$LR$2:$LR$60=AB$1),0),$C151-1966)</f>
        <v>75261</v>
      </c>
      <c r="AC151" s="4" cm="1">
        <f t="array" ref="AC151">INDEX(GMW!$A$2:$LR$60,MATCH(1,(GMW!$LQ$2:$LQ$60=AC$3)*(GMW!$LP$2:$LP$60=AC$4)*(GMW!$LR$2:$LR$60=AC$1),0),$C151-1966)</f>
        <v>94802</v>
      </c>
      <c r="AD151" s="4" cm="1">
        <f t="array" ref="AD151">INDEX(GMW!$A$2:$LR$60,MATCH(1,(GMW!$LQ$2:$LQ$60=AD$3)*(GMW!$LP$2:$LP$60=AD$4)*(GMW!$LR$2:$LR$60=AD$1),0),$C151-1966)</f>
        <v>126723</v>
      </c>
      <c r="AE151" s="4" cm="1">
        <f t="array" ref="AE151">INDEX(GMW!$A$2:$LR$60,MATCH(1,(GMW!$LQ$2:$LQ$60=AE$3)*(GMW!$LP$2:$LP$60=AE$4)*(GMW!$LR$2:$LR$60=AE$1),0),$C151-1966)</f>
        <v>121718</v>
      </c>
      <c r="AF151" s="4" cm="1">
        <f t="array" ref="AF151">INDEX(GMW!$A$2:$LR$60,MATCH(1,(GMW!$LQ$2:$LQ$60=AF$3)*(GMW!$LP$2:$LP$60=AF$4)*(GMW!$LR$2:$LR$60=AF$1),0),$C151-1966)</f>
        <v>1.107</v>
      </c>
      <c r="AG151" s="4" cm="1">
        <f t="array" ref="AG151">INDEX(GMW!$A$2:$LR$60,MATCH(1,(GMW!$LQ$2:$LQ$60=AG$3)*(GMW!$LP$2:$LP$60=AG$4)*(GMW!$LR$2:$LR$60=AG$1),0),$C151-1966)</f>
        <v>1E-3</v>
      </c>
    </row>
    <row r="152" spans="1:33" x14ac:dyDescent="0.25">
      <c r="B152" s="4">
        <f t="shared" si="5"/>
        <v>2009</v>
      </c>
      <c r="C152" s="4">
        <f t="shared" si="4"/>
        <v>2118</v>
      </c>
      <c r="D152" s="4" cm="1">
        <f t="array" ref="D152">INDEX(GMW!$A$2:$LR$60,MATCH(1,(GMW!$LQ$2:$LQ$60=D$3)*(GMW!$LP$2:$LP$60=D$4)*(GMW!$LR$2:$LR$60=D$1),0),$C152-1966)</f>
        <v>458599</v>
      </c>
      <c r="E152" s="4" cm="1">
        <f t="array" ref="E152">INDEX(GMW!$A$2:$LR$60,MATCH(1,(GMW!$LQ$2:$LQ$60=E$3)*(GMW!$LP$2:$LP$60=E$4)*(GMW!$LR$2:$LR$60=E$1),0),$C152-1966)</f>
        <v>458599</v>
      </c>
      <c r="F152" s="4" cm="1">
        <f t="array" ref="F152">INDEX(GMW!$A$2:$LR$60,MATCH(1,(GMW!$LQ$2:$LQ$60=F$3)*(GMW!$LP$2:$LP$60=F$4)*(GMW!$LR$2:$LR$60=F$1),0),$C152-1966)</f>
        <v>458599</v>
      </c>
      <c r="G152" s="4" cm="1">
        <f t="array" ref="G152">INDEX(GMW!$A$2:$LR$60,MATCH(1,(GMW!$LQ$2:$LQ$60=G$3)*(GMW!$LP$2:$LP$60=G$4)*(GMW!$LR$2:$LR$60=G$1),0),$C152-1966)</f>
        <v>458599</v>
      </c>
      <c r="H152" s="4" cm="1">
        <f t="array" ref="H152">INDEX(GMW!$A$2:$LR$60,MATCH(1,(GMW!$LQ$2:$LQ$60=H$3)*(GMW!$LP$2:$LP$60=H$4)*(GMW!$LR$2:$LR$60=H$1),0),$C152-1966)</f>
        <v>458599</v>
      </c>
      <c r="I152" s="4" cm="1">
        <f t="array" ref="I152">INDEX(GMW!$A$2:$LR$60,MATCH(1,(GMW!$LQ$2:$LQ$60=I$3)*(GMW!$LP$2:$LP$60=I$4)*(GMW!$LR$2:$LR$60=I$1),0),$C152-1966)</f>
        <v>458599</v>
      </c>
      <c r="J152" s="4" cm="1">
        <f t="array" ref="J152">INDEX(GMW!$A$2:$LR$60,MATCH(1,(GMW!$LQ$2:$LQ$60=J$3)*(GMW!$LP$2:$LP$60=J$4)*(GMW!$LR$2:$LR$60=J$1),0),$C152-1966)</f>
        <v>458599</v>
      </c>
      <c r="K152" s="4" cm="1">
        <f t="array" ref="K152">INDEX(GMW!$A$2:$LR$60,MATCH(1,(GMW!$LQ$2:$LQ$60=K$3)*(GMW!$LP$2:$LP$60=K$4)*(GMW!$LR$2:$LR$60=K$1),0),$C152-1966)</f>
        <v>458599</v>
      </c>
      <c r="L152" s="4" cm="1">
        <f t="array" ref="L152">INDEX(GMW!$A$2:$LR$60,MATCH(1,(GMW!$LQ$2:$LQ$60=L$3)*(GMW!$LP$2:$LP$60=L$4)*(GMW!$LR$2:$LR$60=L$1),0),$C152-1966)</f>
        <v>458599</v>
      </c>
      <c r="M152" s="4" cm="1">
        <f t="array" ref="M152">INDEX(GMW!$A$2:$LR$60,MATCH(1,(GMW!$LQ$2:$LQ$60=M$3)*(GMW!$LP$2:$LP$60=M$4)*(GMW!$LR$2:$LR$60=M$1),0),$C152-1966)</f>
        <v>458599</v>
      </c>
      <c r="N152" s="4" cm="1">
        <f t="array" ref="N152">INDEX(GMW!$A$2:$LR$60,MATCH(1,(GMW!$LQ$2:$LQ$60=N$3)*(GMW!$LP$2:$LP$60=N$4)*(GMW!$LR$2:$LR$60=N$1),0),$C152-1966)</f>
        <v>458599</v>
      </c>
      <c r="O152" s="4" cm="1">
        <f t="array" ref="O152">INDEX(GMW!$A$2:$LR$60,MATCH(1,(GMW!$LQ$2:$LQ$60=O$3)*(GMW!$LP$2:$LP$60=O$4)*(GMW!$LR$2:$LR$60=O$1),0),$C152-1966)</f>
        <v>458599</v>
      </c>
      <c r="P152" s="4" cm="1">
        <f t="array" ref="P152">INDEX(GMW!$A$2:$LR$60,MATCH(1,(GMW!$LQ$2:$LQ$60=P$3)*(GMW!$LP$2:$LP$60=P$4)*(GMW!$LR$2:$LR$60=P$1),0),$C152-1966)</f>
        <v>458599</v>
      </c>
      <c r="Q152" s="4" cm="1">
        <f t="array" ref="Q152">INDEX(GMW!$A$2:$LR$60,MATCH(1,(GMW!$LQ$2:$LQ$60=Q$3)*(GMW!$LP$2:$LP$60=Q$4)*(GMW!$LR$2:$LR$60=Q$1),0),$C152-1966)</f>
        <v>458599</v>
      </c>
      <c r="R152" s="4" cm="1">
        <f t="array" ref="R152">INDEX(GMW!$A$2:$LR$60,MATCH(1,(GMW!$LQ$2:$LQ$60=R$3)*(GMW!$LP$2:$LP$60=R$4)*(GMW!$LR$2:$LR$60=R$1),0),$C152-1966)</f>
        <v>458599</v>
      </c>
      <c r="S152" s="4" cm="1">
        <f t="array" ref="S152">INDEX(GMW!$A$2:$LR$60,MATCH(1,(GMW!$LQ$2:$LQ$60=S$3)*(GMW!$LP$2:$LP$60=S$4)*(GMW!$LR$2:$LR$60=S$1),0),$C152-1966)</f>
        <v>458599</v>
      </c>
      <c r="T152" s="4" cm="1">
        <f t="array" ref="T152">INDEX(GMW!$A$2:$LR$60,MATCH(1,(GMW!$LQ$2:$LQ$60=T$3)*(GMW!$LP$2:$LP$60=T$4)*(GMW!$LR$2:$LR$60=T$1),0),$C152-1966)</f>
        <v>458599</v>
      </c>
      <c r="U152" s="4" cm="1">
        <f t="array" ref="U152">INDEX(GMW!$A$2:$LR$60,MATCH(1,(GMW!$LQ$2:$LQ$60=U$3)*(GMW!$LP$2:$LP$60=U$4)*(GMW!$LR$2:$LR$60=U$1),0),$C152-1966)</f>
        <v>437.66669999999999</v>
      </c>
      <c r="V152" s="4" cm="1">
        <f t="array" ref="V152">INDEX(GMW!$A$2:$LR$60,MATCH(1,(GMW!$LQ$2:$LQ$60=V$3)*(GMW!$LP$2:$LP$60=V$4)*(GMW!$LR$2:$LR$60=V$1),0),$C152-1966)</f>
        <v>86.366669999999999</v>
      </c>
      <c r="W152" s="4" cm="1">
        <f t="array" ref="W152">INDEX(GMW!$A$2:$LR$60,MATCH(1,(GMW!$LQ$2:$LQ$60=W$3)*(GMW!$LP$2:$LP$60=W$4)*(GMW!$LR$2:$LR$60=W$1),0),$C152-1966)</f>
        <v>83.566670000000002</v>
      </c>
      <c r="X152" s="4" cm="1">
        <f t="array" ref="X152">INDEX(GMW!$A$2:$LR$60,MATCH(1,(GMW!$LQ$2:$LQ$60=X$3)*(GMW!$LP$2:$LP$60=X$4)*(GMW!$LR$2:$LR$60=X$1),0),$C152-1966)</f>
        <v>88.366669999999999</v>
      </c>
      <c r="Y152" s="4" cm="1">
        <f t="array" ref="Y152">INDEX(GMW!$A$2:$LR$60,MATCH(1,(GMW!$LQ$2:$LQ$60=Y$3)*(GMW!$LP$2:$LP$60=Y$4)*(GMW!$LR$2:$LR$60=Y$1),0),$C152-1966)</f>
        <v>79.266670000000005</v>
      </c>
      <c r="Z152" s="4" cm="1">
        <f t="array" ref="Z152">INDEX(GMW!$A$2:$LR$60,MATCH(1,(GMW!$LQ$2:$LQ$60=Z$3)*(GMW!$LP$2:$LP$60=Z$4)*(GMW!$LR$2:$LR$60=Z$1),0),$C152-1966)</f>
        <v>87.533330000000007</v>
      </c>
      <c r="AA152" s="4" cm="1">
        <f t="array" ref="AA152">INDEX(GMW!$A$2:$LR$60,MATCH(1,(GMW!$LQ$2:$LQ$60=AA$3)*(GMW!$LP$2:$LP$60=AA$4)*(GMW!$LR$2:$LR$60=AA$1),0),$C152-1966)</f>
        <v>279808</v>
      </c>
      <c r="AB152" s="4" cm="1">
        <f t="array" ref="AB152">INDEX(GMW!$A$2:$LR$60,MATCH(1,(GMW!$LQ$2:$LQ$60=AB$3)*(GMW!$LP$2:$LP$60=AB$4)*(GMW!$LR$2:$LR$60=AB$1),0),$C152-1966)</f>
        <v>72063</v>
      </c>
      <c r="AC152" s="4" cm="1">
        <f t="array" ref="AC152">INDEX(GMW!$A$2:$LR$60,MATCH(1,(GMW!$LQ$2:$LQ$60=AC$3)*(GMW!$LP$2:$LP$60=AC$4)*(GMW!$LR$2:$LR$60=AC$1),0),$C152-1966)</f>
        <v>94564</v>
      </c>
      <c r="AD152" s="4" cm="1">
        <f t="array" ref="AD152">INDEX(GMW!$A$2:$LR$60,MATCH(1,(GMW!$LQ$2:$LQ$60=AD$3)*(GMW!$LP$2:$LP$60=AD$4)*(GMW!$LR$2:$LR$60=AD$1),0),$C152-1966)</f>
        <v>125420</v>
      </c>
      <c r="AE152" s="4" cm="1">
        <f t="array" ref="AE152">INDEX(GMW!$A$2:$LR$60,MATCH(1,(GMW!$LQ$2:$LQ$60=AE$3)*(GMW!$LP$2:$LP$60=AE$4)*(GMW!$LR$2:$LR$60=AE$1),0),$C152-1966)</f>
        <v>122009</v>
      </c>
      <c r="AF152" s="4" cm="1">
        <f t="array" ref="AF152">INDEX(GMW!$A$2:$LR$60,MATCH(1,(GMW!$LQ$2:$LQ$60=AF$3)*(GMW!$LP$2:$LP$60=AF$4)*(GMW!$LR$2:$LR$60=AF$1),0),$C152-1966)</f>
        <v>1.3100099999999999</v>
      </c>
      <c r="AG152" s="4" cm="1">
        <f t="array" ref="AG152">INDEX(GMW!$A$2:$LR$60,MATCH(1,(GMW!$LQ$2:$LQ$60=AG$3)*(GMW!$LP$2:$LP$60=AG$4)*(GMW!$LR$2:$LR$60=AG$1),0),$C152-1966)</f>
        <v>1E-3</v>
      </c>
    </row>
    <row r="153" spans="1:33" x14ac:dyDescent="0.25">
      <c r="B153" s="4">
        <f t="shared" si="5"/>
        <v>2009</v>
      </c>
      <c r="C153" s="4">
        <f t="shared" si="4"/>
        <v>2119</v>
      </c>
      <c r="D153" s="4" cm="1">
        <f t="array" ref="D153">INDEX(GMW!$A$2:$LR$60,MATCH(1,(GMW!$LQ$2:$LQ$60=D$3)*(GMW!$LP$2:$LP$60=D$4)*(GMW!$LR$2:$LR$60=D$1),0),$C153-1966)</f>
        <v>458875</v>
      </c>
      <c r="E153" s="4" cm="1">
        <f t="array" ref="E153">INDEX(GMW!$A$2:$LR$60,MATCH(1,(GMW!$LQ$2:$LQ$60=E$3)*(GMW!$LP$2:$LP$60=E$4)*(GMW!$LR$2:$LR$60=E$1),0),$C153-1966)</f>
        <v>458875</v>
      </c>
      <c r="F153" s="4" cm="1">
        <f t="array" ref="F153">INDEX(GMW!$A$2:$LR$60,MATCH(1,(GMW!$LQ$2:$LQ$60=F$3)*(GMW!$LP$2:$LP$60=F$4)*(GMW!$LR$2:$LR$60=F$1),0),$C153-1966)</f>
        <v>458875</v>
      </c>
      <c r="G153" s="4" cm="1">
        <f t="array" ref="G153">INDEX(GMW!$A$2:$LR$60,MATCH(1,(GMW!$LQ$2:$LQ$60=G$3)*(GMW!$LP$2:$LP$60=G$4)*(GMW!$LR$2:$LR$60=G$1),0),$C153-1966)</f>
        <v>458875</v>
      </c>
      <c r="H153" s="4" cm="1">
        <f t="array" ref="H153">INDEX(GMW!$A$2:$LR$60,MATCH(1,(GMW!$LQ$2:$LQ$60=H$3)*(GMW!$LP$2:$LP$60=H$4)*(GMW!$LR$2:$LR$60=H$1),0),$C153-1966)</f>
        <v>458875</v>
      </c>
      <c r="I153" s="4" cm="1">
        <f t="array" ref="I153">INDEX(GMW!$A$2:$LR$60,MATCH(1,(GMW!$LQ$2:$LQ$60=I$3)*(GMW!$LP$2:$LP$60=I$4)*(GMW!$LR$2:$LR$60=I$1),0),$C153-1966)</f>
        <v>458875</v>
      </c>
      <c r="J153" s="4" cm="1">
        <f t="array" ref="J153">INDEX(GMW!$A$2:$LR$60,MATCH(1,(GMW!$LQ$2:$LQ$60=J$3)*(GMW!$LP$2:$LP$60=J$4)*(GMW!$LR$2:$LR$60=J$1),0),$C153-1966)</f>
        <v>458875</v>
      </c>
      <c r="K153" s="4" cm="1">
        <f t="array" ref="K153">INDEX(GMW!$A$2:$LR$60,MATCH(1,(GMW!$LQ$2:$LQ$60=K$3)*(GMW!$LP$2:$LP$60=K$4)*(GMW!$LR$2:$LR$60=K$1),0),$C153-1966)</f>
        <v>458875</v>
      </c>
      <c r="L153" s="4" cm="1">
        <f t="array" ref="L153">INDEX(GMW!$A$2:$LR$60,MATCH(1,(GMW!$LQ$2:$LQ$60=L$3)*(GMW!$LP$2:$LP$60=L$4)*(GMW!$LR$2:$LR$60=L$1),0),$C153-1966)</f>
        <v>458875</v>
      </c>
      <c r="M153" s="4" cm="1">
        <f t="array" ref="M153">INDEX(GMW!$A$2:$LR$60,MATCH(1,(GMW!$LQ$2:$LQ$60=M$3)*(GMW!$LP$2:$LP$60=M$4)*(GMW!$LR$2:$LR$60=M$1),0),$C153-1966)</f>
        <v>458875</v>
      </c>
      <c r="N153" s="4" cm="1">
        <f t="array" ref="N153">INDEX(GMW!$A$2:$LR$60,MATCH(1,(GMW!$LQ$2:$LQ$60=N$3)*(GMW!$LP$2:$LP$60=N$4)*(GMW!$LR$2:$LR$60=N$1),0),$C153-1966)</f>
        <v>458875</v>
      </c>
      <c r="O153" s="4" cm="1">
        <f t="array" ref="O153">INDEX(GMW!$A$2:$LR$60,MATCH(1,(GMW!$LQ$2:$LQ$60=O$3)*(GMW!$LP$2:$LP$60=O$4)*(GMW!$LR$2:$LR$60=O$1),0),$C153-1966)</f>
        <v>458875</v>
      </c>
      <c r="P153" s="4" cm="1">
        <f t="array" ref="P153">INDEX(GMW!$A$2:$LR$60,MATCH(1,(GMW!$LQ$2:$LQ$60=P$3)*(GMW!$LP$2:$LP$60=P$4)*(GMW!$LR$2:$LR$60=P$1),0),$C153-1966)</f>
        <v>458875</v>
      </c>
      <c r="Q153" s="4" cm="1">
        <f t="array" ref="Q153">INDEX(GMW!$A$2:$LR$60,MATCH(1,(GMW!$LQ$2:$LQ$60=Q$3)*(GMW!$LP$2:$LP$60=Q$4)*(GMW!$LR$2:$LR$60=Q$1),0),$C153-1966)</f>
        <v>458875</v>
      </c>
      <c r="R153" s="4" cm="1">
        <f t="array" ref="R153">INDEX(GMW!$A$2:$LR$60,MATCH(1,(GMW!$LQ$2:$LQ$60=R$3)*(GMW!$LP$2:$LP$60=R$4)*(GMW!$LR$2:$LR$60=R$1),0),$C153-1966)</f>
        <v>458875</v>
      </c>
      <c r="S153" s="4" cm="1">
        <f t="array" ref="S153">INDEX(GMW!$A$2:$LR$60,MATCH(1,(GMW!$LQ$2:$LQ$60=S$3)*(GMW!$LP$2:$LP$60=S$4)*(GMW!$LR$2:$LR$60=S$1),0),$C153-1966)</f>
        <v>458875</v>
      </c>
      <c r="T153" s="4" cm="1">
        <f t="array" ref="T153">INDEX(GMW!$A$2:$LR$60,MATCH(1,(GMW!$LQ$2:$LQ$60=T$3)*(GMW!$LP$2:$LP$60=T$4)*(GMW!$LR$2:$LR$60=T$1),0),$C153-1966)</f>
        <v>458875</v>
      </c>
      <c r="U153" s="4" cm="1">
        <f t="array" ref="U153">INDEX(GMW!$A$2:$LR$60,MATCH(1,(GMW!$LQ$2:$LQ$60=U$3)*(GMW!$LP$2:$LP$60=U$4)*(GMW!$LR$2:$LR$60=U$1),0),$C153-1966)</f>
        <v>438</v>
      </c>
      <c r="V153" s="4" cm="1">
        <f t="array" ref="V153">INDEX(GMW!$A$2:$LR$60,MATCH(1,(GMW!$LQ$2:$LQ$60=V$3)*(GMW!$LP$2:$LP$60=V$4)*(GMW!$LR$2:$LR$60=V$1),0),$C153-1966)</f>
        <v>86.933329999999998</v>
      </c>
      <c r="W153" s="4" cm="1">
        <f t="array" ref="W153">INDEX(GMW!$A$2:$LR$60,MATCH(1,(GMW!$LQ$2:$LQ$60=W$3)*(GMW!$LP$2:$LP$60=W$4)*(GMW!$LR$2:$LR$60=W$1),0),$C153-1966)</f>
        <v>83.133330000000001</v>
      </c>
      <c r="X153" s="4" cm="1">
        <f t="array" ref="X153">INDEX(GMW!$A$2:$LR$60,MATCH(1,(GMW!$LQ$2:$LQ$60=X$3)*(GMW!$LP$2:$LP$60=X$4)*(GMW!$LR$2:$LR$60=X$1),0),$C153-1966)</f>
        <v>93.266670000000005</v>
      </c>
      <c r="Y153" s="4" cm="1">
        <f t="array" ref="Y153">INDEX(GMW!$A$2:$LR$60,MATCH(1,(GMW!$LQ$2:$LQ$60=Y$3)*(GMW!$LP$2:$LP$60=Y$4)*(GMW!$LR$2:$LR$60=Y$1),0),$C153-1966)</f>
        <v>78.833340000000007</v>
      </c>
      <c r="Z153" s="4" cm="1">
        <f t="array" ref="Z153">INDEX(GMW!$A$2:$LR$60,MATCH(1,(GMW!$LQ$2:$LQ$60=Z$3)*(GMW!$LP$2:$LP$60=Z$4)*(GMW!$LR$2:$LR$60=Z$1),0),$C153-1966)</f>
        <v>88.166659999999993</v>
      </c>
      <c r="AA153" s="4" cm="1">
        <f t="array" ref="AA153">INDEX(GMW!$A$2:$LR$60,MATCH(1,(GMW!$LQ$2:$LQ$60=AA$3)*(GMW!$LP$2:$LP$60=AA$4)*(GMW!$LR$2:$LR$60=AA$1),0),$C153-1966)</f>
        <v>281090</v>
      </c>
      <c r="AB153" s="4" cm="1">
        <f t="array" ref="AB153">INDEX(GMW!$A$2:$LR$60,MATCH(1,(GMW!$LQ$2:$LQ$60=AB$3)*(GMW!$LP$2:$LP$60=AB$4)*(GMW!$LR$2:$LR$60=AB$1),0),$C153-1966)</f>
        <v>72551</v>
      </c>
      <c r="AC153" s="4" cm="1">
        <f t="array" ref="AC153">INDEX(GMW!$A$2:$LR$60,MATCH(1,(GMW!$LQ$2:$LQ$60=AC$3)*(GMW!$LP$2:$LP$60=AC$4)*(GMW!$LR$2:$LR$60=AC$1),0),$C153-1966)</f>
        <v>95362</v>
      </c>
      <c r="AD153" s="4" cm="1">
        <f t="array" ref="AD153">INDEX(GMW!$A$2:$LR$60,MATCH(1,(GMW!$LQ$2:$LQ$60=AD$3)*(GMW!$LP$2:$LP$60=AD$4)*(GMW!$LR$2:$LR$60=AD$1),0),$C153-1966)</f>
        <v>124828</v>
      </c>
      <c r="AE153" s="4" cm="1">
        <f t="array" ref="AE153">INDEX(GMW!$A$2:$LR$60,MATCH(1,(GMW!$LQ$2:$LQ$60=AE$3)*(GMW!$LP$2:$LP$60=AE$4)*(GMW!$LR$2:$LR$60=AE$1),0),$C153-1966)</f>
        <v>125311</v>
      </c>
      <c r="AF153" s="4" cm="1">
        <f t="array" ref="AF153">INDEX(GMW!$A$2:$LR$60,MATCH(1,(GMW!$LQ$2:$LQ$60=AF$3)*(GMW!$LP$2:$LP$60=AF$4)*(GMW!$LR$2:$LR$60=AF$1),0),$C153-1966)</f>
        <v>1.5602100000000001</v>
      </c>
      <c r="AG153" s="4" cm="1">
        <f t="array" ref="AG153">INDEX(GMW!$A$2:$LR$60,MATCH(1,(GMW!$LQ$2:$LQ$60=AG$3)*(GMW!$LP$2:$LP$60=AG$4)*(GMW!$LR$2:$LR$60=AG$1),0),$C153-1966)</f>
        <v>1E-3</v>
      </c>
    </row>
    <row r="154" spans="1:33" x14ac:dyDescent="0.25">
      <c r="B154" s="4">
        <f t="shared" si="5"/>
        <v>2009</v>
      </c>
      <c r="C154" s="4">
        <f t="shared" si="4"/>
        <v>2120</v>
      </c>
      <c r="D154" s="4" cm="1">
        <f t="array" ref="D154">INDEX(GMW!$A$2:$LR$60,MATCH(1,(GMW!$LQ$2:$LQ$60=D$3)*(GMW!$LP$2:$LP$60=D$4)*(GMW!$LR$2:$LR$60=D$1),0),$C154-1966)</f>
        <v>460238</v>
      </c>
      <c r="E154" s="4" cm="1">
        <f t="array" ref="E154">INDEX(GMW!$A$2:$LR$60,MATCH(1,(GMW!$LQ$2:$LQ$60=E$3)*(GMW!$LP$2:$LP$60=E$4)*(GMW!$LR$2:$LR$60=E$1),0),$C154-1966)</f>
        <v>460238</v>
      </c>
      <c r="F154" s="4" cm="1">
        <f t="array" ref="F154">INDEX(GMW!$A$2:$LR$60,MATCH(1,(GMW!$LQ$2:$LQ$60=F$3)*(GMW!$LP$2:$LP$60=F$4)*(GMW!$LR$2:$LR$60=F$1),0),$C154-1966)</f>
        <v>460238</v>
      </c>
      <c r="G154" s="4" cm="1">
        <f t="array" ref="G154">INDEX(GMW!$A$2:$LR$60,MATCH(1,(GMW!$LQ$2:$LQ$60=G$3)*(GMW!$LP$2:$LP$60=G$4)*(GMW!$LR$2:$LR$60=G$1),0),$C154-1966)</f>
        <v>460238</v>
      </c>
      <c r="H154" s="4" cm="1">
        <f t="array" ref="H154">INDEX(GMW!$A$2:$LR$60,MATCH(1,(GMW!$LQ$2:$LQ$60=H$3)*(GMW!$LP$2:$LP$60=H$4)*(GMW!$LR$2:$LR$60=H$1),0),$C154-1966)</f>
        <v>460238</v>
      </c>
      <c r="I154" s="4" cm="1">
        <f t="array" ref="I154">INDEX(GMW!$A$2:$LR$60,MATCH(1,(GMW!$LQ$2:$LQ$60=I$3)*(GMW!$LP$2:$LP$60=I$4)*(GMW!$LR$2:$LR$60=I$1),0),$C154-1966)</f>
        <v>460238</v>
      </c>
      <c r="J154" s="4" cm="1">
        <f t="array" ref="J154">INDEX(GMW!$A$2:$LR$60,MATCH(1,(GMW!$LQ$2:$LQ$60=J$3)*(GMW!$LP$2:$LP$60=J$4)*(GMW!$LR$2:$LR$60=J$1),0),$C154-1966)</f>
        <v>460238</v>
      </c>
      <c r="K154" s="4" cm="1">
        <f t="array" ref="K154">INDEX(GMW!$A$2:$LR$60,MATCH(1,(GMW!$LQ$2:$LQ$60=K$3)*(GMW!$LP$2:$LP$60=K$4)*(GMW!$LR$2:$LR$60=K$1),0),$C154-1966)</f>
        <v>460238</v>
      </c>
      <c r="L154" s="4" cm="1">
        <f t="array" ref="L154">INDEX(GMW!$A$2:$LR$60,MATCH(1,(GMW!$LQ$2:$LQ$60=L$3)*(GMW!$LP$2:$LP$60=L$4)*(GMW!$LR$2:$LR$60=L$1),0),$C154-1966)</f>
        <v>460238</v>
      </c>
      <c r="M154" s="4" cm="1">
        <f t="array" ref="M154">INDEX(GMW!$A$2:$LR$60,MATCH(1,(GMW!$LQ$2:$LQ$60=M$3)*(GMW!$LP$2:$LP$60=M$4)*(GMW!$LR$2:$LR$60=M$1),0),$C154-1966)</f>
        <v>460238</v>
      </c>
      <c r="N154" s="4" cm="1">
        <f t="array" ref="N154">INDEX(GMW!$A$2:$LR$60,MATCH(1,(GMW!$LQ$2:$LQ$60=N$3)*(GMW!$LP$2:$LP$60=N$4)*(GMW!$LR$2:$LR$60=N$1),0),$C154-1966)</f>
        <v>460238</v>
      </c>
      <c r="O154" s="4" cm="1">
        <f t="array" ref="O154">INDEX(GMW!$A$2:$LR$60,MATCH(1,(GMW!$LQ$2:$LQ$60=O$3)*(GMW!$LP$2:$LP$60=O$4)*(GMW!$LR$2:$LR$60=O$1),0),$C154-1966)</f>
        <v>460238</v>
      </c>
      <c r="P154" s="4" cm="1">
        <f t="array" ref="P154">INDEX(GMW!$A$2:$LR$60,MATCH(1,(GMW!$LQ$2:$LQ$60=P$3)*(GMW!$LP$2:$LP$60=P$4)*(GMW!$LR$2:$LR$60=P$1),0),$C154-1966)</f>
        <v>460238</v>
      </c>
      <c r="Q154" s="4" cm="1">
        <f t="array" ref="Q154">INDEX(GMW!$A$2:$LR$60,MATCH(1,(GMW!$LQ$2:$LQ$60=Q$3)*(GMW!$LP$2:$LP$60=Q$4)*(GMW!$LR$2:$LR$60=Q$1),0),$C154-1966)</f>
        <v>460238</v>
      </c>
      <c r="R154" s="4" cm="1">
        <f t="array" ref="R154">INDEX(GMW!$A$2:$LR$60,MATCH(1,(GMW!$LQ$2:$LQ$60=R$3)*(GMW!$LP$2:$LP$60=R$4)*(GMW!$LR$2:$LR$60=R$1),0),$C154-1966)</f>
        <v>460238</v>
      </c>
      <c r="S154" s="4" cm="1">
        <f t="array" ref="S154">INDEX(GMW!$A$2:$LR$60,MATCH(1,(GMW!$LQ$2:$LQ$60=S$3)*(GMW!$LP$2:$LP$60=S$4)*(GMW!$LR$2:$LR$60=S$1),0),$C154-1966)</f>
        <v>460238</v>
      </c>
      <c r="T154" s="4" cm="1">
        <f t="array" ref="T154">INDEX(GMW!$A$2:$LR$60,MATCH(1,(GMW!$LQ$2:$LQ$60=T$3)*(GMW!$LP$2:$LP$60=T$4)*(GMW!$LR$2:$LR$60=T$1),0),$C154-1966)</f>
        <v>460238</v>
      </c>
      <c r="U154" s="4" cm="1">
        <f t="array" ref="U154">INDEX(GMW!$A$2:$LR$60,MATCH(1,(GMW!$LQ$2:$LQ$60=U$3)*(GMW!$LP$2:$LP$60=U$4)*(GMW!$LR$2:$LR$60=U$1),0),$C154-1966)</f>
        <v>439.66669999999999</v>
      </c>
      <c r="V154" s="4" cm="1">
        <f t="array" ref="V154">INDEX(GMW!$A$2:$LR$60,MATCH(1,(GMW!$LQ$2:$LQ$60=V$3)*(GMW!$LP$2:$LP$60=V$4)*(GMW!$LR$2:$LR$60=V$1),0),$C154-1966)</f>
        <v>87.566670000000002</v>
      </c>
      <c r="W154" s="4" cm="1">
        <f t="array" ref="W154">INDEX(GMW!$A$2:$LR$60,MATCH(1,(GMW!$LQ$2:$LQ$60=W$3)*(GMW!$LP$2:$LP$60=W$4)*(GMW!$LR$2:$LR$60=W$1),0),$C154-1966)</f>
        <v>83.6</v>
      </c>
      <c r="X154" s="4" cm="1">
        <f t="array" ref="X154">INDEX(GMW!$A$2:$LR$60,MATCH(1,(GMW!$LQ$2:$LQ$60=X$3)*(GMW!$LP$2:$LP$60=X$4)*(GMW!$LR$2:$LR$60=X$1),0),$C154-1966)</f>
        <v>96.2</v>
      </c>
      <c r="Y154" s="4" cm="1">
        <f t="array" ref="Y154">INDEX(GMW!$A$2:$LR$60,MATCH(1,(GMW!$LQ$2:$LQ$60=Y$3)*(GMW!$LP$2:$LP$60=Y$4)*(GMW!$LR$2:$LR$60=Y$1),0),$C154-1966)</f>
        <v>79.099999999999994</v>
      </c>
      <c r="Z154" s="4" cm="1">
        <f t="array" ref="Z154">INDEX(GMW!$A$2:$LR$60,MATCH(1,(GMW!$LQ$2:$LQ$60=Z$3)*(GMW!$LP$2:$LP$60=Z$4)*(GMW!$LR$2:$LR$60=Z$1),0),$C154-1966)</f>
        <v>88.766670000000005</v>
      </c>
      <c r="AA154" s="4" cm="1">
        <f t="array" ref="AA154">INDEX(GMW!$A$2:$LR$60,MATCH(1,(GMW!$LQ$2:$LQ$60=AA$3)*(GMW!$LP$2:$LP$60=AA$4)*(GMW!$LR$2:$LR$60=AA$1),0),$C154-1966)</f>
        <v>283264</v>
      </c>
      <c r="AB154" s="4" cm="1">
        <f t="array" ref="AB154">INDEX(GMW!$A$2:$LR$60,MATCH(1,(GMW!$LQ$2:$LQ$60=AB$3)*(GMW!$LP$2:$LP$60=AB$4)*(GMW!$LR$2:$LR$60=AB$1),0),$C154-1966)</f>
        <v>71335</v>
      </c>
      <c r="AC154" s="4" cm="1">
        <f t="array" ref="AC154">INDEX(GMW!$A$2:$LR$60,MATCH(1,(GMW!$LQ$2:$LQ$60=AC$3)*(GMW!$LP$2:$LP$60=AC$4)*(GMW!$LR$2:$LR$60=AC$1),0),$C154-1966)</f>
        <v>96110</v>
      </c>
      <c r="AD154" s="4" cm="1">
        <f t="array" ref="AD154">INDEX(GMW!$A$2:$LR$60,MATCH(1,(GMW!$LQ$2:$LQ$60=AD$3)*(GMW!$LP$2:$LP$60=AD$4)*(GMW!$LR$2:$LR$60=AD$1),0),$C154-1966)</f>
        <v>130663</v>
      </c>
      <c r="AE154" s="4" cm="1">
        <f t="array" ref="AE154">INDEX(GMW!$A$2:$LR$60,MATCH(1,(GMW!$LQ$2:$LQ$60=AE$3)*(GMW!$LP$2:$LP$60=AE$4)*(GMW!$LR$2:$LR$60=AE$1),0),$C154-1966)</f>
        <v>127350</v>
      </c>
      <c r="AF154" s="4" cm="1">
        <f t="array" ref="AF154">INDEX(GMW!$A$2:$LR$60,MATCH(1,(GMW!$LQ$2:$LQ$60=AF$3)*(GMW!$LP$2:$LP$60=AF$4)*(GMW!$LR$2:$LR$60=AF$1),0),$C154-1966)</f>
        <v>1.43008</v>
      </c>
      <c r="AG154" s="4" cm="1">
        <f t="array" ref="AG154">INDEX(GMW!$A$2:$LR$60,MATCH(1,(GMW!$LQ$2:$LQ$60=AG$3)*(GMW!$LP$2:$LP$60=AG$4)*(GMW!$LR$2:$LR$60=AG$1),0),$C154-1966)</f>
        <v>1E-3</v>
      </c>
    </row>
    <row r="155" spans="1:33" x14ac:dyDescent="0.25">
      <c r="A155" s="4">
        <v>2010</v>
      </c>
      <c r="B155" s="4">
        <f t="shared" si="5"/>
        <v>2010</v>
      </c>
      <c r="C155" s="4">
        <f t="shared" si="4"/>
        <v>2121</v>
      </c>
      <c r="D155" s="4" cm="1">
        <f t="array" ref="D155">INDEX(GMW!$A$2:$LR$60,MATCH(1,(GMW!$LQ$2:$LQ$60=D$3)*(GMW!$LP$2:$LP$60=D$4)*(GMW!$LR$2:$LR$60=D$1),0),$C155-1966)</f>
        <v>464543</v>
      </c>
      <c r="E155" s="4" cm="1">
        <f t="array" ref="E155">INDEX(GMW!$A$2:$LR$60,MATCH(1,(GMW!$LQ$2:$LQ$60=E$3)*(GMW!$LP$2:$LP$60=E$4)*(GMW!$LR$2:$LR$60=E$1),0),$C155-1966)</f>
        <v>464543</v>
      </c>
      <c r="F155" s="4" cm="1">
        <f t="array" ref="F155">INDEX(GMW!$A$2:$LR$60,MATCH(1,(GMW!$LQ$2:$LQ$60=F$3)*(GMW!$LP$2:$LP$60=F$4)*(GMW!$LR$2:$LR$60=F$1),0),$C155-1966)</f>
        <v>464543</v>
      </c>
      <c r="G155" s="4" cm="1">
        <f t="array" ref="G155">INDEX(GMW!$A$2:$LR$60,MATCH(1,(GMW!$LQ$2:$LQ$60=G$3)*(GMW!$LP$2:$LP$60=G$4)*(GMW!$LR$2:$LR$60=G$1),0),$C155-1966)</f>
        <v>464543</v>
      </c>
      <c r="H155" s="4" cm="1">
        <f t="array" ref="H155">INDEX(GMW!$A$2:$LR$60,MATCH(1,(GMW!$LQ$2:$LQ$60=H$3)*(GMW!$LP$2:$LP$60=H$4)*(GMW!$LR$2:$LR$60=H$1),0),$C155-1966)</f>
        <v>464543</v>
      </c>
      <c r="I155" s="4" cm="1">
        <f t="array" ref="I155">INDEX(GMW!$A$2:$LR$60,MATCH(1,(GMW!$LQ$2:$LQ$60=I$3)*(GMW!$LP$2:$LP$60=I$4)*(GMW!$LR$2:$LR$60=I$1),0),$C155-1966)</f>
        <v>464543</v>
      </c>
      <c r="J155" s="4" cm="1">
        <f t="array" ref="J155">INDEX(GMW!$A$2:$LR$60,MATCH(1,(GMW!$LQ$2:$LQ$60=J$3)*(GMW!$LP$2:$LP$60=J$4)*(GMW!$LR$2:$LR$60=J$1),0),$C155-1966)</f>
        <v>464543</v>
      </c>
      <c r="K155" s="4" cm="1">
        <f t="array" ref="K155">INDEX(GMW!$A$2:$LR$60,MATCH(1,(GMW!$LQ$2:$LQ$60=K$3)*(GMW!$LP$2:$LP$60=K$4)*(GMW!$LR$2:$LR$60=K$1),0),$C155-1966)</f>
        <v>464543</v>
      </c>
      <c r="L155" s="4" cm="1">
        <f t="array" ref="L155">INDEX(GMW!$A$2:$LR$60,MATCH(1,(GMW!$LQ$2:$LQ$60=L$3)*(GMW!$LP$2:$LP$60=L$4)*(GMW!$LR$2:$LR$60=L$1),0),$C155-1966)</f>
        <v>464543</v>
      </c>
      <c r="M155" s="4" cm="1">
        <f t="array" ref="M155">INDEX(GMW!$A$2:$LR$60,MATCH(1,(GMW!$LQ$2:$LQ$60=M$3)*(GMW!$LP$2:$LP$60=M$4)*(GMW!$LR$2:$LR$60=M$1),0),$C155-1966)</f>
        <v>464543</v>
      </c>
      <c r="N155" s="4" cm="1">
        <f t="array" ref="N155">INDEX(GMW!$A$2:$LR$60,MATCH(1,(GMW!$LQ$2:$LQ$60=N$3)*(GMW!$LP$2:$LP$60=N$4)*(GMW!$LR$2:$LR$60=N$1),0),$C155-1966)</f>
        <v>464543</v>
      </c>
      <c r="O155" s="4" cm="1">
        <f t="array" ref="O155">INDEX(GMW!$A$2:$LR$60,MATCH(1,(GMW!$LQ$2:$LQ$60=O$3)*(GMW!$LP$2:$LP$60=O$4)*(GMW!$LR$2:$LR$60=O$1),0),$C155-1966)</f>
        <v>464543</v>
      </c>
      <c r="P155" s="4" cm="1">
        <f t="array" ref="P155">INDEX(GMW!$A$2:$LR$60,MATCH(1,(GMW!$LQ$2:$LQ$60=P$3)*(GMW!$LP$2:$LP$60=P$4)*(GMW!$LR$2:$LR$60=P$1),0),$C155-1966)</f>
        <v>464543</v>
      </c>
      <c r="Q155" s="4" cm="1">
        <f t="array" ref="Q155">INDEX(GMW!$A$2:$LR$60,MATCH(1,(GMW!$LQ$2:$LQ$60=Q$3)*(GMW!$LP$2:$LP$60=Q$4)*(GMW!$LR$2:$LR$60=Q$1),0),$C155-1966)</f>
        <v>464543</v>
      </c>
      <c r="R155" s="4" cm="1">
        <f t="array" ref="R155">INDEX(GMW!$A$2:$LR$60,MATCH(1,(GMW!$LQ$2:$LQ$60=R$3)*(GMW!$LP$2:$LP$60=R$4)*(GMW!$LR$2:$LR$60=R$1),0),$C155-1966)</f>
        <v>464543</v>
      </c>
      <c r="S155" s="4" cm="1">
        <f t="array" ref="S155">INDEX(GMW!$A$2:$LR$60,MATCH(1,(GMW!$LQ$2:$LQ$60=S$3)*(GMW!$LP$2:$LP$60=S$4)*(GMW!$LR$2:$LR$60=S$1),0),$C155-1966)</f>
        <v>464543</v>
      </c>
      <c r="T155" s="4" cm="1">
        <f t="array" ref="T155">INDEX(GMW!$A$2:$LR$60,MATCH(1,(GMW!$LQ$2:$LQ$60=T$3)*(GMW!$LP$2:$LP$60=T$4)*(GMW!$LR$2:$LR$60=T$1),0),$C155-1966)</f>
        <v>464543</v>
      </c>
      <c r="U155" s="4" cm="1">
        <f t="array" ref="U155">INDEX(GMW!$A$2:$LR$60,MATCH(1,(GMW!$LQ$2:$LQ$60=U$3)*(GMW!$LP$2:$LP$60=U$4)*(GMW!$LR$2:$LR$60=U$1),0),$C155-1966)</f>
        <v>442</v>
      </c>
      <c r="V155" s="4" cm="1">
        <f t="array" ref="V155">INDEX(GMW!$A$2:$LR$60,MATCH(1,(GMW!$LQ$2:$LQ$60=V$3)*(GMW!$LP$2:$LP$60=V$4)*(GMW!$LR$2:$LR$60=V$1),0),$C155-1966)</f>
        <v>88.233329999999995</v>
      </c>
      <c r="W155" s="4" cm="1">
        <f t="array" ref="W155">INDEX(GMW!$A$2:$LR$60,MATCH(1,(GMW!$LQ$2:$LQ$60=W$3)*(GMW!$LP$2:$LP$60=W$4)*(GMW!$LR$2:$LR$60=W$1),0),$C155-1966)</f>
        <v>85.233329999999995</v>
      </c>
      <c r="X155" s="4" cm="1">
        <f t="array" ref="X155">INDEX(GMW!$A$2:$LR$60,MATCH(1,(GMW!$LQ$2:$LQ$60=X$3)*(GMW!$LP$2:$LP$60=X$4)*(GMW!$LR$2:$LR$60=X$1),0),$C155-1966)</f>
        <v>100.83329999999999</v>
      </c>
      <c r="Y155" s="4" cm="1">
        <f t="array" ref="Y155">INDEX(GMW!$A$2:$LR$60,MATCH(1,(GMW!$LQ$2:$LQ$60=Y$3)*(GMW!$LP$2:$LP$60=Y$4)*(GMW!$LR$2:$LR$60=Y$1),0),$C155-1966)</f>
        <v>78.900000000000006</v>
      </c>
      <c r="Z155" s="4" cm="1">
        <f t="array" ref="Z155">INDEX(GMW!$A$2:$LR$60,MATCH(1,(GMW!$LQ$2:$LQ$60=Z$3)*(GMW!$LP$2:$LP$60=Z$4)*(GMW!$LR$2:$LR$60=Z$1),0),$C155-1966)</f>
        <v>89.066670000000002</v>
      </c>
      <c r="AA155" s="4" cm="1">
        <f t="array" ref="AA155">INDEX(GMW!$A$2:$LR$60,MATCH(1,(GMW!$LQ$2:$LQ$60=AA$3)*(GMW!$LP$2:$LP$60=AA$4)*(GMW!$LR$2:$LR$60=AA$1),0),$C155-1966)</f>
        <v>281913</v>
      </c>
      <c r="AB155" s="4" cm="1">
        <f t="array" ref="AB155">INDEX(GMW!$A$2:$LR$60,MATCH(1,(GMW!$LQ$2:$LQ$60=AB$3)*(GMW!$LP$2:$LP$60=AB$4)*(GMW!$LR$2:$LR$60=AB$1),0),$C155-1966)</f>
        <v>75138</v>
      </c>
      <c r="AC155" s="4" cm="1">
        <f t="array" ref="AC155">INDEX(GMW!$A$2:$LR$60,MATCH(1,(GMW!$LQ$2:$LQ$60=AC$3)*(GMW!$LP$2:$LP$60=AC$4)*(GMW!$LR$2:$LR$60=AC$1),0),$C155-1966)</f>
        <v>94805</v>
      </c>
      <c r="AD155" s="4" cm="1">
        <f t="array" ref="AD155">INDEX(GMW!$A$2:$LR$60,MATCH(1,(GMW!$LQ$2:$LQ$60=AD$3)*(GMW!$LP$2:$LP$60=AD$4)*(GMW!$LR$2:$LR$60=AD$1),0),$C155-1966)</f>
        <v>130582</v>
      </c>
      <c r="AE155" s="4" cm="1">
        <f t="array" ref="AE155">INDEX(GMW!$A$2:$LR$60,MATCH(1,(GMW!$LQ$2:$LQ$60=AE$3)*(GMW!$LP$2:$LP$60=AE$4)*(GMW!$LR$2:$LR$60=AE$1),0),$C155-1966)</f>
        <v>129677</v>
      </c>
      <c r="AF155" s="4" cm="1">
        <f t="array" ref="AF155">INDEX(GMW!$A$2:$LR$60,MATCH(1,(GMW!$LQ$2:$LQ$60=AF$3)*(GMW!$LP$2:$LP$60=AF$4)*(GMW!$LR$2:$LR$60=AF$1),0),$C155-1966)</f>
        <v>1.2319599999999999</v>
      </c>
      <c r="AG155" s="4" cm="1">
        <f t="array" ref="AG155">INDEX(GMW!$A$2:$LR$60,MATCH(1,(GMW!$LQ$2:$LQ$60=AG$3)*(GMW!$LP$2:$LP$60=AG$4)*(GMW!$LR$2:$LR$60=AG$1),0),$C155-1966)</f>
        <v>1E-3</v>
      </c>
    </row>
    <row r="156" spans="1:33" x14ac:dyDescent="0.25">
      <c r="B156" s="4">
        <f t="shared" si="5"/>
        <v>2010</v>
      </c>
      <c r="C156" s="4">
        <f t="shared" si="4"/>
        <v>2122</v>
      </c>
      <c r="D156" s="4" cm="1">
        <f t="array" ref="D156">INDEX(GMW!$A$2:$LR$60,MATCH(1,(GMW!$LQ$2:$LQ$60=D$3)*(GMW!$LP$2:$LP$60=D$4)*(GMW!$LR$2:$LR$60=D$1),0),$C156-1966)</f>
        <v>469606</v>
      </c>
      <c r="E156" s="4" cm="1">
        <f t="array" ref="E156">INDEX(GMW!$A$2:$LR$60,MATCH(1,(GMW!$LQ$2:$LQ$60=E$3)*(GMW!$LP$2:$LP$60=E$4)*(GMW!$LR$2:$LR$60=E$1),0),$C156-1966)</f>
        <v>469606</v>
      </c>
      <c r="F156" s="4" cm="1">
        <f t="array" ref="F156">INDEX(GMW!$A$2:$LR$60,MATCH(1,(GMW!$LQ$2:$LQ$60=F$3)*(GMW!$LP$2:$LP$60=F$4)*(GMW!$LR$2:$LR$60=F$1),0),$C156-1966)</f>
        <v>469606</v>
      </c>
      <c r="G156" s="4" cm="1">
        <f t="array" ref="G156">INDEX(GMW!$A$2:$LR$60,MATCH(1,(GMW!$LQ$2:$LQ$60=G$3)*(GMW!$LP$2:$LP$60=G$4)*(GMW!$LR$2:$LR$60=G$1),0),$C156-1966)</f>
        <v>469606</v>
      </c>
      <c r="H156" s="4" cm="1">
        <f t="array" ref="H156">INDEX(GMW!$A$2:$LR$60,MATCH(1,(GMW!$LQ$2:$LQ$60=H$3)*(GMW!$LP$2:$LP$60=H$4)*(GMW!$LR$2:$LR$60=H$1),0),$C156-1966)</f>
        <v>469606</v>
      </c>
      <c r="I156" s="4" cm="1">
        <f t="array" ref="I156">INDEX(GMW!$A$2:$LR$60,MATCH(1,(GMW!$LQ$2:$LQ$60=I$3)*(GMW!$LP$2:$LP$60=I$4)*(GMW!$LR$2:$LR$60=I$1),0),$C156-1966)</f>
        <v>469606</v>
      </c>
      <c r="J156" s="4" cm="1">
        <f t="array" ref="J156">INDEX(GMW!$A$2:$LR$60,MATCH(1,(GMW!$LQ$2:$LQ$60=J$3)*(GMW!$LP$2:$LP$60=J$4)*(GMW!$LR$2:$LR$60=J$1),0),$C156-1966)</f>
        <v>469606</v>
      </c>
      <c r="K156" s="4" cm="1">
        <f t="array" ref="K156">INDEX(GMW!$A$2:$LR$60,MATCH(1,(GMW!$LQ$2:$LQ$60=K$3)*(GMW!$LP$2:$LP$60=K$4)*(GMW!$LR$2:$LR$60=K$1),0),$C156-1966)</f>
        <v>469606</v>
      </c>
      <c r="L156" s="4" cm="1">
        <f t="array" ref="L156">INDEX(GMW!$A$2:$LR$60,MATCH(1,(GMW!$LQ$2:$LQ$60=L$3)*(GMW!$LP$2:$LP$60=L$4)*(GMW!$LR$2:$LR$60=L$1),0),$C156-1966)</f>
        <v>469606</v>
      </c>
      <c r="M156" s="4" cm="1">
        <f t="array" ref="M156">INDEX(GMW!$A$2:$LR$60,MATCH(1,(GMW!$LQ$2:$LQ$60=M$3)*(GMW!$LP$2:$LP$60=M$4)*(GMW!$LR$2:$LR$60=M$1),0),$C156-1966)</f>
        <v>469606</v>
      </c>
      <c r="N156" s="4" cm="1">
        <f t="array" ref="N156">INDEX(GMW!$A$2:$LR$60,MATCH(1,(GMW!$LQ$2:$LQ$60=N$3)*(GMW!$LP$2:$LP$60=N$4)*(GMW!$LR$2:$LR$60=N$1),0),$C156-1966)</f>
        <v>469606</v>
      </c>
      <c r="O156" s="4" cm="1">
        <f t="array" ref="O156">INDEX(GMW!$A$2:$LR$60,MATCH(1,(GMW!$LQ$2:$LQ$60=O$3)*(GMW!$LP$2:$LP$60=O$4)*(GMW!$LR$2:$LR$60=O$1),0),$C156-1966)</f>
        <v>469606</v>
      </c>
      <c r="P156" s="4" cm="1">
        <f t="array" ref="P156">INDEX(GMW!$A$2:$LR$60,MATCH(1,(GMW!$LQ$2:$LQ$60=P$3)*(GMW!$LP$2:$LP$60=P$4)*(GMW!$LR$2:$LR$60=P$1),0),$C156-1966)</f>
        <v>469606</v>
      </c>
      <c r="Q156" s="4" cm="1">
        <f t="array" ref="Q156">INDEX(GMW!$A$2:$LR$60,MATCH(1,(GMW!$LQ$2:$LQ$60=Q$3)*(GMW!$LP$2:$LP$60=Q$4)*(GMW!$LR$2:$LR$60=Q$1),0),$C156-1966)</f>
        <v>469606</v>
      </c>
      <c r="R156" s="4" cm="1">
        <f t="array" ref="R156">INDEX(GMW!$A$2:$LR$60,MATCH(1,(GMW!$LQ$2:$LQ$60=R$3)*(GMW!$LP$2:$LP$60=R$4)*(GMW!$LR$2:$LR$60=R$1),0),$C156-1966)</f>
        <v>469606</v>
      </c>
      <c r="S156" s="4" cm="1">
        <f t="array" ref="S156">INDEX(GMW!$A$2:$LR$60,MATCH(1,(GMW!$LQ$2:$LQ$60=S$3)*(GMW!$LP$2:$LP$60=S$4)*(GMW!$LR$2:$LR$60=S$1),0),$C156-1966)</f>
        <v>469606</v>
      </c>
      <c r="T156" s="4" cm="1">
        <f t="array" ref="T156">INDEX(GMW!$A$2:$LR$60,MATCH(1,(GMW!$LQ$2:$LQ$60=T$3)*(GMW!$LP$2:$LP$60=T$4)*(GMW!$LR$2:$LR$60=T$1),0),$C156-1966)</f>
        <v>469606</v>
      </c>
      <c r="U156" s="4" cm="1">
        <f t="array" ref="U156">INDEX(GMW!$A$2:$LR$60,MATCH(1,(GMW!$LQ$2:$LQ$60=U$3)*(GMW!$LP$2:$LP$60=U$4)*(GMW!$LR$2:$LR$60=U$1),0),$C156-1966)</f>
        <v>442</v>
      </c>
      <c r="V156" s="4" cm="1">
        <f t="array" ref="V156">INDEX(GMW!$A$2:$LR$60,MATCH(1,(GMW!$LQ$2:$LQ$60=V$3)*(GMW!$LP$2:$LP$60=V$4)*(GMW!$LR$2:$LR$60=V$1),0),$C156-1966)</f>
        <v>89.366669999999999</v>
      </c>
      <c r="W156" s="4" cm="1">
        <f t="array" ref="W156">INDEX(GMW!$A$2:$LR$60,MATCH(1,(GMW!$LQ$2:$LQ$60=W$3)*(GMW!$LP$2:$LP$60=W$4)*(GMW!$LR$2:$LR$60=W$1),0),$C156-1966)</f>
        <v>86.2</v>
      </c>
      <c r="X156" s="4" cm="1">
        <f t="array" ref="X156">INDEX(GMW!$A$2:$LR$60,MATCH(1,(GMW!$LQ$2:$LQ$60=X$3)*(GMW!$LP$2:$LP$60=X$4)*(GMW!$LR$2:$LR$60=X$1),0),$C156-1966)</f>
        <v>107.0667</v>
      </c>
      <c r="Y156" s="4" cm="1">
        <f t="array" ref="Y156">INDEX(GMW!$A$2:$LR$60,MATCH(1,(GMW!$LQ$2:$LQ$60=Y$3)*(GMW!$LP$2:$LP$60=Y$4)*(GMW!$LR$2:$LR$60=Y$1),0),$C156-1966)</f>
        <v>77.3</v>
      </c>
      <c r="Z156" s="4" cm="1">
        <f t="array" ref="Z156">INDEX(GMW!$A$2:$LR$60,MATCH(1,(GMW!$LQ$2:$LQ$60=Z$3)*(GMW!$LP$2:$LP$60=Z$4)*(GMW!$LR$2:$LR$60=Z$1),0),$C156-1966)</f>
        <v>90.2</v>
      </c>
      <c r="AA156" s="4" cm="1">
        <f t="array" ref="AA156">INDEX(GMW!$A$2:$LR$60,MATCH(1,(GMW!$LQ$2:$LQ$60=AA$3)*(GMW!$LP$2:$LP$60=AA$4)*(GMW!$LR$2:$LR$60=AA$1),0),$C156-1966)</f>
        <v>288944</v>
      </c>
      <c r="AB156" s="4" cm="1">
        <f t="array" ref="AB156">INDEX(GMW!$A$2:$LR$60,MATCH(1,(GMW!$LQ$2:$LQ$60=AB$3)*(GMW!$LP$2:$LP$60=AB$4)*(GMW!$LR$2:$LR$60=AB$1),0),$C156-1966)</f>
        <v>74022</v>
      </c>
      <c r="AC156" s="4" cm="1">
        <f t="array" ref="AC156">INDEX(GMW!$A$2:$LR$60,MATCH(1,(GMW!$LQ$2:$LQ$60=AC$3)*(GMW!$LP$2:$LP$60=AC$4)*(GMW!$LR$2:$LR$60=AC$1),0),$C156-1966)</f>
        <v>95123</v>
      </c>
      <c r="AD156" s="4" cm="1">
        <f t="array" ref="AD156">INDEX(GMW!$A$2:$LR$60,MATCH(1,(GMW!$LQ$2:$LQ$60=AD$3)*(GMW!$LP$2:$LP$60=AD$4)*(GMW!$LR$2:$LR$60=AD$1),0),$C156-1966)</f>
        <v>134894</v>
      </c>
      <c r="AE156" s="4" cm="1">
        <f t="array" ref="AE156">INDEX(GMW!$A$2:$LR$60,MATCH(1,(GMW!$LQ$2:$LQ$60=AE$3)*(GMW!$LP$2:$LP$60=AE$4)*(GMW!$LR$2:$LR$60=AE$1),0),$C156-1966)</f>
        <v>133785</v>
      </c>
      <c r="AF156" s="4" cm="1">
        <f t="array" ref="AF156">INDEX(GMW!$A$2:$LR$60,MATCH(1,(GMW!$LQ$2:$LQ$60=AF$3)*(GMW!$LP$2:$LP$60=AF$4)*(GMW!$LR$2:$LR$60=AF$1),0),$C156-1966)</f>
        <v>1.0097</v>
      </c>
      <c r="AG156" s="4" cm="1">
        <f t="array" ref="AG156">INDEX(GMW!$A$2:$LR$60,MATCH(1,(GMW!$LQ$2:$LQ$60=AG$3)*(GMW!$LP$2:$LP$60=AG$4)*(GMW!$LR$2:$LR$60=AG$1),0),$C156-1966)</f>
        <v>1E-3</v>
      </c>
    </row>
    <row r="157" spans="1:33" x14ac:dyDescent="0.25">
      <c r="B157" s="4">
        <f t="shared" si="5"/>
        <v>2010</v>
      </c>
      <c r="C157" s="4">
        <f t="shared" si="4"/>
        <v>2123</v>
      </c>
      <c r="D157" s="4" cm="1">
        <f t="array" ref="D157">INDEX(GMW!$A$2:$LR$60,MATCH(1,(GMW!$LQ$2:$LQ$60=D$3)*(GMW!$LP$2:$LP$60=D$4)*(GMW!$LR$2:$LR$60=D$1),0),$C157-1966)</f>
        <v>472199</v>
      </c>
      <c r="E157" s="4" cm="1">
        <f t="array" ref="E157">INDEX(GMW!$A$2:$LR$60,MATCH(1,(GMW!$LQ$2:$LQ$60=E$3)*(GMW!$LP$2:$LP$60=E$4)*(GMW!$LR$2:$LR$60=E$1),0),$C157-1966)</f>
        <v>472199</v>
      </c>
      <c r="F157" s="4" cm="1">
        <f t="array" ref="F157">INDEX(GMW!$A$2:$LR$60,MATCH(1,(GMW!$LQ$2:$LQ$60=F$3)*(GMW!$LP$2:$LP$60=F$4)*(GMW!$LR$2:$LR$60=F$1),0),$C157-1966)</f>
        <v>472199</v>
      </c>
      <c r="G157" s="4" cm="1">
        <f t="array" ref="G157">INDEX(GMW!$A$2:$LR$60,MATCH(1,(GMW!$LQ$2:$LQ$60=G$3)*(GMW!$LP$2:$LP$60=G$4)*(GMW!$LR$2:$LR$60=G$1),0),$C157-1966)</f>
        <v>472199</v>
      </c>
      <c r="H157" s="4" cm="1">
        <f t="array" ref="H157">INDEX(GMW!$A$2:$LR$60,MATCH(1,(GMW!$LQ$2:$LQ$60=H$3)*(GMW!$LP$2:$LP$60=H$4)*(GMW!$LR$2:$LR$60=H$1),0),$C157-1966)</f>
        <v>472199</v>
      </c>
      <c r="I157" s="4" cm="1">
        <f t="array" ref="I157">INDEX(GMW!$A$2:$LR$60,MATCH(1,(GMW!$LQ$2:$LQ$60=I$3)*(GMW!$LP$2:$LP$60=I$4)*(GMW!$LR$2:$LR$60=I$1),0),$C157-1966)</f>
        <v>472199</v>
      </c>
      <c r="J157" s="4" cm="1">
        <f t="array" ref="J157">INDEX(GMW!$A$2:$LR$60,MATCH(1,(GMW!$LQ$2:$LQ$60=J$3)*(GMW!$LP$2:$LP$60=J$4)*(GMW!$LR$2:$LR$60=J$1),0),$C157-1966)</f>
        <v>472199</v>
      </c>
      <c r="K157" s="4" cm="1">
        <f t="array" ref="K157">INDEX(GMW!$A$2:$LR$60,MATCH(1,(GMW!$LQ$2:$LQ$60=K$3)*(GMW!$LP$2:$LP$60=K$4)*(GMW!$LR$2:$LR$60=K$1),0),$C157-1966)</f>
        <v>472199</v>
      </c>
      <c r="L157" s="4" cm="1">
        <f t="array" ref="L157">INDEX(GMW!$A$2:$LR$60,MATCH(1,(GMW!$LQ$2:$LQ$60=L$3)*(GMW!$LP$2:$LP$60=L$4)*(GMW!$LR$2:$LR$60=L$1),0),$C157-1966)</f>
        <v>472199</v>
      </c>
      <c r="M157" s="4" cm="1">
        <f t="array" ref="M157">INDEX(GMW!$A$2:$LR$60,MATCH(1,(GMW!$LQ$2:$LQ$60=M$3)*(GMW!$LP$2:$LP$60=M$4)*(GMW!$LR$2:$LR$60=M$1),0),$C157-1966)</f>
        <v>472199</v>
      </c>
      <c r="N157" s="4" cm="1">
        <f t="array" ref="N157">INDEX(GMW!$A$2:$LR$60,MATCH(1,(GMW!$LQ$2:$LQ$60=N$3)*(GMW!$LP$2:$LP$60=N$4)*(GMW!$LR$2:$LR$60=N$1),0),$C157-1966)</f>
        <v>472199</v>
      </c>
      <c r="O157" s="4" cm="1">
        <f t="array" ref="O157">INDEX(GMW!$A$2:$LR$60,MATCH(1,(GMW!$LQ$2:$LQ$60=O$3)*(GMW!$LP$2:$LP$60=O$4)*(GMW!$LR$2:$LR$60=O$1),0),$C157-1966)</f>
        <v>472199</v>
      </c>
      <c r="P157" s="4" cm="1">
        <f t="array" ref="P157">INDEX(GMW!$A$2:$LR$60,MATCH(1,(GMW!$LQ$2:$LQ$60=P$3)*(GMW!$LP$2:$LP$60=P$4)*(GMW!$LR$2:$LR$60=P$1),0),$C157-1966)</f>
        <v>472199</v>
      </c>
      <c r="Q157" s="4" cm="1">
        <f t="array" ref="Q157">INDEX(GMW!$A$2:$LR$60,MATCH(1,(GMW!$LQ$2:$LQ$60=Q$3)*(GMW!$LP$2:$LP$60=Q$4)*(GMW!$LR$2:$LR$60=Q$1),0),$C157-1966)</f>
        <v>472199</v>
      </c>
      <c r="R157" s="4" cm="1">
        <f t="array" ref="R157">INDEX(GMW!$A$2:$LR$60,MATCH(1,(GMW!$LQ$2:$LQ$60=R$3)*(GMW!$LP$2:$LP$60=R$4)*(GMW!$LR$2:$LR$60=R$1),0),$C157-1966)</f>
        <v>472199</v>
      </c>
      <c r="S157" s="4" cm="1">
        <f t="array" ref="S157">INDEX(GMW!$A$2:$LR$60,MATCH(1,(GMW!$LQ$2:$LQ$60=S$3)*(GMW!$LP$2:$LP$60=S$4)*(GMW!$LR$2:$LR$60=S$1),0),$C157-1966)</f>
        <v>472199</v>
      </c>
      <c r="T157" s="4" cm="1">
        <f t="array" ref="T157">INDEX(GMW!$A$2:$LR$60,MATCH(1,(GMW!$LQ$2:$LQ$60=T$3)*(GMW!$LP$2:$LP$60=T$4)*(GMW!$LR$2:$LR$60=T$1),0),$C157-1966)</f>
        <v>472199</v>
      </c>
      <c r="U157" s="4" cm="1">
        <f t="array" ref="U157">INDEX(GMW!$A$2:$LR$60,MATCH(1,(GMW!$LQ$2:$LQ$60=U$3)*(GMW!$LP$2:$LP$60=U$4)*(GMW!$LR$2:$LR$60=U$1),0),$C157-1966)</f>
        <v>444.66669999999999</v>
      </c>
      <c r="V157" s="4" cm="1">
        <f t="array" ref="V157">INDEX(GMW!$A$2:$LR$60,MATCH(1,(GMW!$LQ$2:$LQ$60=V$3)*(GMW!$LP$2:$LP$60=V$4)*(GMW!$LR$2:$LR$60=V$1),0),$C157-1966)</f>
        <v>89.633330000000001</v>
      </c>
      <c r="W157" s="4" cm="1">
        <f t="array" ref="W157">INDEX(GMW!$A$2:$LR$60,MATCH(1,(GMW!$LQ$2:$LQ$60=W$3)*(GMW!$LP$2:$LP$60=W$4)*(GMW!$LR$2:$LR$60=W$1),0),$C157-1966)</f>
        <v>86.8</v>
      </c>
      <c r="X157" s="4" cm="1">
        <f t="array" ref="X157">INDEX(GMW!$A$2:$LR$60,MATCH(1,(GMW!$LQ$2:$LQ$60=X$3)*(GMW!$LP$2:$LP$60=X$4)*(GMW!$LR$2:$LR$60=X$1),0),$C157-1966)</f>
        <v>104.13330000000001</v>
      </c>
      <c r="Y157" s="4" cm="1">
        <f t="array" ref="Y157">INDEX(GMW!$A$2:$LR$60,MATCH(1,(GMW!$LQ$2:$LQ$60=Y$3)*(GMW!$LP$2:$LP$60=Y$4)*(GMW!$LR$2:$LR$60=Y$1),0),$C157-1966)</f>
        <v>77.099999999999994</v>
      </c>
      <c r="Z157" s="4" cm="1">
        <f t="array" ref="Z157">INDEX(GMW!$A$2:$LR$60,MATCH(1,(GMW!$LQ$2:$LQ$60=Z$3)*(GMW!$LP$2:$LP$60=Z$4)*(GMW!$LR$2:$LR$60=Z$1),0),$C157-1966)</f>
        <v>90.566670000000002</v>
      </c>
      <c r="AA157" s="4" cm="1">
        <f t="array" ref="AA157">INDEX(GMW!$A$2:$LR$60,MATCH(1,(GMW!$LQ$2:$LQ$60=AA$3)*(GMW!$LP$2:$LP$60=AA$4)*(GMW!$LR$2:$LR$60=AA$1),0),$C157-1966)</f>
        <v>289154</v>
      </c>
      <c r="AB157" s="4" cm="1">
        <f t="array" ref="AB157">INDEX(GMW!$A$2:$LR$60,MATCH(1,(GMW!$LQ$2:$LQ$60=AB$3)*(GMW!$LP$2:$LP$60=AB$4)*(GMW!$LR$2:$LR$60=AB$1),0),$C157-1966)</f>
        <v>76899</v>
      </c>
      <c r="AC157" s="4" cm="1">
        <f t="array" ref="AC157">INDEX(GMW!$A$2:$LR$60,MATCH(1,(GMW!$LQ$2:$LQ$60=AC$3)*(GMW!$LP$2:$LP$60=AC$4)*(GMW!$LR$2:$LR$60=AC$1),0),$C157-1966)</f>
        <v>95137</v>
      </c>
      <c r="AD157" s="4" cm="1">
        <f t="array" ref="AD157">INDEX(GMW!$A$2:$LR$60,MATCH(1,(GMW!$LQ$2:$LQ$60=AD$3)*(GMW!$LP$2:$LP$60=AD$4)*(GMW!$LR$2:$LR$60=AD$1),0),$C157-1966)</f>
        <v>136309</v>
      </c>
      <c r="AE157" s="4" cm="1">
        <f t="array" ref="AE157">INDEX(GMW!$A$2:$LR$60,MATCH(1,(GMW!$LQ$2:$LQ$60=AE$3)*(GMW!$LP$2:$LP$60=AE$4)*(GMW!$LR$2:$LR$60=AE$1),0),$C157-1966)</f>
        <v>138104</v>
      </c>
      <c r="AF157" s="4" cm="1">
        <f t="array" ref="AF157">INDEX(GMW!$A$2:$LR$60,MATCH(1,(GMW!$LQ$2:$LQ$60=AF$3)*(GMW!$LP$2:$LP$60=AF$4)*(GMW!$LR$2:$LR$60=AF$1),0),$C157-1966)</f>
        <v>0.80574999999999997</v>
      </c>
      <c r="AG157" s="4" cm="1">
        <f t="array" ref="AG157">INDEX(GMW!$A$2:$LR$60,MATCH(1,(GMW!$LQ$2:$LQ$60=AG$3)*(GMW!$LP$2:$LP$60=AG$4)*(GMW!$LR$2:$LR$60=AG$1),0),$C157-1966)</f>
        <v>1E-3</v>
      </c>
    </row>
    <row r="158" spans="1:33" x14ac:dyDescent="0.25">
      <c r="B158" s="4">
        <f t="shared" si="5"/>
        <v>2010</v>
      </c>
      <c r="C158" s="4">
        <f t="shared" si="4"/>
        <v>2124</v>
      </c>
      <c r="D158" s="4" cm="1">
        <f t="array" ref="D158">INDEX(GMW!$A$2:$LR$60,MATCH(1,(GMW!$LQ$2:$LQ$60=D$3)*(GMW!$LP$2:$LP$60=D$4)*(GMW!$LR$2:$LR$60=D$1),0),$C158-1966)</f>
        <v>472612</v>
      </c>
      <c r="E158" s="4" cm="1">
        <f t="array" ref="E158">INDEX(GMW!$A$2:$LR$60,MATCH(1,(GMW!$LQ$2:$LQ$60=E$3)*(GMW!$LP$2:$LP$60=E$4)*(GMW!$LR$2:$LR$60=E$1),0),$C158-1966)</f>
        <v>472612</v>
      </c>
      <c r="F158" s="4" cm="1">
        <f t="array" ref="F158">INDEX(GMW!$A$2:$LR$60,MATCH(1,(GMW!$LQ$2:$LQ$60=F$3)*(GMW!$LP$2:$LP$60=F$4)*(GMW!$LR$2:$LR$60=F$1),0),$C158-1966)</f>
        <v>472612</v>
      </c>
      <c r="G158" s="4" cm="1">
        <f t="array" ref="G158">INDEX(GMW!$A$2:$LR$60,MATCH(1,(GMW!$LQ$2:$LQ$60=G$3)*(GMW!$LP$2:$LP$60=G$4)*(GMW!$LR$2:$LR$60=G$1),0),$C158-1966)</f>
        <v>472612</v>
      </c>
      <c r="H158" s="4" cm="1">
        <f t="array" ref="H158">INDEX(GMW!$A$2:$LR$60,MATCH(1,(GMW!$LQ$2:$LQ$60=H$3)*(GMW!$LP$2:$LP$60=H$4)*(GMW!$LR$2:$LR$60=H$1),0),$C158-1966)</f>
        <v>472612</v>
      </c>
      <c r="I158" s="4" cm="1">
        <f t="array" ref="I158">INDEX(GMW!$A$2:$LR$60,MATCH(1,(GMW!$LQ$2:$LQ$60=I$3)*(GMW!$LP$2:$LP$60=I$4)*(GMW!$LR$2:$LR$60=I$1),0),$C158-1966)</f>
        <v>472612</v>
      </c>
      <c r="J158" s="4" cm="1">
        <f t="array" ref="J158">INDEX(GMW!$A$2:$LR$60,MATCH(1,(GMW!$LQ$2:$LQ$60=J$3)*(GMW!$LP$2:$LP$60=J$4)*(GMW!$LR$2:$LR$60=J$1),0),$C158-1966)</f>
        <v>472612</v>
      </c>
      <c r="K158" s="4" cm="1">
        <f t="array" ref="K158">INDEX(GMW!$A$2:$LR$60,MATCH(1,(GMW!$LQ$2:$LQ$60=K$3)*(GMW!$LP$2:$LP$60=K$4)*(GMW!$LR$2:$LR$60=K$1),0),$C158-1966)</f>
        <v>472612</v>
      </c>
      <c r="L158" s="4" cm="1">
        <f t="array" ref="L158">INDEX(GMW!$A$2:$LR$60,MATCH(1,(GMW!$LQ$2:$LQ$60=L$3)*(GMW!$LP$2:$LP$60=L$4)*(GMW!$LR$2:$LR$60=L$1),0),$C158-1966)</f>
        <v>472612</v>
      </c>
      <c r="M158" s="4" cm="1">
        <f t="array" ref="M158">INDEX(GMW!$A$2:$LR$60,MATCH(1,(GMW!$LQ$2:$LQ$60=M$3)*(GMW!$LP$2:$LP$60=M$4)*(GMW!$LR$2:$LR$60=M$1),0),$C158-1966)</f>
        <v>472612</v>
      </c>
      <c r="N158" s="4" cm="1">
        <f t="array" ref="N158">INDEX(GMW!$A$2:$LR$60,MATCH(1,(GMW!$LQ$2:$LQ$60=N$3)*(GMW!$LP$2:$LP$60=N$4)*(GMW!$LR$2:$LR$60=N$1),0),$C158-1966)</f>
        <v>472612</v>
      </c>
      <c r="O158" s="4" cm="1">
        <f t="array" ref="O158">INDEX(GMW!$A$2:$LR$60,MATCH(1,(GMW!$LQ$2:$LQ$60=O$3)*(GMW!$LP$2:$LP$60=O$4)*(GMW!$LR$2:$LR$60=O$1),0),$C158-1966)</f>
        <v>472612</v>
      </c>
      <c r="P158" s="4" cm="1">
        <f t="array" ref="P158">INDEX(GMW!$A$2:$LR$60,MATCH(1,(GMW!$LQ$2:$LQ$60=P$3)*(GMW!$LP$2:$LP$60=P$4)*(GMW!$LR$2:$LR$60=P$1),0),$C158-1966)</f>
        <v>472612</v>
      </c>
      <c r="Q158" s="4" cm="1">
        <f t="array" ref="Q158">INDEX(GMW!$A$2:$LR$60,MATCH(1,(GMW!$LQ$2:$LQ$60=Q$3)*(GMW!$LP$2:$LP$60=Q$4)*(GMW!$LR$2:$LR$60=Q$1),0),$C158-1966)</f>
        <v>472612</v>
      </c>
      <c r="R158" s="4" cm="1">
        <f t="array" ref="R158">INDEX(GMW!$A$2:$LR$60,MATCH(1,(GMW!$LQ$2:$LQ$60=R$3)*(GMW!$LP$2:$LP$60=R$4)*(GMW!$LR$2:$LR$60=R$1),0),$C158-1966)</f>
        <v>472612</v>
      </c>
      <c r="S158" s="4" cm="1">
        <f t="array" ref="S158">INDEX(GMW!$A$2:$LR$60,MATCH(1,(GMW!$LQ$2:$LQ$60=S$3)*(GMW!$LP$2:$LP$60=S$4)*(GMW!$LR$2:$LR$60=S$1),0),$C158-1966)</f>
        <v>472612</v>
      </c>
      <c r="T158" s="4" cm="1">
        <f t="array" ref="T158">INDEX(GMW!$A$2:$LR$60,MATCH(1,(GMW!$LQ$2:$LQ$60=T$3)*(GMW!$LP$2:$LP$60=T$4)*(GMW!$LR$2:$LR$60=T$1),0),$C158-1966)</f>
        <v>472612</v>
      </c>
      <c r="U158" s="4" cm="1">
        <f t="array" ref="U158">INDEX(GMW!$A$2:$LR$60,MATCH(1,(GMW!$LQ$2:$LQ$60=U$3)*(GMW!$LP$2:$LP$60=U$4)*(GMW!$LR$2:$LR$60=U$1),0),$C158-1966)</f>
        <v>448</v>
      </c>
      <c r="V158" s="4" cm="1">
        <f t="array" ref="V158">INDEX(GMW!$A$2:$LR$60,MATCH(1,(GMW!$LQ$2:$LQ$60=V$3)*(GMW!$LP$2:$LP$60=V$4)*(GMW!$LR$2:$LR$60=V$1),0),$C158-1966)</f>
        <v>90.5</v>
      </c>
      <c r="W158" s="4" cm="1">
        <f t="array" ref="W158">INDEX(GMW!$A$2:$LR$60,MATCH(1,(GMW!$LQ$2:$LQ$60=W$3)*(GMW!$LP$2:$LP$60=W$4)*(GMW!$LR$2:$LR$60=W$1),0),$C158-1966)</f>
        <v>88.266670000000005</v>
      </c>
      <c r="X158" s="4" cm="1">
        <f t="array" ref="X158">INDEX(GMW!$A$2:$LR$60,MATCH(1,(GMW!$LQ$2:$LQ$60=X$3)*(GMW!$LP$2:$LP$60=X$4)*(GMW!$LR$2:$LR$60=X$1),0),$C158-1966)</f>
        <v>107.2333</v>
      </c>
      <c r="Y158" s="4" cm="1">
        <f t="array" ref="Y158">INDEX(GMW!$A$2:$LR$60,MATCH(1,(GMW!$LQ$2:$LQ$60=Y$3)*(GMW!$LP$2:$LP$60=Y$4)*(GMW!$LR$2:$LR$60=Y$1),0),$C158-1966)</f>
        <v>78.333340000000007</v>
      </c>
      <c r="Z158" s="4" cm="1">
        <f t="array" ref="Z158">INDEX(GMW!$A$2:$LR$60,MATCH(1,(GMW!$LQ$2:$LQ$60=Z$3)*(GMW!$LP$2:$LP$60=Z$4)*(GMW!$LR$2:$LR$60=Z$1),0),$C158-1966)</f>
        <v>91.233329999999995</v>
      </c>
      <c r="AA158" s="4" cm="1">
        <f t="array" ref="AA158">INDEX(GMW!$A$2:$LR$60,MATCH(1,(GMW!$LQ$2:$LQ$60=AA$3)*(GMW!$LP$2:$LP$60=AA$4)*(GMW!$LR$2:$LR$60=AA$1),0),$C158-1966)</f>
        <v>288797</v>
      </c>
      <c r="AB158" s="4" cm="1">
        <f t="array" ref="AB158">INDEX(GMW!$A$2:$LR$60,MATCH(1,(GMW!$LQ$2:$LQ$60=AB$3)*(GMW!$LP$2:$LP$60=AB$4)*(GMW!$LR$2:$LR$60=AB$1),0),$C158-1966)</f>
        <v>78973</v>
      </c>
      <c r="AC158" s="4" cm="1">
        <f t="array" ref="AC158">INDEX(GMW!$A$2:$LR$60,MATCH(1,(GMW!$LQ$2:$LQ$60=AC$3)*(GMW!$LP$2:$LP$60=AC$4)*(GMW!$LR$2:$LR$60=AC$1),0),$C158-1966)</f>
        <v>95696</v>
      </c>
      <c r="AD158" s="4" cm="1">
        <f t="array" ref="AD158">INDEX(GMW!$A$2:$LR$60,MATCH(1,(GMW!$LQ$2:$LQ$60=AD$3)*(GMW!$LP$2:$LP$60=AD$4)*(GMW!$LR$2:$LR$60=AD$1),0),$C158-1966)</f>
        <v>139076</v>
      </c>
      <c r="AE158" s="4" cm="1">
        <f t="array" ref="AE158">INDEX(GMW!$A$2:$LR$60,MATCH(1,(GMW!$LQ$2:$LQ$60=AE$3)*(GMW!$LP$2:$LP$60=AE$4)*(GMW!$LR$2:$LR$60=AE$1),0),$C158-1966)</f>
        <v>139318</v>
      </c>
      <c r="AF158" s="4" cm="1">
        <f t="array" ref="AF158">INDEX(GMW!$A$2:$LR$60,MATCH(1,(GMW!$LQ$2:$LQ$60=AF$3)*(GMW!$LP$2:$LP$60=AF$4)*(GMW!$LR$2:$LR$60=AF$1),0),$C158-1966)</f>
        <v>0.83750999999999998</v>
      </c>
      <c r="AG158" s="4" cm="1">
        <f t="array" ref="AG158">INDEX(GMW!$A$2:$LR$60,MATCH(1,(GMW!$LQ$2:$LQ$60=AG$3)*(GMW!$LP$2:$LP$60=AG$4)*(GMW!$LR$2:$LR$60=AG$1),0),$C158-1966)</f>
        <v>1E-3</v>
      </c>
    </row>
    <row r="159" spans="1:33" x14ac:dyDescent="0.25">
      <c r="A159" s="4">
        <v>2011</v>
      </c>
      <c r="B159" s="4">
        <f t="shared" si="5"/>
        <v>2011</v>
      </c>
      <c r="C159" s="4">
        <f t="shared" si="4"/>
        <v>2125</v>
      </c>
      <c r="D159" s="4" cm="1">
        <f t="array" ref="D159">INDEX(GMW!$A$2:$LR$60,MATCH(1,(GMW!$LQ$2:$LQ$60=D$3)*(GMW!$LP$2:$LP$60=D$4)*(GMW!$LR$2:$LR$60=D$1),0),$C159-1966)</f>
        <v>473819</v>
      </c>
      <c r="E159" s="4" cm="1">
        <f t="array" ref="E159">INDEX(GMW!$A$2:$LR$60,MATCH(1,(GMW!$LQ$2:$LQ$60=E$3)*(GMW!$LP$2:$LP$60=E$4)*(GMW!$LR$2:$LR$60=E$1),0),$C159-1966)</f>
        <v>473819</v>
      </c>
      <c r="F159" s="4" cm="1">
        <f t="array" ref="F159">INDEX(GMW!$A$2:$LR$60,MATCH(1,(GMW!$LQ$2:$LQ$60=F$3)*(GMW!$LP$2:$LP$60=F$4)*(GMW!$LR$2:$LR$60=F$1),0),$C159-1966)</f>
        <v>473819</v>
      </c>
      <c r="G159" s="4" cm="1">
        <f t="array" ref="G159">INDEX(GMW!$A$2:$LR$60,MATCH(1,(GMW!$LQ$2:$LQ$60=G$3)*(GMW!$LP$2:$LP$60=G$4)*(GMW!$LR$2:$LR$60=G$1),0),$C159-1966)</f>
        <v>473819</v>
      </c>
      <c r="H159" s="4" cm="1">
        <f t="array" ref="H159">INDEX(GMW!$A$2:$LR$60,MATCH(1,(GMW!$LQ$2:$LQ$60=H$3)*(GMW!$LP$2:$LP$60=H$4)*(GMW!$LR$2:$LR$60=H$1),0),$C159-1966)</f>
        <v>473819</v>
      </c>
      <c r="I159" s="4" cm="1">
        <f t="array" ref="I159">INDEX(GMW!$A$2:$LR$60,MATCH(1,(GMW!$LQ$2:$LQ$60=I$3)*(GMW!$LP$2:$LP$60=I$4)*(GMW!$LR$2:$LR$60=I$1),0),$C159-1966)</f>
        <v>473819</v>
      </c>
      <c r="J159" s="4" cm="1">
        <f t="array" ref="J159">INDEX(GMW!$A$2:$LR$60,MATCH(1,(GMW!$LQ$2:$LQ$60=J$3)*(GMW!$LP$2:$LP$60=J$4)*(GMW!$LR$2:$LR$60=J$1),0),$C159-1966)</f>
        <v>473819</v>
      </c>
      <c r="K159" s="4" cm="1">
        <f t="array" ref="K159">INDEX(GMW!$A$2:$LR$60,MATCH(1,(GMW!$LQ$2:$LQ$60=K$3)*(GMW!$LP$2:$LP$60=K$4)*(GMW!$LR$2:$LR$60=K$1),0),$C159-1966)</f>
        <v>473819</v>
      </c>
      <c r="L159" s="4" cm="1">
        <f t="array" ref="L159">INDEX(GMW!$A$2:$LR$60,MATCH(1,(GMW!$LQ$2:$LQ$60=L$3)*(GMW!$LP$2:$LP$60=L$4)*(GMW!$LR$2:$LR$60=L$1),0),$C159-1966)</f>
        <v>473819</v>
      </c>
      <c r="M159" s="4" cm="1">
        <f t="array" ref="M159">INDEX(GMW!$A$2:$LR$60,MATCH(1,(GMW!$LQ$2:$LQ$60=M$3)*(GMW!$LP$2:$LP$60=M$4)*(GMW!$LR$2:$LR$60=M$1),0),$C159-1966)</f>
        <v>473819</v>
      </c>
      <c r="N159" s="4" cm="1">
        <f t="array" ref="N159">INDEX(GMW!$A$2:$LR$60,MATCH(1,(GMW!$LQ$2:$LQ$60=N$3)*(GMW!$LP$2:$LP$60=N$4)*(GMW!$LR$2:$LR$60=N$1),0),$C159-1966)</f>
        <v>473819</v>
      </c>
      <c r="O159" s="4" cm="1">
        <f t="array" ref="O159">INDEX(GMW!$A$2:$LR$60,MATCH(1,(GMW!$LQ$2:$LQ$60=O$3)*(GMW!$LP$2:$LP$60=O$4)*(GMW!$LR$2:$LR$60=O$1),0),$C159-1966)</f>
        <v>473819</v>
      </c>
      <c r="P159" s="4" cm="1">
        <f t="array" ref="P159">INDEX(GMW!$A$2:$LR$60,MATCH(1,(GMW!$LQ$2:$LQ$60=P$3)*(GMW!$LP$2:$LP$60=P$4)*(GMW!$LR$2:$LR$60=P$1),0),$C159-1966)</f>
        <v>473819</v>
      </c>
      <c r="Q159" s="4" cm="1">
        <f t="array" ref="Q159">INDEX(GMW!$A$2:$LR$60,MATCH(1,(GMW!$LQ$2:$LQ$60=Q$3)*(GMW!$LP$2:$LP$60=Q$4)*(GMW!$LR$2:$LR$60=Q$1),0),$C159-1966)</f>
        <v>473819</v>
      </c>
      <c r="R159" s="4" cm="1">
        <f t="array" ref="R159">INDEX(GMW!$A$2:$LR$60,MATCH(1,(GMW!$LQ$2:$LQ$60=R$3)*(GMW!$LP$2:$LP$60=R$4)*(GMW!$LR$2:$LR$60=R$1),0),$C159-1966)</f>
        <v>473819</v>
      </c>
      <c r="S159" s="4" cm="1">
        <f t="array" ref="S159">INDEX(GMW!$A$2:$LR$60,MATCH(1,(GMW!$LQ$2:$LQ$60=S$3)*(GMW!$LP$2:$LP$60=S$4)*(GMW!$LR$2:$LR$60=S$1),0),$C159-1966)</f>
        <v>473819</v>
      </c>
      <c r="T159" s="4" cm="1">
        <f t="array" ref="T159">INDEX(GMW!$A$2:$LR$60,MATCH(1,(GMW!$LQ$2:$LQ$60=T$3)*(GMW!$LP$2:$LP$60=T$4)*(GMW!$LR$2:$LR$60=T$1),0),$C159-1966)</f>
        <v>473819</v>
      </c>
      <c r="U159" s="4" cm="1">
        <f t="array" ref="U159">INDEX(GMW!$A$2:$LR$60,MATCH(1,(GMW!$LQ$2:$LQ$60=U$3)*(GMW!$LP$2:$LP$60=U$4)*(GMW!$LR$2:$LR$60=U$1),0),$C159-1966)</f>
        <v>454.66669999999999</v>
      </c>
      <c r="V159" s="4" cm="1">
        <f t="array" ref="V159">INDEX(GMW!$A$2:$LR$60,MATCH(1,(GMW!$LQ$2:$LQ$60=V$3)*(GMW!$LP$2:$LP$60=V$4)*(GMW!$LR$2:$LR$60=V$1),0),$C159-1966)</f>
        <v>91.833340000000007</v>
      </c>
      <c r="W159" s="4" cm="1">
        <f t="array" ref="W159">INDEX(GMW!$A$2:$LR$60,MATCH(1,(GMW!$LQ$2:$LQ$60=W$3)*(GMW!$LP$2:$LP$60=W$4)*(GMW!$LR$2:$LR$60=W$1),0),$C159-1966)</f>
        <v>90.166659999999993</v>
      </c>
      <c r="X159" s="4" cm="1">
        <f t="array" ref="X159">INDEX(GMW!$A$2:$LR$60,MATCH(1,(GMW!$LQ$2:$LQ$60=X$3)*(GMW!$LP$2:$LP$60=X$4)*(GMW!$LR$2:$LR$60=X$1),0),$C159-1966)</f>
        <v>116.7</v>
      </c>
      <c r="Y159" s="4" cm="1">
        <f t="array" ref="Y159">INDEX(GMW!$A$2:$LR$60,MATCH(1,(GMW!$LQ$2:$LQ$60=Y$3)*(GMW!$LP$2:$LP$60=Y$4)*(GMW!$LR$2:$LR$60=Y$1),0),$C159-1966)</f>
        <v>81.666659999999993</v>
      </c>
      <c r="Z159" s="4" cm="1">
        <f t="array" ref="Z159">INDEX(GMW!$A$2:$LR$60,MATCH(1,(GMW!$LQ$2:$LQ$60=Z$3)*(GMW!$LP$2:$LP$60=Z$4)*(GMW!$LR$2:$LR$60=Z$1),0),$C159-1966)</f>
        <v>91.933329999999998</v>
      </c>
      <c r="AA159" s="4" cm="1">
        <f t="array" ref="AA159">INDEX(GMW!$A$2:$LR$60,MATCH(1,(GMW!$LQ$2:$LQ$60=AA$3)*(GMW!$LP$2:$LP$60=AA$4)*(GMW!$LR$2:$LR$60=AA$1),0),$C159-1966)</f>
        <v>286374</v>
      </c>
      <c r="AB159" s="4" cm="1">
        <f t="array" ref="AB159">INDEX(GMW!$A$2:$LR$60,MATCH(1,(GMW!$LQ$2:$LQ$60=AB$3)*(GMW!$LP$2:$LP$60=AB$4)*(GMW!$LR$2:$LR$60=AB$1),0),$C159-1966)</f>
        <v>75922</v>
      </c>
      <c r="AC159" s="4" cm="1">
        <f t="array" ref="AC159">INDEX(GMW!$A$2:$LR$60,MATCH(1,(GMW!$LQ$2:$LQ$60=AC$3)*(GMW!$LP$2:$LP$60=AC$4)*(GMW!$LR$2:$LR$60=AC$1),0),$C159-1966)</f>
        <v>96262</v>
      </c>
      <c r="AD159" s="4" cm="1">
        <f t="array" ref="AD159">INDEX(GMW!$A$2:$LR$60,MATCH(1,(GMW!$LQ$2:$LQ$60=AD$3)*(GMW!$LP$2:$LP$60=AD$4)*(GMW!$LR$2:$LR$60=AD$1),0),$C159-1966)</f>
        <v>144795</v>
      </c>
      <c r="AE159" s="4" cm="1">
        <f t="array" ref="AE159">INDEX(GMW!$A$2:$LR$60,MATCH(1,(GMW!$LQ$2:$LQ$60=AE$3)*(GMW!$LP$2:$LP$60=AE$4)*(GMW!$LR$2:$LR$60=AE$1),0),$C159-1966)</f>
        <v>136031</v>
      </c>
      <c r="AF159" s="4" cm="1">
        <f t="array" ref="AF159">INDEX(GMW!$A$2:$LR$60,MATCH(1,(GMW!$LQ$2:$LQ$60=AF$3)*(GMW!$LP$2:$LP$60=AF$4)*(GMW!$LR$2:$LR$60=AF$1),0),$C159-1966)</f>
        <v>1.29715</v>
      </c>
      <c r="AG159" s="4" cm="1">
        <f t="array" ref="AG159">INDEX(GMW!$A$2:$LR$60,MATCH(1,(GMW!$LQ$2:$LQ$60=AG$3)*(GMW!$LP$2:$LP$60=AG$4)*(GMW!$LR$2:$LR$60=AG$1),0),$C159-1966)</f>
        <v>1E-3</v>
      </c>
    </row>
    <row r="160" spans="1:33" x14ac:dyDescent="0.25">
      <c r="B160" s="4">
        <f t="shared" si="5"/>
        <v>2011</v>
      </c>
      <c r="C160" s="4">
        <f t="shared" si="4"/>
        <v>2126</v>
      </c>
      <c r="D160" s="4" cm="1">
        <f t="array" ref="D160">INDEX(GMW!$A$2:$LR$60,MATCH(1,(GMW!$LQ$2:$LQ$60=D$3)*(GMW!$LP$2:$LP$60=D$4)*(GMW!$LR$2:$LR$60=D$1),0),$C160-1966)</f>
        <v>474365</v>
      </c>
      <c r="E160" s="4" cm="1">
        <f t="array" ref="E160">INDEX(GMW!$A$2:$LR$60,MATCH(1,(GMW!$LQ$2:$LQ$60=E$3)*(GMW!$LP$2:$LP$60=E$4)*(GMW!$LR$2:$LR$60=E$1),0),$C160-1966)</f>
        <v>474365</v>
      </c>
      <c r="F160" s="4" cm="1">
        <f t="array" ref="F160">INDEX(GMW!$A$2:$LR$60,MATCH(1,(GMW!$LQ$2:$LQ$60=F$3)*(GMW!$LP$2:$LP$60=F$4)*(GMW!$LR$2:$LR$60=F$1),0),$C160-1966)</f>
        <v>474365</v>
      </c>
      <c r="G160" s="4" cm="1">
        <f t="array" ref="G160">INDEX(GMW!$A$2:$LR$60,MATCH(1,(GMW!$LQ$2:$LQ$60=G$3)*(GMW!$LP$2:$LP$60=G$4)*(GMW!$LR$2:$LR$60=G$1),0),$C160-1966)</f>
        <v>474365</v>
      </c>
      <c r="H160" s="4" cm="1">
        <f t="array" ref="H160">INDEX(GMW!$A$2:$LR$60,MATCH(1,(GMW!$LQ$2:$LQ$60=H$3)*(GMW!$LP$2:$LP$60=H$4)*(GMW!$LR$2:$LR$60=H$1),0),$C160-1966)</f>
        <v>474365</v>
      </c>
      <c r="I160" s="4" cm="1">
        <f t="array" ref="I160">INDEX(GMW!$A$2:$LR$60,MATCH(1,(GMW!$LQ$2:$LQ$60=I$3)*(GMW!$LP$2:$LP$60=I$4)*(GMW!$LR$2:$LR$60=I$1),0),$C160-1966)</f>
        <v>474365</v>
      </c>
      <c r="J160" s="4" cm="1">
        <f t="array" ref="J160">INDEX(GMW!$A$2:$LR$60,MATCH(1,(GMW!$LQ$2:$LQ$60=J$3)*(GMW!$LP$2:$LP$60=J$4)*(GMW!$LR$2:$LR$60=J$1),0),$C160-1966)</f>
        <v>474365</v>
      </c>
      <c r="K160" s="4" cm="1">
        <f t="array" ref="K160">INDEX(GMW!$A$2:$LR$60,MATCH(1,(GMW!$LQ$2:$LQ$60=K$3)*(GMW!$LP$2:$LP$60=K$4)*(GMW!$LR$2:$LR$60=K$1),0),$C160-1966)</f>
        <v>474365</v>
      </c>
      <c r="L160" s="4" cm="1">
        <f t="array" ref="L160">INDEX(GMW!$A$2:$LR$60,MATCH(1,(GMW!$LQ$2:$LQ$60=L$3)*(GMW!$LP$2:$LP$60=L$4)*(GMW!$LR$2:$LR$60=L$1),0),$C160-1966)</f>
        <v>474365</v>
      </c>
      <c r="M160" s="4" cm="1">
        <f t="array" ref="M160">INDEX(GMW!$A$2:$LR$60,MATCH(1,(GMW!$LQ$2:$LQ$60=M$3)*(GMW!$LP$2:$LP$60=M$4)*(GMW!$LR$2:$LR$60=M$1),0),$C160-1966)</f>
        <v>474365</v>
      </c>
      <c r="N160" s="4" cm="1">
        <f t="array" ref="N160">INDEX(GMW!$A$2:$LR$60,MATCH(1,(GMW!$LQ$2:$LQ$60=N$3)*(GMW!$LP$2:$LP$60=N$4)*(GMW!$LR$2:$LR$60=N$1),0),$C160-1966)</f>
        <v>474365</v>
      </c>
      <c r="O160" s="4" cm="1">
        <f t="array" ref="O160">INDEX(GMW!$A$2:$LR$60,MATCH(1,(GMW!$LQ$2:$LQ$60=O$3)*(GMW!$LP$2:$LP$60=O$4)*(GMW!$LR$2:$LR$60=O$1),0),$C160-1966)</f>
        <v>474365</v>
      </c>
      <c r="P160" s="4" cm="1">
        <f t="array" ref="P160">INDEX(GMW!$A$2:$LR$60,MATCH(1,(GMW!$LQ$2:$LQ$60=P$3)*(GMW!$LP$2:$LP$60=P$4)*(GMW!$LR$2:$LR$60=P$1),0),$C160-1966)</f>
        <v>474365</v>
      </c>
      <c r="Q160" s="4" cm="1">
        <f t="array" ref="Q160">INDEX(GMW!$A$2:$LR$60,MATCH(1,(GMW!$LQ$2:$LQ$60=Q$3)*(GMW!$LP$2:$LP$60=Q$4)*(GMW!$LR$2:$LR$60=Q$1),0),$C160-1966)</f>
        <v>474365</v>
      </c>
      <c r="R160" s="4" cm="1">
        <f t="array" ref="R160">INDEX(GMW!$A$2:$LR$60,MATCH(1,(GMW!$LQ$2:$LQ$60=R$3)*(GMW!$LP$2:$LP$60=R$4)*(GMW!$LR$2:$LR$60=R$1),0),$C160-1966)</f>
        <v>474365</v>
      </c>
      <c r="S160" s="4" cm="1">
        <f t="array" ref="S160">INDEX(GMW!$A$2:$LR$60,MATCH(1,(GMW!$LQ$2:$LQ$60=S$3)*(GMW!$LP$2:$LP$60=S$4)*(GMW!$LR$2:$LR$60=S$1),0),$C160-1966)</f>
        <v>474365</v>
      </c>
      <c r="T160" s="4" cm="1">
        <f t="array" ref="T160">INDEX(GMW!$A$2:$LR$60,MATCH(1,(GMW!$LQ$2:$LQ$60=T$3)*(GMW!$LP$2:$LP$60=T$4)*(GMW!$LR$2:$LR$60=T$1),0),$C160-1966)</f>
        <v>474365</v>
      </c>
      <c r="U160" s="4" cm="1">
        <f t="array" ref="U160">INDEX(GMW!$A$2:$LR$60,MATCH(1,(GMW!$LQ$2:$LQ$60=U$3)*(GMW!$LP$2:$LP$60=U$4)*(GMW!$LR$2:$LR$60=U$1),0),$C160-1966)</f>
        <v>453.33330000000001</v>
      </c>
      <c r="V160" s="4" cm="1">
        <f t="array" ref="V160">INDEX(GMW!$A$2:$LR$60,MATCH(1,(GMW!$LQ$2:$LQ$60=V$3)*(GMW!$LP$2:$LP$60=V$4)*(GMW!$LR$2:$LR$60=V$1),0),$C160-1966)</f>
        <v>93.3</v>
      </c>
      <c r="W160" s="4" cm="1">
        <f t="array" ref="W160">INDEX(GMW!$A$2:$LR$60,MATCH(1,(GMW!$LQ$2:$LQ$60=W$3)*(GMW!$LP$2:$LP$60=W$4)*(GMW!$LR$2:$LR$60=W$1),0),$C160-1966)</f>
        <v>91.966669999999993</v>
      </c>
      <c r="X160" s="4" cm="1">
        <f t="array" ref="X160">INDEX(GMW!$A$2:$LR$60,MATCH(1,(GMW!$LQ$2:$LQ$60=X$3)*(GMW!$LP$2:$LP$60=X$4)*(GMW!$LR$2:$LR$60=X$1),0),$C160-1966)</f>
        <v>121.86669999999999</v>
      </c>
      <c r="Y160" s="4" cm="1">
        <f t="array" ref="Y160">INDEX(GMW!$A$2:$LR$60,MATCH(1,(GMW!$LQ$2:$LQ$60=Y$3)*(GMW!$LP$2:$LP$60=Y$4)*(GMW!$LR$2:$LR$60=Y$1),0),$C160-1966)</f>
        <v>82.3</v>
      </c>
      <c r="Z160" s="4" cm="1">
        <f t="array" ref="Z160">INDEX(GMW!$A$2:$LR$60,MATCH(1,(GMW!$LQ$2:$LQ$60=Z$3)*(GMW!$LP$2:$LP$60=Z$4)*(GMW!$LR$2:$LR$60=Z$1),0),$C160-1966)</f>
        <v>93.133330000000001</v>
      </c>
      <c r="AA160" s="4" cm="1">
        <f t="array" ref="AA160">INDEX(GMW!$A$2:$LR$60,MATCH(1,(GMW!$LQ$2:$LQ$60=AA$3)*(GMW!$LP$2:$LP$60=AA$4)*(GMW!$LR$2:$LR$60=AA$1),0),$C160-1966)</f>
        <v>285213</v>
      </c>
      <c r="AB160" s="4" cm="1">
        <f t="array" ref="AB160">INDEX(GMW!$A$2:$LR$60,MATCH(1,(GMW!$LQ$2:$LQ$60=AB$3)*(GMW!$LP$2:$LP$60=AB$4)*(GMW!$LR$2:$LR$60=AB$1),0),$C160-1966)</f>
        <v>75107</v>
      </c>
      <c r="AC160" s="4" cm="1">
        <f t="array" ref="AC160">INDEX(GMW!$A$2:$LR$60,MATCH(1,(GMW!$LQ$2:$LQ$60=AC$3)*(GMW!$LP$2:$LP$60=AC$4)*(GMW!$LR$2:$LR$60=AC$1),0),$C160-1966)</f>
        <v>94581</v>
      </c>
      <c r="AD160" s="4" cm="1">
        <f t="array" ref="AD160">INDEX(GMW!$A$2:$LR$60,MATCH(1,(GMW!$LQ$2:$LQ$60=AD$3)*(GMW!$LP$2:$LP$60=AD$4)*(GMW!$LR$2:$LR$60=AD$1),0),$C160-1966)</f>
        <v>142702</v>
      </c>
      <c r="AE160" s="4" cm="1">
        <f t="array" ref="AE160">INDEX(GMW!$A$2:$LR$60,MATCH(1,(GMW!$LQ$2:$LQ$60=AE$3)*(GMW!$LP$2:$LP$60=AE$4)*(GMW!$LR$2:$LR$60=AE$1),0),$C160-1966)</f>
        <v>140090</v>
      </c>
      <c r="AF160" s="4" cm="1">
        <f t="array" ref="AF160">INDEX(GMW!$A$2:$LR$60,MATCH(1,(GMW!$LQ$2:$LQ$60=AF$3)*(GMW!$LP$2:$LP$60=AF$4)*(GMW!$LR$2:$LR$60=AF$1),0),$C160-1966)</f>
        <v>1.04826</v>
      </c>
      <c r="AG160" s="4" cm="1">
        <f t="array" ref="AG160">INDEX(GMW!$A$2:$LR$60,MATCH(1,(GMW!$LQ$2:$LQ$60=AG$3)*(GMW!$LP$2:$LP$60=AG$4)*(GMW!$LR$2:$LR$60=AG$1),0),$C160-1966)</f>
        <v>1E-3</v>
      </c>
    </row>
    <row r="161" spans="1:33" x14ac:dyDescent="0.25">
      <c r="B161" s="4">
        <f t="shared" si="5"/>
        <v>2011</v>
      </c>
      <c r="C161" s="4">
        <f t="shared" si="4"/>
        <v>2127</v>
      </c>
      <c r="D161" s="4" cm="1">
        <f t="array" ref="D161">INDEX(GMW!$A$2:$LR$60,MATCH(1,(GMW!$LQ$2:$LQ$60=D$3)*(GMW!$LP$2:$LP$60=D$4)*(GMW!$LR$2:$LR$60=D$1),0),$C161-1966)</f>
        <v>475813</v>
      </c>
      <c r="E161" s="4" cm="1">
        <f t="array" ref="E161">INDEX(GMW!$A$2:$LR$60,MATCH(1,(GMW!$LQ$2:$LQ$60=E$3)*(GMW!$LP$2:$LP$60=E$4)*(GMW!$LR$2:$LR$60=E$1),0),$C161-1966)</f>
        <v>475813</v>
      </c>
      <c r="F161" s="4" cm="1">
        <f t="array" ref="F161">INDEX(GMW!$A$2:$LR$60,MATCH(1,(GMW!$LQ$2:$LQ$60=F$3)*(GMW!$LP$2:$LP$60=F$4)*(GMW!$LR$2:$LR$60=F$1),0),$C161-1966)</f>
        <v>475813</v>
      </c>
      <c r="G161" s="4" cm="1">
        <f t="array" ref="G161">INDEX(GMW!$A$2:$LR$60,MATCH(1,(GMW!$LQ$2:$LQ$60=G$3)*(GMW!$LP$2:$LP$60=G$4)*(GMW!$LR$2:$LR$60=G$1),0),$C161-1966)</f>
        <v>475813</v>
      </c>
      <c r="H161" s="4" cm="1">
        <f t="array" ref="H161">INDEX(GMW!$A$2:$LR$60,MATCH(1,(GMW!$LQ$2:$LQ$60=H$3)*(GMW!$LP$2:$LP$60=H$4)*(GMW!$LR$2:$LR$60=H$1),0),$C161-1966)</f>
        <v>475813</v>
      </c>
      <c r="I161" s="4" cm="1">
        <f t="array" ref="I161">INDEX(GMW!$A$2:$LR$60,MATCH(1,(GMW!$LQ$2:$LQ$60=I$3)*(GMW!$LP$2:$LP$60=I$4)*(GMW!$LR$2:$LR$60=I$1),0),$C161-1966)</f>
        <v>475813</v>
      </c>
      <c r="J161" s="4" cm="1">
        <f t="array" ref="J161">INDEX(GMW!$A$2:$LR$60,MATCH(1,(GMW!$LQ$2:$LQ$60=J$3)*(GMW!$LP$2:$LP$60=J$4)*(GMW!$LR$2:$LR$60=J$1),0),$C161-1966)</f>
        <v>475813</v>
      </c>
      <c r="K161" s="4" cm="1">
        <f t="array" ref="K161">INDEX(GMW!$A$2:$LR$60,MATCH(1,(GMW!$LQ$2:$LQ$60=K$3)*(GMW!$LP$2:$LP$60=K$4)*(GMW!$LR$2:$LR$60=K$1),0),$C161-1966)</f>
        <v>475813</v>
      </c>
      <c r="L161" s="4" cm="1">
        <f t="array" ref="L161">INDEX(GMW!$A$2:$LR$60,MATCH(1,(GMW!$LQ$2:$LQ$60=L$3)*(GMW!$LP$2:$LP$60=L$4)*(GMW!$LR$2:$LR$60=L$1),0),$C161-1966)</f>
        <v>475813</v>
      </c>
      <c r="M161" s="4" cm="1">
        <f t="array" ref="M161">INDEX(GMW!$A$2:$LR$60,MATCH(1,(GMW!$LQ$2:$LQ$60=M$3)*(GMW!$LP$2:$LP$60=M$4)*(GMW!$LR$2:$LR$60=M$1),0),$C161-1966)</f>
        <v>475813</v>
      </c>
      <c r="N161" s="4" cm="1">
        <f t="array" ref="N161">INDEX(GMW!$A$2:$LR$60,MATCH(1,(GMW!$LQ$2:$LQ$60=N$3)*(GMW!$LP$2:$LP$60=N$4)*(GMW!$LR$2:$LR$60=N$1),0),$C161-1966)</f>
        <v>475813</v>
      </c>
      <c r="O161" s="4" cm="1">
        <f t="array" ref="O161">INDEX(GMW!$A$2:$LR$60,MATCH(1,(GMW!$LQ$2:$LQ$60=O$3)*(GMW!$LP$2:$LP$60=O$4)*(GMW!$LR$2:$LR$60=O$1),0),$C161-1966)</f>
        <v>475813</v>
      </c>
      <c r="P161" s="4" cm="1">
        <f t="array" ref="P161">INDEX(GMW!$A$2:$LR$60,MATCH(1,(GMW!$LQ$2:$LQ$60=P$3)*(GMW!$LP$2:$LP$60=P$4)*(GMW!$LR$2:$LR$60=P$1),0),$C161-1966)</f>
        <v>475813</v>
      </c>
      <c r="Q161" s="4" cm="1">
        <f t="array" ref="Q161">INDEX(GMW!$A$2:$LR$60,MATCH(1,(GMW!$LQ$2:$LQ$60=Q$3)*(GMW!$LP$2:$LP$60=Q$4)*(GMW!$LR$2:$LR$60=Q$1),0),$C161-1966)</f>
        <v>475813</v>
      </c>
      <c r="R161" s="4" cm="1">
        <f t="array" ref="R161">INDEX(GMW!$A$2:$LR$60,MATCH(1,(GMW!$LQ$2:$LQ$60=R$3)*(GMW!$LP$2:$LP$60=R$4)*(GMW!$LR$2:$LR$60=R$1),0),$C161-1966)</f>
        <v>475813</v>
      </c>
      <c r="S161" s="4" cm="1">
        <f t="array" ref="S161">INDEX(GMW!$A$2:$LR$60,MATCH(1,(GMW!$LQ$2:$LQ$60=S$3)*(GMW!$LP$2:$LP$60=S$4)*(GMW!$LR$2:$LR$60=S$1),0),$C161-1966)</f>
        <v>475813</v>
      </c>
      <c r="T161" s="4" cm="1">
        <f t="array" ref="T161">INDEX(GMW!$A$2:$LR$60,MATCH(1,(GMW!$LQ$2:$LQ$60=T$3)*(GMW!$LP$2:$LP$60=T$4)*(GMW!$LR$2:$LR$60=T$1),0),$C161-1966)</f>
        <v>475813</v>
      </c>
      <c r="U161" s="4" cm="1">
        <f t="array" ref="U161">INDEX(GMW!$A$2:$LR$60,MATCH(1,(GMW!$LQ$2:$LQ$60=U$3)*(GMW!$LP$2:$LP$60=U$4)*(GMW!$LR$2:$LR$60=U$1),0),$C161-1966)</f>
        <v>454.66669999999999</v>
      </c>
      <c r="V161" s="4" cm="1">
        <f t="array" ref="V161">INDEX(GMW!$A$2:$LR$60,MATCH(1,(GMW!$LQ$2:$LQ$60=V$3)*(GMW!$LP$2:$LP$60=V$4)*(GMW!$LR$2:$LR$60=V$1),0),$C161-1966)</f>
        <v>93.833340000000007</v>
      </c>
      <c r="W161" s="4" cm="1">
        <f t="array" ref="W161">INDEX(GMW!$A$2:$LR$60,MATCH(1,(GMW!$LQ$2:$LQ$60=W$3)*(GMW!$LP$2:$LP$60=W$4)*(GMW!$LR$2:$LR$60=W$1),0),$C161-1966)</f>
        <v>93.066670000000002</v>
      </c>
      <c r="X161" s="4" cm="1">
        <f t="array" ref="X161">INDEX(GMW!$A$2:$LR$60,MATCH(1,(GMW!$LQ$2:$LQ$60=X$3)*(GMW!$LP$2:$LP$60=X$4)*(GMW!$LR$2:$LR$60=X$1),0),$C161-1966)</f>
        <v>121.4667</v>
      </c>
      <c r="Y161" s="4" cm="1">
        <f t="array" ref="Y161">INDEX(GMW!$A$2:$LR$60,MATCH(1,(GMW!$LQ$2:$LQ$60=Y$3)*(GMW!$LP$2:$LP$60=Y$4)*(GMW!$LR$2:$LR$60=Y$1),0),$C161-1966)</f>
        <v>85.5</v>
      </c>
      <c r="Z161" s="4" cm="1">
        <f t="array" ref="Z161">INDEX(GMW!$A$2:$LR$60,MATCH(1,(GMW!$LQ$2:$LQ$60=Z$3)*(GMW!$LP$2:$LP$60=Z$4)*(GMW!$LR$2:$LR$60=Z$1),0),$C161-1966)</f>
        <v>93.466669999999993</v>
      </c>
      <c r="AA161" s="4" cm="1">
        <f t="array" ref="AA161">INDEX(GMW!$A$2:$LR$60,MATCH(1,(GMW!$LQ$2:$LQ$60=AA$3)*(GMW!$LP$2:$LP$60=AA$4)*(GMW!$LR$2:$LR$60=AA$1),0),$C161-1966)</f>
        <v>286175</v>
      </c>
      <c r="AB161" s="4" cm="1">
        <f t="array" ref="AB161">INDEX(GMW!$A$2:$LR$60,MATCH(1,(GMW!$LQ$2:$LQ$60=AB$3)*(GMW!$LP$2:$LP$60=AB$4)*(GMW!$LR$2:$LR$60=AB$1),0),$C161-1966)</f>
        <v>76824</v>
      </c>
      <c r="AC161" s="4" cm="1">
        <f t="array" ref="AC161">INDEX(GMW!$A$2:$LR$60,MATCH(1,(GMW!$LQ$2:$LQ$60=AC$3)*(GMW!$LP$2:$LP$60=AC$4)*(GMW!$LR$2:$LR$60=AC$1),0),$C161-1966)</f>
        <v>94423</v>
      </c>
      <c r="AD161" s="4" cm="1">
        <f t="array" ref="AD161">INDEX(GMW!$A$2:$LR$60,MATCH(1,(GMW!$LQ$2:$LQ$60=AD$3)*(GMW!$LP$2:$LP$60=AD$4)*(GMW!$LR$2:$LR$60=AD$1),0),$C161-1966)</f>
        <v>144333</v>
      </c>
      <c r="AE161" s="4" cm="1">
        <f t="array" ref="AE161">INDEX(GMW!$A$2:$LR$60,MATCH(1,(GMW!$LQ$2:$LQ$60=AE$3)*(GMW!$LP$2:$LP$60=AE$4)*(GMW!$LR$2:$LR$60=AE$1),0),$C161-1966)</f>
        <v>139837</v>
      </c>
      <c r="AF161" s="4" cm="1">
        <f t="array" ref="AF161">INDEX(GMW!$A$2:$LR$60,MATCH(1,(GMW!$LQ$2:$LQ$60=AF$3)*(GMW!$LP$2:$LP$60=AF$4)*(GMW!$LR$2:$LR$60=AF$1),0),$C161-1966)</f>
        <v>0.57635999999999998</v>
      </c>
      <c r="AG161" s="4" cm="1">
        <f t="array" ref="AG161">INDEX(GMW!$A$2:$LR$60,MATCH(1,(GMW!$LQ$2:$LQ$60=AG$3)*(GMW!$LP$2:$LP$60=AG$4)*(GMW!$LR$2:$LR$60=AG$1),0),$C161-1966)</f>
        <v>1E-3</v>
      </c>
    </row>
    <row r="162" spans="1:33" x14ac:dyDescent="0.25">
      <c r="B162" s="4">
        <f t="shared" si="5"/>
        <v>2011</v>
      </c>
      <c r="C162" s="4">
        <f t="shared" si="4"/>
        <v>2128</v>
      </c>
      <c r="D162" s="4" cm="1">
        <f t="array" ref="D162">INDEX(GMW!$A$2:$LR$60,MATCH(1,(GMW!$LQ$2:$LQ$60=D$3)*(GMW!$LP$2:$LP$60=D$4)*(GMW!$LR$2:$LR$60=D$1),0),$C162-1966)</f>
        <v>476479</v>
      </c>
      <c r="E162" s="4" cm="1">
        <f t="array" ref="E162">INDEX(GMW!$A$2:$LR$60,MATCH(1,(GMW!$LQ$2:$LQ$60=E$3)*(GMW!$LP$2:$LP$60=E$4)*(GMW!$LR$2:$LR$60=E$1),0),$C162-1966)</f>
        <v>476479</v>
      </c>
      <c r="F162" s="4" cm="1">
        <f t="array" ref="F162">INDEX(GMW!$A$2:$LR$60,MATCH(1,(GMW!$LQ$2:$LQ$60=F$3)*(GMW!$LP$2:$LP$60=F$4)*(GMW!$LR$2:$LR$60=F$1),0),$C162-1966)</f>
        <v>476479</v>
      </c>
      <c r="G162" s="4" cm="1">
        <f t="array" ref="G162">INDEX(GMW!$A$2:$LR$60,MATCH(1,(GMW!$LQ$2:$LQ$60=G$3)*(GMW!$LP$2:$LP$60=G$4)*(GMW!$LR$2:$LR$60=G$1),0),$C162-1966)</f>
        <v>476479</v>
      </c>
      <c r="H162" s="4" cm="1">
        <f t="array" ref="H162">INDEX(GMW!$A$2:$LR$60,MATCH(1,(GMW!$LQ$2:$LQ$60=H$3)*(GMW!$LP$2:$LP$60=H$4)*(GMW!$LR$2:$LR$60=H$1),0),$C162-1966)</f>
        <v>476479</v>
      </c>
      <c r="I162" s="4" cm="1">
        <f t="array" ref="I162">INDEX(GMW!$A$2:$LR$60,MATCH(1,(GMW!$LQ$2:$LQ$60=I$3)*(GMW!$LP$2:$LP$60=I$4)*(GMW!$LR$2:$LR$60=I$1),0),$C162-1966)</f>
        <v>476479</v>
      </c>
      <c r="J162" s="4" cm="1">
        <f t="array" ref="J162">INDEX(GMW!$A$2:$LR$60,MATCH(1,(GMW!$LQ$2:$LQ$60=J$3)*(GMW!$LP$2:$LP$60=J$4)*(GMW!$LR$2:$LR$60=J$1),0),$C162-1966)</f>
        <v>476479</v>
      </c>
      <c r="K162" s="4" cm="1">
        <f t="array" ref="K162">INDEX(GMW!$A$2:$LR$60,MATCH(1,(GMW!$LQ$2:$LQ$60=K$3)*(GMW!$LP$2:$LP$60=K$4)*(GMW!$LR$2:$LR$60=K$1),0),$C162-1966)</f>
        <v>476479</v>
      </c>
      <c r="L162" s="4" cm="1">
        <f t="array" ref="L162">INDEX(GMW!$A$2:$LR$60,MATCH(1,(GMW!$LQ$2:$LQ$60=L$3)*(GMW!$LP$2:$LP$60=L$4)*(GMW!$LR$2:$LR$60=L$1),0),$C162-1966)</f>
        <v>476479</v>
      </c>
      <c r="M162" s="4" cm="1">
        <f t="array" ref="M162">INDEX(GMW!$A$2:$LR$60,MATCH(1,(GMW!$LQ$2:$LQ$60=M$3)*(GMW!$LP$2:$LP$60=M$4)*(GMW!$LR$2:$LR$60=M$1),0),$C162-1966)</f>
        <v>476479</v>
      </c>
      <c r="N162" s="4" cm="1">
        <f t="array" ref="N162">INDEX(GMW!$A$2:$LR$60,MATCH(1,(GMW!$LQ$2:$LQ$60=N$3)*(GMW!$LP$2:$LP$60=N$4)*(GMW!$LR$2:$LR$60=N$1),0),$C162-1966)</f>
        <v>476479</v>
      </c>
      <c r="O162" s="4" cm="1">
        <f t="array" ref="O162">INDEX(GMW!$A$2:$LR$60,MATCH(1,(GMW!$LQ$2:$LQ$60=O$3)*(GMW!$LP$2:$LP$60=O$4)*(GMW!$LR$2:$LR$60=O$1),0),$C162-1966)</f>
        <v>476479</v>
      </c>
      <c r="P162" s="4" cm="1">
        <f t="array" ref="P162">INDEX(GMW!$A$2:$LR$60,MATCH(1,(GMW!$LQ$2:$LQ$60=P$3)*(GMW!$LP$2:$LP$60=P$4)*(GMW!$LR$2:$LR$60=P$1),0),$C162-1966)</f>
        <v>476479</v>
      </c>
      <c r="Q162" s="4" cm="1">
        <f t="array" ref="Q162">INDEX(GMW!$A$2:$LR$60,MATCH(1,(GMW!$LQ$2:$LQ$60=Q$3)*(GMW!$LP$2:$LP$60=Q$4)*(GMW!$LR$2:$LR$60=Q$1),0),$C162-1966)</f>
        <v>476479</v>
      </c>
      <c r="R162" s="4" cm="1">
        <f t="array" ref="R162">INDEX(GMW!$A$2:$LR$60,MATCH(1,(GMW!$LQ$2:$LQ$60=R$3)*(GMW!$LP$2:$LP$60=R$4)*(GMW!$LR$2:$LR$60=R$1),0),$C162-1966)</f>
        <v>476479</v>
      </c>
      <c r="S162" s="4" cm="1">
        <f t="array" ref="S162">INDEX(GMW!$A$2:$LR$60,MATCH(1,(GMW!$LQ$2:$LQ$60=S$3)*(GMW!$LP$2:$LP$60=S$4)*(GMW!$LR$2:$LR$60=S$1),0),$C162-1966)</f>
        <v>476479</v>
      </c>
      <c r="T162" s="4" cm="1">
        <f t="array" ref="T162">INDEX(GMW!$A$2:$LR$60,MATCH(1,(GMW!$LQ$2:$LQ$60=T$3)*(GMW!$LP$2:$LP$60=T$4)*(GMW!$LR$2:$LR$60=T$1),0),$C162-1966)</f>
        <v>476479</v>
      </c>
      <c r="U162" s="4" cm="1">
        <f t="array" ref="U162">INDEX(GMW!$A$2:$LR$60,MATCH(1,(GMW!$LQ$2:$LQ$60=U$3)*(GMW!$LP$2:$LP$60=U$4)*(GMW!$LR$2:$LR$60=U$1),0),$C162-1966)</f>
        <v>456.66669999999999</v>
      </c>
      <c r="V162" s="4" cm="1">
        <f t="array" ref="V162">INDEX(GMW!$A$2:$LR$60,MATCH(1,(GMW!$LQ$2:$LQ$60=V$3)*(GMW!$LP$2:$LP$60=V$4)*(GMW!$LR$2:$LR$60=V$1),0),$C162-1966)</f>
        <v>94.733329999999995</v>
      </c>
      <c r="W162" s="4" cm="1">
        <f t="array" ref="W162">INDEX(GMW!$A$2:$LR$60,MATCH(1,(GMW!$LQ$2:$LQ$60=W$3)*(GMW!$LP$2:$LP$60=W$4)*(GMW!$LR$2:$LR$60=W$1),0),$C162-1966)</f>
        <v>93.2</v>
      </c>
      <c r="X162" s="4" cm="1">
        <f t="array" ref="X162">INDEX(GMW!$A$2:$LR$60,MATCH(1,(GMW!$LQ$2:$LQ$60=X$3)*(GMW!$LP$2:$LP$60=X$4)*(GMW!$LR$2:$LR$60=X$1),0),$C162-1966)</f>
        <v>120.7333</v>
      </c>
      <c r="Y162" s="4" cm="1">
        <f t="array" ref="Y162">INDEX(GMW!$A$2:$LR$60,MATCH(1,(GMW!$LQ$2:$LQ$60=Y$3)*(GMW!$LP$2:$LP$60=Y$4)*(GMW!$LR$2:$LR$60=Y$1),0),$C162-1966)</f>
        <v>93.2</v>
      </c>
      <c r="Z162" s="4" cm="1">
        <f t="array" ref="Z162">INDEX(GMW!$A$2:$LR$60,MATCH(1,(GMW!$LQ$2:$LQ$60=Z$3)*(GMW!$LP$2:$LP$60=Z$4)*(GMW!$LR$2:$LR$60=Z$1),0),$C162-1966)</f>
        <v>94.133330000000001</v>
      </c>
      <c r="AA162" s="4" cm="1">
        <f t="array" ref="AA162">INDEX(GMW!$A$2:$LR$60,MATCH(1,(GMW!$LQ$2:$LQ$60=AA$3)*(GMW!$LP$2:$LP$60=AA$4)*(GMW!$LR$2:$LR$60=AA$1),0),$C162-1966)</f>
        <v>286843</v>
      </c>
      <c r="AB162" s="4" cm="1">
        <f t="array" ref="AB162">INDEX(GMW!$A$2:$LR$60,MATCH(1,(GMW!$LQ$2:$LQ$60=AB$3)*(GMW!$LP$2:$LP$60=AB$4)*(GMW!$LR$2:$LR$60=AB$1),0),$C162-1966)</f>
        <v>77501</v>
      </c>
      <c r="AC162" s="4" cm="1">
        <f t="array" ref="AC162">INDEX(GMW!$A$2:$LR$60,MATCH(1,(GMW!$LQ$2:$LQ$60=AC$3)*(GMW!$LP$2:$LP$60=AC$4)*(GMW!$LR$2:$LR$60=AC$1),0),$C162-1966)</f>
        <v>95249</v>
      </c>
      <c r="AD162" s="4" cm="1">
        <f t="array" ref="AD162">INDEX(GMW!$A$2:$LR$60,MATCH(1,(GMW!$LQ$2:$LQ$60=AD$3)*(GMW!$LP$2:$LP$60=AD$4)*(GMW!$LR$2:$LR$60=AD$1),0),$C162-1966)</f>
        <v>146503</v>
      </c>
      <c r="AE162" s="4" cm="1">
        <f t="array" ref="AE162">INDEX(GMW!$A$2:$LR$60,MATCH(1,(GMW!$LQ$2:$LQ$60=AE$3)*(GMW!$LP$2:$LP$60=AE$4)*(GMW!$LR$2:$LR$60=AE$1),0),$C162-1966)</f>
        <v>140765</v>
      </c>
      <c r="AF162" s="4" cm="1">
        <f t="array" ref="AF162">INDEX(GMW!$A$2:$LR$60,MATCH(1,(GMW!$LQ$2:$LQ$60=AF$3)*(GMW!$LP$2:$LP$60=AF$4)*(GMW!$LR$2:$LR$60=AF$1),0),$C162-1966)</f>
        <v>0.52529000000000003</v>
      </c>
      <c r="AG162" s="4" cm="1">
        <f t="array" ref="AG162">INDEX(GMW!$A$2:$LR$60,MATCH(1,(GMW!$LQ$2:$LQ$60=AG$3)*(GMW!$LP$2:$LP$60=AG$4)*(GMW!$LR$2:$LR$60=AG$1),0),$C162-1966)</f>
        <v>1E-3</v>
      </c>
    </row>
    <row r="163" spans="1:33" x14ac:dyDescent="0.25">
      <c r="A163" s="4">
        <v>2012</v>
      </c>
      <c r="B163" s="4">
        <f t="shared" si="5"/>
        <v>2012</v>
      </c>
      <c r="C163" s="4">
        <f t="shared" si="4"/>
        <v>2129</v>
      </c>
      <c r="D163" s="4" cm="1">
        <f t="array" ref="D163">INDEX(GMW!$A$2:$LR$60,MATCH(1,(GMW!$LQ$2:$LQ$60=D$3)*(GMW!$LP$2:$LP$60=D$4)*(GMW!$LR$2:$LR$60=D$1),0),$C163-1966)</f>
        <v>480632</v>
      </c>
      <c r="E163" s="4" cm="1">
        <f t="array" ref="E163">INDEX(GMW!$A$2:$LR$60,MATCH(1,(GMW!$LQ$2:$LQ$60=E$3)*(GMW!$LP$2:$LP$60=E$4)*(GMW!$LR$2:$LR$60=E$1),0),$C163-1966)</f>
        <v>480632</v>
      </c>
      <c r="F163" s="4" cm="1">
        <f t="array" ref="F163">INDEX(GMW!$A$2:$LR$60,MATCH(1,(GMW!$LQ$2:$LQ$60=F$3)*(GMW!$LP$2:$LP$60=F$4)*(GMW!$LR$2:$LR$60=F$1),0),$C163-1966)</f>
        <v>480632</v>
      </c>
      <c r="G163" s="4" cm="1">
        <f t="array" ref="G163">INDEX(GMW!$A$2:$LR$60,MATCH(1,(GMW!$LQ$2:$LQ$60=G$3)*(GMW!$LP$2:$LP$60=G$4)*(GMW!$LR$2:$LR$60=G$1),0),$C163-1966)</f>
        <v>480632</v>
      </c>
      <c r="H163" s="4" cm="1">
        <f t="array" ref="H163">INDEX(GMW!$A$2:$LR$60,MATCH(1,(GMW!$LQ$2:$LQ$60=H$3)*(GMW!$LP$2:$LP$60=H$4)*(GMW!$LR$2:$LR$60=H$1),0),$C163-1966)</f>
        <v>480632</v>
      </c>
      <c r="I163" s="4" cm="1">
        <f t="array" ref="I163">INDEX(GMW!$A$2:$LR$60,MATCH(1,(GMW!$LQ$2:$LQ$60=I$3)*(GMW!$LP$2:$LP$60=I$4)*(GMW!$LR$2:$LR$60=I$1),0),$C163-1966)</f>
        <v>480632</v>
      </c>
      <c r="J163" s="4" cm="1">
        <f t="array" ref="J163">INDEX(GMW!$A$2:$LR$60,MATCH(1,(GMW!$LQ$2:$LQ$60=J$3)*(GMW!$LP$2:$LP$60=J$4)*(GMW!$LR$2:$LR$60=J$1),0),$C163-1966)</f>
        <v>480632</v>
      </c>
      <c r="K163" s="4" cm="1">
        <f t="array" ref="K163">INDEX(GMW!$A$2:$LR$60,MATCH(1,(GMW!$LQ$2:$LQ$60=K$3)*(GMW!$LP$2:$LP$60=K$4)*(GMW!$LR$2:$LR$60=K$1),0),$C163-1966)</f>
        <v>480632</v>
      </c>
      <c r="L163" s="4" cm="1">
        <f t="array" ref="L163">INDEX(GMW!$A$2:$LR$60,MATCH(1,(GMW!$LQ$2:$LQ$60=L$3)*(GMW!$LP$2:$LP$60=L$4)*(GMW!$LR$2:$LR$60=L$1),0),$C163-1966)</f>
        <v>480632</v>
      </c>
      <c r="M163" s="4" cm="1">
        <f t="array" ref="M163">INDEX(GMW!$A$2:$LR$60,MATCH(1,(GMW!$LQ$2:$LQ$60=M$3)*(GMW!$LP$2:$LP$60=M$4)*(GMW!$LR$2:$LR$60=M$1),0),$C163-1966)</f>
        <v>480632</v>
      </c>
      <c r="N163" s="4" cm="1">
        <f t="array" ref="N163">INDEX(GMW!$A$2:$LR$60,MATCH(1,(GMW!$LQ$2:$LQ$60=N$3)*(GMW!$LP$2:$LP$60=N$4)*(GMW!$LR$2:$LR$60=N$1),0),$C163-1966)</f>
        <v>480632</v>
      </c>
      <c r="O163" s="4" cm="1">
        <f t="array" ref="O163">INDEX(GMW!$A$2:$LR$60,MATCH(1,(GMW!$LQ$2:$LQ$60=O$3)*(GMW!$LP$2:$LP$60=O$4)*(GMW!$LR$2:$LR$60=O$1),0),$C163-1966)</f>
        <v>480632</v>
      </c>
      <c r="P163" s="4" cm="1">
        <f t="array" ref="P163">INDEX(GMW!$A$2:$LR$60,MATCH(1,(GMW!$LQ$2:$LQ$60=P$3)*(GMW!$LP$2:$LP$60=P$4)*(GMW!$LR$2:$LR$60=P$1),0),$C163-1966)</f>
        <v>480632</v>
      </c>
      <c r="Q163" s="4" cm="1">
        <f t="array" ref="Q163">INDEX(GMW!$A$2:$LR$60,MATCH(1,(GMW!$LQ$2:$LQ$60=Q$3)*(GMW!$LP$2:$LP$60=Q$4)*(GMW!$LR$2:$LR$60=Q$1),0),$C163-1966)</f>
        <v>480632</v>
      </c>
      <c r="R163" s="4" cm="1">
        <f t="array" ref="R163">INDEX(GMW!$A$2:$LR$60,MATCH(1,(GMW!$LQ$2:$LQ$60=R$3)*(GMW!$LP$2:$LP$60=R$4)*(GMW!$LR$2:$LR$60=R$1),0),$C163-1966)</f>
        <v>480632</v>
      </c>
      <c r="S163" s="4" cm="1">
        <f t="array" ref="S163">INDEX(GMW!$A$2:$LR$60,MATCH(1,(GMW!$LQ$2:$LQ$60=S$3)*(GMW!$LP$2:$LP$60=S$4)*(GMW!$LR$2:$LR$60=S$1),0),$C163-1966)</f>
        <v>480632</v>
      </c>
      <c r="T163" s="4" cm="1">
        <f t="array" ref="T163">INDEX(GMW!$A$2:$LR$60,MATCH(1,(GMW!$LQ$2:$LQ$60=T$3)*(GMW!$LP$2:$LP$60=T$4)*(GMW!$LR$2:$LR$60=T$1),0),$C163-1966)</f>
        <v>480632</v>
      </c>
      <c r="U163" s="4" cm="1">
        <f t="array" ref="U163">INDEX(GMW!$A$2:$LR$60,MATCH(1,(GMW!$LQ$2:$LQ$60=U$3)*(GMW!$LP$2:$LP$60=U$4)*(GMW!$LR$2:$LR$60=U$1),0),$C163-1966)</f>
        <v>457</v>
      </c>
      <c r="V163" s="4" cm="1">
        <f t="array" ref="V163">INDEX(GMW!$A$2:$LR$60,MATCH(1,(GMW!$LQ$2:$LQ$60=V$3)*(GMW!$LP$2:$LP$60=V$4)*(GMW!$LR$2:$LR$60=V$1),0),$C163-1966)</f>
        <v>95.033330000000007</v>
      </c>
      <c r="W163" s="4" cm="1">
        <f t="array" ref="W163">INDEX(GMW!$A$2:$LR$60,MATCH(1,(GMW!$LQ$2:$LQ$60=W$3)*(GMW!$LP$2:$LP$60=W$4)*(GMW!$LR$2:$LR$60=W$1),0),$C163-1966)</f>
        <v>94.566670000000002</v>
      </c>
      <c r="X163" s="4" cm="1">
        <f t="array" ref="X163">INDEX(GMW!$A$2:$LR$60,MATCH(1,(GMW!$LQ$2:$LQ$60=X$3)*(GMW!$LP$2:$LP$60=X$4)*(GMW!$LR$2:$LR$60=X$1),0),$C163-1966)</f>
        <v>122.66670000000001</v>
      </c>
      <c r="Y163" s="4" cm="1">
        <f t="array" ref="Y163">INDEX(GMW!$A$2:$LR$60,MATCH(1,(GMW!$LQ$2:$LQ$60=Y$3)*(GMW!$LP$2:$LP$60=Y$4)*(GMW!$LR$2:$LR$60=Y$1),0),$C163-1966)</f>
        <v>92.833340000000007</v>
      </c>
      <c r="Z163" s="4" cm="1">
        <f t="array" ref="Z163">INDEX(GMW!$A$2:$LR$60,MATCH(1,(GMW!$LQ$2:$LQ$60=Z$3)*(GMW!$LP$2:$LP$60=Z$4)*(GMW!$LR$2:$LR$60=Z$1),0),$C163-1966)</f>
        <v>94.233329999999995</v>
      </c>
      <c r="AA163" s="4" cm="1">
        <f t="array" ref="AA163">INDEX(GMW!$A$2:$LR$60,MATCH(1,(GMW!$LQ$2:$LQ$60=AA$3)*(GMW!$LP$2:$LP$60=AA$4)*(GMW!$LR$2:$LR$60=AA$1),0),$C163-1966)</f>
        <v>286941</v>
      </c>
      <c r="AB163" s="4" cm="1">
        <f t="array" ref="AB163">INDEX(GMW!$A$2:$LR$60,MATCH(1,(GMW!$LQ$2:$LQ$60=AB$3)*(GMW!$LP$2:$LP$60=AB$4)*(GMW!$LR$2:$LR$60=AB$1),0),$C163-1966)</f>
        <v>78655</v>
      </c>
      <c r="AC163" s="4" cm="1">
        <f t="array" ref="AC163">INDEX(GMW!$A$2:$LR$60,MATCH(1,(GMW!$LQ$2:$LQ$60=AC$3)*(GMW!$LP$2:$LP$60=AC$4)*(GMW!$LR$2:$LR$60=AC$1),0),$C163-1966)</f>
        <v>98228</v>
      </c>
      <c r="AD163" s="4" cm="1">
        <f t="array" ref="AD163">INDEX(GMW!$A$2:$LR$60,MATCH(1,(GMW!$LQ$2:$LQ$60=AD$3)*(GMW!$LP$2:$LP$60=AD$4)*(GMW!$LR$2:$LR$60=AD$1),0),$C163-1966)</f>
        <v>150065</v>
      </c>
      <c r="AE163" s="4" cm="1">
        <f t="array" ref="AE163">INDEX(GMW!$A$2:$LR$60,MATCH(1,(GMW!$LQ$2:$LQ$60=AE$3)*(GMW!$LP$2:$LP$60=AE$4)*(GMW!$LR$2:$LR$60=AE$1),0),$C163-1966)</f>
        <v>141866</v>
      </c>
      <c r="AF163" s="4" cm="1">
        <f t="array" ref="AF163">INDEX(GMW!$A$2:$LR$60,MATCH(1,(GMW!$LQ$2:$LQ$60=AF$3)*(GMW!$LP$2:$LP$60=AF$4)*(GMW!$LR$2:$LR$60=AF$1),0),$C163-1966)</f>
        <v>0.51646999999999998</v>
      </c>
      <c r="AG163" s="4" cm="1">
        <f t="array" ref="AG163">INDEX(GMW!$A$2:$LR$60,MATCH(1,(GMW!$LQ$2:$LQ$60=AG$3)*(GMW!$LP$2:$LP$60=AG$4)*(GMW!$LR$2:$LR$60=AG$1),0),$C163-1966)</f>
        <v>1E-3</v>
      </c>
    </row>
    <row r="164" spans="1:33" x14ac:dyDescent="0.25">
      <c r="B164" s="4">
        <f t="shared" si="5"/>
        <v>2012</v>
      </c>
      <c r="C164" s="4">
        <f t="shared" si="4"/>
        <v>2130</v>
      </c>
      <c r="D164" s="4" cm="1">
        <f t="array" ref="D164">INDEX(GMW!$A$2:$LR$60,MATCH(1,(GMW!$LQ$2:$LQ$60=D$3)*(GMW!$LP$2:$LP$60=D$4)*(GMW!$LR$2:$LR$60=D$1),0),$C164-1966)</f>
        <v>479979</v>
      </c>
      <c r="E164" s="4" cm="1">
        <f t="array" ref="E164">INDEX(GMW!$A$2:$LR$60,MATCH(1,(GMW!$LQ$2:$LQ$60=E$3)*(GMW!$LP$2:$LP$60=E$4)*(GMW!$LR$2:$LR$60=E$1),0),$C164-1966)</f>
        <v>479979</v>
      </c>
      <c r="F164" s="4" cm="1">
        <f t="array" ref="F164">INDEX(GMW!$A$2:$LR$60,MATCH(1,(GMW!$LQ$2:$LQ$60=F$3)*(GMW!$LP$2:$LP$60=F$4)*(GMW!$LR$2:$LR$60=F$1),0),$C164-1966)</f>
        <v>479979</v>
      </c>
      <c r="G164" s="4" cm="1">
        <f t="array" ref="G164">INDEX(GMW!$A$2:$LR$60,MATCH(1,(GMW!$LQ$2:$LQ$60=G$3)*(GMW!$LP$2:$LP$60=G$4)*(GMW!$LR$2:$LR$60=G$1),0),$C164-1966)</f>
        <v>479979</v>
      </c>
      <c r="H164" s="4" cm="1">
        <f t="array" ref="H164">INDEX(GMW!$A$2:$LR$60,MATCH(1,(GMW!$LQ$2:$LQ$60=H$3)*(GMW!$LP$2:$LP$60=H$4)*(GMW!$LR$2:$LR$60=H$1),0),$C164-1966)</f>
        <v>479979</v>
      </c>
      <c r="I164" s="4" cm="1">
        <f t="array" ref="I164">INDEX(GMW!$A$2:$LR$60,MATCH(1,(GMW!$LQ$2:$LQ$60=I$3)*(GMW!$LP$2:$LP$60=I$4)*(GMW!$LR$2:$LR$60=I$1),0),$C164-1966)</f>
        <v>479979</v>
      </c>
      <c r="J164" s="4" cm="1">
        <f t="array" ref="J164">INDEX(GMW!$A$2:$LR$60,MATCH(1,(GMW!$LQ$2:$LQ$60=J$3)*(GMW!$LP$2:$LP$60=J$4)*(GMW!$LR$2:$LR$60=J$1),0),$C164-1966)</f>
        <v>479979</v>
      </c>
      <c r="K164" s="4" cm="1">
        <f t="array" ref="K164">INDEX(GMW!$A$2:$LR$60,MATCH(1,(GMW!$LQ$2:$LQ$60=K$3)*(GMW!$LP$2:$LP$60=K$4)*(GMW!$LR$2:$LR$60=K$1),0),$C164-1966)</f>
        <v>479979</v>
      </c>
      <c r="L164" s="4" cm="1">
        <f t="array" ref="L164">INDEX(GMW!$A$2:$LR$60,MATCH(1,(GMW!$LQ$2:$LQ$60=L$3)*(GMW!$LP$2:$LP$60=L$4)*(GMW!$LR$2:$LR$60=L$1),0),$C164-1966)</f>
        <v>479979</v>
      </c>
      <c r="M164" s="4" cm="1">
        <f t="array" ref="M164">INDEX(GMW!$A$2:$LR$60,MATCH(1,(GMW!$LQ$2:$LQ$60=M$3)*(GMW!$LP$2:$LP$60=M$4)*(GMW!$LR$2:$LR$60=M$1),0),$C164-1966)</f>
        <v>479979</v>
      </c>
      <c r="N164" s="4" cm="1">
        <f t="array" ref="N164">INDEX(GMW!$A$2:$LR$60,MATCH(1,(GMW!$LQ$2:$LQ$60=N$3)*(GMW!$LP$2:$LP$60=N$4)*(GMW!$LR$2:$LR$60=N$1),0),$C164-1966)</f>
        <v>479979</v>
      </c>
      <c r="O164" s="4" cm="1">
        <f t="array" ref="O164">INDEX(GMW!$A$2:$LR$60,MATCH(1,(GMW!$LQ$2:$LQ$60=O$3)*(GMW!$LP$2:$LP$60=O$4)*(GMW!$LR$2:$LR$60=O$1),0),$C164-1966)</f>
        <v>479979</v>
      </c>
      <c r="P164" s="4" cm="1">
        <f t="array" ref="P164">INDEX(GMW!$A$2:$LR$60,MATCH(1,(GMW!$LQ$2:$LQ$60=P$3)*(GMW!$LP$2:$LP$60=P$4)*(GMW!$LR$2:$LR$60=P$1),0),$C164-1966)</f>
        <v>479979</v>
      </c>
      <c r="Q164" s="4" cm="1">
        <f t="array" ref="Q164">INDEX(GMW!$A$2:$LR$60,MATCH(1,(GMW!$LQ$2:$LQ$60=Q$3)*(GMW!$LP$2:$LP$60=Q$4)*(GMW!$LR$2:$LR$60=Q$1),0),$C164-1966)</f>
        <v>479979</v>
      </c>
      <c r="R164" s="4" cm="1">
        <f t="array" ref="R164">INDEX(GMW!$A$2:$LR$60,MATCH(1,(GMW!$LQ$2:$LQ$60=R$3)*(GMW!$LP$2:$LP$60=R$4)*(GMW!$LR$2:$LR$60=R$1),0),$C164-1966)</f>
        <v>479979</v>
      </c>
      <c r="S164" s="4" cm="1">
        <f t="array" ref="S164">INDEX(GMW!$A$2:$LR$60,MATCH(1,(GMW!$LQ$2:$LQ$60=S$3)*(GMW!$LP$2:$LP$60=S$4)*(GMW!$LR$2:$LR$60=S$1),0),$C164-1966)</f>
        <v>479979</v>
      </c>
      <c r="T164" s="4" cm="1">
        <f t="array" ref="T164">INDEX(GMW!$A$2:$LR$60,MATCH(1,(GMW!$LQ$2:$LQ$60=T$3)*(GMW!$LP$2:$LP$60=T$4)*(GMW!$LR$2:$LR$60=T$1),0),$C164-1966)</f>
        <v>479979</v>
      </c>
      <c r="U164" s="4" cm="1">
        <f t="array" ref="U164">INDEX(GMW!$A$2:$LR$60,MATCH(1,(GMW!$LQ$2:$LQ$60=U$3)*(GMW!$LP$2:$LP$60=U$4)*(GMW!$LR$2:$LR$60=U$1),0),$C164-1966)</f>
        <v>460.66669999999999</v>
      </c>
      <c r="V164" s="4" cm="1">
        <f t="array" ref="V164">INDEX(GMW!$A$2:$LR$60,MATCH(1,(GMW!$LQ$2:$LQ$60=V$3)*(GMW!$LP$2:$LP$60=V$4)*(GMW!$LR$2:$LR$60=V$1),0),$C164-1966)</f>
        <v>95.8</v>
      </c>
      <c r="W164" s="4" cm="1">
        <f t="array" ref="W164">INDEX(GMW!$A$2:$LR$60,MATCH(1,(GMW!$LQ$2:$LQ$60=W$3)*(GMW!$LP$2:$LP$60=W$4)*(GMW!$LR$2:$LR$60=W$1),0),$C164-1966)</f>
        <v>95.466669999999993</v>
      </c>
      <c r="X164" s="4" cm="1">
        <f t="array" ref="X164">INDEX(GMW!$A$2:$LR$60,MATCH(1,(GMW!$LQ$2:$LQ$60=X$3)*(GMW!$LP$2:$LP$60=X$4)*(GMW!$LR$2:$LR$60=X$1),0),$C164-1966)</f>
        <v>123.7</v>
      </c>
      <c r="Y164" s="4" cm="1">
        <f t="array" ref="Y164">INDEX(GMW!$A$2:$LR$60,MATCH(1,(GMW!$LQ$2:$LQ$60=Y$3)*(GMW!$LP$2:$LP$60=Y$4)*(GMW!$LR$2:$LR$60=Y$1),0),$C164-1966)</f>
        <v>91.466669999999993</v>
      </c>
      <c r="Z164" s="4" cm="1">
        <f t="array" ref="Z164">INDEX(GMW!$A$2:$LR$60,MATCH(1,(GMW!$LQ$2:$LQ$60=Z$3)*(GMW!$LP$2:$LP$60=Z$4)*(GMW!$LR$2:$LR$60=Z$1),0),$C164-1966)</f>
        <v>95.166659999999993</v>
      </c>
      <c r="AA164" s="4" cm="1">
        <f t="array" ref="AA164">INDEX(GMW!$A$2:$LR$60,MATCH(1,(GMW!$LQ$2:$LQ$60=AA$3)*(GMW!$LP$2:$LP$60=AA$4)*(GMW!$LR$2:$LR$60=AA$1),0),$C164-1966)</f>
        <v>289044</v>
      </c>
      <c r="AB164" s="4" cm="1">
        <f t="array" ref="AB164">INDEX(GMW!$A$2:$LR$60,MATCH(1,(GMW!$LQ$2:$LQ$60=AB$3)*(GMW!$LP$2:$LP$60=AB$4)*(GMW!$LR$2:$LR$60=AB$1),0),$C164-1966)</f>
        <v>76645</v>
      </c>
      <c r="AC164" s="4" cm="1">
        <f t="array" ref="AC164">INDEX(GMW!$A$2:$LR$60,MATCH(1,(GMW!$LQ$2:$LQ$60=AC$3)*(GMW!$LP$2:$LP$60=AC$4)*(GMW!$LR$2:$LR$60=AC$1),0),$C164-1966)</f>
        <v>94967</v>
      </c>
      <c r="AD164" s="4" cm="1">
        <f t="array" ref="AD164">INDEX(GMW!$A$2:$LR$60,MATCH(1,(GMW!$LQ$2:$LQ$60=AD$3)*(GMW!$LP$2:$LP$60=AD$4)*(GMW!$LR$2:$LR$60=AD$1),0),$C164-1966)</f>
        <v>143027</v>
      </c>
      <c r="AE164" s="4" cm="1">
        <f t="array" ref="AE164">INDEX(GMW!$A$2:$LR$60,MATCH(1,(GMW!$LQ$2:$LQ$60=AE$3)*(GMW!$LP$2:$LP$60=AE$4)*(GMW!$LR$2:$LR$60=AE$1),0),$C164-1966)</f>
        <v>144538</v>
      </c>
      <c r="AF164" s="4" cm="1">
        <f t="array" ref="AF164">INDEX(GMW!$A$2:$LR$60,MATCH(1,(GMW!$LQ$2:$LQ$60=AF$3)*(GMW!$LP$2:$LP$60=AF$4)*(GMW!$LR$2:$LR$60=AF$1),0),$C164-1966)</f>
        <v>0.47708</v>
      </c>
      <c r="AG164" s="4" cm="1">
        <f t="array" ref="AG164">INDEX(GMW!$A$2:$LR$60,MATCH(1,(GMW!$LQ$2:$LQ$60=AG$3)*(GMW!$LP$2:$LP$60=AG$4)*(GMW!$LR$2:$LR$60=AG$1),0),$C164-1966)</f>
        <v>1E-3</v>
      </c>
    </row>
    <row r="165" spans="1:33" x14ac:dyDescent="0.25">
      <c r="B165" s="4">
        <f t="shared" si="5"/>
        <v>2012</v>
      </c>
      <c r="C165" s="4">
        <f t="shared" si="4"/>
        <v>2131</v>
      </c>
      <c r="D165" s="4" cm="1">
        <f t="array" ref="D165">INDEX(GMW!$A$2:$LR$60,MATCH(1,(GMW!$LQ$2:$LQ$60=D$3)*(GMW!$LP$2:$LP$60=D$4)*(GMW!$LR$2:$LR$60=D$1),0),$C165-1966)</f>
        <v>484579</v>
      </c>
      <c r="E165" s="4" cm="1">
        <f t="array" ref="E165">INDEX(GMW!$A$2:$LR$60,MATCH(1,(GMW!$LQ$2:$LQ$60=E$3)*(GMW!$LP$2:$LP$60=E$4)*(GMW!$LR$2:$LR$60=E$1),0),$C165-1966)</f>
        <v>484579</v>
      </c>
      <c r="F165" s="4" cm="1">
        <f t="array" ref="F165">INDEX(GMW!$A$2:$LR$60,MATCH(1,(GMW!$LQ$2:$LQ$60=F$3)*(GMW!$LP$2:$LP$60=F$4)*(GMW!$LR$2:$LR$60=F$1),0),$C165-1966)</f>
        <v>484579</v>
      </c>
      <c r="G165" s="4" cm="1">
        <f t="array" ref="G165">INDEX(GMW!$A$2:$LR$60,MATCH(1,(GMW!$LQ$2:$LQ$60=G$3)*(GMW!$LP$2:$LP$60=G$4)*(GMW!$LR$2:$LR$60=G$1),0),$C165-1966)</f>
        <v>484579</v>
      </c>
      <c r="H165" s="4" cm="1">
        <f t="array" ref="H165">INDEX(GMW!$A$2:$LR$60,MATCH(1,(GMW!$LQ$2:$LQ$60=H$3)*(GMW!$LP$2:$LP$60=H$4)*(GMW!$LR$2:$LR$60=H$1),0),$C165-1966)</f>
        <v>484579</v>
      </c>
      <c r="I165" s="4" cm="1">
        <f t="array" ref="I165">INDEX(GMW!$A$2:$LR$60,MATCH(1,(GMW!$LQ$2:$LQ$60=I$3)*(GMW!$LP$2:$LP$60=I$4)*(GMW!$LR$2:$LR$60=I$1),0),$C165-1966)</f>
        <v>484579</v>
      </c>
      <c r="J165" s="4" cm="1">
        <f t="array" ref="J165">INDEX(GMW!$A$2:$LR$60,MATCH(1,(GMW!$LQ$2:$LQ$60=J$3)*(GMW!$LP$2:$LP$60=J$4)*(GMW!$LR$2:$LR$60=J$1),0),$C165-1966)</f>
        <v>484579</v>
      </c>
      <c r="K165" s="4" cm="1">
        <f t="array" ref="K165">INDEX(GMW!$A$2:$LR$60,MATCH(1,(GMW!$LQ$2:$LQ$60=K$3)*(GMW!$LP$2:$LP$60=K$4)*(GMW!$LR$2:$LR$60=K$1),0),$C165-1966)</f>
        <v>484579</v>
      </c>
      <c r="L165" s="4" cm="1">
        <f t="array" ref="L165">INDEX(GMW!$A$2:$LR$60,MATCH(1,(GMW!$LQ$2:$LQ$60=L$3)*(GMW!$LP$2:$LP$60=L$4)*(GMW!$LR$2:$LR$60=L$1),0),$C165-1966)</f>
        <v>484579</v>
      </c>
      <c r="M165" s="4" cm="1">
        <f t="array" ref="M165">INDEX(GMW!$A$2:$LR$60,MATCH(1,(GMW!$LQ$2:$LQ$60=M$3)*(GMW!$LP$2:$LP$60=M$4)*(GMW!$LR$2:$LR$60=M$1),0),$C165-1966)</f>
        <v>484579</v>
      </c>
      <c r="N165" s="4" cm="1">
        <f t="array" ref="N165">INDEX(GMW!$A$2:$LR$60,MATCH(1,(GMW!$LQ$2:$LQ$60=N$3)*(GMW!$LP$2:$LP$60=N$4)*(GMW!$LR$2:$LR$60=N$1),0),$C165-1966)</f>
        <v>484579</v>
      </c>
      <c r="O165" s="4" cm="1">
        <f t="array" ref="O165">INDEX(GMW!$A$2:$LR$60,MATCH(1,(GMW!$LQ$2:$LQ$60=O$3)*(GMW!$LP$2:$LP$60=O$4)*(GMW!$LR$2:$LR$60=O$1),0),$C165-1966)</f>
        <v>484579</v>
      </c>
      <c r="P165" s="4" cm="1">
        <f t="array" ref="P165">INDEX(GMW!$A$2:$LR$60,MATCH(1,(GMW!$LQ$2:$LQ$60=P$3)*(GMW!$LP$2:$LP$60=P$4)*(GMW!$LR$2:$LR$60=P$1),0),$C165-1966)</f>
        <v>484579</v>
      </c>
      <c r="Q165" s="4" cm="1">
        <f t="array" ref="Q165">INDEX(GMW!$A$2:$LR$60,MATCH(1,(GMW!$LQ$2:$LQ$60=Q$3)*(GMW!$LP$2:$LP$60=Q$4)*(GMW!$LR$2:$LR$60=Q$1),0),$C165-1966)</f>
        <v>484579</v>
      </c>
      <c r="R165" s="4" cm="1">
        <f t="array" ref="R165">INDEX(GMW!$A$2:$LR$60,MATCH(1,(GMW!$LQ$2:$LQ$60=R$3)*(GMW!$LP$2:$LP$60=R$4)*(GMW!$LR$2:$LR$60=R$1),0),$C165-1966)</f>
        <v>484579</v>
      </c>
      <c r="S165" s="4" cm="1">
        <f t="array" ref="S165">INDEX(GMW!$A$2:$LR$60,MATCH(1,(GMW!$LQ$2:$LQ$60=S$3)*(GMW!$LP$2:$LP$60=S$4)*(GMW!$LR$2:$LR$60=S$1),0),$C165-1966)</f>
        <v>484579</v>
      </c>
      <c r="T165" s="4" cm="1">
        <f t="array" ref="T165">INDEX(GMW!$A$2:$LR$60,MATCH(1,(GMW!$LQ$2:$LQ$60=T$3)*(GMW!$LP$2:$LP$60=T$4)*(GMW!$LR$2:$LR$60=T$1),0),$C165-1966)</f>
        <v>484579</v>
      </c>
      <c r="U165" s="4" cm="1">
        <f t="array" ref="U165">INDEX(GMW!$A$2:$LR$60,MATCH(1,(GMW!$LQ$2:$LQ$60=U$3)*(GMW!$LP$2:$LP$60=U$4)*(GMW!$LR$2:$LR$60=U$1),0),$C165-1966)</f>
        <v>463</v>
      </c>
      <c r="V165" s="4" cm="1">
        <f t="array" ref="V165">INDEX(GMW!$A$2:$LR$60,MATCH(1,(GMW!$LQ$2:$LQ$60=V$3)*(GMW!$LP$2:$LP$60=V$4)*(GMW!$LR$2:$LR$60=V$1),0),$C165-1966)</f>
        <v>96.066670000000002</v>
      </c>
      <c r="W165" s="4" cm="1">
        <f t="array" ref="W165">INDEX(GMW!$A$2:$LR$60,MATCH(1,(GMW!$LQ$2:$LQ$60=W$3)*(GMW!$LP$2:$LP$60=W$4)*(GMW!$LR$2:$LR$60=W$1),0),$C165-1966)</f>
        <v>95.933329999999998</v>
      </c>
      <c r="X165" s="4" cm="1">
        <f t="array" ref="X165">INDEX(GMW!$A$2:$LR$60,MATCH(1,(GMW!$LQ$2:$LQ$60=X$3)*(GMW!$LP$2:$LP$60=X$4)*(GMW!$LR$2:$LR$60=X$1),0),$C165-1966)</f>
        <v>121.7667</v>
      </c>
      <c r="Y165" s="4" cm="1">
        <f t="array" ref="Y165">INDEX(GMW!$A$2:$LR$60,MATCH(1,(GMW!$LQ$2:$LQ$60=Y$3)*(GMW!$LP$2:$LP$60=Y$4)*(GMW!$LR$2:$LR$60=Y$1),0),$C165-1966)</f>
        <v>91.466669999999993</v>
      </c>
      <c r="Z165" s="4" cm="1">
        <f t="array" ref="Z165">INDEX(GMW!$A$2:$LR$60,MATCH(1,(GMW!$LQ$2:$LQ$60=Z$3)*(GMW!$LP$2:$LP$60=Z$4)*(GMW!$LR$2:$LR$60=Z$1),0),$C165-1966)</f>
        <v>95.466669999999993</v>
      </c>
      <c r="AA165" s="4" cm="1">
        <f t="array" ref="AA165">INDEX(GMW!$A$2:$LR$60,MATCH(1,(GMW!$LQ$2:$LQ$60=AA$3)*(GMW!$LP$2:$LP$60=AA$4)*(GMW!$LR$2:$LR$60=AA$1),0),$C165-1966)</f>
        <v>292268</v>
      </c>
      <c r="AB165" s="4" cm="1">
        <f t="array" ref="AB165">INDEX(GMW!$A$2:$LR$60,MATCH(1,(GMW!$LQ$2:$LQ$60=AB$3)*(GMW!$LP$2:$LP$60=AB$4)*(GMW!$LR$2:$LR$60=AB$1),0),$C165-1966)</f>
        <v>75936</v>
      </c>
      <c r="AC165" s="4" cm="1">
        <f t="array" ref="AC165">INDEX(GMW!$A$2:$LR$60,MATCH(1,(GMW!$LQ$2:$LQ$60=AC$3)*(GMW!$LP$2:$LP$60=AC$4)*(GMW!$LR$2:$LR$60=AC$1),0),$C165-1966)</f>
        <v>95861</v>
      </c>
      <c r="AD165" s="4" cm="1">
        <f t="array" ref="AD165">INDEX(GMW!$A$2:$LR$60,MATCH(1,(GMW!$LQ$2:$LQ$60=AD$3)*(GMW!$LP$2:$LP$60=AD$4)*(GMW!$LR$2:$LR$60=AD$1),0),$C165-1966)</f>
        <v>146623</v>
      </c>
      <c r="AE165" s="4" cm="1">
        <f t="array" ref="AE165">INDEX(GMW!$A$2:$LR$60,MATCH(1,(GMW!$LQ$2:$LQ$60=AE$3)*(GMW!$LP$2:$LP$60=AE$4)*(GMW!$LR$2:$LR$60=AE$1),0),$C165-1966)</f>
        <v>143143</v>
      </c>
      <c r="AF165" s="4" cm="1">
        <f t="array" ref="AF165">INDEX(GMW!$A$2:$LR$60,MATCH(1,(GMW!$LQ$2:$LQ$60=AF$3)*(GMW!$LP$2:$LP$60=AF$4)*(GMW!$LR$2:$LR$60=AF$1),0),$C165-1966)</f>
        <v>0.31757999999999997</v>
      </c>
      <c r="AG165" s="4" cm="1">
        <f t="array" ref="AG165">INDEX(GMW!$A$2:$LR$60,MATCH(1,(GMW!$LQ$2:$LQ$60=AG$3)*(GMW!$LP$2:$LP$60=AG$4)*(GMW!$LR$2:$LR$60=AG$1),0),$C165-1966)</f>
        <v>1E-3</v>
      </c>
    </row>
    <row r="166" spans="1:33" x14ac:dyDescent="0.25">
      <c r="B166" s="4">
        <f t="shared" si="5"/>
        <v>2012</v>
      </c>
      <c r="C166" s="4">
        <f t="shared" si="4"/>
        <v>2132</v>
      </c>
      <c r="D166" s="4" cm="1">
        <f t="array" ref="D166">INDEX(GMW!$A$2:$LR$60,MATCH(1,(GMW!$LQ$2:$LQ$60=D$3)*(GMW!$LP$2:$LP$60=D$4)*(GMW!$LR$2:$LR$60=D$1),0),$C166-1966)</f>
        <v>484039</v>
      </c>
      <c r="E166" s="4" cm="1">
        <f t="array" ref="E166">INDEX(GMW!$A$2:$LR$60,MATCH(1,(GMW!$LQ$2:$LQ$60=E$3)*(GMW!$LP$2:$LP$60=E$4)*(GMW!$LR$2:$LR$60=E$1),0),$C166-1966)</f>
        <v>484039</v>
      </c>
      <c r="F166" s="4" cm="1">
        <f t="array" ref="F166">INDEX(GMW!$A$2:$LR$60,MATCH(1,(GMW!$LQ$2:$LQ$60=F$3)*(GMW!$LP$2:$LP$60=F$4)*(GMW!$LR$2:$LR$60=F$1),0),$C166-1966)</f>
        <v>484039</v>
      </c>
      <c r="G166" s="4" cm="1">
        <f t="array" ref="G166">INDEX(GMW!$A$2:$LR$60,MATCH(1,(GMW!$LQ$2:$LQ$60=G$3)*(GMW!$LP$2:$LP$60=G$4)*(GMW!$LR$2:$LR$60=G$1),0),$C166-1966)</f>
        <v>484039</v>
      </c>
      <c r="H166" s="4" cm="1">
        <f t="array" ref="H166">INDEX(GMW!$A$2:$LR$60,MATCH(1,(GMW!$LQ$2:$LQ$60=H$3)*(GMW!$LP$2:$LP$60=H$4)*(GMW!$LR$2:$LR$60=H$1),0),$C166-1966)</f>
        <v>484039</v>
      </c>
      <c r="I166" s="4" cm="1">
        <f t="array" ref="I166">INDEX(GMW!$A$2:$LR$60,MATCH(1,(GMW!$LQ$2:$LQ$60=I$3)*(GMW!$LP$2:$LP$60=I$4)*(GMW!$LR$2:$LR$60=I$1),0),$C166-1966)</f>
        <v>484039</v>
      </c>
      <c r="J166" s="4" cm="1">
        <f t="array" ref="J166">INDEX(GMW!$A$2:$LR$60,MATCH(1,(GMW!$LQ$2:$LQ$60=J$3)*(GMW!$LP$2:$LP$60=J$4)*(GMW!$LR$2:$LR$60=J$1),0),$C166-1966)</f>
        <v>484039</v>
      </c>
      <c r="K166" s="4" cm="1">
        <f t="array" ref="K166">INDEX(GMW!$A$2:$LR$60,MATCH(1,(GMW!$LQ$2:$LQ$60=K$3)*(GMW!$LP$2:$LP$60=K$4)*(GMW!$LR$2:$LR$60=K$1),0),$C166-1966)</f>
        <v>484039</v>
      </c>
      <c r="L166" s="4" cm="1">
        <f t="array" ref="L166">INDEX(GMW!$A$2:$LR$60,MATCH(1,(GMW!$LQ$2:$LQ$60=L$3)*(GMW!$LP$2:$LP$60=L$4)*(GMW!$LR$2:$LR$60=L$1),0),$C166-1966)</f>
        <v>484039</v>
      </c>
      <c r="M166" s="4" cm="1">
        <f t="array" ref="M166">INDEX(GMW!$A$2:$LR$60,MATCH(1,(GMW!$LQ$2:$LQ$60=M$3)*(GMW!$LP$2:$LP$60=M$4)*(GMW!$LR$2:$LR$60=M$1),0),$C166-1966)</f>
        <v>484039</v>
      </c>
      <c r="N166" s="4" cm="1">
        <f t="array" ref="N166">INDEX(GMW!$A$2:$LR$60,MATCH(1,(GMW!$LQ$2:$LQ$60=N$3)*(GMW!$LP$2:$LP$60=N$4)*(GMW!$LR$2:$LR$60=N$1),0),$C166-1966)</f>
        <v>484039</v>
      </c>
      <c r="O166" s="4" cm="1">
        <f t="array" ref="O166">INDEX(GMW!$A$2:$LR$60,MATCH(1,(GMW!$LQ$2:$LQ$60=O$3)*(GMW!$LP$2:$LP$60=O$4)*(GMW!$LR$2:$LR$60=O$1),0),$C166-1966)</f>
        <v>484039</v>
      </c>
      <c r="P166" s="4" cm="1">
        <f t="array" ref="P166">INDEX(GMW!$A$2:$LR$60,MATCH(1,(GMW!$LQ$2:$LQ$60=P$3)*(GMW!$LP$2:$LP$60=P$4)*(GMW!$LR$2:$LR$60=P$1),0),$C166-1966)</f>
        <v>484039</v>
      </c>
      <c r="Q166" s="4" cm="1">
        <f t="array" ref="Q166">INDEX(GMW!$A$2:$LR$60,MATCH(1,(GMW!$LQ$2:$LQ$60=Q$3)*(GMW!$LP$2:$LP$60=Q$4)*(GMW!$LR$2:$LR$60=Q$1),0),$C166-1966)</f>
        <v>484039</v>
      </c>
      <c r="R166" s="4" cm="1">
        <f t="array" ref="R166">INDEX(GMW!$A$2:$LR$60,MATCH(1,(GMW!$LQ$2:$LQ$60=R$3)*(GMW!$LP$2:$LP$60=R$4)*(GMW!$LR$2:$LR$60=R$1),0),$C166-1966)</f>
        <v>484039</v>
      </c>
      <c r="S166" s="4" cm="1">
        <f t="array" ref="S166">INDEX(GMW!$A$2:$LR$60,MATCH(1,(GMW!$LQ$2:$LQ$60=S$3)*(GMW!$LP$2:$LP$60=S$4)*(GMW!$LR$2:$LR$60=S$1),0),$C166-1966)</f>
        <v>484039</v>
      </c>
      <c r="T166" s="4" cm="1">
        <f t="array" ref="T166">INDEX(GMW!$A$2:$LR$60,MATCH(1,(GMW!$LQ$2:$LQ$60=T$3)*(GMW!$LP$2:$LP$60=T$4)*(GMW!$LR$2:$LR$60=T$1),0),$C166-1966)</f>
        <v>484039</v>
      </c>
      <c r="U166" s="4" cm="1">
        <f t="array" ref="U166">INDEX(GMW!$A$2:$LR$60,MATCH(1,(GMW!$LQ$2:$LQ$60=U$3)*(GMW!$LP$2:$LP$60=U$4)*(GMW!$LR$2:$LR$60=U$1),0),$C166-1966)</f>
        <v>462</v>
      </c>
      <c r="V166" s="4" cm="1">
        <f t="array" ref="V166">INDEX(GMW!$A$2:$LR$60,MATCH(1,(GMW!$LQ$2:$LQ$60=V$3)*(GMW!$LP$2:$LP$60=V$4)*(GMW!$LR$2:$LR$60=V$1),0),$C166-1966)</f>
        <v>97.266670000000005</v>
      </c>
      <c r="W166" s="4" cm="1">
        <f t="array" ref="W166">INDEX(GMW!$A$2:$LR$60,MATCH(1,(GMW!$LQ$2:$LQ$60=W$3)*(GMW!$LP$2:$LP$60=W$4)*(GMW!$LR$2:$LR$60=W$1),0),$C166-1966)</f>
        <v>97.233329999999995</v>
      </c>
      <c r="X166" s="4" cm="1">
        <f t="array" ref="X166">INDEX(GMW!$A$2:$LR$60,MATCH(1,(GMW!$LQ$2:$LQ$60=X$3)*(GMW!$LP$2:$LP$60=X$4)*(GMW!$LR$2:$LR$60=X$1),0),$C166-1966)</f>
        <v>122</v>
      </c>
      <c r="Y166" s="4" cm="1">
        <f t="array" ref="Y166">INDEX(GMW!$A$2:$LR$60,MATCH(1,(GMW!$LQ$2:$LQ$60=Y$3)*(GMW!$LP$2:$LP$60=Y$4)*(GMW!$LR$2:$LR$60=Y$1),0),$C166-1966)</f>
        <v>94.166659999999993</v>
      </c>
      <c r="Z166" s="4" cm="1">
        <f t="array" ref="Z166">INDEX(GMW!$A$2:$LR$60,MATCH(1,(GMW!$LQ$2:$LQ$60=Z$3)*(GMW!$LP$2:$LP$60=Z$4)*(GMW!$LR$2:$LR$60=Z$1),0),$C166-1966)</f>
        <v>96.533330000000007</v>
      </c>
      <c r="AA166" s="4" cm="1">
        <f t="array" ref="AA166">INDEX(GMW!$A$2:$LR$60,MATCH(1,(GMW!$LQ$2:$LQ$60=AA$3)*(GMW!$LP$2:$LP$60=AA$4)*(GMW!$LR$2:$LR$60=AA$1),0),$C166-1966)</f>
        <v>296561</v>
      </c>
      <c r="AB166" s="4" cm="1">
        <f t="array" ref="AB166">INDEX(GMW!$A$2:$LR$60,MATCH(1,(GMW!$LQ$2:$LQ$60=AB$3)*(GMW!$LP$2:$LP$60=AB$4)*(GMW!$LR$2:$LR$60=AB$1),0),$C166-1966)</f>
        <v>78986</v>
      </c>
      <c r="AC166" s="4" cm="1">
        <f t="array" ref="AC166">INDEX(GMW!$A$2:$LR$60,MATCH(1,(GMW!$LQ$2:$LQ$60=AC$3)*(GMW!$LP$2:$LP$60=AC$4)*(GMW!$LR$2:$LR$60=AC$1),0),$C166-1966)</f>
        <v>97132</v>
      </c>
      <c r="AD166" s="4" cm="1">
        <f t="array" ref="AD166">INDEX(GMW!$A$2:$LR$60,MATCH(1,(GMW!$LQ$2:$LQ$60=AD$3)*(GMW!$LP$2:$LP$60=AD$4)*(GMW!$LR$2:$LR$60=AD$1),0),$C166-1966)</f>
        <v>143014</v>
      </c>
      <c r="AE166" s="4" cm="1">
        <f t="array" ref="AE166">INDEX(GMW!$A$2:$LR$60,MATCH(1,(GMW!$LQ$2:$LQ$60=AE$3)*(GMW!$LP$2:$LP$60=AE$4)*(GMW!$LR$2:$LR$60=AE$1),0),$C166-1966)</f>
        <v>140838</v>
      </c>
      <c r="AF166" s="4" cm="1">
        <f t="array" ref="AF166">INDEX(GMW!$A$2:$LR$60,MATCH(1,(GMW!$LQ$2:$LQ$60=AF$3)*(GMW!$LP$2:$LP$60=AF$4)*(GMW!$LR$2:$LR$60=AF$1),0),$C166-1966)</f>
        <v>0.36157</v>
      </c>
      <c r="AG166" s="4" cm="1">
        <f t="array" ref="AG166">INDEX(GMW!$A$2:$LR$60,MATCH(1,(GMW!$LQ$2:$LQ$60=AG$3)*(GMW!$LP$2:$LP$60=AG$4)*(GMW!$LR$2:$LR$60=AG$1),0),$C166-1966)</f>
        <v>1E-3</v>
      </c>
    </row>
    <row r="167" spans="1:33" x14ac:dyDescent="0.25">
      <c r="A167" s="4">
        <v>2013</v>
      </c>
      <c r="B167" s="4">
        <f t="shared" si="5"/>
        <v>2013</v>
      </c>
      <c r="C167" s="4">
        <f t="shared" si="4"/>
        <v>2133</v>
      </c>
      <c r="D167" s="4" cm="1">
        <f t="array" ref="D167">INDEX(GMW!$A$2:$LR$60,MATCH(1,(GMW!$LQ$2:$LQ$60=D$3)*(GMW!$LP$2:$LP$60=D$4)*(GMW!$LR$2:$LR$60=D$1),0),$C167-1966)</f>
        <v>485409</v>
      </c>
      <c r="E167" s="4" cm="1">
        <f t="array" ref="E167">INDEX(GMW!$A$2:$LR$60,MATCH(1,(GMW!$LQ$2:$LQ$60=E$3)*(GMW!$LP$2:$LP$60=E$4)*(GMW!$LR$2:$LR$60=E$1),0),$C167-1966)</f>
        <v>485409</v>
      </c>
      <c r="F167" s="4" cm="1">
        <f t="array" ref="F167">INDEX(GMW!$A$2:$LR$60,MATCH(1,(GMW!$LQ$2:$LQ$60=F$3)*(GMW!$LP$2:$LP$60=F$4)*(GMW!$LR$2:$LR$60=F$1),0),$C167-1966)</f>
        <v>485409</v>
      </c>
      <c r="G167" s="4" cm="1">
        <f t="array" ref="G167">INDEX(GMW!$A$2:$LR$60,MATCH(1,(GMW!$LQ$2:$LQ$60=G$3)*(GMW!$LP$2:$LP$60=G$4)*(GMW!$LR$2:$LR$60=G$1),0),$C167-1966)</f>
        <v>485409</v>
      </c>
      <c r="H167" s="4" cm="1">
        <f t="array" ref="H167">INDEX(GMW!$A$2:$LR$60,MATCH(1,(GMW!$LQ$2:$LQ$60=H$3)*(GMW!$LP$2:$LP$60=H$4)*(GMW!$LR$2:$LR$60=H$1),0),$C167-1966)</f>
        <v>485409</v>
      </c>
      <c r="I167" s="4" cm="1">
        <f t="array" ref="I167">INDEX(GMW!$A$2:$LR$60,MATCH(1,(GMW!$LQ$2:$LQ$60=I$3)*(GMW!$LP$2:$LP$60=I$4)*(GMW!$LR$2:$LR$60=I$1),0),$C167-1966)</f>
        <v>485409</v>
      </c>
      <c r="J167" s="4" cm="1">
        <f t="array" ref="J167">INDEX(GMW!$A$2:$LR$60,MATCH(1,(GMW!$LQ$2:$LQ$60=J$3)*(GMW!$LP$2:$LP$60=J$4)*(GMW!$LR$2:$LR$60=J$1),0),$C167-1966)</f>
        <v>485409</v>
      </c>
      <c r="K167" s="4" cm="1">
        <f t="array" ref="K167">INDEX(GMW!$A$2:$LR$60,MATCH(1,(GMW!$LQ$2:$LQ$60=K$3)*(GMW!$LP$2:$LP$60=K$4)*(GMW!$LR$2:$LR$60=K$1),0),$C167-1966)</f>
        <v>485409</v>
      </c>
      <c r="L167" s="4" cm="1">
        <f t="array" ref="L167">INDEX(GMW!$A$2:$LR$60,MATCH(1,(GMW!$LQ$2:$LQ$60=L$3)*(GMW!$LP$2:$LP$60=L$4)*(GMW!$LR$2:$LR$60=L$1),0),$C167-1966)</f>
        <v>485409</v>
      </c>
      <c r="M167" s="4" cm="1">
        <f t="array" ref="M167">INDEX(GMW!$A$2:$LR$60,MATCH(1,(GMW!$LQ$2:$LQ$60=M$3)*(GMW!$LP$2:$LP$60=M$4)*(GMW!$LR$2:$LR$60=M$1),0),$C167-1966)</f>
        <v>485409</v>
      </c>
      <c r="N167" s="4" cm="1">
        <f t="array" ref="N167">INDEX(GMW!$A$2:$LR$60,MATCH(1,(GMW!$LQ$2:$LQ$60=N$3)*(GMW!$LP$2:$LP$60=N$4)*(GMW!$LR$2:$LR$60=N$1),0),$C167-1966)</f>
        <v>485409</v>
      </c>
      <c r="O167" s="4" cm="1">
        <f t="array" ref="O167">INDEX(GMW!$A$2:$LR$60,MATCH(1,(GMW!$LQ$2:$LQ$60=O$3)*(GMW!$LP$2:$LP$60=O$4)*(GMW!$LR$2:$LR$60=O$1),0),$C167-1966)</f>
        <v>485409</v>
      </c>
      <c r="P167" s="4" cm="1">
        <f t="array" ref="P167">INDEX(GMW!$A$2:$LR$60,MATCH(1,(GMW!$LQ$2:$LQ$60=P$3)*(GMW!$LP$2:$LP$60=P$4)*(GMW!$LR$2:$LR$60=P$1),0),$C167-1966)</f>
        <v>485409</v>
      </c>
      <c r="Q167" s="4" cm="1">
        <f t="array" ref="Q167">INDEX(GMW!$A$2:$LR$60,MATCH(1,(GMW!$LQ$2:$LQ$60=Q$3)*(GMW!$LP$2:$LP$60=Q$4)*(GMW!$LR$2:$LR$60=Q$1),0),$C167-1966)</f>
        <v>485409</v>
      </c>
      <c r="R167" s="4" cm="1">
        <f t="array" ref="R167">INDEX(GMW!$A$2:$LR$60,MATCH(1,(GMW!$LQ$2:$LQ$60=R$3)*(GMW!$LP$2:$LP$60=R$4)*(GMW!$LR$2:$LR$60=R$1),0),$C167-1966)</f>
        <v>485409</v>
      </c>
      <c r="S167" s="4" cm="1">
        <f t="array" ref="S167">INDEX(GMW!$A$2:$LR$60,MATCH(1,(GMW!$LQ$2:$LQ$60=S$3)*(GMW!$LP$2:$LP$60=S$4)*(GMW!$LR$2:$LR$60=S$1),0),$C167-1966)</f>
        <v>485409</v>
      </c>
      <c r="T167" s="4" cm="1">
        <f t="array" ref="T167">INDEX(GMW!$A$2:$LR$60,MATCH(1,(GMW!$LQ$2:$LQ$60=T$3)*(GMW!$LP$2:$LP$60=T$4)*(GMW!$LR$2:$LR$60=T$1),0),$C167-1966)</f>
        <v>485409</v>
      </c>
      <c r="U167" s="4" cm="1">
        <f t="array" ref="U167">INDEX(GMW!$A$2:$LR$60,MATCH(1,(GMW!$LQ$2:$LQ$60=U$3)*(GMW!$LP$2:$LP$60=U$4)*(GMW!$LR$2:$LR$60=U$1),0),$C167-1966)</f>
        <v>459.33330000000001</v>
      </c>
      <c r="V167" s="4" cm="1">
        <f t="array" ref="V167">INDEX(GMW!$A$2:$LR$60,MATCH(1,(GMW!$LQ$2:$LQ$60=V$3)*(GMW!$LP$2:$LP$60=V$4)*(GMW!$LR$2:$LR$60=V$1),0),$C167-1966)</f>
        <v>97.666659999999993</v>
      </c>
      <c r="W167" s="4" cm="1">
        <f t="array" ref="W167">INDEX(GMW!$A$2:$LR$60,MATCH(1,(GMW!$LQ$2:$LQ$60=W$3)*(GMW!$LP$2:$LP$60=W$4)*(GMW!$LR$2:$LR$60=W$1),0),$C167-1966)</f>
        <v>99.166659999999993</v>
      </c>
      <c r="X167" s="4" cm="1">
        <f t="array" ref="X167">INDEX(GMW!$A$2:$LR$60,MATCH(1,(GMW!$LQ$2:$LQ$60=X$3)*(GMW!$LP$2:$LP$60=X$4)*(GMW!$LR$2:$LR$60=X$1),0),$C167-1966)</f>
        <v>122.7</v>
      </c>
      <c r="Y167" s="4" cm="1">
        <f t="array" ref="Y167">INDEX(GMW!$A$2:$LR$60,MATCH(1,(GMW!$LQ$2:$LQ$60=Y$3)*(GMW!$LP$2:$LP$60=Y$4)*(GMW!$LR$2:$LR$60=Y$1),0),$C167-1966)</f>
        <v>98.533330000000007</v>
      </c>
      <c r="Z167" s="4" cm="1">
        <f t="array" ref="Z167">INDEX(GMW!$A$2:$LR$60,MATCH(1,(GMW!$LQ$2:$LQ$60=Z$3)*(GMW!$LP$2:$LP$60=Z$4)*(GMW!$LR$2:$LR$60=Z$1),0),$C167-1966)</f>
        <v>96.4</v>
      </c>
      <c r="AA167" s="4" cm="1">
        <f t="array" ref="AA167">INDEX(GMW!$A$2:$LR$60,MATCH(1,(GMW!$LQ$2:$LQ$60=AA$3)*(GMW!$LP$2:$LP$60=AA$4)*(GMW!$LR$2:$LR$60=AA$1),0),$C167-1966)</f>
        <v>294987</v>
      </c>
      <c r="AB167" s="4" cm="1">
        <f t="array" ref="AB167">INDEX(GMW!$A$2:$LR$60,MATCH(1,(GMW!$LQ$2:$LQ$60=AB$3)*(GMW!$LP$2:$LP$60=AB$4)*(GMW!$LR$2:$LR$60=AB$1),0),$C167-1966)</f>
        <v>76695</v>
      </c>
      <c r="AC167" s="4" cm="1">
        <f t="array" ref="AC167">INDEX(GMW!$A$2:$LR$60,MATCH(1,(GMW!$LQ$2:$LQ$60=AC$3)*(GMW!$LP$2:$LP$60=AC$4)*(GMW!$LR$2:$LR$60=AC$1),0),$C167-1966)</f>
        <v>95904</v>
      </c>
      <c r="AD167" s="4" cm="1">
        <f t="array" ref="AD167">INDEX(GMW!$A$2:$LR$60,MATCH(1,(GMW!$LQ$2:$LQ$60=AD$3)*(GMW!$LP$2:$LP$60=AD$4)*(GMW!$LR$2:$LR$60=AD$1),0),$C167-1966)</f>
        <v>146117</v>
      </c>
      <c r="AE167" s="4" cm="1">
        <f t="array" ref="AE167">INDEX(GMW!$A$2:$LR$60,MATCH(1,(GMW!$LQ$2:$LQ$60=AE$3)*(GMW!$LP$2:$LP$60=AE$4)*(GMW!$LR$2:$LR$60=AE$1),0),$C167-1966)</f>
        <v>141211</v>
      </c>
      <c r="AF167" s="4" cm="1">
        <f t="array" ref="AF167">INDEX(GMW!$A$2:$LR$60,MATCH(1,(GMW!$LQ$2:$LQ$60=AF$3)*(GMW!$LP$2:$LP$60=AF$4)*(GMW!$LR$2:$LR$60=AF$1),0),$C167-1966)</f>
        <v>0.37318000000000001</v>
      </c>
      <c r="AG167" s="4" cm="1">
        <f t="array" ref="AG167">INDEX(GMW!$A$2:$LR$60,MATCH(1,(GMW!$LQ$2:$LQ$60=AG$3)*(GMW!$LP$2:$LP$60=AG$4)*(GMW!$LR$2:$LR$60=AG$1),0),$C167-1966)</f>
        <v>1E-3</v>
      </c>
    </row>
    <row r="168" spans="1:33" x14ac:dyDescent="0.25">
      <c r="B168" s="4">
        <f t="shared" si="5"/>
        <v>2013</v>
      </c>
      <c r="C168" s="4">
        <f t="shared" si="4"/>
        <v>2134</v>
      </c>
      <c r="D168" s="4" cm="1">
        <f t="array" ref="D168">INDEX(GMW!$A$2:$LR$60,MATCH(1,(GMW!$LQ$2:$LQ$60=D$3)*(GMW!$LP$2:$LP$60=D$4)*(GMW!$LR$2:$LR$60=D$1),0),$C168-1966)</f>
        <v>488930</v>
      </c>
      <c r="E168" s="4" cm="1">
        <f t="array" ref="E168">INDEX(GMW!$A$2:$LR$60,MATCH(1,(GMW!$LQ$2:$LQ$60=E$3)*(GMW!$LP$2:$LP$60=E$4)*(GMW!$LR$2:$LR$60=E$1),0),$C168-1966)</f>
        <v>488930</v>
      </c>
      <c r="F168" s="4" cm="1">
        <f t="array" ref="F168">INDEX(GMW!$A$2:$LR$60,MATCH(1,(GMW!$LQ$2:$LQ$60=F$3)*(GMW!$LP$2:$LP$60=F$4)*(GMW!$LR$2:$LR$60=F$1),0),$C168-1966)</f>
        <v>488930</v>
      </c>
      <c r="G168" s="4" cm="1">
        <f t="array" ref="G168">INDEX(GMW!$A$2:$LR$60,MATCH(1,(GMW!$LQ$2:$LQ$60=G$3)*(GMW!$LP$2:$LP$60=G$4)*(GMW!$LR$2:$LR$60=G$1),0),$C168-1966)</f>
        <v>488930</v>
      </c>
      <c r="H168" s="4" cm="1">
        <f t="array" ref="H168">INDEX(GMW!$A$2:$LR$60,MATCH(1,(GMW!$LQ$2:$LQ$60=H$3)*(GMW!$LP$2:$LP$60=H$4)*(GMW!$LR$2:$LR$60=H$1),0),$C168-1966)</f>
        <v>488930</v>
      </c>
      <c r="I168" s="4" cm="1">
        <f t="array" ref="I168">INDEX(GMW!$A$2:$LR$60,MATCH(1,(GMW!$LQ$2:$LQ$60=I$3)*(GMW!$LP$2:$LP$60=I$4)*(GMW!$LR$2:$LR$60=I$1),0),$C168-1966)</f>
        <v>488930</v>
      </c>
      <c r="J168" s="4" cm="1">
        <f t="array" ref="J168">INDEX(GMW!$A$2:$LR$60,MATCH(1,(GMW!$LQ$2:$LQ$60=J$3)*(GMW!$LP$2:$LP$60=J$4)*(GMW!$LR$2:$LR$60=J$1),0),$C168-1966)</f>
        <v>488930</v>
      </c>
      <c r="K168" s="4" cm="1">
        <f t="array" ref="K168">INDEX(GMW!$A$2:$LR$60,MATCH(1,(GMW!$LQ$2:$LQ$60=K$3)*(GMW!$LP$2:$LP$60=K$4)*(GMW!$LR$2:$LR$60=K$1),0),$C168-1966)</f>
        <v>488930</v>
      </c>
      <c r="L168" s="4" cm="1">
        <f t="array" ref="L168">INDEX(GMW!$A$2:$LR$60,MATCH(1,(GMW!$LQ$2:$LQ$60=L$3)*(GMW!$LP$2:$LP$60=L$4)*(GMW!$LR$2:$LR$60=L$1),0),$C168-1966)</f>
        <v>488930</v>
      </c>
      <c r="M168" s="4" cm="1">
        <f t="array" ref="M168">INDEX(GMW!$A$2:$LR$60,MATCH(1,(GMW!$LQ$2:$LQ$60=M$3)*(GMW!$LP$2:$LP$60=M$4)*(GMW!$LR$2:$LR$60=M$1),0),$C168-1966)</f>
        <v>488930</v>
      </c>
      <c r="N168" s="4" cm="1">
        <f t="array" ref="N168">INDEX(GMW!$A$2:$LR$60,MATCH(1,(GMW!$LQ$2:$LQ$60=N$3)*(GMW!$LP$2:$LP$60=N$4)*(GMW!$LR$2:$LR$60=N$1),0),$C168-1966)</f>
        <v>488930</v>
      </c>
      <c r="O168" s="4" cm="1">
        <f t="array" ref="O168">INDEX(GMW!$A$2:$LR$60,MATCH(1,(GMW!$LQ$2:$LQ$60=O$3)*(GMW!$LP$2:$LP$60=O$4)*(GMW!$LR$2:$LR$60=O$1),0),$C168-1966)</f>
        <v>488930</v>
      </c>
      <c r="P168" s="4" cm="1">
        <f t="array" ref="P168">INDEX(GMW!$A$2:$LR$60,MATCH(1,(GMW!$LQ$2:$LQ$60=P$3)*(GMW!$LP$2:$LP$60=P$4)*(GMW!$LR$2:$LR$60=P$1),0),$C168-1966)</f>
        <v>488930</v>
      </c>
      <c r="Q168" s="4" cm="1">
        <f t="array" ref="Q168">INDEX(GMW!$A$2:$LR$60,MATCH(1,(GMW!$LQ$2:$LQ$60=Q$3)*(GMW!$LP$2:$LP$60=Q$4)*(GMW!$LR$2:$LR$60=Q$1),0),$C168-1966)</f>
        <v>488930</v>
      </c>
      <c r="R168" s="4" cm="1">
        <f t="array" ref="R168">INDEX(GMW!$A$2:$LR$60,MATCH(1,(GMW!$LQ$2:$LQ$60=R$3)*(GMW!$LP$2:$LP$60=R$4)*(GMW!$LR$2:$LR$60=R$1),0),$C168-1966)</f>
        <v>488930</v>
      </c>
      <c r="S168" s="4" cm="1">
        <f t="array" ref="S168">INDEX(GMW!$A$2:$LR$60,MATCH(1,(GMW!$LQ$2:$LQ$60=S$3)*(GMW!$LP$2:$LP$60=S$4)*(GMW!$LR$2:$LR$60=S$1),0),$C168-1966)</f>
        <v>488930</v>
      </c>
      <c r="T168" s="4" cm="1">
        <f t="array" ref="T168">INDEX(GMW!$A$2:$LR$60,MATCH(1,(GMW!$LQ$2:$LQ$60=T$3)*(GMW!$LP$2:$LP$60=T$4)*(GMW!$LR$2:$LR$60=T$1),0),$C168-1966)</f>
        <v>488930</v>
      </c>
      <c r="U168" s="4" cm="1">
        <f t="array" ref="U168">INDEX(GMW!$A$2:$LR$60,MATCH(1,(GMW!$LQ$2:$LQ$60=U$3)*(GMW!$LP$2:$LP$60=U$4)*(GMW!$LR$2:$LR$60=U$1),0),$C168-1966)</f>
        <v>470.33330000000001</v>
      </c>
      <c r="V168" s="4" cm="1">
        <f t="array" ref="V168">INDEX(GMW!$A$2:$LR$60,MATCH(1,(GMW!$LQ$2:$LQ$60=V$3)*(GMW!$LP$2:$LP$60=V$4)*(GMW!$LR$2:$LR$60=V$1),0),$C168-1966)</f>
        <v>98.366669999999999</v>
      </c>
      <c r="W168" s="4" cm="1">
        <f t="array" ref="W168">INDEX(GMW!$A$2:$LR$60,MATCH(1,(GMW!$LQ$2:$LQ$60=W$3)*(GMW!$LP$2:$LP$60=W$4)*(GMW!$LR$2:$LR$60=W$1),0),$C168-1966)</f>
        <v>100.0667</v>
      </c>
      <c r="X168" s="4" cm="1">
        <f t="array" ref="X168">INDEX(GMW!$A$2:$LR$60,MATCH(1,(GMW!$LQ$2:$LQ$60=X$3)*(GMW!$LP$2:$LP$60=X$4)*(GMW!$LR$2:$LR$60=X$1),0),$C168-1966)</f>
        <v>121.2667</v>
      </c>
      <c r="Y168" s="4" cm="1">
        <f t="array" ref="Y168">INDEX(GMW!$A$2:$LR$60,MATCH(1,(GMW!$LQ$2:$LQ$60=Y$3)*(GMW!$LP$2:$LP$60=Y$4)*(GMW!$LR$2:$LR$60=Y$1),0),$C168-1966)</f>
        <v>98.5</v>
      </c>
      <c r="Z168" s="4" cm="1">
        <f t="array" ref="Z168">INDEX(GMW!$A$2:$LR$60,MATCH(1,(GMW!$LQ$2:$LQ$60=Z$3)*(GMW!$LP$2:$LP$60=Z$4)*(GMW!$LR$2:$LR$60=Z$1),0),$C168-1966)</f>
        <v>97.2</v>
      </c>
      <c r="AA168" s="4" cm="1">
        <f t="array" ref="AA168">INDEX(GMW!$A$2:$LR$60,MATCH(1,(GMW!$LQ$2:$LQ$60=AA$3)*(GMW!$LP$2:$LP$60=AA$4)*(GMW!$LR$2:$LR$60=AA$1),0),$C168-1966)</f>
        <v>298001</v>
      </c>
      <c r="AB168" s="4" cm="1">
        <f t="array" ref="AB168">INDEX(GMW!$A$2:$LR$60,MATCH(1,(GMW!$LQ$2:$LQ$60=AB$3)*(GMW!$LP$2:$LP$60=AB$4)*(GMW!$LR$2:$LR$60=AB$1),0),$C168-1966)</f>
        <v>79896</v>
      </c>
      <c r="AC168" s="4" cm="1">
        <f t="array" ref="AC168">INDEX(GMW!$A$2:$LR$60,MATCH(1,(GMW!$LQ$2:$LQ$60=AC$3)*(GMW!$LP$2:$LP$60=AC$4)*(GMW!$LR$2:$LR$60=AC$1),0),$C168-1966)</f>
        <v>96483</v>
      </c>
      <c r="AD168" s="4" cm="1">
        <f t="array" ref="AD168">INDEX(GMW!$A$2:$LR$60,MATCH(1,(GMW!$LQ$2:$LQ$60=AD$3)*(GMW!$LP$2:$LP$60=AD$4)*(GMW!$LR$2:$LR$60=AD$1),0),$C168-1966)</f>
        <v>147523</v>
      </c>
      <c r="AE168" s="4" cm="1">
        <f t="array" ref="AE168">INDEX(GMW!$A$2:$LR$60,MATCH(1,(GMW!$LQ$2:$LQ$60=AE$3)*(GMW!$LP$2:$LP$60=AE$4)*(GMW!$LR$2:$LR$60=AE$1),0),$C168-1966)</f>
        <v>148363</v>
      </c>
      <c r="AF168" s="4" cm="1">
        <f t="array" ref="AF168">INDEX(GMW!$A$2:$LR$60,MATCH(1,(GMW!$LQ$2:$LQ$60=AF$3)*(GMW!$LP$2:$LP$60=AF$4)*(GMW!$LR$2:$LR$60=AF$1),0),$C168-1966)</f>
        <v>0.39372000000000001</v>
      </c>
      <c r="AG168" s="4" cm="1">
        <f t="array" ref="AG168">INDEX(GMW!$A$2:$LR$60,MATCH(1,(GMW!$LQ$2:$LQ$60=AG$3)*(GMW!$LP$2:$LP$60=AG$4)*(GMW!$LR$2:$LR$60=AG$1),0),$C168-1966)</f>
        <v>1E-3</v>
      </c>
    </row>
    <row r="169" spans="1:33" x14ac:dyDescent="0.25">
      <c r="B169" s="4">
        <f t="shared" si="5"/>
        <v>2013</v>
      </c>
      <c r="C169" s="4">
        <f t="shared" si="4"/>
        <v>2135</v>
      </c>
      <c r="D169" s="4" cm="1">
        <f t="array" ref="D169">INDEX(GMW!$A$2:$LR$60,MATCH(1,(GMW!$LQ$2:$LQ$60=D$3)*(GMW!$LP$2:$LP$60=D$4)*(GMW!$LR$2:$LR$60=D$1),0),$C169-1966)</f>
        <v>493002</v>
      </c>
      <c r="E169" s="4" cm="1">
        <f t="array" ref="E169">INDEX(GMW!$A$2:$LR$60,MATCH(1,(GMW!$LQ$2:$LQ$60=E$3)*(GMW!$LP$2:$LP$60=E$4)*(GMW!$LR$2:$LR$60=E$1),0),$C169-1966)</f>
        <v>493002</v>
      </c>
      <c r="F169" s="4" cm="1">
        <f t="array" ref="F169">INDEX(GMW!$A$2:$LR$60,MATCH(1,(GMW!$LQ$2:$LQ$60=F$3)*(GMW!$LP$2:$LP$60=F$4)*(GMW!$LR$2:$LR$60=F$1),0),$C169-1966)</f>
        <v>493002</v>
      </c>
      <c r="G169" s="4" cm="1">
        <f t="array" ref="G169">INDEX(GMW!$A$2:$LR$60,MATCH(1,(GMW!$LQ$2:$LQ$60=G$3)*(GMW!$LP$2:$LP$60=G$4)*(GMW!$LR$2:$LR$60=G$1),0),$C169-1966)</f>
        <v>493002</v>
      </c>
      <c r="H169" s="4" cm="1">
        <f t="array" ref="H169">INDEX(GMW!$A$2:$LR$60,MATCH(1,(GMW!$LQ$2:$LQ$60=H$3)*(GMW!$LP$2:$LP$60=H$4)*(GMW!$LR$2:$LR$60=H$1),0),$C169-1966)</f>
        <v>493002</v>
      </c>
      <c r="I169" s="4" cm="1">
        <f t="array" ref="I169">INDEX(GMW!$A$2:$LR$60,MATCH(1,(GMW!$LQ$2:$LQ$60=I$3)*(GMW!$LP$2:$LP$60=I$4)*(GMW!$LR$2:$LR$60=I$1),0),$C169-1966)</f>
        <v>493002</v>
      </c>
      <c r="J169" s="4" cm="1">
        <f t="array" ref="J169">INDEX(GMW!$A$2:$LR$60,MATCH(1,(GMW!$LQ$2:$LQ$60=J$3)*(GMW!$LP$2:$LP$60=J$4)*(GMW!$LR$2:$LR$60=J$1),0),$C169-1966)</f>
        <v>493002</v>
      </c>
      <c r="K169" s="4" cm="1">
        <f t="array" ref="K169">INDEX(GMW!$A$2:$LR$60,MATCH(1,(GMW!$LQ$2:$LQ$60=K$3)*(GMW!$LP$2:$LP$60=K$4)*(GMW!$LR$2:$LR$60=K$1),0),$C169-1966)</f>
        <v>493002</v>
      </c>
      <c r="L169" s="4" cm="1">
        <f t="array" ref="L169">INDEX(GMW!$A$2:$LR$60,MATCH(1,(GMW!$LQ$2:$LQ$60=L$3)*(GMW!$LP$2:$LP$60=L$4)*(GMW!$LR$2:$LR$60=L$1),0),$C169-1966)</f>
        <v>493002</v>
      </c>
      <c r="M169" s="4" cm="1">
        <f t="array" ref="M169">INDEX(GMW!$A$2:$LR$60,MATCH(1,(GMW!$LQ$2:$LQ$60=M$3)*(GMW!$LP$2:$LP$60=M$4)*(GMW!$LR$2:$LR$60=M$1),0),$C169-1966)</f>
        <v>493002</v>
      </c>
      <c r="N169" s="4" cm="1">
        <f t="array" ref="N169">INDEX(GMW!$A$2:$LR$60,MATCH(1,(GMW!$LQ$2:$LQ$60=N$3)*(GMW!$LP$2:$LP$60=N$4)*(GMW!$LR$2:$LR$60=N$1),0),$C169-1966)</f>
        <v>493002</v>
      </c>
      <c r="O169" s="4" cm="1">
        <f t="array" ref="O169">INDEX(GMW!$A$2:$LR$60,MATCH(1,(GMW!$LQ$2:$LQ$60=O$3)*(GMW!$LP$2:$LP$60=O$4)*(GMW!$LR$2:$LR$60=O$1),0),$C169-1966)</f>
        <v>493002</v>
      </c>
      <c r="P169" s="4" cm="1">
        <f t="array" ref="P169">INDEX(GMW!$A$2:$LR$60,MATCH(1,(GMW!$LQ$2:$LQ$60=P$3)*(GMW!$LP$2:$LP$60=P$4)*(GMW!$LR$2:$LR$60=P$1),0),$C169-1966)</f>
        <v>493002</v>
      </c>
      <c r="Q169" s="4" cm="1">
        <f t="array" ref="Q169">INDEX(GMW!$A$2:$LR$60,MATCH(1,(GMW!$LQ$2:$LQ$60=Q$3)*(GMW!$LP$2:$LP$60=Q$4)*(GMW!$LR$2:$LR$60=Q$1),0),$C169-1966)</f>
        <v>493002</v>
      </c>
      <c r="R169" s="4" cm="1">
        <f t="array" ref="R169">INDEX(GMW!$A$2:$LR$60,MATCH(1,(GMW!$LQ$2:$LQ$60=R$3)*(GMW!$LP$2:$LP$60=R$4)*(GMW!$LR$2:$LR$60=R$1),0),$C169-1966)</f>
        <v>493002</v>
      </c>
      <c r="S169" s="4" cm="1">
        <f t="array" ref="S169">INDEX(GMW!$A$2:$LR$60,MATCH(1,(GMW!$LQ$2:$LQ$60=S$3)*(GMW!$LP$2:$LP$60=S$4)*(GMW!$LR$2:$LR$60=S$1),0),$C169-1966)</f>
        <v>493002</v>
      </c>
      <c r="T169" s="4" cm="1">
        <f t="array" ref="T169">INDEX(GMW!$A$2:$LR$60,MATCH(1,(GMW!$LQ$2:$LQ$60=T$3)*(GMW!$LP$2:$LP$60=T$4)*(GMW!$LR$2:$LR$60=T$1),0),$C169-1966)</f>
        <v>493002</v>
      </c>
      <c r="U169" s="4" cm="1">
        <f t="array" ref="U169">INDEX(GMW!$A$2:$LR$60,MATCH(1,(GMW!$LQ$2:$LQ$60=U$3)*(GMW!$LP$2:$LP$60=U$4)*(GMW!$LR$2:$LR$60=U$1),0),$C169-1966)</f>
        <v>466</v>
      </c>
      <c r="V169" s="4" cm="1">
        <f t="array" ref="V169">INDEX(GMW!$A$2:$LR$60,MATCH(1,(GMW!$LQ$2:$LQ$60=V$3)*(GMW!$LP$2:$LP$60=V$4)*(GMW!$LR$2:$LR$60=V$1),0),$C169-1966)</f>
        <v>98.7</v>
      </c>
      <c r="W169" s="4" cm="1">
        <f t="array" ref="W169">INDEX(GMW!$A$2:$LR$60,MATCH(1,(GMW!$LQ$2:$LQ$60=W$3)*(GMW!$LP$2:$LP$60=W$4)*(GMW!$LR$2:$LR$60=W$1),0),$C169-1966)</f>
        <v>100.4667</v>
      </c>
      <c r="X169" s="4" cm="1">
        <f t="array" ref="X169">INDEX(GMW!$A$2:$LR$60,MATCH(1,(GMW!$LQ$2:$LQ$60=X$3)*(GMW!$LP$2:$LP$60=X$4)*(GMW!$LR$2:$LR$60=X$1),0),$C169-1966)</f>
        <v>122.5333</v>
      </c>
      <c r="Y169" s="4" cm="1">
        <f t="array" ref="Y169">INDEX(GMW!$A$2:$LR$60,MATCH(1,(GMW!$LQ$2:$LQ$60=Y$3)*(GMW!$LP$2:$LP$60=Y$4)*(GMW!$LR$2:$LR$60=Y$1),0),$C169-1966)</f>
        <v>98.733329999999995</v>
      </c>
      <c r="Z169" s="4" cm="1">
        <f t="array" ref="Z169">INDEX(GMW!$A$2:$LR$60,MATCH(1,(GMW!$LQ$2:$LQ$60=Z$3)*(GMW!$LP$2:$LP$60=Z$4)*(GMW!$LR$2:$LR$60=Z$1),0),$C169-1966)</f>
        <v>97.466669999999993</v>
      </c>
      <c r="AA169" s="4" cm="1">
        <f t="array" ref="AA169">INDEX(GMW!$A$2:$LR$60,MATCH(1,(GMW!$LQ$2:$LQ$60=AA$3)*(GMW!$LP$2:$LP$60=AA$4)*(GMW!$LR$2:$LR$60=AA$1),0),$C169-1966)</f>
        <v>301680</v>
      </c>
      <c r="AB169" s="4" cm="1">
        <f t="array" ref="AB169">INDEX(GMW!$A$2:$LR$60,MATCH(1,(GMW!$LQ$2:$LQ$60=AB$3)*(GMW!$LP$2:$LP$60=AB$4)*(GMW!$LR$2:$LR$60=AB$1),0),$C169-1966)</f>
        <v>81862</v>
      </c>
      <c r="AC169" s="4" cm="1">
        <f t="array" ref="AC169">INDEX(GMW!$A$2:$LR$60,MATCH(1,(GMW!$LQ$2:$LQ$60=AC$3)*(GMW!$LP$2:$LP$60=AC$4)*(GMW!$LR$2:$LR$60=AC$1),0),$C169-1966)</f>
        <v>96425</v>
      </c>
      <c r="AD169" s="4" cm="1">
        <f t="array" ref="AD169">INDEX(GMW!$A$2:$LR$60,MATCH(1,(GMW!$LQ$2:$LQ$60=AD$3)*(GMW!$LP$2:$LP$60=AD$4)*(GMW!$LR$2:$LR$60=AD$1),0),$C169-1966)</f>
        <v>147032</v>
      </c>
      <c r="AE169" s="4" cm="1">
        <f t="array" ref="AE169">INDEX(GMW!$A$2:$LR$60,MATCH(1,(GMW!$LQ$2:$LQ$60=AE$3)*(GMW!$LP$2:$LP$60=AE$4)*(GMW!$LR$2:$LR$60=AE$1),0),$C169-1966)</f>
        <v>147991</v>
      </c>
      <c r="AF169" s="4" cm="1">
        <f t="array" ref="AF169">INDEX(GMW!$A$2:$LR$60,MATCH(1,(GMW!$LQ$2:$LQ$60=AF$3)*(GMW!$LP$2:$LP$60=AF$4)*(GMW!$LR$2:$LR$60=AF$1),0),$C169-1966)</f>
        <v>0.50307999999999997</v>
      </c>
      <c r="AG169" s="4" cm="1">
        <f t="array" ref="AG169">INDEX(GMW!$A$2:$LR$60,MATCH(1,(GMW!$LQ$2:$LQ$60=AG$3)*(GMW!$LP$2:$LP$60=AG$4)*(GMW!$LR$2:$LR$60=AG$1),0),$C169-1966)</f>
        <v>1E-3</v>
      </c>
    </row>
    <row r="170" spans="1:33" x14ac:dyDescent="0.25">
      <c r="B170" s="4">
        <f t="shared" si="5"/>
        <v>2013</v>
      </c>
      <c r="C170" s="4">
        <f t="shared" si="4"/>
        <v>2136</v>
      </c>
      <c r="D170" s="4" cm="1">
        <f t="array" ref="D170">INDEX(GMW!$A$2:$LR$60,MATCH(1,(GMW!$LQ$2:$LQ$60=D$3)*(GMW!$LP$2:$LP$60=D$4)*(GMW!$LR$2:$LR$60=D$1),0),$C170-1966)</f>
        <v>496466</v>
      </c>
      <c r="E170" s="4" cm="1">
        <f t="array" ref="E170">INDEX(GMW!$A$2:$LR$60,MATCH(1,(GMW!$LQ$2:$LQ$60=E$3)*(GMW!$LP$2:$LP$60=E$4)*(GMW!$LR$2:$LR$60=E$1),0),$C170-1966)</f>
        <v>496466</v>
      </c>
      <c r="F170" s="4" cm="1">
        <f t="array" ref="F170">INDEX(GMW!$A$2:$LR$60,MATCH(1,(GMW!$LQ$2:$LQ$60=F$3)*(GMW!$LP$2:$LP$60=F$4)*(GMW!$LR$2:$LR$60=F$1),0),$C170-1966)</f>
        <v>496466</v>
      </c>
      <c r="G170" s="4" cm="1">
        <f t="array" ref="G170">INDEX(GMW!$A$2:$LR$60,MATCH(1,(GMW!$LQ$2:$LQ$60=G$3)*(GMW!$LP$2:$LP$60=G$4)*(GMW!$LR$2:$LR$60=G$1),0),$C170-1966)</f>
        <v>496466</v>
      </c>
      <c r="H170" s="4" cm="1">
        <f t="array" ref="H170">INDEX(GMW!$A$2:$LR$60,MATCH(1,(GMW!$LQ$2:$LQ$60=H$3)*(GMW!$LP$2:$LP$60=H$4)*(GMW!$LR$2:$LR$60=H$1),0),$C170-1966)</f>
        <v>496466</v>
      </c>
      <c r="I170" s="4" cm="1">
        <f t="array" ref="I170">INDEX(GMW!$A$2:$LR$60,MATCH(1,(GMW!$LQ$2:$LQ$60=I$3)*(GMW!$LP$2:$LP$60=I$4)*(GMW!$LR$2:$LR$60=I$1),0),$C170-1966)</f>
        <v>496466</v>
      </c>
      <c r="J170" s="4" cm="1">
        <f t="array" ref="J170">INDEX(GMW!$A$2:$LR$60,MATCH(1,(GMW!$LQ$2:$LQ$60=J$3)*(GMW!$LP$2:$LP$60=J$4)*(GMW!$LR$2:$LR$60=J$1),0),$C170-1966)</f>
        <v>496466</v>
      </c>
      <c r="K170" s="4" cm="1">
        <f t="array" ref="K170">INDEX(GMW!$A$2:$LR$60,MATCH(1,(GMW!$LQ$2:$LQ$60=K$3)*(GMW!$LP$2:$LP$60=K$4)*(GMW!$LR$2:$LR$60=K$1),0),$C170-1966)</f>
        <v>496466</v>
      </c>
      <c r="L170" s="4" cm="1">
        <f t="array" ref="L170">INDEX(GMW!$A$2:$LR$60,MATCH(1,(GMW!$LQ$2:$LQ$60=L$3)*(GMW!$LP$2:$LP$60=L$4)*(GMW!$LR$2:$LR$60=L$1),0),$C170-1966)</f>
        <v>496466</v>
      </c>
      <c r="M170" s="4" cm="1">
        <f t="array" ref="M170">INDEX(GMW!$A$2:$LR$60,MATCH(1,(GMW!$LQ$2:$LQ$60=M$3)*(GMW!$LP$2:$LP$60=M$4)*(GMW!$LR$2:$LR$60=M$1),0),$C170-1966)</f>
        <v>496466</v>
      </c>
      <c r="N170" s="4" cm="1">
        <f t="array" ref="N170">INDEX(GMW!$A$2:$LR$60,MATCH(1,(GMW!$LQ$2:$LQ$60=N$3)*(GMW!$LP$2:$LP$60=N$4)*(GMW!$LR$2:$LR$60=N$1),0),$C170-1966)</f>
        <v>496466</v>
      </c>
      <c r="O170" s="4" cm="1">
        <f t="array" ref="O170">INDEX(GMW!$A$2:$LR$60,MATCH(1,(GMW!$LQ$2:$LQ$60=O$3)*(GMW!$LP$2:$LP$60=O$4)*(GMW!$LR$2:$LR$60=O$1),0),$C170-1966)</f>
        <v>496466</v>
      </c>
      <c r="P170" s="4" cm="1">
        <f t="array" ref="P170">INDEX(GMW!$A$2:$LR$60,MATCH(1,(GMW!$LQ$2:$LQ$60=P$3)*(GMW!$LP$2:$LP$60=P$4)*(GMW!$LR$2:$LR$60=P$1),0),$C170-1966)</f>
        <v>496466</v>
      </c>
      <c r="Q170" s="4" cm="1">
        <f t="array" ref="Q170">INDEX(GMW!$A$2:$LR$60,MATCH(1,(GMW!$LQ$2:$LQ$60=Q$3)*(GMW!$LP$2:$LP$60=Q$4)*(GMW!$LR$2:$LR$60=Q$1),0),$C170-1966)</f>
        <v>496466</v>
      </c>
      <c r="R170" s="4" cm="1">
        <f t="array" ref="R170">INDEX(GMW!$A$2:$LR$60,MATCH(1,(GMW!$LQ$2:$LQ$60=R$3)*(GMW!$LP$2:$LP$60=R$4)*(GMW!$LR$2:$LR$60=R$1),0),$C170-1966)</f>
        <v>496466</v>
      </c>
      <c r="S170" s="4" cm="1">
        <f t="array" ref="S170">INDEX(GMW!$A$2:$LR$60,MATCH(1,(GMW!$LQ$2:$LQ$60=S$3)*(GMW!$LP$2:$LP$60=S$4)*(GMW!$LR$2:$LR$60=S$1),0),$C170-1966)</f>
        <v>496466</v>
      </c>
      <c r="T170" s="4" cm="1">
        <f t="array" ref="T170">INDEX(GMW!$A$2:$LR$60,MATCH(1,(GMW!$LQ$2:$LQ$60=T$3)*(GMW!$LP$2:$LP$60=T$4)*(GMW!$LR$2:$LR$60=T$1),0),$C170-1966)</f>
        <v>496466</v>
      </c>
      <c r="U170" s="4" cm="1">
        <f t="array" ref="U170">INDEX(GMW!$A$2:$LR$60,MATCH(1,(GMW!$LQ$2:$LQ$60=U$3)*(GMW!$LP$2:$LP$60=U$4)*(GMW!$LR$2:$LR$60=U$1),0),$C170-1966)</f>
        <v>466.66669999999999</v>
      </c>
      <c r="V170" s="4" cm="1">
        <f t="array" ref="V170">INDEX(GMW!$A$2:$LR$60,MATCH(1,(GMW!$LQ$2:$LQ$60=V$3)*(GMW!$LP$2:$LP$60=V$4)*(GMW!$LR$2:$LR$60=V$1),0),$C170-1966)</f>
        <v>99.3</v>
      </c>
      <c r="W170" s="4" cm="1">
        <f t="array" ref="W170">INDEX(GMW!$A$2:$LR$60,MATCH(1,(GMW!$LQ$2:$LQ$60=W$3)*(GMW!$LP$2:$LP$60=W$4)*(GMW!$LR$2:$LR$60=W$1),0),$C170-1966)</f>
        <v>100.86669999999999</v>
      </c>
      <c r="X170" s="4" cm="1">
        <f t="array" ref="X170">INDEX(GMW!$A$2:$LR$60,MATCH(1,(GMW!$LQ$2:$LQ$60=X$3)*(GMW!$LP$2:$LP$60=X$4)*(GMW!$LR$2:$LR$60=X$1),0),$C170-1966)</f>
        <v>118.3</v>
      </c>
      <c r="Y170" s="4" cm="1">
        <f t="array" ref="Y170">INDEX(GMW!$A$2:$LR$60,MATCH(1,(GMW!$LQ$2:$LQ$60=Y$3)*(GMW!$LP$2:$LP$60=Y$4)*(GMW!$LR$2:$LR$60=Y$1),0),$C170-1966)</f>
        <v>100.7333</v>
      </c>
      <c r="Z170" s="4" cm="1">
        <f t="array" ref="Z170">INDEX(GMW!$A$2:$LR$60,MATCH(1,(GMW!$LQ$2:$LQ$60=Z$3)*(GMW!$LP$2:$LP$60=Z$4)*(GMW!$LR$2:$LR$60=Z$1),0),$C170-1966)</f>
        <v>98.233329999999995</v>
      </c>
      <c r="AA170" s="4" cm="1">
        <f t="array" ref="AA170">INDEX(GMW!$A$2:$LR$60,MATCH(1,(GMW!$LQ$2:$LQ$60=AA$3)*(GMW!$LP$2:$LP$60=AA$4)*(GMW!$LR$2:$LR$60=AA$1),0),$C170-1966)</f>
        <v>303093</v>
      </c>
      <c r="AB170" s="4" cm="1">
        <f t="array" ref="AB170">INDEX(GMW!$A$2:$LR$60,MATCH(1,(GMW!$LQ$2:$LQ$60=AB$3)*(GMW!$LP$2:$LP$60=AB$4)*(GMW!$LR$2:$LR$60=AB$1),0),$C170-1966)</f>
        <v>81850</v>
      </c>
      <c r="AC170" s="4" cm="1">
        <f t="array" ref="AC170">INDEX(GMW!$A$2:$LR$60,MATCH(1,(GMW!$LQ$2:$LQ$60=AC$3)*(GMW!$LP$2:$LP$60=AC$4)*(GMW!$LR$2:$LR$60=AC$1),0),$C170-1966)</f>
        <v>98238</v>
      </c>
      <c r="AD170" s="4" cm="1">
        <f t="array" ref="AD170">INDEX(GMW!$A$2:$LR$60,MATCH(1,(GMW!$LQ$2:$LQ$60=AD$3)*(GMW!$LP$2:$LP$60=AD$4)*(GMW!$LR$2:$LR$60=AD$1),0),$C170-1966)</f>
        <v>143715</v>
      </c>
      <c r="AE170" s="4" cm="1">
        <f t="array" ref="AE170">INDEX(GMW!$A$2:$LR$60,MATCH(1,(GMW!$LQ$2:$LQ$60=AE$3)*(GMW!$LP$2:$LP$60=AE$4)*(GMW!$LR$2:$LR$60=AE$1),0),$C170-1966)</f>
        <v>151319</v>
      </c>
      <c r="AF170" s="4" cm="1">
        <f t="array" ref="AF170">INDEX(GMW!$A$2:$LR$60,MATCH(1,(GMW!$LQ$2:$LQ$60=AF$3)*(GMW!$LP$2:$LP$60=AF$4)*(GMW!$LR$2:$LR$60=AF$1),0),$C170-1966)</f>
        <v>0.58089999999999997</v>
      </c>
      <c r="AG170" s="4" cm="1">
        <f t="array" ref="AG170">INDEX(GMW!$A$2:$LR$60,MATCH(1,(GMW!$LQ$2:$LQ$60=AG$3)*(GMW!$LP$2:$LP$60=AG$4)*(GMW!$LR$2:$LR$60=AG$1),0),$C170-1966)</f>
        <v>1E-3</v>
      </c>
    </row>
    <row r="171" spans="1:33" x14ac:dyDescent="0.25">
      <c r="A171" s="4">
        <v>2014</v>
      </c>
      <c r="B171" s="4">
        <f t="shared" si="5"/>
        <v>2014</v>
      </c>
      <c r="C171" s="4">
        <f t="shared" si="4"/>
        <v>2137</v>
      </c>
      <c r="D171" s="4" cm="1">
        <f t="array" ref="D171">INDEX(GMW!$A$2:$LR$60,MATCH(1,(GMW!$LQ$2:$LQ$60=D$3)*(GMW!$LP$2:$LP$60=D$4)*(GMW!$LR$2:$LR$60=D$1),0),$C171-1966)</f>
        <v>500552</v>
      </c>
      <c r="E171" s="4" cm="1">
        <f t="array" ref="E171">INDEX(GMW!$A$2:$LR$60,MATCH(1,(GMW!$LQ$2:$LQ$60=E$3)*(GMW!$LP$2:$LP$60=E$4)*(GMW!$LR$2:$LR$60=E$1),0),$C171-1966)</f>
        <v>500552</v>
      </c>
      <c r="F171" s="4" cm="1">
        <f t="array" ref="F171">INDEX(GMW!$A$2:$LR$60,MATCH(1,(GMW!$LQ$2:$LQ$60=F$3)*(GMW!$LP$2:$LP$60=F$4)*(GMW!$LR$2:$LR$60=F$1),0),$C171-1966)</f>
        <v>500552</v>
      </c>
      <c r="G171" s="4" cm="1">
        <f t="array" ref="G171">INDEX(GMW!$A$2:$LR$60,MATCH(1,(GMW!$LQ$2:$LQ$60=G$3)*(GMW!$LP$2:$LP$60=G$4)*(GMW!$LR$2:$LR$60=G$1),0),$C171-1966)</f>
        <v>500552</v>
      </c>
      <c r="H171" s="4" cm="1">
        <f t="array" ref="H171">INDEX(GMW!$A$2:$LR$60,MATCH(1,(GMW!$LQ$2:$LQ$60=H$3)*(GMW!$LP$2:$LP$60=H$4)*(GMW!$LR$2:$LR$60=H$1),0),$C171-1966)</f>
        <v>500552</v>
      </c>
      <c r="I171" s="4" cm="1">
        <f t="array" ref="I171">INDEX(GMW!$A$2:$LR$60,MATCH(1,(GMW!$LQ$2:$LQ$60=I$3)*(GMW!$LP$2:$LP$60=I$4)*(GMW!$LR$2:$LR$60=I$1),0),$C171-1966)</f>
        <v>500552</v>
      </c>
      <c r="J171" s="4" cm="1">
        <f t="array" ref="J171">INDEX(GMW!$A$2:$LR$60,MATCH(1,(GMW!$LQ$2:$LQ$60=J$3)*(GMW!$LP$2:$LP$60=J$4)*(GMW!$LR$2:$LR$60=J$1),0),$C171-1966)</f>
        <v>500552</v>
      </c>
      <c r="K171" s="4" cm="1">
        <f t="array" ref="K171">INDEX(GMW!$A$2:$LR$60,MATCH(1,(GMW!$LQ$2:$LQ$60=K$3)*(GMW!$LP$2:$LP$60=K$4)*(GMW!$LR$2:$LR$60=K$1),0),$C171-1966)</f>
        <v>500552</v>
      </c>
      <c r="L171" s="4" cm="1">
        <f t="array" ref="L171">INDEX(GMW!$A$2:$LR$60,MATCH(1,(GMW!$LQ$2:$LQ$60=L$3)*(GMW!$LP$2:$LP$60=L$4)*(GMW!$LR$2:$LR$60=L$1),0),$C171-1966)</f>
        <v>500552</v>
      </c>
      <c r="M171" s="4" cm="1">
        <f t="array" ref="M171">INDEX(GMW!$A$2:$LR$60,MATCH(1,(GMW!$LQ$2:$LQ$60=M$3)*(GMW!$LP$2:$LP$60=M$4)*(GMW!$LR$2:$LR$60=M$1),0),$C171-1966)</f>
        <v>500552</v>
      </c>
      <c r="N171" s="4" cm="1">
        <f t="array" ref="N171">INDEX(GMW!$A$2:$LR$60,MATCH(1,(GMW!$LQ$2:$LQ$60=N$3)*(GMW!$LP$2:$LP$60=N$4)*(GMW!$LR$2:$LR$60=N$1),0),$C171-1966)</f>
        <v>500552</v>
      </c>
      <c r="O171" s="4" cm="1">
        <f t="array" ref="O171">INDEX(GMW!$A$2:$LR$60,MATCH(1,(GMW!$LQ$2:$LQ$60=O$3)*(GMW!$LP$2:$LP$60=O$4)*(GMW!$LR$2:$LR$60=O$1),0),$C171-1966)</f>
        <v>500552</v>
      </c>
      <c r="P171" s="4" cm="1">
        <f t="array" ref="P171">INDEX(GMW!$A$2:$LR$60,MATCH(1,(GMW!$LQ$2:$LQ$60=P$3)*(GMW!$LP$2:$LP$60=P$4)*(GMW!$LR$2:$LR$60=P$1),0),$C171-1966)</f>
        <v>500552</v>
      </c>
      <c r="Q171" s="4" cm="1">
        <f t="array" ref="Q171">INDEX(GMW!$A$2:$LR$60,MATCH(1,(GMW!$LQ$2:$LQ$60=Q$3)*(GMW!$LP$2:$LP$60=Q$4)*(GMW!$LR$2:$LR$60=Q$1),0),$C171-1966)</f>
        <v>500552</v>
      </c>
      <c r="R171" s="4" cm="1">
        <f t="array" ref="R171">INDEX(GMW!$A$2:$LR$60,MATCH(1,(GMW!$LQ$2:$LQ$60=R$3)*(GMW!$LP$2:$LP$60=R$4)*(GMW!$LR$2:$LR$60=R$1),0),$C171-1966)</f>
        <v>500552</v>
      </c>
      <c r="S171" s="4" cm="1">
        <f t="array" ref="S171">INDEX(GMW!$A$2:$LR$60,MATCH(1,(GMW!$LQ$2:$LQ$60=S$3)*(GMW!$LP$2:$LP$60=S$4)*(GMW!$LR$2:$LR$60=S$1),0),$C171-1966)</f>
        <v>500552</v>
      </c>
      <c r="T171" s="4" cm="1">
        <f t="array" ref="T171">INDEX(GMW!$A$2:$LR$60,MATCH(1,(GMW!$LQ$2:$LQ$60=T$3)*(GMW!$LP$2:$LP$60=T$4)*(GMW!$LR$2:$LR$60=T$1),0),$C171-1966)</f>
        <v>500552</v>
      </c>
      <c r="U171" s="4" cm="1">
        <f t="array" ref="U171">INDEX(GMW!$A$2:$LR$60,MATCH(1,(GMW!$LQ$2:$LQ$60=U$3)*(GMW!$LP$2:$LP$60=U$4)*(GMW!$LR$2:$LR$60=U$1),0),$C171-1966)</f>
        <v>467.33330000000001</v>
      </c>
      <c r="V171" s="4" cm="1">
        <f t="array" ref="V171">INDEX(GMW!$A$2:$LR$60,MATCH(1,(GMW!$LQ$2:$LQ$60=V$3)*(GMW!$LP$2:$LP$60=V$4)*(GMW!$LR$2:$LR$60=V$1),0),$C171-1966)</f>
        <v>99.4</v>
      </c>
      <c r="W171" s="4" cm="1">
        <f t="array" ref="W171">INDEX(GMW!$A$2:$LR$60,MATCH(1,(GMW!$LQ$2:$LQ$60=W$3)*(GMW!$LP$2:$LP$60=W$4)*(GMW!$LR$2:$LR$60=W$1),0),$C171-1966)</f>
        <v>101.7667</v>
      </c>
      <c r="X171" s="4" cm="1">
        <f t="array" ref="X171">INDEX(GMW!$A$2:$LR$60,MATCH(1,(GMW!$LQ$2:$LQ$60=X$3)*(GMW!$LP$2:$LP$60=X$4)*(GMW!$LR$2:$LR$60=X$1),0),$C171-1966)</f>
        <v>117.1</v>
      </c>
      <c r="Y171" s="4" cm="1">
        <f t="array" ref="Y171">INDEX(GMW!$A$2:$LR$60,MATCH(1,(GMW!$LQ$2:$LQ$60=Y$3)*(GMW!$LP$2:$LP$60=Y$4)*(GMW!$LR$2:$LR$60=Y$1),0),$C171-1966)</f>
        <v>104.2</v>
      </c>
      <c r="Z171" s="4" cm="1">
        <f t="array" ref="Z171">INDEX(GMW!$A$2:$LR$60,MATCH(1,(GMW!$LQ$2:$LQ$60=Z$3)*(GMW!$LP$2:$LP$60=Z$4)*(GMW!$LR$2:$LR$60=Z$1),0),$C171-1966)</f>
        <v>97.966669999999993</v>
      </c>
      <c r="AA171" s="4" cm="1">
        <f t="array" ref="AA171">INDEX(GMW!$A$2:$LR$60,MATCH(1,(GMW!$LQ$2:$LQ$60=AA$3)*(GMW!$LP$2:$LP$60=AA$4)*(GMW!$LR$2:$LR$60=AA$1),0),$C171-1966)</f>
        <v>304099</v>
      </c>
      <c r="AB171" s="4" cm="1">
        <f t="array" ref="AB171">INDEX(GMW!$A$2:$LR$60,MATCH(1,(GMW!$LQ$2:$LQ$60=AB$3)*(GMW!$LP$2:$LP$60=AB$4)*(GMW!$LR$2:$LR$60=AB$1),0),$C171-1966)</f>
        <v>84610</v>
      </c>
      <c r="AC171" s="4" cm="1">
        <f t="array" ref="AC171">INDEX(GMW!$A$2:$LR$60,MATCH(1,(GMW!$LQ$2:$LQ$60=AC$3)*(GMW!$LP$2:$LP$60=AC$4)*(GMW!$LR$2:$LR$60=AC$1),0),$C171-1966)</f>
        <v>98813</v>
      </c>
      <c r="AD171" s="4" cm="1">
        <f t="array" ref="AD171">INDEX(GMW!$A$2:$LR$60,MATCH(1,(GMW!$LQ$2:$LQ$60=AD$3)*(GMW!$LP$2:$LP$60=AD$4)*(GMW!$LR$2:$LR$60=AD$1),0),$C171-1966)</f>
        <v>144647</v>
      </c>
      <c r="AE171" s="4" cm="1">
        <f t="array" ref="AE171">INDEX(GMW!$A$2:$LR$60,MATCH(1,(GMW!$LQ$2:$LQ$60=AE$3)*(GMW!$LP$2:$LP$60=AE$4)*(GMW!$LR$2:$LR$60=AE$1),0),$C171-1966)</f>
        <v>148993</v>
      </c>
      <c r="AF171" s="4" cm="1">
        <f t="array" ref="AF171">INDEX(GMW!$A$2:$LR$60,MATCH(1,(GMW!$LQ$2:$LQ$60=AF$3)*(GMW!$LP$2:$LP$60=AF$4)*(GMW!$LR$2:$LR$60=AF$1),0),$C171-1966)</f>
        <v>0.72970999999999997</v>
      </c>
      <c r="AG171" s="4" cm="1">
        <f t="array" ref="AG171">INDEX(GMW!$A$2:$LR$60,MATCH(1,(GMW!$LQ$2:$LQ$60=AG$3)*(GMW!$LP$2:$LP$60=AG$4)*(GMW!$LR$2:$LR$60=AG$1),0),$C171-1966)</f>
        <v>1E-3</v>
      </c>
    </row>
    <row r="172" spans="1:33" x14ac:dyDescent="0.25">
      <c r="B172" s="4">
        <f t="shared" si="5"/>
        <v>2014</v>
      </c>
      <c r="C172" s="4">
        <f t="shared" si="4"/>
        <v>2138</v>
      </c>
      <c r="D172" s="4" cm="1">
        <f t="array" ref="D172">INDEX(GMW!$A$2:$LR$60,MATCH(1,(GMW!$LQ$2:$LQ$60=D$3)*(GMW!$LP$2:$LP$60=D$4)*(GMW!$LR$2:$LR$60=D$1),0),$C172-1966)</f>
        <v>504939</v>
      </c>
      <c r="E172" s="4" cm="1">
        <f t="array" ref="E172">INDEX(GMW!$A$2:$LR$60,MATCH(1,(GMW!$LQ$2:$LQ$60=E$3)*(GMW!$LP$2:$LP$60=E$4)*(GMW!$LR$2:$LR$60=E$1),0),$C172-1966)</f>
        <v>504939</v>
      </c>
      <c r="F172" s="4" cm="1">
        <f t="array" ref="F172">INDEX(GMW!$A$2:$LR$60,MATCH(1,(GMW!$LQ$2:$LQ$60=F$3)*(GMW!$LP$2:$LP$60=F$4)*(GMW!$LR$2:$LR$60=F$1),0),$C172-1966)</f>
        <v>504939</v>
      </c>
      <c r="G172" s="4" cm="1">
        <f t="array" ref="G172">INDEX(GMW!$A$2:$LR$60,MATCH(1,(GMW!$LQ$2:$LQ$60=G$3)*(GMW!$LP$2:$LP$60=G$4)*(GMW!$LR$2:$LR$60=G$1),0),$C172-1966)</f>
        <v>504939</v>
      </c>
      <c r="H172" s="4" cm="1">
        <f t="array" ref="H172">INDEX(GMW!$A$2:$LR$60,MATCH(1,(GMW!$LQ$2:$LQ$60=H$3)*(GMW!$LP$2:$LP$60=H$4)*(GMW!$LR$2:$LR$60=H$1),0),$C172-1966)</f>
        <v>504939</v>
      </c>
      <c r="I172" s="4" cm="1">
        <f t="array" ref="I172">INDEX(GMW!$A$2:$LR$60,MATCH(1,(GMW!$LQ$2:$LQ$60=I$3)*(GMW!$LP$2:$LP$60=I$4)*(GMW!$LR$2:$LR$60=I$1),0),$C172-1966)</f>
        <v>504939</v>
      </c>
      <c r="J172" s="4" cm="1">
        <f t="array" ref="J172">INDEX(GMW!$A$2:$LR$60,MATCH(1,(GMW!$LQ$2:$LQ$60=J$3)*(GMW!$LP$2:$LP$60=J$4)*(GMW!$LR$2:$LR$60=J$1),0),$C172-1966)</f>
        <v>504939</v>
      </c>
      <c r="K172" s="4" cm="1">
        <f t="array" ref="K172">INDEX(GMW!$A$2:$LR$60,MATCH(1,(GMW!$LQ$2:$LQ$60=K$3)*(GMW!$LP$2:$LP$60=K$4)*(GMW!$LR$2:$LR$60=K$1),0),$C172-1966)</f>
        <v>504939</v>
      </c>
      <c r="L172" s="4" cm="1">
        <f t="array" ref="L172">INDEX(GMW!$A$2:$LR$60,MATCH(1,(GMW!$LQ$2:$LQ$60=L$3)*(GMW!$LP$2:$LP$60=L$4)*(GMW!$LR$2:$LR$60=L$1),0),$C172-1966)</f>
        <v>504939</v>
      </c>
      <c r="M172" s="4" cm="1">
        <f t="array" ref="M172">INDEX(GMW!$A$2:$LR$60,MATCH(1,(GMW!$LQ$2:$LQ$60=M$3)*(GMW!$LP$2:$LP$60=M$4)*(GMW!$LR$2:$LR$60=M$1),0),$C172-1966)</f>
        <v>504939</v>
      </c>
      <c r="N172" s="4" cm="1">
        <f t="array" ref="N172">INDEX(GMW!$A$2:$LR$60,MATCH(1,(GMW!$LQ$2:$LQ$60=N$3)*(GMW!$LP$2:$LP$60=N$4)*(GMW!$LR$2:$LR$60=N$1),0),$C172-1966)</f>
        <v>504939</v>
      </c>
      <c r="O172" s="4" cm="1">
        <f t="array" ref="O172">INDEX(GMW!$A$2:$LR$60,MATCH(1,(GMW!$LQ$2:$LQ$60=O$3)*(GMW!$LP$2:$LP$60=O$4)*(GMW!$LR$2:$LR$60=O$1),0),$C172-1966)</f>
        <v>504939</v>
      </c>
      <c r="P172" s="4" cm="1">
        <f t="array" ref="P172">INDEX(GMW!$A$2:$LR$60,MATCH(1,(GMW!$LQ$2:$LQ$60=P$3)*(GMW!$LP$2:$LP$60=P$4)*(GMW!$LR$2:$LR$60=P$1),0),$C172-1966)</f>
        <v>504939</v>
      </c>
      <c r="Q172" s="4" cm="1">
        <f t="array" ref="Q172">INDEX(GMW!$A$2:$LR$60,MATCH(1,(GMW!$LQ$2:$LQ$60=Q$3)*(GMW!$LP$2:$LP$60=Q$4)*(GMW!$LR$2:$LR$60=Q$1),0),$C172-1966)</f>
        <v>504939</v>
      </c>
      <c r="R172" s="4" cm="1">
        <f t="array" ref="R172">INDEX(GMW!$A$2:$LR$60,MATCH(1,(GMW!$LQ$2:$LQ$60=R$3)*(GMW!$LP$2:$LP$60=R$4)*(GMW!$LR$2:$LR$60=R$1),0),$C172-1966)</f>
        <v>504939</v>
      </c>
      <c r="S172" s="4" cm="1">
        <f t="array" ref="S172">INDEX(GMW!$A$2:$LR$60,MATCH(1,(GMW!$LQ$2:$LQ$60=S$3)*(GMW!$LP$2:$LP$60=S$4)*(GMW!$LR$2:$LR$60=S$1),0),$C172-1966)</f>
        <v>504939</v>
      </c>
      <c r="T172" s="4" cm="1">
        <f t="array" ref="T172">INDEX(GMW!$A$2:$LR$60,MATCH(1,(GMW!$LQ$2:$LQ$60=T$3)*(GMW!$LP$2:$LP$60=T$4)*(GMW!$LR$2:$LR$60=T$1),0),$C172-1966)</f>
        <v>504939</v>
      </c>
      <c r="U172" s="4" cm="1">
        <f t="array" ref="U172">INDEX(GMW!$A$2:$LR$60,MATCH(1,(GMW!$LQ$2:$LQ$60=U$3)*(GMW!$LP$2:$LP$60=U$4)*(GMW!$LR$2:$LR$60=U$1),0),$C172-1966)</f>
        <v>469.33330000000001</v>
      </c>
      <c r="V172" s="4" cm="1">
        <f t="array" ref="V172">INDEX(GMW!$A$2:$LR$60,MATCH(1,(GMW!$LQ$2:$LQ$60=V$3)*(GMW!$LP$2:$LP$60=V$4)*(GMW!$LR$2:$LR$60=V$1),0),$C172-1966)</f>
        <v>100.1</v>
      </c>
      <c r="W172" s="4" cm="1">
        <f t="array" ref="W172">INDEX(GMW!$A$2:$LR$60,MATCH(1,(GMW!$LQ$2:$LQ$60=W$3)*(GMW!$LP$2:$LP$60=W$4)*(GMW!$LR$2:$LR$60=W$1),0),$C172-1966)</f>
        <v>101.2667</v>
      </c>
      <c r="X172" s="4" cm="1">
        <f t="array" ref="X172">INDEX(GMW!$A$2:$LR$60,MATCH(1,(GMW!$LQ$2:$LQ$60=X$3)*(GMW!$LP$2:$LP$60=X$4)*(GMW!$LR$2:$LR$60=X$1),0),$C172-1966)</f>
        <v>117</v>
      </c>
      <c r="Y172" s="4" cm="1">
        <f t="array" ref="Y172">INDEX(GMW!$A$2:$LR$60,MATCH(1,(GMW!$LQ$2:$LQ$60=Y$3)*(GMW!$LP$2:$LP$60=Y$4)*(GMW!$LR$2:$LR$60=Y$1),0),$C172-1966)</f>
        <v>103.36669999999999</v>
      </c>
      <c r="Z172" s="4" cm="1">
        <f t="array" ref="Z172">INDEX(GMW!$A$2:$LR$60,MATCH(1,(GMW!$LQ$2:$LQ$60=Z$3)*(GMW!$LP$2:$LP$60=Z$4)*(GMW!$LR$2:$LR$60=Z$1),0),$C172-1966)</f>
        <v>99.033330000000007</v>
      </c>
      <c r="AA172" s="4" cm="1">
        <f t="array" ref="AA172">INDEX(GMW!$A$2:$LR$60,MATCH(1,(GMW!$LQ$2:$LQ$60=AA$3)*(GMW!$LP$2:$LP$60=AA$4)*(GMW!$LR$2:$LR$60=AA$1),0),$C172-1966)</f>
        <v>305922</v>
      </c>
      <c r="AB172" s="4" cm="1">
        <f t="array" ref="AB172">INDEX(GMW!$A$2:$LR$60,MATCH(1,(GMW!$LQ$2:$LQ$60=AB$3)*(GMW!$LP$2:$LP$60=AB$4)*(GMW!$LR$2:$LR$60=AB$1),0),$C172-1966)</f>
        <v>84341</v>
      </c>
      <c r="AC172" s="4" cm="1">
        <f t="array" ref="AC172">INDEX(GMW!$A$2:$LR$60,MATCH(1,(GMW!$LQ$2:$LQ$60=AC$3)*(GMW!$LP$2:$LP$60=AC$4)*(GMW!$LR$2:$LR$60=AC$1),0),$C172-1966)</f>
        <v>99424</v>
      </c>
      <c r="AD172" s="4" cm="1">
        <f t="array" ref="AD172">INDEX(GMW!$A$2:$LR$60,MATCH(1,(GMW!$LQ$2:$LQ$60=AD$3)*(GMW!$LP$2:$LP$60=AD$4)*(GMW!$LR$2:$LR$60=AD$1),0),$C172-1966)</f>
        <v>146835</v>
      </c>
      <c r="AE172" s="4" cm="1">
        <f t="array" ref="AE172">INDEX(GMW!$A$2:$LR$60,MATCH(1,(GMW!$LQ$2:$LQ$60=AE$3)*(GMW!$LP$2:$LP$60=AE$4)*(GMW!$LR$2:$LR$60=AE$1),0),$C172-1966)</f>
        <v>149831</v>
      </c>
      <c r="AF172" s="4" cm="1">
        <f t="array" ref="AF172">INDEX(GMW!$A$2:$LR$60,MATCH(1,(GMW!$LQ$2:$LQ$60=AF$3)*(GMW!$LP$2:$LP$60=AF$4)*(GMW!$LR$2:$LR$60=AF$1),0),$C172-1966)</f>
        <v>0.90707000000000004</v>
      </c>
      <c r="AG172" s="4" cm="1">
        <f t="array" ref="AG172">INDEX(GMW!$A$2:$LR$60,MATCH(1,(GMW!$LQ$2:$LQ$60=AG$3)*(GMW!$LP$2:$LP$60=AG$4)*(GMW!$LR$2:$LR$60=AG$1),0),$C172-1966)</f>
        <v>1E-3</v>
      </c>
    </row>
    <row r="173" spans="1:33" x14ac:dyDescent="0.25">
      <c r="B173" s="4">
        <f t="shared" si="5"/>
        <v>2014</v>
      </c>
      <c r="C173" s="4">
        <f t="shared" si="4"/>
        <v>2139</v>
      </c>
      <c r="D173" s="4" cm="1">
        <f t="array" ref="D173">INDEX(GMW!$A$2:$LR$60,MATCH(1,(GMW!$LQ$2:$LQ$60=D$3)*(GMW!$LP$2:$LP$60=D$4)*(GMW!$LR$2:$LR$60=D$1),0),$C173-1966)</f>
        <v>508741</v>
      </c>
      <c r="E173" s="4" cm="1">
        <f t="array" ref="E173">INDEX(GMW!$A$2:$LR$60,MATCH(1,(GMW!$LQ$2:$LQ$60=E$3)*(GMW!$LP$2:$LP$60=E$4)*(GMW!$LR$2:$LR$60=E$1),0),$C173-1966)</f>
        <v>508741</v>
      </c>
      <c r="F173" s="4" cm="1">
        <f t="array" ref="F173">INDEX(GMW!$A$2:$LR$60,MATCH(1,(GMW!$LQ$2:$LQ$60=F$3)*(GMW!$LP$2:$LP$60=F$4)*(GMW!$LR$2:$LR$60=F$1),0),$C173-1966)</f>
        <v>508741</v>
      </c>
      <c r="G173" s="4" cm="1">
        <f t="array" ref="G173">INDEX(GMW!$A$2:$LR$60,MATCH(1,(GMW!$LQ$2:$LQ$60=G$3)*(GMW!$LP$2:$LP$60=G$4)*(GMW!$LR$2:$LR$60=G$1),0),$C173-1966)</f>
        <v>508741</v>
      </c>
      <c r="H173" s="4" cm="1">
        <f t="array" ref="H173">INDEX(GMW!$A$2:$LR$60,MATCH(1,(GMW!$LQ$2:$LQ$60=H$3)*(GMW!$LP$2:$LP$60=H$4)*(GMW!$LR$2:$LR$60=H$1),0),$C173-1966)</f>
        <v>508741</v>
      </c>
      <c r="I173" s="4" cm="1">
        <f t="array" ref="I173">INDEX(GMW!$A$2:$LR$60,MATCH(1,(GMW!$LQ$2:$LQ$60=I$3)*(GMW!$LP$2:$LP$60=I$4)*(GMW!$LR$2:$LR$60=I$1),0),$C173-1966)</f>
        <v>508741</v>
      </c>
      <c r="J173" s="4" cm="1">
        <f t="array" ref="J173">INDEX(GMW!$A$2:$LR$60,MATCH(1,(GMW!$LQ$2:$LQ$60=J$3)*(GMW!$LP$2:$LP$60=J$4)*(GMW!$LR$2:$LR$60=J$1),0),$C173-1966)</f>
        <v>508741</v>
      </c>
      <c r="K173" s="4" cm="1">
        <f t="array" ref="K173">INDEX(GMW!$A$2:$LR$60,MATCH(1,(GMW!$LQ$2:$LQ$60=K$3)*(GMW!$LP$2:$LP$60=K$4)*(GMW!$LR$2:$LR$60=K$1),0),$C173-1966)</f>
        <v>508741</v>
      </c>
      <c r="L173" s="4" cm="1">
        <f t="array" ref="L173">INDEX(GMW!$A$2:$LR$60,MATCH(1,(GMW!$LQ$2:$LQ$60=L$3)*(GMW!$LP$2:$LP$60=L$4)*(GMW!$LR$2:$LR$60=L$1),0),$C173-1966)</f>
        <v>508741</v>
      </c>
      <c r="M173" s="4" cm="1">
        <f t="array" ref="M173">INDEX(GMW!$A$2:$LR$60,MATCH(1,(GMW!$LQ$2:$LQ$60=M$3)*(GMW!$LP$2:$LP$60=M$4)*(GMW!$LR$2:$LR$60=M$1),0),$C173-1966)</f>
        <v>508741</v>
      </c>
      <c r="N173" s="4" cm="1">
        <f t="array" ref="N173">INDEX(GMW!$A$2:$LR$60,MATCH(1,(GMW!$LQ$2:$LQ$60=N$3)*(GMW!$LP$2:$LP$60=N$4)*(GMW!$LR$2:$LR$60=N$1),0),$C173-1966)</f>
        <v>508741</v>
      </c>
      <c r="O173" s="4" cm="1">
        <f t="array" ref="O173">INDEX(GMW!$A$2:$LR$60,MATCH(1,(GMW!$LQ$2:$LQ$60=O$3)*(GMW!$LP$2:$LP$60=O$4)*(GMW!$LR$2:$LR$60=O$1),0),$C173-1966)</f>
        <v>508741</v>
      </c>
      <c r="P173" s="4" cm="1">
        <f t="array" ref="P173">INDEX(GMW!$A$2:$LR$60,MATCH(1,(GMW!$LQ$2:$LQ$60=P$3)*(GMW!$LP$2:$LP$60=P$4)*(GMW!$LR$2:$LR$60=P$1),0),$C173-1966)</f>
        <v>508741</v>
      </c>
      <c r="Q173" s="4" cm="1">
        <f t="array" ref="Q173">INDEX(GMW!$A$2:$LR$60,MATCH(1,(GMW!$LQ$2:$LQ$60=Q$3)*(GMW!$LP$2:$LP$60=Q$4)*(GMW!$LR$2:$LR$60=Q$1),0),$C173-1966)</f>
        <v>508741</v>
      </c>
      <c r="R173" s="4" cm="1">
        <f t="array" ref="R173">INDEX(GMW!$A$2:$LR$60,MATCH(1,(GMW!$LQ$2:$LQ$60=R$3)*(GMW!$LP$2:$LP$60=R$4)*(GMW!$LR$2:$LR$60=R$1),0),$C173-1966)</f>
        <v>508741</v>
      </c>
      <c r="S173" s="4" cm="1">
        <f t="array" ref="S173">INDEX(GMW!$A$2:$LR$60,MATCH(1,(GMW!$LQ$2:$LQ$60=S$3)*(GMW!$LP$2:$LP$60=S$4)*(GMW!$LR$2:$LR$60=S$1),0),$C173-1966)</f>
        <v>508741</v>
      </c>
      <c r="T173" s="4" cm="1">
        <f t="array" ref="T173">INDEX(GMW!$A$2:$LR$60,MATCH(1,(GMW!$LQ$2:$LQ$60=T$3)*(GMW!$LP$2:$LP$60=T$4)*(GMW!$LR$2:$LR$60=T$1),0),$C173-1966)</f>
        <v>508741</v>
      </c>
      <c r="U173" s="4" cm="1">
        <f t="array" ref="U173">INDEX(GMW!$A$2:$LR$60,MATCH(1,(GMW!$LQ$2:$LQ$60=U$3)*(GMW!$LP$2:$LP$60=U$4)*(GMW!$LR$2:$LR$60=U$1),0),$C173-1966)</f>
        <v>470</v>
      </c>
      <c r="V173" s="4" cm="1">
        <f t="array" ref="V173">INDEX(GMW!$A$2:$LR$60,MATCH(1,(GMW!$LQ$2:$LQ$60=V$3)*(GMW!$LP$2:$LP$60=V$4)*(GMW!$LR$2:$LR$60=V$1),0),$C173-1966)</f>
        <v>100.13330000000001</v>
      </c>
      <c r="W173" s="4" cm="1">
        <f t="array" ref="W173">INDEX(GMW!$A$2:$LR$60,MATCH(1,(GMW!$LQ$2:$LQ$60=W$3)*(GMW!$LP$2:$LP$60=W$4)*(GMW!$LR$2:$LR$60=W$1),0),$C173-1966)</f>
        <v>101</v>
      </c>
      <c r="X173" s="4" cm="1">
        <f t="array" ref="X173">INDEX(GMW!$A$2:$LR$60,MATCH(1,(GMW!$LQ$2:$LQ$60=X$3)*(GMW!$LP$2:$LP$60=X$4)*(GMW!$LR$2:$LR$60=X$1),0),$C173-1966)</f>
        <v>116.5333</v>
      </c>
      <c r="Y173" s="4" cm="1">
        <f t="array" ref="Y173">INDEX(GMW!$A$2:$LR$60,MATCH(1,(GMW!$LQ$2:$LQ$60=Y$3)*(GMW!$LP$2:$LP$60=Y$4)*(GMW!$LR$2:$LR$60=Y$1),0),$C173-1966)</f>
        <v>103.2667</v>
      </c>
      <c r="Z173" s="4" cm="1">
        <f t="array" ref="Z173">INDEX(GMW!$A$2:$LR$60,MATCH(1,(GMW!$LQ$2:$LQ$60=Z$3)*(GMW!$LP$2:$LP$60=Z$4)*(GMW!$LR$2:$LR$60=Z$1),0),$C173-1966)</f>
        <v>99.166659999999993</v>
      </c>
      <c r="AA173" s="4" cm="1">
        <f t="array" ref="AA173">INDEX(GMW!$A$2:$LR$60,MATCH(1,(GMW!$LQ$2:$LQ$60=AA$3)*(GMW!$LP$2:$LP$60=AA$4)*(GMW!$LR$2:$LR$60=AA$1),0),$C173-1966)</f>
        <v>310968</v>
      </c>
      <c r="AB173" s="4" cm="1">
        <f t="array" ref="AB173">INDEX(GMW!$A$2:$LR$60,MATCH(1,(GMW!$LQ$2:$LQ$60=AB$3)*(GMW!$LP$2:$LP$60=AB$4)*(GMW!$LR$2:$LR$60=AB$1),0),$C173-1966)</f>
        <v>85844</v>
      </c>
      <c r="AC173" s="4" cm="1">
        <f t="array" ref="AC173">INDEX(GMW!$A$2:$LR$60,MATCH(1,(GMW!$LQ$2:$LQ$60=AC$3)*(GMW!$LP$2:$LP$60=AC$4)*(GMW!$LR$2:$LR$60=AC$1),0),$C173-1966)</f>
        <v>99523</v>
      </c>
      <c r="AD173" s="4" cm="1">
        <f t="array" ref="AD173">INDEX(GMW!$A$2:$LR$60,MATCH(1,(GMW!$LQ$2:$LQ$60=AD$3)*(GMW!$LP$2:$LP$60=AD$4)*(GMW!$LR$2:$LR$60=AD$1),0),$C173-1966)</f>
        <v>147275</v>
      </c>
      <c r="AE173" s="4" cm="1">
        <f t="array" ref="AE173">INDEX(GMW!$A$2:$LR$60,MATCH(1,(GMW!$LQ$2:$LQ$60=AE$3)*(GMW!$LP$2:$LP$60=AE$4)*(GMW!$LR$2:$LR$60=AE$1),0),$C173-1966)</f>
        <v>155251</v>
      </c>
      <c r="AF173" s="4" cm="1">
        <f t="array" ref="AF173">INDEX(GMW!$A$2:$LR$60,MATCH(1,(GMW!$LQ$2:$LQ$60=AF$3)*(GMW!$LP$2:$LP$60=AF$4)*(GMW!$LR$2:$LR$60=AF$1),0),$C173-1966)</f>
        <v>0.97910770000000003</v>
      </c>
      <c r="AG173" s="4" cm="1">
        <f t="array" ref="AG173">INDEX(GMW!$A$2:$LR$60,MATCH(1,(GMW!$LQ$2:$LQ$60=AG$3)*(GMW!$LP$2:$LP$60=AG$4)*(GMW!$LR$2:$LR$60=AG$1),0),$C173-1966)</f>
        <v>1.6628039999999999</v>
      </c>
    </row>
    <row r="174" spans="1:33" x14ac:dyDescent="0.25">
      <c r="B174" s="4">
        <f t="shared" si="5"/>
        <v>2014</v>
      </c>
      <c r="C174" s="4">
        <f t="shared" si="4"/>
        <v>2140</v>
      </c>
      <c r="D174" s="4" cm="1">
        <f t="array" ref="D174">INDEX(GMW!$A$2:$LR$60,MATCH(1,(GMW!$LQ$2:$LQ$60=D$3)*(GMW!$LP$2:$LP$60=D$4)*(GMW!$LR$2:$LR$60=D$1),0),$C174-1966)</f>
        <v>512334</v>
      </c>
      <c r="E174" s="4" cm="1">
        <f t="array" ref="E174">INDEX(GMW!$A$2:$LR$60,MATCH(1,(GMW!$LQ$2:$LQ$60=E$3)*(GMW!$LP$2:$LP$60=E$4)*(GMW!$LR$2:$LR$60=E$1),0),$C174-1966)</f>
        <v>512334</v>
      </c>
      <c r="F174" s="4" cm="1">
        <f t="array" ref="F174">INDEX(GMW!$A$2:$LR$60,MATCH(1,(GMW!$LQ$2:$LQ$60=F$3)*(GMW!$LP$2:$LP$60=F$4)*(GMW!$LR$2:$LR$60=F$1),0),$C174-1966)</f>
        <v>512334</v>
      </c>
      <c r="G174" s="4" cm="1">
        <f t="array" ref="G174">INDEX(GMW!$A$2:$LR$60,MATCH(1,(GMW!$LQ$2:$LQ$60=G$3)*(GMW!$LP$2:$LP$60=G$4)*(GMW!$LR$2:$LR$60=G$1),0),$C174-1966)</f>
        <v>512334</v>
      </c>
      <c r="H174" s="4" cm="1">
        <f t="array" ref="H174">INDEX(GMW!$A$2:$LR$60,MATCH(1,(GMW!$LQ$2:$LQ$60=H$3)*(GMW!$LP$2:$LP$60=H$4)*(GMW!$LR$2:$LR$60=H$1),0),$C174-1966)</f>
        <v>512334</v>
      </c>
      <c r="I174" s="4" cm="1">
        <f t="array" ref="I174">INDEX(GMW!$A$2:$LR$60,MATCH(1,(GMW!$LQ$2:$LQ$60=I$3)*(GMW!$LP$2:$LP$60=I$4)*(GMW!$LR$2:$LR$60=I$1),0),$C174-1966)</f>
        <v>512334</v>
      </c>
      <c r="J174" s="4" cm="1">
        <f t="array" ref="J174">INDEX(GMW!$A$2:$LR$60,MATCH(1,(GMW!$LQ$2:$LQ$60=J$3)*(GMW!$LP$2:$LP$60=J$4)*(GMW!$LR$2:$LR$60=J$1),0),$C174-1966)</f>
        <v>512334</v>
      </c>
      <c r="K174" s="4" cm="1">
        <f t="array" ref="K174">INDEX(GMW!$A$2:$LR$60,MATCH(1,(GMW!$LQ$2:$LQ$60=K$3)*(GMW!$LP$2:$LP$60=K$4)*(GMW!$LR$2:$LR$60=K$1),0),$C174-1966)</f>
        <v>512334</v>
      </c>
      <c r="L174" s="4" cm="1">
        <f t="array" ref="L174">INDEX(GMW!$A$2:$LR$60,MATCH(1,(GMW!$LQ$2:$LQ$60=L$3)*(GMW!$LP$2:$LP$60=L$4)*(GMW!$LR$2:$LR$60=L$1),0),$C174-1966)</f>
        <v>512334</v>
      </c>
      <c r="M174" s="4" cm="1">
        <f t="array" ref="M174">INDEX(GMW!$A$2:$LR$60,MATCH(1,(GMW!$LQ$2:$LQ$60=M$3)*(GMW!$LP$2:$LP$60=M$4)*(GMW!$LR$2:$LR$60=M$1),0),$C174-1966)</f>
        <v>512334</v>
      </c>
      <c r="N174" s="4" cm="1">
        <f t="array" ref="N174">INDEX(GMW!$A$2:$LR$60,MATCH(1,(GMW!$LQ$2:$LQ$60=N$3)*(GMW!$LP$2:$LP$60=N$4)*(GMW!$LR$2:$LR$60=N$1),0),$C174-1966)</f>
        <v>512334</v>
      </c>
      <c r="O174" s="4" cm="1">
        <f t="array" ref="O174">INDEX(GMW!$A$2:$LR$60,MATCH(1,(GMW!$LQ$2:$LQ$60=O$3)*(GMW!$LP$2:$LP$60=O$4)*(GMW!$LR$2:$LR$60=O$1),0),$C174-1966)</f>
        <v>512334</v>
      </c>
      <c r="P174" s="4" cm="1">
        <f t="array" ref="P174">INDEX(GMW!$A$2:$LR$60,MATCH(1,(GMW!$LQ$2:$LQ$60=P$3)*(GMW!$LP$2:$LP$60=P$4)*(GMW!$LR$2:$LR$60=P$1),0),$C174-1966)</f>
        <v>512334</v>
      </c>
      <c r="Q174" s="4" cm="1">
        <f t="array" ref="Q174">INDEX(GMW!$A$2:$LR$60,MATCH(1,(GMW!$LQ$2:$LQ$60=Q$3)*(GMW!$LP$2:$LP$60=Q$4)*(GMW!$LR$2:$LR$60=Q$1),0),$C174-1966)</f>
        <v>512334</v>
      </c>
      <c r="R174" s="4" cm="1">
        <f t="array" ref="R174">INDEX(GMW!$A$2:$LR$60,MATCH(1,(GMW!$LQ$2:$LQ$60=R$3)*(GMW!$LP$2:$LP$60=R$4)*(GMW!$LR$2:$LR$60=R$1),0),$C174-1966)</f>
        <v>512334</v>
      </c>
      <c r="S174" s="4" cm="1">
        <f t="array" ref="S174">INDEX(GMW!$A$2:$LR$60,MATCH(1,(GMW!$LQ$2:$LQ$60=S$3)*(GMW!$LP$2:$LP$60=S$4)*(GMW!$LR$2:$LR$60=S$1),0),$C174-1966)</f>
        <v>512334</v>
      </c>
      <c r="T174" s="4" cm="1">
        <f t="array" ref="T174">INDEX(GMW!$A$2:$LR$60,MATCH(1,(GMW!$LQ$2:$LQ$60=T$3)*(GMW!$LP$2:$LP$60=T$4)*(GMW!$LR$2:$LR$60=T$1),0),$C174-1966)</f>
        <v>512334</v>
      </c>
      <c r="U174" s="4" cm="1">
        <f t="array" ref="U174">INDEX(GMW!$A$2:$LR$60,MATCH(1,(GMW!$LQ$2:$LQ$60=U$3)*(GMW!$LP$2:$LP$60=U$4)*(GMW!$LR$2:$LR$60=U$1),0),$C174-1966)</f>
        <v>476</v>
      </c>
      <c r="V174" s="4" cm="1">
        <f t="array" ref="V174">INDEX(GMW!$A$2:$LR$60,MATCH(1,(GMW!$LQ$2:$LQ$60=V$3)*(GMW!$LP$2:$LP$60=V$4)*(GMW!$LR$2:$LR$60=V$1),0),$C174-1966)</f>
        <v>100.2</v>
      </c>
      <c r="W174" s="4" cm="1">
        <f t="array" ref="W174">INDEX(GMW!$A$2:$LR$60,MATCH(1,(GMW!$LQ$2:$LQ$60=W$3)*(GMW!$LP$2:$LP$60=W$4)*(GMW!$LR$2:$LR$60=W$1),0),$C174-1966)</f>
        <v>101.0667</v>
      </c>
      <c r="X174" s="4" cm="1">
        <f t="array" ref="X174">INDEX(GMW!$A$2:$LR$60,MATCH(1,(GMW!$LQ$2:$LQ$60=X$3)*(GMW!$LP$2:$LP$60=X$4)*(GMW!$LR$2:$LR$60=X$1),0),$C174-1966)</f>
        <v>109.9333</v>
      </c>
      <c r="Y174" s="4" cm="1">
        <f t="array" ref="Y174">INDEX(GMW!$A$2:$LR$60,MATCH(1,(GMW!$LQ$2:$LQ$60=Y$3)*(GMW!$LP$2:$LP$60=Y$4)*(GMW!$LR$2:$LR$60=Y$1),0),$C174-1966)</f>
        <v>102.9333</v>
      </c>
      <c r="Z174" s="4" cm="1">
        <f t="array" ref="Z174">INDEX(GMW!$A$2:$LR$60,MATCH(1,(GMW!$LQ$2:$LQ$60=Z$3)*(GMW!$LP$2:$LP$60=Z$4)*(GMW!$LR$2:$LR$60=Z$1),0),$C174-1966)</f>
        <v>99.533330000000007</v>
      </c>
      <c r="AA174" s="4" cm="1">
        <f t="array" ref="AA174">INDEX(GMW!$A$2:$LR$60,MATCH(1,(GMW!$LQ$2:$LQ$60=AA$3)*(GMW!$LP$2:$LP$60=AA$4)*(GMW!$LR$2:$LR$60=AA$1),0),$C174-1966)</f>
        <v>312961</v>
      </c>
      <c r="AB174" s="4" cm="1">
        <f t="array" ref="AB174">INDEX(GMW!$A$2:$LR$60,MATCH(1,(GMW!$LQ$2:$LQ$60=AB$3)*(GMW!$LP$2:$LP$60=AB$4)*(GMW!$LR$2:$LR$60=AB$1),0),$C174-1966)</f>
        <v>88045</v>
      </c>
      <c r="AC174" s="4" cm="1">
        <f t="array" ref="AC174">INDEX(GMW!$A$2:$LR$60,MATCH(1,(GMW!$LQ$2:$LQ$60=AC$3)*(GMW!$LP$2:$LP$60=AC$4)*(GMW!$LR$2:$LR$60=AC$1),0),$C174-1966)</f>
        <v>99309</v>
      </c>
      <c r="AD174" s="4" cm="1">
        <f t="array" ref="AD174">INDEX(GMW!$A$2:$LR$60,MATCH(1,(GMW!$LQ$2:$LQ$60=AD$3)*(GMW!$LP$2:$LP$60=AD$4)*(GMW!$LR$2:$LR$60=AD$1),0),$C174-1966)</f>
        <v>151503</v>
      </c>
      <c r="AE174" s="4" cm="1">
        <f t="array" ref="AE174">INDEX(GMW!$A$2:$LR$60,MATCH(1,(GMW!$LQ$2:$LQ$60=AE$3)*(GMW!$LP$2:$LP$60=AE$4)*(GMW!$LR$2:$LR$60=AE$1),0),$C174-1966)</f>
        <v>164813</v>
      </c>
      <c r="AF174" s="4" cm="1">
        <f t="array" ref="AF174">INDEX(GMW!$A$2:$LR$60,MATCH(1,(GMW!$LQ$2:$LQ$60=AF$3)*(GMW!$LP$2:$LP$60=AF$4)*(GMW!$LR$2:$LR$60=AF$1),0),$C174-1966)</f>
        <v>0.77225880000000002</v>
      </c>
      <c r="AG174" s="4" cm="1">
        <f t="array" ref="AG174">INDEX(GMW!$A$2:$LR$60,MATCH(1,(GMW!$LQ$2:$LQ$60=AG$3)*(GMW!$LP$2:$LP$60=AG$4)*(GMW!$LR$2:$LR$60=AG$1),0),$C174-1966)</f>
        <v>1.3238080000000001</v>
      </c>
    </row>
    <row r="175" spans="1:33" x14ac:dyDescent="0.25">
      <c r="A175" s="4">
        <v>2015</v>
      </c>
      <c r="B175" s="4">
        <f t="shared" si="5"/>
        <v>2015</v>
      </c>
      <c r="C175" s="4">
        <f t="shared" si="4"/>
        <v>2141</v>
      </c>
      <c r="D175" s="4" cm="1">
        <f t="array" ref="D175">INDEX(GMW!$A$2:$LR$60,MATCH(1,(GMW!$LQ$2:$LQ$60=D$3)*(GMW!$LP$2:$LP$60=D$4)*(GMW!$LR$2:$LR$60=D$1),0),$C175-1966)</f>
        <v>513850</v>
      </c>
      <c r="E175" s="4" cm="1">
        <f t="array" ref="E175">INDEX(GMW!$A$2:$LR$60,MATCH(1,(GMW!$LQ$2:$LQ$60=E$3)*(GMW!$LP$2:$LP$60=E$4)*(GMW!$LR$2:$LR$60=E$1),0),$C175-1966)</f>
        <v>513850</v>
      </c>
      <c r="F175" s="4" cm="1">
        <f t="array" ref="F175">INDEX(GMW!$A$2:$LR$60,MATCH(1,(GMW!$LQ$2:$LQ$60=F$3)*(GMW!$LP$2:$LP$60=F$4)*(GMW!$LR$2:$LR$60=F$1),0),$C175-1966)</f>
        <v>513850</v>
      </c>
      <c r="G175" s="4" cm="1">
        <f t="array" ref="G175">INDEX(GMW!$A$2:$LR$60,MATCH(1,(GMW!$LQ$2:$LQ$60=G$3)*(GMW!$LP$2:$LP$60=G$4)*(GMW!$LR$2:$LR$60=G$1),0),$C175-1966)</f>
        <v>513850</v>
      </c>
      <c r="H175" s="4" cm="1">
        <f t="array" ref="H175">INDEX(GMW!$A$2:$LR$60,MATCH(1,(GMW!$LQ$2:$LQ$60=H$3)*(GMW!$LP$2:$LP$60=H$4)*(GMW!$LR$2:$LR$60=H$1),0),$C175-1966)</f>
        <v>513850</v>
      </c>
      <c r="I175" s="4" cm="1">
        <f t="array" ref="I175">INDEX(GMW!$A$2:$LR$60,MATCH(1,(GMW!$LQ$2:$LQ$60=I$3)*(GMW!$LP$2:$LP$60=I$4)*(GMW!$LR$2:$LR$60=I$1),0),$C175-1966)</f>
        <v>513850</v>
      </c>
      <c r="J175" s="4" cm="1">
        <f t="array" ref="J175">INDEX(GMW!$A$2:$LR$60,MATCH(1,(GMW!$LQ$2:$LQ$60=J$3)*(GMW!$LP$2:$LP$60=J$4)*(GMW!$LR$2:$LR$60=J$1),0),$C175-1966)</f>
        <v>513850</v>
      </c>
      <c r="K175" s="4" cm="1">
        <f t="array" ref="K175">INDEX(GMW!$A$2:$LR$60,MATCH(1,(GMW!$LQ$2:$LQ$60=K$3)*(GMW!$LP$2:$LP$60=K$4)*(GMW!$LR$2:$LR$60=K$1),0),$C175-1966)</f>
        <v>513850</v>
      </c>
      <c r="L175" s="4" cm="1">
        <f t="array" ref="L175">INDEX(GMW!$A$2:$LR$60,MATCH(1,(GMW!$LQ$2:$LQ$60=L$3)*(GMW!$LP$2:$LP$60=L$4)*(GMW!$LR$2:$LR$60=L$1),0),$C175-1966)</f>
        <v>513850</v>
      </c>
      <c r="M175" s="4" cm="1">
        <f t="array" ref="M175">INDEX(GMW!$A$2:$LR$60,MATCH(1,(GMW!$LQ$2:$LQ$60=M$3)*(GMW!$LP$2:$LP$60=M$4)*(GMW!$LR$2:$LR$60=M$1),0),$C175-1966)</f>
        <v>513850</v>
      </c>
      <c r="N175" s="4" cm="1">
        <f t="array" ref="N175">INDEX(GMW!$A$2:$LR$60,MATCH(1,(GMW!$LQ$2:$LQ$60=N$3)*(GMW!$LP$2:$LP$60=N$4)*(GMW!$LR$2:$LR$60=N$1),0),$C175-1966)</f>
        <v>513850</v>
      </c>
      <c r="O175" s="4" cm="1">
        <f t="array" ref="O175">INDEX(GMW!$A$2:$LR$60,MATCH(1,(GMW!$LQ$2:$LQ$60=O$3)*(GMW!$LP$2:$LP$60=O$4)*(GMW!$LR$2:$LR$60=O$1),0),$C175-1966)</f>
        <v>513850</v>
      </c>
      <c r="P175" s="4" cm="1">
        <f t="array" ref="P175">INDEX(GMW!$A$2:$LR$60,MATCH(1,(GMW!$LQ$2:$LQ$60=P$3)*(GMW!$LP$2:$LP$60=P$4)*(GMW!$LR$2:$LR$60=P$1),0),$C175-1966)</f>
        <v>513850</v>
      </c>
      <c r="Q175" s="4" cm="1">
        <f t="array" ref="Q175">INDEX(GMW!$A$2:$LR$60,MATCH(1,(GMW!$LQ$2:$LQ$60=Q$3)*(GMW!$LP$2:$LP$60=Q$4)*(GMW!$LR$2:$LR$60=Q$1),0),$C175-1966)</f>
        <v>513850</v>
      </c>
      <c r="R175" s="4" cm="1">
        <f t="array" ref="R175">INDEX(GMW!$A$2:$LR$60,MATCH(1,(GMW!$LQ$2:$LQ$60=R$3)*(GMW!$LP$2:$LP$60=R$4)*(GMW!$LR$2:$LR$60=R$1),0),$C175-1966)</f>
        <v>513850</v>
      </c>
      <c r="S175" s="4" cm="1">
        <f t="array" ref="S175">INDEX(GMW!$A$2:$LR$60,MATCH(1,(GMW!$LQ$2:$LQ$60=S$3)*(GMW!$LP$2:$LP$60=S$4)*(GMW!$LR$2:$LR$60=S$1),0),$C175-1966)</f>
        <v>513850</v>
      </c>
      <c r="T175" s="4" cm="1">
        <f t="array" ref="T175">INDEX(GMW!$A$2:$LR$60,MATCH(1,(GMW!$LQ$2:$LQ$60=T$3)*(GMW!$LP$2:$LP$60=T$4)*(GMW!$LR$2:$LR$60=T$1),0),$C175-1966)</f>
        <v>513850</v>
      </c>
      <c r="U175" s="4" cm="1">
        <f t="array" ref="U175">INDEX(GMW!$A$2:$LR$60,MATCH(1,(GMW!$LQ$2:$LQ$60=U$3)*(GMW!$LP$2:$LP$60=U$4)*(GMW!$LR$2:$LR$60=U$1),0),$C175-1966)</f>
        <v>478</v>
      </c>
      <c r="V175" s="4" cm="1">
        <f t="array" ref="V175">INDEX(GMW!$A$2:$LR$60,MATCH(1,(GMW!$LQ$2:$LQ$60=V$3)*(GMW!$LP$2:$LP$60=V$4)*(GMW!$LR$2:$LR$60=V$1),0),$C175-1966)</f>
        <v>99.5</v>
      </c>
      <c r="W175" s="4" cm="1">
        <f t="array" ref="W175">INDEX(GMW!$A$2:$LR$60,MATCH(1,(GMW!$LQ$2:$LQ$60=W$3)*(GMW!$LP$2:$LP$60=W$4)*(GMW!$LR$2:$LR$60=W$1),0),$C175-1966)</f>
        <v>100.63330000000001</v>
      </c>
      <c r="X175" s="4" cm="1">
        <f t="array" ref="X175">INDEX(GMW!$A$2:$LR$60,MATCH(1,(GMW!$LQ$2:$LQ$60=X$3)*(GMW!$LP$2:$LP$60=X$4)*(GMW!$LR$2:$LR$60=X$1),0),$C175-1966)</f>
        <v>98.933329999999998</v>
      </c>
      <c r="Y175" s="4" cm="1">
        <f t="array" ref="Y175">INDEX(GMW!$A$2:$LR$60,MATCH(1,(GMW!$LQ$2:$LQ$60=Y$3)*(GMW!$LP$2:$LP$60=Y$4)*(GMW!$LR$2:$LR$60=Y$1),0),$C175-1966)</f>
        <v>101.5333</v>
      </c>
      <c r="Z175" s="4" cm="1">
        <f t="array" ref="Z175">INDEX(GMW!$A$2:$LR$60,MATCH(1,(GMW!$LQ$2:$LQ$60=Z$3)*(GMW!$LP$2:$LP$60=Z$4)*(GMW!$LR$2:$LR$60=Z$1),0),$C175-1966)</f>
        <v>99.2</v>
      </c>
      <c r="AA175" s="4" cm="1">
        <f t="array" ref="AA175">INDEX(GMW!$A$2:$LR$60,MATCH(1,(GMW!$LQ$2:$LQ$60=AA$3)*(GMW!$LP$2:$LP$60=AA$4)*(GMW!$LR$2:$LR$60=AA$1),0),$C175-1966)</f>
        <v>314551</v>
      </c>
      <c r="AB175" s="4" cm="1">
        <f t="array" ref="AB175">INDEX(GMW!$A$2:$LR$60,MATCH(1,(GMW!$LQ$2:$LQ$60=AB$3)*(GMW!$LP$2:$LP$60=AB$4)*(GMW!$LR$2:$LR$60=AB$1),0),$C175-1966)</f>
        <v>91127</v>
      </c>
      <c r="AC175" s="4" cm="1">
        <f t="array" ref="AC175">INDEX(GMW!$A$2:$LR$60,MATCH(1,(GMW!$LQ$2:$LQ$60=AC$3)*(GMW!$LP$2:$LP$60=AC$4)*(GMW!$LR$2:$LR$60=AC$1),0),$C175-1966)</f>
        <v>99538</v>
      </c>
      <c r="AD175" s="4" cm="1">
        <f t="array" ref="AD175">INDEX(GMW!$A$2:$LR$60,MATCH(1,(GMW!$LQ$2:$LQ$60=AD$3)*(GMW!$LP$2:$LP$60=AD$4)*(GMW!$LR$2:$LR$60=AD$1),0),$C175-1966)</f>
        <v>150951</v>
      </c>
      <c r="AE175" s="4" cm="1">
        <f t="array" ref="AE175">INDEX(GMW!$A$2:$LR$60,MATCH(1,(GMW!$LQ$2:$LQ$60=AE$3)*(GMW!$LP$2:$LP$60=AE$4)*(GMW!$LR$2:$LR$60=AE$1),0),$C175-1966)</f>
        <v>163588</v>
      </c>
      <c r="AF175" s="4" cm="1">
        <f t="array" ref="AF175">INDEX(GMW!$A$2:$LR$60,MATCH(1,(GMW!$LQ$2:$LQ$60=AF$3)*(GMW!$LP$2:$LP$60=AF$4)*(GMW!$LR$2:$LR$60=AF$1),0),$C175-1966)</f>
        <v>0.65256449999999999</v>
      </c>
      <c r="AG175" s="4" cm="1">
        <f t="array" ref="AG175">INDEX(GMW!$A$2:$LR$60,MATCH(1,(GMW!$LQ$2:$LQ$60=AG$3)*(GMW!$LP$2:$LP$60=AG$4)*(GMW!$LR$2:$LR$60=AG$1),0),$C175-1966)</f>
        <v>1.0758099999999999</v>
      </c>
    </row>
    <row r="176" spans="1:33" x14ac:dyDescent="0.25">
      <c r="B176" s="4">
        <f t="shared" si="5"/>
        <v>2015</v>
      </c>
      <c r="C176" s="4">
        <f t="shared" si="4"/>
        <v>2142</v>
      </c>
      <c r="D176" s="4" cm="1">
        <f t="array" ref="D176">INDEX(GMW!$A$2:$LR$60,MATCH(1,(GMW!$LQ$2:$LQ$60=D$3)*(GMW!$LP$2:$LP$60=D$4)*(GMW!$LR$2:$LR$60=D$1),0),$C176-1966)</f>
        <v>516876</v>
      </c>
      <c r="E176" s="4" cm="1">
        <f t="array" ref="E176">INDEX(GMW!$A$2:$LR$60,MATCH(1,(GMW!$LQ$2:$LQ$60=E$3)*(GMW!$LP$2:$LP$60=E$4)*(GMW!$LR$2:$LR$60=E$1),0),$C176-1966)</f>
        <v>516876</v>
      </c>
      <c r="F176" s="4" cm="1">
        <f t="array" ref="F176">INDEX(GMW!$A$2:$LR$60,MATCH(1,(GMW!$LQ$2:$LQ$60=F$3)*(GMW!$LP$2:$LP$60=F$4)*(GMW!$LR$2:$LR$60=F$1),0),$C176-1966)</f>
        <v>516876</v>
      </c>
      <c r="G176" s="4" cm="1">
        <f t="array" ref="G176">INDEX(GMW!$A$2:$LR$60,MATCH(1,(GMW!$LQ$2:$LQ$60=G$3)*(GMW!$LP$2:$LP$60=G$4)*(GMW!$LR$2:$LR$60=G$1),0),$C176-1966)</f>
        <v>516876</v>
      </c>
      <c r="H176" s="4" cm="1">
        <f t="array" ref="H176">INDEX(GMW!$A$2:$LR$60,MATCH(1,(GMW!$LQ$2:$LQ$60=H$3)*(GMW!$LP$2:$LP$60=H$4)*(GMW!$LR$2:$LR$60=H$1),0),$C176-1966)</f>
        <v>516876</v>
      </c>
      <c r="I176" s="4" cm="1">
        <f t="array" ref="I176">INDEX(GMW!$A$2:$LR$60,MATCH(1,(GMW!$LQ$2:$LQ$60=I$3)*(GMW!$LP$2:$LP$60=I$4)*(GMW!$LR$2:$LR$60=I$1),0),$C176-1966)</f>
        <v>516876</v>
      </c>
      <c r="J176" s="4" cm="1">
        <f t="array" ref="J176">INDEX(GMW!$A$2:$LR$60,MATCH(1,(GMW!$LQ$2:$LQ$60=J$3)*(GMW!$LP$2:$LP$60=J$4)*(GMW!$LR$2:$LR$60=J$1),0),$C176-1966)</f>
        <v>516876</v>
      </c>
      <c r="K176" s="4" cm="1">
        <f t="array" ref="K176">INDEX(GMW!$A$2:$LR$60,MATCH(1,(GMW!$LQ$2:$LQ$60=K$3)*(GMW!$LP$2:$LP$60=K$4)*(GMW!$LR$2:$LR$60=K$1),0),$C176-1966)</f>
        <v>516876</v>
      </c>
      <c r="L176" s="4" cm="1">
        <f t="array" ref="L176">INDEX(GMW!$A$2:$LR$60,MATCH(1,(GMW!$LQ$2:$LQ$60=L$3)*(GMW!$LP$2:$LP$60=L$4)*(GMW!$LR$2:$LR$60=L$1),0),$C176-1966)</f>
        <v>516876</v>
      </c>
      <c r="M176" s="4" cm="1">
        <f t="array" ref="M176">INDEX(GMW!$A$2:$LR$60,MATCH(1,(GMW!$LQ$2:$LQ$60=M$3)*(GMW!$LP$2:$LP$60=M$4)*(GMW!$LR$2:$LR$60=M$1),0),$C176-1966)</f>
        <v>516876</v>
      </c>
      <c r="N176" s="4" cm="1">
        <f t="array" ref="N176">INDEX(GMW!$A$2:$LR$60,MATCH(1,(GMW!$LQ$2:$LQ$60=N$3)*(GMW!$LP$2:$LP$60=N$4)*(GMW!$LR$2:$LR$60=N$1),0),$C176-1966)</f>
        <v>516876</v>
      </c>
      <c r="O176" s="4" cm="1">
        <f t="array" ref="O176">INDEX(GMW!$A$2:$LR$60,MATCH(1,(GMW!$LQ$2:$LQ$60=O$3)*(GMW!$LP$2:$LP$60=O$4)*(GMW!$LR$2:$LR$60=O$1),0),$C176-1966)</f>
        <v>516876</v>
      </c>
      <c r="P176" s="4" cm="1">
        <f t="array" ref="P176">INDEX(GMW!$A$2:$LR$60,MATCH(1,(GMW!$LQ$2:$LQ$60=P$3)*(GMW!$LP$2:$LP$60=P$4)*(GMW!$LR$2:$LR$60=P$1),0),$C176-1966)</f>
        <v>516876</v>
      </c>
      <c r="Q176" s="4" cm="1">
        <f t="array" ref="Q176">INDEX(GMW!$A$2:$LR$60,MATCH(1,(GMW!$LQ$2:$LQ$60=Q$3)*(GMW!$LP$2:$LP$60=Q$4)*(GMW!$LR$2:$LR$60=Q$1),0),$C176-1966)</f>
        <v>516876</v>
      </c>
      <c r="R176" s="4" cm="1">
        <f t="array" ref="R176">INDEX(GMW!$A$2:$LR$60,MATCH(1,(GMW!$LQ$2:$LQ$60=R$3)*(GMW!$LP$2:$LP$60=R$4)*(GMW!$LR$2:$LR$60=R$1),0),$C176-1966)</f>
        <v>516876</v>
      </c>
      <c r="S176" s="4" cm="1">
        <f t="array" ref="S176">INDEX(GMW!$A$2:$LR$60,MATCH(1,(GMW!$LQ$2:$LQ$60=S$3)*(GMW!$LP$2:$LP$60=S$4)*(GMW!$LR$2:$LR$60=S$1),0),$C176-1966)</f>
        <v>516876</v>
      </c>
      <c r="T176" s="4" cm="1">
        <f t="array" ref="T176">INDEX(GMW!$A$2:$LR$60,MATCH(1,(GMW!$LQ$2:$LQ$60=T$3)*(GMW!$LP$2:$LP$60=T$4)*(GMW!$LR$2:$LR$60=T$1),0),$C176-1966)</f>
        <v>516876</v>
      </c>
      <c r="U176" s="4" cm="1">
        <f t="array" ref="U176">INDEX(GMW!$A$2:$LR$60,MATCH(1,(GMW!$LQ$2:$LQ$60=U$3)*(GMW!$LP$2:$LP$60=U$4)*(GMW!$LR$2:$LR$60=U$1),0),$C176-1966)</f>
        <v>481.33330000000001</v>
      </c>
      <c r="V176" s="4" cm="1">
        <f t="array" ref="V176">INDEX(GMW!$A$2:$LR$60,MATCH(1,(GMW!$LQ$2:$LQ$60=V$3)*(GMW!$LP$2:$LP$60=V$4)*(GMW!$LR$2:$LR$60=V$1),0),$C176-1966)</f>
        <v>100.0667</v>
      </c>
      <c r="W176" s="4" cm="1">
        <f t="array" ref="W176">INDEX(GMW!$A$2:$LR$60,MATCH(1,(GMW!$LQ$2:$LQ$60=W$3)*(GMW!$LP$2:$LP$60=W$4)*(GMW!$LR$2:$LR$60=W$1),0),$C176-1966)</f>
        <v>100.33329999999999</v>
      </c>
      <c r="X176" s="4" cm="1">
        <f t="array" ref="X176">INDEX(GMW!$A$2:$LR$60,MATCH(1,(GMW!$LQ$2:$LQ$60=X$3)*(GMW!$LP$2:$LP$60=X$4)*(GMW!$LR$2:$LR$60=X$1),0),$C176-1966)</f>
        <v>103.83329999999999</v>
      </c>
      <c r="Y176" s="4" cm="1">
        <f t="array" ref="Y176">INDEX(GMW!$A$2:$LR$60,MATCH(1,(GMW!$LQ$2:$LQ$60=Y$3)*(GMW!$LP$2:$LP$60=Y$4)*(GMW!$LR$2:$LR$60=Y$1),0),$C176-1966)</f>
        <v>100.2667</v>
      </c>
      <c r="Z176" s="4" cm="1">
        <f t="array" ref="Z176">INDEX(GMW!$A$2:$LR$60,MATCH(1,(GMW!$LQ$2:$LQ$60=Z$3)*(GMW!$LP$2:$LP$60=Z$4)*(GMW!$LR$2:$LR$60=Z$1),0),$C176-1966)</f>
        <v>99.833340000000007</v>
      </c>
      <c r="AA176" s="4" cm="1">
        <f t="array" ref="AA176">INDEX(GMW!$A$2:$LR$60,MATCH(1,(GMW!$LQ$2:$LQ$60=AA$3)*(GMW!$LP$2:$LP$60=AA$4)*(GMW!$LR$2:$LR$60=AA$1),0),$C176-1966)</f>
        <v>315885</v>
      </c>
      <c r="AB176" s="4" cm="1">
        <f t="array" ref="AB176">INDEX(GMW!$A$2:$LR$60,MATCH(1,(GMW!$LQ$2:$LQ$60=AB$3)*(GMW!$LP$2:$LP$60=AB$4)*(GMW!$LR$2:$LR$60=AB$1),0),$C176-1966)</f>
        <v>91529</v>
      </c>
      <c r="AC176" s="4" cm="1">
        <f t="array" ref="AC176">INDEX(GMW!$A$2:$LR$60,MATCH(1,(GMW!$LQ$2:$LQ$60=AC$3)*(GMW!$LP$2:$LP$60=AC$4)*(GMW!$LR$2:$LR$60=AC$1),0),$C176-1966)</f>
        <v>100405</v>
      </c>
      <c r="AD176" s="4" cm="1">
        <f t="array" ref="AD176">INDEX(GMW!$A$2:$LR$60,MATCH(1,(GMW!$LQ$2:$LQ$60=AD$3)*(GMW!$LP$2:$LP$60=AD$4)*(GMW!$LR$2:$LR$60=AD$1),0),$C176-1966)</f>
        <v>155701</v>
      </c>
      <c r="AE176" s="4" cm="1">
        <f t="array" ref="AE176">INDEX(GMW!$A$2:$LR$60,MATCH(1,(GMW!$LQ$2:$LQ$60=AE$3)*(GMW!$LP$2:$LP$60=AE$4)*(GMW!$LR$2:$LR$60=AE$1),0),$C176-1966)</f>
        <v>159967</v>
      </c>
      <c r="AF176" s="4" cm="1">
        <f t="array" ref="AF176">INDEX(GMW!$A$2:$LR$60,MATCH(1,(GMW!$LQ$2:$LQ$60=AF$3)*(GMW!$LP$2:$LP$60=AF$4)*(GMW!$LR$2:$LR$60=AF$1),0),$C176-1966)</f>
        <v>0.72182809999999997</v>
      </c>
      <c r="AG176" s="4" cm="1">
        <f t="array" ref="AG176">INDEX(GMW!$A$2:$LR$60,MATCH(1,(GMW!$LQ$2:$LQ$60=AG$3)*(GMW!$LP$2:$LP$60=AG$4)*(GMW!$LR$2:$LR$60=AG$1),0),$C176-1966)</f>
        <v>1.2271669999999999</v>
      </c>
    </row>
    <row r="177" spans="1:33" x14ac:dyDescent="0.25">
      <c r="B177" s="4">
        <f t="shared" si="5"/>
        <v>2015</v>
      </c>
      <c r="C177" s="4">
        <f t="shared" ref="C177:C240" si="6">+C176+1</f>
        <v>2143</v>
      </c>
      <c r="D177" s="4" cm="1">
        <f t="array" ref="D177">INDEX(GMW!$A$2:$LR$60,MATCH(1,(GMW!$LQ$2:$LQ$60=D$3)*(GMW!$LP$2:$LP$60=D$4)*(GMW!$LR$2:$LR$60=D$1),0),$C177-1966)</f>
        <v>518915</v>
      </c>
      <c r="E177" s="4" cm="1">
        <f t="array" ref="E177">INDEX(GMW!$A$2:$LR$60,MATCH(1,(GMW!$LQ$2:$LQ$60=E$3)*(GMW!$LP$2:$LP$60=E$4)*(GMW!$LR$2:$LR$60=E$1),0),$C177-1966)</f>
        <v>518915</v>
      </c>
      <c r="F177" s="4" cm="1">
        <f t="array" ref="F177">INDEX(GMW!$A$2:$LR$60,MATCH(1,(GMW!$LQ$2:$LQ$60=F$3)*(GMW!$LP$2:$LP$60=F$4)*(GMW!$LR$2:$LR$60=F$1),0),$C177-1966)</f>
        <v>518915</v>
      </c>
      <c r="G177" s="4" cm="1">
        <f t="array" ref="G177">INDEX(GMW!$A$2:$LR$60,MATCH(1,(GMW!$LQ$2:$LQ$60=G$3)*(GMW!$LP$2:$LP$60=G$4)*(GMW!$LR$2:$LR$60=G$1),0),$C177-1966)</f>
        <v>518915</v>
      </c>
      <c r="H177" s="4" cm="1">
        <f t="array" ref="H177">INDEX(GMW!$A$2:$LR$60,MATCH(1,(GMW!$LQ$2:$LQ$60=H$3)*(GMW!$LP$2:$LP$60=H$4)*(GMW!$LR$2:$LR$60=H$1),0),$C177-1966)</f>
        <v>518915</v>
      </c>
      <c r="I177" s="4" cm="1">
        <f t="array" ref="I177">INDEX(GMW!$A$2:$LR$60,MATCH(1,(GMW!$LQ$2:$LQ$60=I$3)*(GMW!$LP$2:$LP$60=I$4)*(GMW!$LR$2:$LR$60=I$1),0),$C177-1966)</f>
        <v>518915</v>
      </c>
      <c r="J177" s="4" cm="1">
        <f t="array" ref="J177">INDEX(GMW!$A$2:$LR$60,MATCH(1,(GMW!$LQ$2:$LQ$60=J$3)*(GMW!$LP$2:$LP$60=J$4)*(GMW!$LR$2:$LR$60=J$1),0),$C177-1966)</f>
        <v>518915</v>
      </c>
      <c r="K177" s="4" cm="1">
        <f t="array" ref="K177">INDEX(GMW!$A$2:$LR$60,MATCH(1,(GMW!$LQ$2:$LQ$60=K$3)*(GMW!$LP$2:$LP$60=K$4)*(GMW!$LR$2:$LR$60=K$1),0),$C177-1966)</f>
        <v>518915</v>
      </c>
      <c r="L177" s="4" cm="1">
        <f t="array" ref="L177">INDEX(GMW!$A$2:$LR$60,MATCH(1,(GMW!$LQ$2:$LQ$60=L$3)*(GMW!$LP$2:$LP$60=L$4)*(GMW!$LR$2:$LR$60=L$1),0),$C177-1966)</f>
        <v>518915</v>
      </c>
      <c r="M177" s="4" cm="1">
        <f t="array" ref="M177">INDEX(GMW!$A$2:$LR$60,MATCH(1,(GMW!$LQ$2:$LQ$60=M$3)*(GMW!$LP$2:$LP$60=M$4)*(GMW!$LR$2:$LR$60=M$1),0),$C177-1966)</f>
        <v>518915</v>
      </c>
      <c r="N177" s="4" cm="1">
        <f t="array" ref="N177">INDEX(GMW!$A$2:$LR$60,MATCH(1,(GMW!$LQ$2:$LQ$60=N$3)*(GMW!$LP$2:$LP$60=N$4)*(GMW!$LR$2:$LR$60=N$1),0),$C177-1966)</f>
        <v>518915</v>
      </c>
      <c r="O177" s="4" cm="1">
        <f t="array" ref="O177">INDEX(GMW!$A$2:$LR$60,MATCH(1,(GMW!$LQ$2:$LQ$60=O$3)*(GMW!$LP$2:$LP$60=O$4)*(GMW!$LR$2:$LR$60=O$1),0),$C177-1966)</f>
        <v>518915</v>
      </c>
      <c r="P177" s="4" cm="1">
        <f t="array" ref="P177">INDEX(GMW!$A$2:$LR$60,MATCH(1,(GMW!$LQ$2:$LQ$60=P$3)*(GMW!$LP$2:$LP$60=P$4)*(GMW!$LR$2:$LR$60=P$1),0),$C177-1966)</f>
        <v>518915</v>
      </c>
      <c r="Q177" s="4" cm="1">
        <f t="array" ref="Q177">INDEX(GMW!$A$2:$LR$60,MATCH(1,(GMW!$LQ$2:$LQ$60=Q$3)*(GMW!$LP$2:$LP$60=Q$4)*(GMW!$LR$2:$LR$60=Q$1),0),$C177-1966)</f>
        <v>518915</v>
      </c>
      <c r="R177" s="4" cm="1">
        <f t="array" ref="R177">INDEX(GMW!$A$2:$LR$60,MATCH(1,(GMW!$LQ$2:$LQ$60=R$3)*(GMW!$LP$2:$LP$60=R$4)*(GMW!$LR$2:$LR$60=R$1),0),$C177-1966)</f>
        <v>518915</v>
      </c>
      <c r="S177" s="4" cm="1">
        <f t="array" ref="S177">INDEX(GMW!$A$2:$LR$60,MATCH(1,(GMW!$LQ$2:$LQ$60=S$3)*(GMW!$LP$2:$LP$60=S$4)*(GMW!$LR$2:$LR$60=S$1),0),$C177-1966)</f>
        <v>518915</v>
      </c>
      <c r="T177" s="4" cm="1">
        <f t="array" ref="T177">INDEX(GMW!$A$2:$LR$60,MATCH(1,(GMW!$LQ$2:$LQ$60=T$3)*(GMW!$LP$2:$LP$60=T$4)*(GMW!$LR$2:$LR$60=T$1),0),$C177-1966)</f>
        <v>518915</v>
      </c>
      <c r="U177" s="4" cm="1">
        <f t="array" ref="U177">INDEX(GMW!$A$2:$LR$60,MATCH(1,(GMW!$LQ$2:$LQ$60=U$3)*(GMW!$LP$2:$LP$60=U$4)*(GMW!$LR$2:$LR$60=U$1),0),$C177-1966)</f>
        <v>483.66669999999999</v>
      </c>
      <c r="V177" s="4" cm="1">
        <f t="array" ref="V177">INDEX(GMW!$A$2:$LR$60,MATCH(1,(GMW!$LQ$2:$LQ$60=V$3)*(GMW!$LP$2:$LP$60=V$4)*(GMW!$LR$2:$LR$60=V$1),0),$C177-1966)</f>
        <v>100.16670000000001</v>
      </c>
      <c r="W177" s="4" cm="1">
        <f t="array" ref="W177">INDEX(GMW!$A$2:$LR$60,MATCH(1,(GMW!$LQ$2:$LQ$60=W$3)*(GMW!$LP$2:$LP$60=W$4)*(GMW!$LR$2:$LR$60=W$1),0),$C177-1966)</f>
        <v>99.733329999999995</v>
      </c>
      <c r="X177" s="4" cm="1">
        <f t="array" ref="X177">INDEX(GMW!$A$2:$LR$60,MATCH(1,(GMW!$LQ$2:$LQ$60=X$3)*(GMW!$LP$2:$LP$60=X$4)*(GMW!$LR$2:$LR$60=X$1),0),$C177-1966)</f>
        <v>101.36669999999999</v>
      </c>
      <c r="Y177" s="4" cm="1">
        <f t="array" ref="Y177">INDEX(GMW!$A$2:$LR$60,MATCH(1,(GMW!$LQ$2:$LQ$60=Y$3)*(GMW!$LP$2:$LP$60=Y$4)*(GMW!$LR$2:$LR$60=Y$1),0),$C177-1966)</f>
        <v>99.5</v>
      </c>
      <c r="Z177" s="4" cm="1">
        <f t="array" ref="Z177">INDEX(GMW!$A$2:$LR$60,MATCH(1,(GMW!$LQ$2:$LQ$60=Z$3)*(GMW!$LP$2:$LP$60=Z$4)*(GMW!$LR$2:$LR$60=Z$1),0),$C177-1966)</f>
        <v>100.2</v>
      </c>
      <c r="AA177" s="4" cm="1">
        <f t="array" ref="AA177">INDEX(GMW!$A$2:$LR$60,MATCH(1,(GMW!$LQ$2:$LQ$60=AA$3)*(GMW!$LP$2:$LP$60=AA$4)*(GMW!$LR$2:$LR$60=AA$1),0),$C177-1966)</f>
        <v>319953</v>
      </c>
      <c r="AB177" s="4" cm="1">
        <f t="array" ref="AB177">INDEX(GMW!$A$2:$LR$60,MATCH(1,(GMW!$LQ$2:$LQ$60=AB$3)*(GMW!$LP$2:$LP$60=AB$4)*(GMW!$LR$2:$LR$60=AB$1),0),$C177-1966)</f>
        <v>90849</v>
      </c>
      <c r="AC177" s="4" cm="1">
        <f t="array" ref="AC177">INDEX(GMW!$A$2:$LR$60,MATCH(1,(GMW!$LQ$2:$LQ$60=AC$3)*(GMW!$LP$2:$LP$60=AC$4)*(GMW!$LR$2:$LR$60=AC$1),0),$C177-1966)</f>
        <v>101277</v>
      </c>
      <c r="AD177" s="4" cm="1">
        <f t="array" ref="AD177">INDEX(GMW!$A$2:$LR$60,MATCH(1,(GMW!$LQ$2:$LQ$60=AD$3)*(GMW!$LP$2:$LP$60=AD$4)*(GMW!$LR$2:$LR$60=AD$1),0),$C177-1966)</f>
        <v>150776</v>
      </c>
      <c r="AE177" s="4" cm="1">
        <f t="array" ref="AE177">INDEX(GMW!$A$2:$LR$60,MATCH(1,(GMW!$LQ$2:$LQ$60=AE$3)*(GMW!$LP$2:$LP$60=AE$4)*(GMW!$LR$2:$LR$60=AE$1),0),$C177-1966)</f>
        <v>159785</v>
      </c>
      <c r="AF177" s="4" cm="1">
        <f t="array" ref="AF177">INDEX(GMW!$A$2:$LR$60,MATCH(1,(GMW!$LQ$2:$LQ$60=AF$3)*(GMW!$LP$2:$LP$60=AF$4)*(GMW!$LR$2:$LR$60=AF$1),0),$C177-1966)</f>
        <v>0.79340460000000002</v>
      </c>
      <c r="AG177" s="4" cm="1">
        <f t="array" ref="AG177">INDEX(GMW!$A$2:$LR$60,MATCH(1,(GMW!$LQ$2:$LQ$60=AG$3)*(GMW!$LP$2:$LP$60=AG$4)*(GMW!$LR$2:$LR$60=AG$1),0),$C177-1966)</f>
        <v>1.3077449999999999</v>
      </c>
    </row>
    <row r="178" spans="1:33" x14ac:dyDescent="0.25">
      <c r="B178" s="4">
        <f t="shared" si="5"/>
        <v>2015</v>
      </c>
      <c r="C178" s="4">
        <f t="shared" si="6"/>
        <v>2144</v>
      </c>
      <c r="D178" s="4" cm="1">
        <f t="array" ref="D178">INDEX(GMW!$A$2:$LR$60,MATCH(1,(GMW!$LQ$2:$LQ$60=D$3)*(GMW!$LP$2:$LP$60=D$4)*(GMW!$LR$2:$LR$60=D$1),0),$C178-1966)</f>
        <v>521920</v>
      </c>
      <c r="E178" s="4" cm="1">
        <f t="array" ref="E178">INDEX(GMW!$A$2:$LR$60,MATCH(1,(GMW!$LQ$2:$LQ$60=E$3)*(GMW!$LP$2:$LP$60=E$4)*(GMW!$LR$2:$LR$60=E$1),0),$C178-1966)</f>
        <v>521920</v>
      </c>
      <c r="F178" s="4" cm="1">
        <f t="array" ref="F178">INDEX(GMW!$A$2:$LR$60,MATCH(1,(GMW!$LQ$2:$LQ$60=F$3)*(GMW!$LP$2:$LP$60=F$4)*(GMW!$LR$2:$LR$60=F$1),0),$C178-1966)</f>
        <v>521920</v>
      </c>
      <c r="G178" s="4" cm="1">
        <f t="array" ref="G178">INDEX(GMW!$A$2:$LR$60,MATCH(1,(GMW!$LQ$2:$LQ$60=G$3)*(GMW!$LP$2:$LP$60=G$4)*(GMW!$LR$2:$LR$60=G$1),0),$C178-1966)</f>
        <v>521920</v>
      </c>
      <c r="H178" s="4" cm="1">
        <f t="array" ref="H178">INDEX(GMW!$A$2:$LR$60,MATCH(1,(GMW!$LQ$2:$LQ$60=H$3)*(GMW!$LP$2:$LP$60=H$4)*(GMW!$LR$2:$LR$60=H$1),0),$C178-1966)</f>
        <v>521920</v>
      </c>
      <c r="I178" s="4" cm="1">
        <f t="array" ref="I178">INDEX(GMW!$A$2:$LR$60,MATCH(1,(GMW!$LQ$2:$LQ$60=I$3)*(GMW!$LP$2:$LP$60=I$4)*(GMW!$LR$2:$LR$60=I$1),0),$C178-1966)</f>
        <v>521920</v>
      </c>
      <c r="J178" s="4" cm="1">
        <f t="array" ref="J178">INDEX(GMW!$A$2:$LR$60,MATCH(1,(GMW!$LQ$2:$LQ$60=J$3)*(GMW!$LP$2:$LP$60=J$4)*(GMW!$LR$2:$LR$60=J$1),0),$C178-1966)</f>
        <v>521920</v>
      </c>
      <c r="K178" s="4" cm="1">
        <f t="array" ref="K178">INDEX(GMW!$A$2:$LR$60,MATCH(1,(GMW!$LQ$2:$LQ$60=K$3)*(GMW!$LP$2:$LP$60=K$4)*(GMW!$LR$2:$LR$60=K$1),0),$C178-1966)</f>
        <v>521920</v>
      </c>
      <c r="L178" s="4" cm="1">
        <f t="array" ref="L178">INDEX(GMW!$A$2:$LR$60,MATCH(1,(GMW!$LQ$2:$LQ$60=L$3)*(GMW!$LP$2:$LP$60=L$4)*(GMW!$LR$2:$LR$60=L$1),0),$C178-1966)</f>
        <v>521920</v>
      </c>
      <c r="M178" s="4" cm="1">
        <f t="array" ref="M178">INDEX(GMW!$A$2:$LR$60,MATCH(1,(GMW!$LQ$2:$LQ$60=M$3)*(GMW!$LP$2:$LP$60=M$4)*(GMW!$LR$2:$LR$60=M$1),0),$C178-1966)</f>
        <v>521920</v>
      </c>
      <c r="N178" s="4" cm="1">
        <f t="array" ref="N178">INDEX(GMW!$A$2:$LR$60,MATCH(1,(GMW!$LQ$2:$LQ$60=N$3)*(GMW!$LP$2:$LP$60=N$4)*(GMW!$LR$2:$LR$60=N$1),0),$C178-1966)</f>
        <v>521920</v>
      </c>
      <c r="O178" s="4" cm="1">
        <f t="array" ref="O178">INDEX(GMW!$A$2:$LR$60,MATCH(1,(GMW!$LQ$2:$LQ$60=O$3)*(GMW!$LP$2:$LP$60=O$4)*(GMW!$LR$2:$LR$60=O$1),0),$C178-1966)</f>
        <v>521920</v>
      </c>
      <c r="P178" s="4" cm="1">
        <f t="array" ref="P178">INDEX(GMW!$A$2:$LR$60,MATCH(1,(GMW!$LQ$2:$LQ$60=P$3)*(GMW!$LP$2:$LP$60=P$4)*(GMW!$LR$2:$LR$60=P$1),0),$C178-1966)</f>
        <v>521920</v>
      </c>
      <c r="Q178" s="4" cm="1">
        <f t="array" ref="Q178">INDEX(GMW!$A$2:$LR$60,MATCH(1,(GMW!$LQ$2:$LQ$60=Q$3)*(GMW!$LP$2:$LP$60=Q$4)*(GMW!$LR$2:$LR$60=Q$1),0),$C178-1966)</f>
        <v>521920</v>
      </c>
      <c r="R178" s="4" cm="1">
        <f t="array" ref="R178">INDEX(GMW!$A$2:$LR$60,MATCH(1,(GMW!$LQ$2:$LQ$60=R$3)*(GMW!$LP$2:$LP$60=R$4)*(GMW!$LR$2:$LR$60=R$1),0),$C178-1966)</f>
        <v>521920</v>
      </c>
      <c r="S178" s="4" cm="1">
        <f t="array" ref="S178">INDEX(GMW!$A$2:$LR$60,MATCH(1,(GMW!$LQ$2:$LQ$60=S$3)*(GMW!$LP$2:$LP$60=S$4)*(GMW!$LR$2:$LR$60=S$1),0),$C178-1966)</f>
        <v>521920</v>
      </c>
      <c r="T178" s="4" cm="1">
        <f t="array" ref="T178">INDEX(GMW!$A$2:$LR$60,MATCH(1,(GMW!$LQ$2:$LQ$60=T$3)*(GMW!$LP$2:$LP$60=T$4)*(GMW!$LR$2:$LR$60=T$1),0),$C178-1966)</f>
        <v>521920</v>
      </c>
      <c r="U178" s="4" cm="1">
        <f t="array" ref="U178">INDEX(GMW!$A$2:$LR$60,MATCH(1,(GMW!$LQ$2:$LQ$60=U$3)*(GMW!$LP$2:$LP$60=U$4)*(GMW!$LR$2:$LR$60=U$1),0),$C178-1966)</f>
        <v>485</v>
      </c>
      <c r="V178" s="4" cm="1">
        <f t="array" ref="V178">INDEX(GMW!$A$2:$LR$60,MATCH(1,(GMW!$LQ$2:$LQ$60=V$3)*(GMW!$LP$2:$LP$60=V$4)*(GMW!$LR$2:$LR$60=V$1),0),$C178-1966)</f>
        <v>100.3</v>
      </c>
      <c r="W178" s="4" cm="1">
        <f t="array" ref="W178">INDEX(GMW!$A$2:$LR$60,MATCH(1,(GMW!$LQ$2:$LQ$60=W$3)*(GMW!$LP$2:$LP$60=W$4)*(GMW!$LR$2:$LR$60=W$1),0),$C178-1966)</f>
        <v>99.3</v>
      </c>
      <c r="X178" s="4" cm="1">
        <f t="array" ref="X178">INDEX(GMW!$A$2:$LR$60,MATCH(1,(GMW!$LQ$2:$LQ$60=X$3)*(GMW!$LP$2:$LP$60=X$4)*(GMW!$LR$2:$LR$60=X$1),0),$C178-1966)</f>
        <v>95.866669999999999</v>
      </c>
      <c r="Y178" s="4" cm="1">
        <f t="array" ref="Y178">INDEX(GMW!$A$2:$LR$60,MATCH(1,(GMW!$LQ$2:$LQ$60=Y$3)*(GMW!$LP$2:$LP$60=Y$4)*(GMW!$LR$2:$LR$60=Y$1),0),$C178-1966)</f>
        <v>98.7</v>
      </c>
      <c r="Z178" s="4" cm="1">
        <f t="array" ref="Z178">INDEX(GMW!$A$2:$LR$60,MATCH(1,(GMW!$LQ$2:$LQ$60=Z$3)*(GMW!$LP$2:$LP$60=Z$4)*(GMW!$LR$2:$LR$60=Z$1),0),$C178-1966)</f>
        <v>100.8</v>
      </c>
      <c r="AA178" s="4" cm="1">
        <f t="array" ref="AA178">INDEX(GMW!$A$2:$LR$60,MATCH(1,(GMW!$LQ$2:$LQ$60=AA$3)*(GMW!$LP$2:$LP$60=AA$4)*(GMW!$LR$2:$LR$60=AA$1),0),$C178-1966)</f>
        <v>319170</v>
      </c>
      <c r="AB178" s="4" cm="1">
        <f t="array" ref="AB178">INDEX(GMW!$A$2:$LR$60,MATCH(1,(GMW!$LQ$2:$LQ$60=AB$3)*(GMW!$LP$2:$LP$60=AB$4)*(GMW!$LR$2:$LR$60=AB$1),0),$C178-1966)</f>
        <v>93835</v>
      </c>
      <c r="AC178" s="4" cm="1">
        <f t="array" ref="AC178">INDEX(GMW!$A$2:$LR$60,MATCH(1,(GMW!$LQ$2:$LQ$60=AC$3)*(GMW!$LP$2:$LP$60=AC$4)*(GMW!$LR$2:$LR$60=AC$1),0),$C178-1966)</f>
        <v>100928</v>
      </c>
      <c r="AD178" s="4" cm="1">
        <f t="array" ref="AD178">INDEX(GMW!$A$2:$LR$60,MATCH(1,(GMW!$LQ$2:$LQ$60=AD$3)*(GMW!$LP$2:$LP$60=AD$4)*(GMW!$LR$2:$LR$60=AD$1),0),$C178-1966)</f>
        <v>155105</v>
      </c>
      <c r="AE178" s="4" cm="1">
        <f t="array" ref="AE178">INDEX(GMW!$A$2:$LR$60,MATCH(1,(GMW!$LQ$2:$LQ$60=AE$3)*(GMW!$LP$2:$LP$60=AE$4)*(GMW!$LR$2:$LR$60=AE$1),0),$C178-1966)</f>
        <v>166218</v>
      </c>
      <c r="AF178" s="4" cm="1">
        <f t="array" ref="AF178">INDEX(GMW!$A$2:$LR$60,MATCH(1,(GMW!$LQ$2:$LQ$60=AF$3)*(GMW!$LP$2:$LP$60=AF$4)*(GMW!$LR$2:$LR$60=AF$1),0),$C178-1966)</f>
        <v>0.70783030000000002</v>
      </c>
      <c r="AG178" s="4" cm="1">
        <f t="array" ref="AG178">INDEX(GMW!$A$2:$LR$60,MATCH(1,(GMW!$LQ$2:$LQ$60=AG$3)*(GMW!$LP$2:$LP$60=AG$4)*(GMW!$LR$2:$LR$60=AG$1),0),$C178-1966)</f>
        <v>1.1407590000000001</v>
      </c>
    </row>
    <row r="179" spans="1:33" x14ac:dyDescent="0.25">
      <c r="A179" s="4">
        <v>2016</v>
      </c>
      <c r="B179" s="4">
        <f t="shared" si="5"/>
        <v>2016</v>
      </c>
      <c r="C179" s="4">
        <f t="shared" si="6"/>
        <v>2145</v>
      </c>
      <c r="D179" s="4" cm="1">
        <f t="array" ref="D179">INDEX(GMW!$A$2:$LR$60,MATCH(1,(GMW!$LQ$2:$LQ$60=D$3)*(GMW!$LP$2:$LP$60=D$4)*(GMW!$LR$2:$LR$60=D$1),0),$C179-1966)</f>
        <v>523813</v>
      </c>
      <c r="E179" s="4" cm="1">
        <f t="array" ref="E179">INDEX(GMW!$A$2:$LR$60,MATCH(1,(GMW!$LQ$2:$LQ$60=E$3)*(GMW!$LP$2:$LP$60=E$4)*(GMW!$LR$2:$LR$60=E$1),0),$C179-1966)</f>
        <v>523813</v>
      </c>
      <c r="F179" s="4" cm="1">
        <f t="array" ref="F179">INDEX(GMW!$A$2:$LR$60,MATCH(1,(GMW!$LQ$2:$LQ$60=F$3)*(GMW!$LP$2:$LP$60=F$4)*(GMW!$LR$2:$LR$60=F$1),0),$C179-1966)</f>
        <v>523813</v>
      </c>
      <c r="G179" s="4" cm="1">
        <f t="array" ref="G179">INDEX(GMW!$A$2:$LR$60,MATCH(1,(GMW!$LQ$2:$LQ$60=G$3)*(GMW!$LP$2:$LP$60=G$4)*(GMW!$LR$2:$LR$60=G$1),0),$C179-1966)</f>
        <v>523813</v>
      </c>
      <c r="H179" s="4" cm="1">
        <f t="array" ref="H179">INDEX(GMW!$A$2:$LR$60,MATCH(1,(GMW!$LQ$2:$LQ$60=H$3)*(GMW!$LP$2:$LP$60=H$4)*(GMW!$LR$2:$LR$60=H$1),0),$C179-1966)</f>
        <v>523813</v>
      </c>
      <c r="I179" s="4" cm="1">
        <f t="array" ref="I179">INDEX(GMW!$A$2:$LR$60,MATCH(1,(GMW!$LQ$2:$LQ$60=I$3)*(GMW!$LP$2:$LP$60=I$4)*(GMW!$LR$2:$LR$60=I$1),0),$C179-1966)</f>
        <v>523813</v>
      </c>
      <c r="J179" s="4" cm="1">
        <f t="array" ref="J179">INDEX(GMW!$A$2:$LR$60,MATCH(1,(GMW!$LQ$2:$LQ$60=J$3)*(GMW!$LP$2:$LP$60=J$4)*(GMW!$LR$2:$LR$60=J$1),0),$C179-1966)</f>
        <v>523813</v>
      </c>
      <c r="K179" s="4" cm="1">
        <f t="array" ref="K179">INDEX(GMW!$A$2:$LR$60,MATCH(1,(GMW!$LQ$2:$LQ$60=K$3)*(GMW!$LP$2:$LP$60=K$4)*(GMW!$LR$2:$LR$60=K$1),0),$C179-1966)</f>
        <v>523813</v>
      </c>
      <c r="L179" s="4" cm="1">
        <f t="array" ref="L179">INDEX(GMW!$A$2:$LR$60,MATCH(1,(GMW!$LQ$2:$LQ$60=L$3)*(GMW!$LP$2:$LP$60=L$4)*(GMW!$LR$2:$LR$60=L$1),0),$C179-1966)</f>
        <v>523813</v>
      </c>
      <c r="M179" s="4" cm="1">
        <f t="array" ref="M179">INDEX(GMW!$A$2:$LR$60,MATCH(1,(GMW!$LQ$2:$LQ$60=M$3)*(GMW!$LP$2:$LP$60=M$4)*(GMW!$LR$2:$LR$60=M$1),0),$C179-1966)</f>
        <v>523813</v>
      </c>
      <c r="N179" s="4" cm="1">
        <f t="array" ref="N179">INDEX(GMW!$A$2:$LR$60,MATCH(1,(GMW!$LQ$2:$LQ$60=N$3)*(GMW!$LP$2:$LP$60=N$4)*(GMW!$LR$2:$LR$60=N$1),0),$C179-1966)</f>
        <v>523813</v>
      </c>
      <c r="O179" s="4" cm="1">
        <f t="array" ref="O179">INDEX(GMW!$A$2:$LR$60,MATCH(1,(GMW!$LQ$2:$LQ$60=O$3)*(GMW!$LP$2:$LP$60=O$4)*(GMW!$LR$2:$LR$60=O$1),0),$C179-1966)</f>
        <v>523813</v>
      </c>
      <c r="P179" s="4" cm="1">
        <f t="array" ref="P179">INDEX(GMW!$A$2:$LR$60,MATCH(1,(GMW!$LQ$2:$LQ$60=P$3)*(GMW!$LP$2:$LP$60=P$4)*(GMW!$LR$2:$LR$60=P$1),0),$C179-1966)</f>
        <v>523813</v>
      </c>
      <c r="Q179" s="4" cm="1">
        <f t="array" ref="Q179">INDEX(GMW!$A$2:$LR$60,MATCH(1,(GMW!$LQ$2:$LQ$60=Q$3)*(GMW!$LP$2:$LP$60=Q$4)*(GMW!$LR$2:$LR$60=Q$1),0),$C179-1966)</f>
        <v>523813</v>
      </c>
      <c r="R179" s="4" cm="1">
        <f t="array" ref="R179">INDEX(GMW!$A$2:$LR$60,MATCH(1,(GMW!$LQ$2:$LQ$60=R$3)*(GMW!$LP$2:$LP$60=R$4)*(GMW!$LR$2:$LR$60=R$1),0),$C179-1966)</f>
        <v>523813</v>
      </c>
      <c r="S179" s="4" cm="1">
        <f t="array" ref="S179">INDEX(GMW!$A$2:$LR$60,MATCH(1,(GMW!$LQ$2:$LQ$60=S$3)*(GMW!$LP$2:$LP$60=S$4)*(GMW!$LR$2:$LR$60=S$1),0),$C179-1966)</f>
        <v>523813</v>
      </c>
      <c r="T179" s="4" cm="1">
        <f t="array" ref="T179">INDEX(GMW!$A$2:$LR$60,MATCH(1,(GMW!$LQ$2:$LQ$60=T$3)*(GMW!$LP$2:$LP$60=T$4)*(GMW!$LR$2:$LR$60=T$1),0),$C179-1966)</f>
        <v>523813</v>
      </c>
      <c r="U179" s="4" cm="1">
        <f t="array" ref="U179">INDEX(GMW!$A$2:$LR$60,MATCH(1,(GMW!$LQ$2:$LQ$60=U$3)*(GMW!$LP$2:$LP$60=U$4)*(GMW!$LR$2:$LR$60=U$1),0),$C179-1966)</f>
        <v>488.33330000000001</v>
      </c>
      <c r="V179" s="4" cm="1">
        <f t="array" ref="V179">INDEX(GMW!$A$2:$LR$60,MATCH(1,(GMW!$LQ$2:$LQ$60=V$3)*(GMW!$LP$2:$LP$60=V$4)*(GMW!$LR$2:$LR$60=V$1),0),$C179-1966)</f>
        <v>99.833340000000007</v>
      </c>
      <c r="W179" s="4" cm="1">
        <f t="array" ref="W179">INDEX(GMW!$A$2:$LR$60,MATCH(1,(GMW!$LQ$2:$LQ$60=W$3)*(GMW!$LP$2:$LP$60=W$4)*(GMW!$LR$2:$LR$60=W$1),0),$C179-1966)</f>
        <v>99.133330000000001</v>
      </c>
      <c r="X179" s="4" cm="1">
        <f t="array" ref="X179">INDEX(GMW!$A$2:$LR$60,MATCH(1,(GMW!$LQ$2:$LQ$60=X$3)*(GMW!$LP$2:$LP$60=X$4)*(GMW!$LR$2:$LR$60=X$1),0),$C179-1966)</f>
        <v>91.066670000000002</v>
      </c>
      <c r="Y179" s="4" cm="1">
        <f t="array" ref="Y179">INDEX(GMW!$A$2:$LR$60,MATCH(1,(GMW!$LQ$2:$LQ$60=Y$3)*(GMW!$LP$2:$LP$60=Y$4)*(GMW!$LR$2:$LR$60=Y$1),0),$C179-1966)</f>
        <v>97.7</v>
      </c>
      <c r="Z179" s="4" cm="1">
        <f t="array" ref="Z179">INDEX(GMW!$A$2:$LR$60,MATCH(1,(GMW!$LQ$2:$LQ$60=Z$3)*(GMW!$LP$2:$LP$60=Z$4)*(GMW!$LR$2:$LR$60=Z$1),0),$C179-1966)</f>
        <v>100.4667</v>
      </c>
      <c r="AA179" s="4" cm="1">
        <f t="array" ref="AA179">INDEX(GMW!$A$2:$LR$60,MATCH(1,(GMW!$LQ$2:$LQ$60=AA$3)*(GMW!$LP$2:$LP$60=AA$4)*(GMW!$LR$2:$LR$60=AA$1),0),$C179-1966)</f>
        <v>326059</v>
      </c>
      <c r="AB179" s="4" cm="1">
        <f t="array" ref="AB179">INDEX(GMW!$A$2:$LR$60,MATCH(1,(GMW!$LQ$2:$LQ$60=AB$3)*(GMW!$LP$2:$LP$60=AB$4)*(GMW!$LR$2:$LR$60=AB$1),0),$C179-1966)</f>
        <v>94838</v>
      </c>
      <c r="AC179" s="4" cm="1">
        <f t="array" ref="AC179">INDEX(GMW!$A$2:$LR$60,MATCH(1,(GMW!$LQ$2:$LQ$60=AC$3)*(GMW!$LP$2:$LP$60=AC$4)*(GMW!$LR$2:$LR$60=AC$1),0),$C179-1966)</f>
        <v>101150</v>
      </c>
      <c r="AD179" s="4" cm="1">
        <f t="array" ref="AD179">INDEX(GMW!$A$2:$LR$60,MATCH(1,(GMW!$LQ$2:$LQ$60=AD$3)*(GMW!$LP$2:$LP$60=AD$4)*(GMW!$LR$2:$LR$60=AD$1),0),$C179-1966)</f>
        <v>154525</v>
      </c>
      <c r="AE179" s="4" cm="1">
        <f t="array" ref="AE179">INDEX(GMW!$A$2:$LR$60,MATCH(1,(GMW!$LQ$2:$LQ$60=AE$3)*(GMW!$LP$2:$LP$60=AE$4)*(GMW!$LR$2:$LR$60=AE$1),0),$C179-1966)</f>
        <v>165545</v>
      </c>
      <c r="AF179" s="4" cm="1">
        <f t="array" ref="AF179">INDEX(GMW!$A$2:$LR$60,MATCH(1,(GMW!$LQ$2:$LQ$60=AF$3)*(GMW!$LP$2:$LP$60=AF$4)*(GMW!$LR$2:$LR$60=AF$1),0),$C179-1966)</f>
        <v>0.4868692</v>
      </c>
      <c r="AG179" s="4" cm="1">
        <f t="array" ref="AG179">INDEX(GMW!$A$2:$LR$60,MATCH(1,(GMW!$LQ$2:$LQ$60=AG$3)*(GMW!$LP$2:$LP$60=AG$4)*(GMW!$LR$2:$LR$60=AG$1),0),$C179-1966)</f>
        <v>0.7460831</v>
      </c>
    </row>
    <row r="180" spans="1:33" x14ac:dyDescent="0.25">
      <c r="B180" s="4">
        <f t="shared" si="5"/>
        <v>2016</v>
      </c>
      <c r="C180" s="4">
        <f t="shared" si="6"/>
        <v>2146</v>
      </c>
      <c r="D180" s="4" cm="1">
        <f t="array" ref="D180">INDEX(GMW!$A$2:$LR$60,MATCH(1,(GMW!$LQ$2:$LQ$60=D$3)*(GMW!$LP$2:$LP$60=D$4)*(GMW!$LR$2:$LR$60=D$1),0),$C180-1966)</f>
        <v>526750</v>
      </c>
      <c r="E180" s="4" cm="1">
        <f t="array" ref="E180">INDEX(GMW!$A$2:$LR$60,MATCH(1,(GMW!$LQ$2:$LQ$60=E$3)*(GMW!$LP$2:$LP$60=E$4)*(GMW!$LR$2:$LR$60=E$1),0),$C180-1966)</f>
        <v>526750</v>
      </c>
      <c r="F180" s="4" cm="1">
        <f t="array" ref="F180">INDEX(GMW!$A$2:$LR$60,MATCH(1,(GMW!$LQ$2:$LQ$60=F$3)*(GMW!$LP$2:$LP$60=F$4)*(GMW!$LR$2:$LR$60=F$1),0),$C180-1966)</f>
        <v>526750</v>
      </c>
      <c r="G180" s="4" cm="1">
        <f t="array" ref="G180">INDEX(GMW!$A$2:$LR$60,MATCH(1,(GMW!$LQ$2:$LQ$60=G$3)*(GMW!$LP$2:$LP$60=G$4)*(GMW!$LR$2:$LR$60=G$1),0),$C180-1966)</f>
        <v>526750</v>
      </c>
      <c r="H180" s="4" cm="1">
        <f t="array" ref="H180">INDEX(GMW!$A$2:$LR$60,MATCH(1,(GMW!$LQ$2:$LQ$60=H$3)*(GMW!$LP$2:$LP$60=H$4)*(GMW!$LR$2:$LR$60=H$1),0),$C180-1966)</f>
        <v>526750</v>
      </c>
      <c r="I180" s="4" cm="1">
        <f t="array" ref="I180">INDEX(GMW!$A$2:$LR$60,MATCH(1,(GMW!$LQ$2:$LQ$60=I$3)*(GMW!$LP$2:$LP$60=I$4)*(GMW!$LR$2:$LR$60=I$1),0),$C180-1966)</f>
        <v>526750</v>
      </c>
      <c r="J180" s="4" cm="1">
        <f t="array" ref="J180">INDEX(GMW!$A$2:$LR$60,MATCH(1,(GMW!$LQ$2:$LQ$60=J$3)*(GMW!$LP$2:$LP$60=J$4)*(GMW!$LR$2:$LR$60=J$1),0),$C180-1966)</f>
        <v>526750</v>
      </c>
      <c r="K180" s="4" cm="1">
        <f t="array" ref="K180">INDEX(GMW!$A$2:$LR$60,MATCH(1,(GMW!$LQ$2:$LQ$60=K$3)*(GMW!$LP$2:$LP$60=K$4)*(GMW!$LR$2:$LR$60=K$1),0),$C180-1966)</f>
        <v>526750</v>
      </c>
      <c r="L180" s="4" cm="1">
        <f t="array" ref="L180">INDEX(GMW!$A$2:$LR$60,MATCH(1,(GMW!$LQ$2:$LQ$60=L$3)*(GMW!$LP$2:$LP$60=L$4)*(GMW!$LR$2:$LR$60=L$1),0),$C180-1966)</f>
        <v>526750</v>
      </c>
      <c r="M180" s="4" cm="1">
        <f t="array" ref="M180">INDEX(GMW!$A$2:$LR$60,MATCH(1,(GMW!$LQ$2:$LQ$60=M$3)*(GMW!$LP$2:$LP$60=M$4)*(GMW!$LR$2:$LR$60=M$1),0),$C180-1966)</f>
        <v>526750</v>
      </c>
      <c r="N180" s="4" cm="1">
        <f t="array" ref="N180">INDEX(GMW!$A$2:$LR$60,MATCH(1,(GMW!$LQ$2:$LQ$60=N$3)*(GMW!$LP$2:$LP$60=N$4)*(GMW!$LR$2:$LR$60=N$1),0),$C180-1966)</f>
        <v>526750</v>
      </c>
      <c r="O180" s="4" cm="1">
        <f t="array" ref="O180">INDEX(GMW!$A$2:$LR$60,MATCH(1,(GMW!$LQ$2:$LQ$60=O$3)*(GMW!$LP$2:$LP$60=O$4)*(GMW!$LR$2:$LR$60=O$1),0),$C180-1966)</f>
        <v>526750</v>
      </c>
      <c r="P180" s="4" cm="1">
        <f t="array" ref="P180">INDEX(GMW!$A$2:$LR$60,MATCH(1,(GMW!$LQ$2:$LQ$60=P$3)*(GMW!$LP$2:$LP$60=P$4)*(GMW!$LR$2:$LR$60=P$1),0),$C180-1966)</f>
        <v>526750</v>
      </c>
      <c r="Q180" s="4" cm="1">
        <f t="array" ref="Q180">INDEX(GMW!$A$2:$LR$60,MATCH(1,(GMW!$LQ$2:$LQ$60=Q$3)*(GMW!$LP$2:$LP$60=Q$4)*(GMW!$LR$2:$LR$60=Q$1),0),$C180-1966)</f>
        <v>526750</v>
      </c>
      <c r="R180" s="4" cm="1">
        <f t="array" ref="R180">INDEX(GMW!$A$2:$LR$60,MATCH(1,(GMW!$LQ$2:$LQ$60=R$3)*(GMW!$LP$2:$LP$60=R$4)*(GMW!$LR$2:$LR$60=R$1),0),$C180-1966)</f>
        <v>526750</v>
      </c>
      <c r="S180" s="4" cm="1">
        <f t="array" ref="S180">INDEX(GMW!$A$2:$LR$60,MATCH(1,(GMW!$LQ$2:$LQ$60=S$3)*(GMW!$LP$2:$LP$60=S$4)*(GMW!$LR$2:$LR$60=S$1),0),$C180-1966)</f>
        <v>526750</v>
      </c>
      <c r="T180" s="4" cm="1">
        <f t="array" ref="T180">INDEX(GMW!$A$2:$LR$60,MATCH(1,(GMW!$LQ$2:$LQ$60=T$3)*(GMW!$LP$2:$LP$60=T$4)*(GMW!$LR$2:$LR$60=T$1),0),$C180-1966)</f>
        <v>526750</v>
      </c>
      <c r="U180" s="4" cm="1">
        <f t="array" ref="U180">INDEX(GMW!$A$2:$LR$60,MATCH(1,(GMW!$LQ$2:$LQ$60=U$3)*(GMW!$LP$2:$LP$60=U$4)*(GMW!$LR$2:$LR$60=U$1),0),$C180-1966)</f>
        <v>493.66669999999999</v>
      </c>
      <c r="V180" s="4" cm="1">
        <f t="array" ref="V180">INDEX(GMW!$A$2:$LR$60,MATCH(1,(GMW!$LQ$2:$LQ$60=V$3)*(GMW!$LP$2:$LP$60=V$4)*(GMW!$LR$2:$LR$60=V$1),0),$C180-1966)</f>
        <v>100.4</v>
      </c>
      <c r="W180" s="4" cm="1">
        <f t="array" ref="W180">INDEX(GMW!$A$2:$LR$60,MATCH(1,(GMW!$LQ$2:$LQ$60=W$3)*(GMW!$LP$2:$LP$60=W$4)*(GMW!$LR$2:$LR$60=W$1),0),$C180-1966)</f>
        <v>98.633330000000001</v>
      </c>
      <c r="X180" s="4" cm="1">
        <f t="array" ref="X180">INDEX(GMW!$A$2:$LR$60,MATCH(1,(GMW!$LQ$2:$LQ$60=X$3)*(GMW!$LP$2:$LP$60=X$4)*(GMW!$LR$2:$LR$60=X$1),0),$C180-1966)</f>
        <v>97</v>
      </c>
      <c r="Y180" s="4" cm="1">
        <f t="array" ref="Y180">INDEX(GMW!$A$2:$LR$60,MATCH(1,(GMW!$LQ$2:$LQ$60=Y$3)*(GMW!$LP$2:$LP$60=Y$4)*(GMW!$LR$2:$LR$60=Y$1),0),$C180-1966)</f>
        <v>96.466669999999993</v>
      </c>
      <c r="Z180" s="4" cm="1">
        <f t="array" ref="Z180">INDEX(GMW!$A$2:$LR$60,MATCH(1,(GMW!$LQ$2:$LQ$60=Z$3)*(GMW!$LP$2:$LP$60=Z$4)*(GMW!$LR$2:$LR$60=Z$1),0),$C180-1966)</f>
        <v>101.1</v>
      </c>
      <c r="AA180" s="4" cm="1">
        <f t="array" ref="AA180">INDEX(GMW!$A$2:$LR$60,MATCH(1,(GMW!$LQ$2:$LQ$60=AA$3)*(GMW!$LP$2:$LP$60=AA$4)*(GMW!$LR$2:$LR$60=AA$1),0),$C180-1966)</f>
        <v>328832</v>
      </c>
      <c r="AB180" s="4" cm="1">
        <f t="array" ref="AB180">INDEX(GMW!$A$2:$LR$60,MATCH(1,(GMW!$LQ$2:$LQ$60=AB$3)*(GMW!$LP$2:$LP$60=AB$4)*(GMW!$LR$2:$LR$60=AB$1),0),$C180-1966)</f>
        <v>95631</v>
      </c>
      <c r="AC180" s="4" cm="1">
        <f t="array" ref="AC180">INDEX(GMW!$A$2:$LR$60,MATCH(1,(GMW!$LQ$2:$LQ$60=AC$3)*(GMW!$LP$2:$LP$60=AC$4)*(GMW!$LR$2:$LR$60=AC$1),0),$C180-1966)</f>
        <v>101277</v>
      </c>
      <c r="AD180" s="4" cm="1">
        <f t="array" ref="AD180">INDEX(GMW!$A$2:$LR$60,MATCH(1,(GMW!$LQ$2:$LQ$60=AD$3)*(GMW!$LP$2:$LP$60=AD$4)*(GMW!$LR$2:$LR$60=AD$1),0),$C180-1966)</f>
        <v>159183</v>
      </c>
      <c r="AE180" s="4" cm="1">
        <f t="array" ref="AE180">INDEX(GMW!$A$2:$LR$60,MATCH(1,(GMW!$LQ$2:$LQ$60=AE$3)*(GMW!$LP$2:$LP$60=AE$4)*(GMW!$LR$2:$LR$60=AE$1),0),$C180-1966)</f>
        <v>167522</v>
      </c>
      <c r="AF180" s="4" cm="1">
        <f t="array" ref="AF180">INDEX(GMW!$A$2:$LR$60,MATCH(1,(GMW!$LQ$2:$LQ$60=AF$3)*(GMW!$LP$2:$LP$60=AF$4)*(GMW!$LR$2:$LR$60=AF$1),0),$C180-1966)</f>
        <v>0.42560619999999999</v>
      </c>
      <c r="AG180" s="4" cm="1">
        <f t="array" ref="AG180">INDEX(GMW!$A$2:$LR$60,MATCH(1,(GMW!$LQ$2:$LQ$60=AG$3)*(GMW!$LP$2:$LP$60=AG$4)*(GMW!$LR$2:$LR$60=AG$1),0),$C180-1966)</f>
        <v>0.61635689999999999</v>
      </c>
    </row>
    <row r="181" spans="1:33" x14ac:dyDescent="0.25">
      <c r="B181" s="4">
        <f t="shared" si="5"/>
        <v>2016</v>
      </c>
      <c r="C181" s="4">
        <f t="shared" si="6"/>
        <v>2147</v>
      </c>
      <c r="D181" s="4" cm="1">
        <f t="array" ref="D181">INDEX(GMW!$A$2:$LR$60,MATCH(1,(GMW!$LQ$2:$LQ$60=D$3)*(GMW!$LP$2:$LP$60=D$4)*(GMW!$LR$2:$LR$60=D$1),0),$C181-1966)</f>
        <v>528712</v>
      </c>
      <c r="E181" s="4" cm="1">
        <f t="array" ref="E181">INDEX(GMW!$A$2:$LR$60,MATCH(1,(GMW!$LQ$2:$LQ$60=E$3)*(GMW!$LP$2:$LP$60=E$4)*(GMW!$LR$2:$LR$60=E$1),0),$C181-1966)</f>
        <v>528712</v>
      </c>
      <c r="F181" s="4" cm="1">
        <f t="array" ref="F181">INDEX(GMW!$A$2:$LR$60,MATCH(1,(GMW!$LQ$2:$LQ$60=F$3)*(GMW!$LP$2:$LP$60=F$4)*(GMW!$LR$2:$LR$60=F$1),0),$C181-1966)</f>
        <v>528712</v>
      </c>
      <c r="G181" s="4" cm="1">
        <f t="array" ref="G181">INDEX(GMW!$A$2:$LR$60,MATCH(1,(GMW!$LQ$2:$LQ$60=G$3)*(GMW!$LP$2:$LP$60=G$4)*(GMW!$LR$2:$LR$60=G$1),0),$C181-1966)</f>
        <v>528712</v>
      </c>
      <c r="H181" s="4" cm="1">
        <f t="array" ref="H181">INDEX(GMW!$A$2:$LR$60,MATCH(1,(GMW!$LQ$2:$LQ$60=H$3)*(GMW!$LP$2:$LP$60=H$4)*(GMW!$LR$2:$LR$60=H$1),0),$C181-1966)</f>
        <v>528712</v>
      </c>
      <c r="I181" s="4" cm="1">
        <f t="array" ref="I181">INDEX(GMW!$A$2:$LR$60,MATCH(1,(GMW!$LQ$2:$LQ$60=I$3)*(GMW!$LP$2:$LP$60=I$4)*(GMW!$LR$2:$LR$60=I$1),0),$C181-1966)</f>
        <v>528712</v>
      </c>
      <c r="J181" s="4" cm="1">
        <f t="array" ref="J181">INDEX(GMW!$A$2:$LR$60,MATCH(1,(GMW!$LQ$2:$LQ$60=J$3)*(GMW!$LP$2:$LP$60=J$4)*(GMW!$LR$2:$LR$60=J$1),0),$C181-1966)</f>
        <v>528712</v>
      </c>
      <c r="K181" s="4" cm="1">
        <f t="array" ref="K181">INDEX(GMW!$A$2:$LR$60,MATCH(1,(GMW!$LQ$2:$LQ$60=K$3)*(GMW!$LP$2:$LP$60=K$4)*(GMW!$LR$2:$LR$60=K$1),0),$C181-1966)</f>
        <v>528712</v>
      </c>
      <c r="L181" s="4" cm="1">
        <f t="array" ref="L181">INDEX(GMW!$A$2:$LR$60,MATCH(1,(GMW!$LQ$2:$LQ$60=L$3)*(GMW!$LP$2:$LP$60=L$4)*(GMW!$LR$2:$LR$60=L$1),0),$C181-1966)</f>
        <v>528712</v>
      </c>
      <c r="M181" s="4" cm="1">
        <f t="array" ref="M181">INDEX(GMW!$A$2:$LR$60,MATCH(1,(GMW!$LQ$2:$LQ$60=M$3)*(GMW!$LP$2:$LP$60=M$4)*(GMW!$LR$2:$LR$60=M$1),0),$C181-1966)</f>
        <v>528712</v>
      </c>
      <c r="N181" s="4" cm="1">
        <f t="array" ref="N181">INDEX(GMW!$A$2:$LR$60,MATCH(1,(GMW!$LQ$2:$LQ$60=N$3)*(GMW!$LP$2:$LP$60=N$4)*(GMW!$LR$2:$LR$60=N$1),0),$C181-1966)</f>
        <v>528712</v>
      </c>
      <c r="O181" s="4" cm="1">
        <f t="array" ref="O181">INDEX(GMW!$A$2:$LR$60,MATCH(1,(GMW!$LQ$2:$LQ$60=O$3)*(GMW!$LP$2:$LP$60=O$4)*(GMW!$LR$2:$LR$60=O$1),0),$C181-1966)</f>
        <v>528712</v>
      </c>
      <c r="P181" s="4" cm="1">
        <f t="array" ref="P181">INDEX(GMW!$A$2:$LR$60,MATCH(1,(GMW!$LQ$2:$LQ$60=P$3)*(GMW!$LP$2:$LP$60=P$4)*(GMW!$LR$2:$LR$60=P$1),0),$C181-1966)</f>
        <v>528712</v>
      </c>
      <c r="Q181" s="4" cm="1">
        <f t="array" ref="Q181">INDEX(GMW!$A$2:$LR$60,MATCH(1,(GMW!$LQ$2:$LQ$60=Q$3)*(GMW!$LP$2:$LP$60=Q$4)*(GMW!$LR$2:$LR$60=Q$1),0),$C181-1966)</f>
        <v>528712</v>
      </c>
      <c r="R181" s="4" cm="1">
        <f t="array" ref="R181">INDEX(GMW!$A$2:$LR$60,MATCH(1,(GMW!$LQ$2:$LQ$60=R$3)*(GMW!$LP$2:$LP$60=R$4)*(GMW!$LR$2:$LR$60=R$1),0),$C181-1966)</f>
        <v>528712</v>
      </c>
      <c r="S181" s="4" cm="1">
        <f t="array" ref="S181">INDEX(GMW!$A$2:$LR$60,MATCH(1,(GMW!$LQ$2:$LQ$60=S$3)*(GMW!$LP$2:$LP$60=S$4)*(GMW!$LR$2:$LR$60=S$1),0),$C181-1966)</f>
        <v>528712</v>
      </c>
      <c r="T181" s="4" cm="1">
        <f t="array" ref="T181">INDEX(GMW!$A$2:$LR$60,MATCH(1,(GMW!$LQ$2:$LQ$60=T$3)*(GMW!$LP$2:$LP$60=T$4)*(GMW!$LR$2:$LR$60=T$1),0),$C181-1966)</f>
        <v>528712</v>
      </c>
      <c r="U181" s="4" cm="1">
        <f t="array" ref="U181">INDEX(GMW!$A$2:$LR$60,MATCH(1,(GMW!$LQ$2:$LQ$60=U$3)*(GMW!$LP$2:$LP$60=U$4)*(GMW!$LR$2:$LR$60=U$1),0),$C181-1966)</f>
        <v>495</v>
      </c>
      <c r="V181" s="4" cm="1">
        <f t="array" ref="V181">INDEX(GMW!$A$2:$LR$60,MATCH(1,(GMW!$LQ$2:$LQ$60=V$3)*(GMW!$LP$2:$LP$60=V$4)*(GMW!$LR$2:$LR$60=V$1),0),$C181-1966)</f>
        <v>100.86669999999999</v>
      </c>
      <c r="W181" s="4" cm="1">
        <f t="array" ref="W181">INDEX(GMW!$A$2:$LR$60,MATCH(1,(GMW!$LQ$2:$LQ$60=W$3)*(GMW!$LP$2:$LP$60=W$4)*(GMW!$LR$2:$LR$60=W$1),0),$C181-1966)</f>
        <v>98.533330000000007</v>
      </c>
      <c r="X181" s="4" cm="1">
        <f t="array" ref="X181">INDEX(GMW!$A$2:$LR$60,MATCH(1,(GMW!$LQ$2:$LQ$60=X$3)*(GMW!$LP$2:$LP$60=X$4)*(GMW!$LR$2:$LR$60=X$1),0),$C181-1966)</f>
        <v>99.466669999999993</v>
      </c>
      <c r="Y181" s="4" cm="1">
        <f t="array" ref="Y181">INDEX(GMW!$A$2:$LR$60,MATCH(1,(GMW!$LQ$2:$LQ$60=Y$3)*(GMW!$LP$2:$LP$60=Y$4)*(GMW!$LR$2:$LR$60=Y$1),0),$C181-1966)</f>
        <v>96.7</v>
      </c>
      <c r="Z181" s="4" cm="1">
        <f t="array" ref="Z181">INDEX(GMW!$A$2:$LR$60,MATCH(1,(GMW!$LQ$2:$LQ$60=Z$3)*(GMW!$LP$2:$LP$60=Z$4)*(GMW!$LR$2:$LR$60=Z$1),0),$C181-1966)</f>
        <v>101.5667</v>
      </c>
      <c r="AA181" s="4" cm="1">
        <f t="array" ref="AA181">INDEX(GMW!$A$2:$LR$60,MATCH(1,(GMW!$LQ$2:$LQ$60=AA$3)*(GMW!$LP$2:$LP$60=AA$4)*(GMW!$LR$2:$LR$60=AA$1),0),$C181-1966)</f>
        <v>331735</v>
      </c>
      <c r="AB181" s="4" cm="1">
        <f t="array" ref="AB181">INDEX(GMW!$A$2:$LR$60,MATCH(1,(GMW!$LQ$2:$LQ$60=AB$3)*(GMW!$LP$2:$LP$60=AB$4)*(GMW!$LR$2:$LR$60=AB$1),0),$C181-1966)</f>
        <v>98329</v>
      </c>
      <c r="AC181" s="4" cm="1">
        <f t="array" ref="AC181">INDEX(GMW!$A$2:$LR$60,MATCH(1,(GMW!$LQ$2:$LQ$60=AC$3)*(GMW!$LP$2:$LP$60=AC$4)*(GMW!$LR$2:$LR$60=AC$1),0),$C181-1966)</f>
        <v>101465</v>
      </c>
      <c r="AD181" s="4" cm="1">
        <f t="array" ref="AD181">INDEX(GMW!$A$2:$LR$60,MATCH(1,(GMW!$LQ$2:$LQ$60=AD$3)*(GMW!$LP$2:$LP$60=AD$4)*(GMW!$LR$2:$LR$60=AD$1),0),$C181-1966)</f>
        <v>154845</v>
      </c>
      <c r="AE181" s="4" cm="1">
        <f t="array" ref="AE181">INDEX(GMW!$A$2:$LR$60,MATCH(1,(GMW!$LQ$2:$LQ$60=AE$3)*(GMW!$LP$2:$LP$60=AE$4)*(GMW!$LR$2:$LR$60=AE$1),0),$C181-1966)</f>
        <v>173189</v>
      </c>
      <c r="AF181" s="4" cm="1">
        <f t="array" ref="AF181">INDEX(GMW!$A$2:$LR$60,MATCH(1,(GMW!$LQ$2:$LQ$60=AF$3)*(GMW!$LP$2:$LP$60=AF$4)*(GMW!$LR$2:$LR$60=AF$1),0),$C181-1966)</f>
        <v>0.1208545</v>
      </c>
      <c r="AG181" s="4" cm="1">
        <f t="array" ref="AG181">INDEX(GMW!$A$2:$LR$60,MATCH(1,(GMW!$LQ$2:$LQ$60=AG$3)*(GMW!$LP$2:$LP$60=AG$4)*(GMW!$LR$2:$LR$60=AG$1),0),$C181-1966)</f>
        <v>0.20009389999999999</v>
      </c>
    </row>
    <row r="182" spans="1:33" x14ac:dyDescent="0.25">
      <c r="B182" s="4">
        <f t="shared" si="5"/>
        <v>2016</v>
      </c>
      <c r="C182" s="4">
        <f t="shared" si="6"/>
        <v>2148</v>
      </c>
      <c r="D182" s="4" cm="1">
        <f t="array" ref="D182">INDEX(GMW!$A$2:$LR$60,MATCH(1,(GMW!$LQ$2:$LQ$60=D$3)*(GMW!$LP$2:$LP$60=D$4)*(GMW!$LR$2:$LR$60=D$1),0),$C182-1966)</f>
        <v>532082</v>
      </c>
      <c r="E182" s="4" cm="1">
        <f t="array" ref="E182">INDEX(GMW!$A$2:$LR$60,MATCH(1,(GMW!$LQ$2:$LQ$60=E$3)*(GMW!$LP$2:$LP$60=E$4)*(GMW!$LR$2:$LR$60=E$1),0),$C182-1966)</f>
        <v>532082</v>
      </c>
      <c r="F182" s="4" cm="1">
        <f t="array" ref="F182">INDEX(GMW!$A$2:$LR$60,MATCH(1,(GMW!$LQ$2:$LQ$60=F$3)*(GMW!$LP$2:$LP$60=F$4)*(GMW!$LR$2:$LR$60=F$1),0),$C182-1966)</f>
        <v>532082</v>
      </c>
      <c r="G182" s="4" cm="1">
        <f t="array" ref="G182">INDEX(GMW!$A$2:$LR$60,MATCH(1,(GMW!$LQ$2:$LQ$60=G$3)*(GMW!$LP$2:$LP$60=G$4)*(GMW!$LR$2:$LR$60=G$1),0),$C182-1966)</f>
        <v>532082</v>
      </c>
      <c r="H182" s="4" cm="1">
        <f t="array" ref="H182">INDEX(GMW!$A$2:$LR$60,MATCH(1,(GMW!$LQ$2:$LQ$60=H$3)*(GMW!$LP$2:$LP$60=H$4)*(GMW!$LR$2:$LR$60=H$1),0),$C182-1966)</f>
        <v>532082</v>
      </c>
      <c r="I182" s="4" cm="1">
        <f t="array" ref="I182">INDEX(GMW!$A$2:$LR$60,MATCH(1,(GMW!$LQ$2:$LQ$60=I$3)*(GMW!$LP$2:$LP$60=I$4)*(GMW!$LR$2:$LR$60=I$1),0),$C182-1966)</f>
        <v>532082</v>
      </c>
      <c r="J182" s="4" cm="1">
        <f t="array" ref="J182">INDEX(GMW!$A$2:$LR$60,MATCH(1,(GMW!$LQ$2:$LQ$60=J$3)*(GMW!$LP$2:$LP$60=J$4)*(GMW!$LR$2:$LR$60=J$1),0),$C182-1966)</f>
        <v>532082</v>
      </c>
      <c r="K182" s="4" cm="1">
        <f t="array" ref="K182">INDEX(GMW!$A$2:$LR$60,MATCH(1,(GMW!$LQ$2:$LQ$60=K$3)*(GMW!$LP$2:$LP$60=K$4)*(GMW!$LR$2:$LR$60=K$1),0),$C182-1966)</f>
        <v>532082</v>
      </c>
      <c r="L182" s="4" cm="1">
        <f t="array" ref="L182">INDEX(GMW!$A$2:$LR$60,MATCH(1,(GMW!$LQ$2:$LQ$60=L$3)*(GMW!$LP$2:$LP$60=L$4)*(GMW!$LR$2:$LR$60=L$1),0),$C182-1966)</f>
        <v>532082</v>
      </c>
      <c r="M182" s="4" cm="1">
        <f t="array" ref="M182">INDEX(GMW!$A$2:$LR$60,MATCH(1,(GMW!$LQ$2:$LQ$60=M$3)*(GMW!$LP$2:$LP$60=M$4)*(GMW!$LR$2:$LR$60=M$1),0),$C182-1966)</f>
        <v>532082</v>
      </c>
      <c r="N182" s="4" cm="1">
        <f t="array" ref="N182">INDEX(GMW!$A$2:$LR$60,MATCH(1,(GMW!$LQ$2:$LQ$60=N$3)*(GMW!$LP$2:$LP$60=N$4)*(GMW!$LR$2:$LR$60=N$1),0),$C182-1966)</f>
        <v>532082</v>
      </c>
      <c r="O182" s="4" cm="1">
        <f t="array" ref="O182">INDEX(GMW!$A$2:$LR$60,MATCH(1,(GMW!$LQ$2:$LQ$60=O$3)*(GMW!$LP$2:$LP$60=O$4)*(GMW!$LR$2:$LR$60=O$1),0),$C182-1966)</f>
        <v>532082</v>
      </c>
      <c r="P182" s="4" cm="1">
        <f t="array" ref="P182">INDEX(GMW!$A$2:$LR$60,MATCH(1,(GMW!$LQ$2:$LQ$60=P$3)*(GMW!$LP$2:$LP$60=P$4)*(GMW!$LR$2:$LR$60=P$1),0),$C182-1966)</f>
        <v>532082</v>
      </c>
      <c r="Q182" s="4" cm="1">
        <f t="array" ref="Q182">INDEX(GMW!$A$2:$LR$60,MATCH(1,(GMW!$LQ$2:$LQ$60=Q$3)*(GMW!$LP$2:$LP$60=Q$4)*(GMW!$LR$2:$LR$60=Q$1),0),$C182-1966)</f>
        <v>532082</v>
      </c>
      <c r="R182" s="4" cm="1">
        <f t="array" ref="R182">INDEX(GMW!$A$2:$LR$60,MATCH(1,(GMW!$LQ$2:$LQ$60=R$3)*(GMW!$LP$2:$LP$60=R$4)*(GMW!$LR$2:$LR$60=R$1),0),$C182-1966)</f>
        <v>532082</v>
      </c>
      <c r="S182" s="4" cm="1">
        <f t="array" ref="S182">INDEX(GMW!$A$2:$LR$60,MATCH(1,(GMW!$LQ$2:$LQ$60=S$3)*(GMW!$LP$2:$LP$60=S$4)*(GMW!$LR$2:$LR$60=S$1),0),$C182-1966)</f>
        <v>532082</v>
      </c>
      <c r="T182" s="4" cm="1">
        <f t="array" ref="T182">INDEX(GMW!$A$2:$LR$60,MATCH(1,(GMW!$LQ$2:$LQ$60=T$3)*(GMW!$LP$2:$LP$60=T$4)*(GMW!$LR$2:$LR$60=T$1),0),$C182-1966)</f>
        <v>532082</v>
      </c>
      <c r="U182" s="4" cm="1">
        <f t="array" ref="U182">INDEX(GMW!$A$2:$LR$60,MATCH(1,(GMW!$LQ$2:$LQ$60=U$3)*(GMW!$LP$2:$LP$60=U$4)*(GMW!$LR$2:$LR$60=U$1),0),$C182-1966)</f>
        <v>497</v>
      </c>
      <c r="V182" s="4" cm="1">
        <f t="array" ref="V182">INDEX(GMW!$A$2:$LR$60,MATCH(1,(GMW!$LQ$2:$LQ$60=V$3)*(GMW!$LP$2:$LP$60=V$4)*(GMW!$LR$2:$LR$60=V$1),0),$C182-1966)</f>
        <v>101.5</v>
      </c>
      <c r="W182" s="4" cm="1">
        <f t="array" ref="W182">INDEX(GMW!$A$2:$LR$60,MATCH(1,(GMW!$LQ$2:$LQ$60=W$3)*(GMW!$LP$2:$LP$60=W$4)*(GMW!$LR$2:$LR$60=W$1),0),$C182-1966)</f>
        <v>98.6</v>
      </c>
      <c r="X182" s="4" cm="1">
        <f t="array" ref="X182">INDEX(GMW!$A$2:$LR$60,MATCH(1,(GMW!$LQ$2:$LQ$60=X$3)*(GMW!$LP$2:$LP$60=X$4)*(GMW!$LR$2:$LR$60=X$1),0),$C182-1966)</f>
        <v>102.9333</v>
      </c>
      <c r="Y182" s="4" cm="1">
        <f t="array" ref="Y182">INDEX(GMW!$A$2:$LR$60,MATCH(1,(GMW!$LQ$2:$LQ$60=Y$3)*(GMW!$LP$2:$LP$60=Y$4)*(GMW!$LR$2:$LR$60=Y$1),0),$C182-1966)</f>
        <v>97.333340000000007</v>
      </c>
      <c r="Z182" s="4" cm="1">
        <f t="array" ref="Z182">INDEX(GMW!$A$2:$LR$60,MATCH(1,(GMW!$LQ$2:$LQ$60=Z$3)*(GMW!$LP$2:$LP$60=Z$4)*(GMW!$LR$2:$LR$60=Z$1),0),$C182-1966)</f>
        <v>102.2</v>
      </c>
      <c r="AA182" s="4" cm="1">
        <f t="array" ref="AA182">INDEX(GMW!$A$2:$LR$60,MATCH(1,(GMW!$LQ$2:$LQ$60=AA$3)*(GMW!$LP$2:$LP$60=AA$4)*(GMW!$LR$2:$LR$60=AA$1),0),$C182-1966)</f>
        <v>331732</v>
      </c>
      <c r="AB182" s="4" cm="1">
        <f t="array" ref="AB182">INDEX(GMW!$A$2:$LR$60,MATCH(1,(GMW!$LQ$2:$LQ$60=AB$3)*(GMW!$LP$2:$LP$60=AB$4)*(GMW!$LR$2:$LR$60=AB$1),0),$C182-1966)</f>
        <v>97427</v>
      </c>
      <c r="AC182" s="4" cm="1">
        <f t="array" ref="AC182">INDEX(GMW!$A$2:$LR$60,MATCH(1,(GMW!$LQ$2:$LQ$60=AC$3)*(GMW!$LP$2:$LP$60=AC$4)*(GMW!$LR$2:$LR$60=AC$1),0),$C182-1966)</f>
        <v>101092</v>
      </c>
      <c r="AD182" s="4" cm="1">
        <f t="array" ref="AD182">INDEX(GMW!$A$2:$LR$60,MATCH(1,(GMW!$LQ$2:$LQ$60=AD$3)*(GMW!$LP$2:$LP$60=AD$4)*(GMW!$LR$2:$LR$60=AD$1),0),$C182-1966)</f>
        <v>160974</v>
      </c>
      <c r="AE182" s="4" cm="1">
        <f t="array" ref="AE182">INDEX(GMW!$A$2:$LR$60,MATCH(1,(GMW!$LQ$2:$LQ$60=AE$3)*(GMW!$LP$2:$LP$60=AE$4)*(GMW!$LR$2:$LR$60=AE$1),0),$C182-1966)</f>
        <v>169132</v>
      </c>
      <c r="AF182" s="4" cm="1">
        <f t="array" ref="AF182">INDEX(GMW!$A$2:$LR$60,MATCH(1,(GMW!$LQ$2:$LQ$60=AF$3)*(GMW!$LP$2:$LP$60=AF$4)*(GMW!$LR$2:$LR$60=AF$1),0),$C182-1966)</f>
        <v>0.25840619999999997</v>
      </c>
      <c r="AG182" s="4" cm="1">
        <f t="array" ref="AG182">INDEX(GMW!$A$2:$LR$60,MATCH(1,(GMW!$LQ$2:$LQ$60=AG$3)*(GMW!$LP$2:$LP$60=AG$4)*(GMW!$LR$2:$LR$60=AG$1),0),$C182-1966)</f>
        <v>0.51158150000000002</v>
      </c>
    </row>
    <row r="183" spans="1:33" x14ac:dyDescent="0.25">
      <c r="A183" s="4">
        <v>2017</v>
      </c>
      <c r="B183" s="4">
        <f t="shared" si="5"/>
        <v>2017</v>
      </c>
      <c r="C183" s="4">
        <f t="shared" si="6"/>
        <v>2149</v>
      </c>
      <c r="D183" s="4" cm="1">
        <f t="array" ref="D183">INDEX(GMW!$A$2:$LR$60,MATCH(1,(GMW!$LQ$2:$LQ$60=D$3)*(GMW!$LP$2:$LP$60=D$4)*(GMW!$LR$2:$LR$60=D$1),0),$C183-1966)</f>
        <v>536566</v>
      </c>
      <c r="E183" s="4" cm="1">
        <f t="array" ref="E183">INDEX(GMW!$A$2:$LR$60,MATCH(1,(GMW!$LQ$2:$LQ$60=E$3)*(GMW!$LP$2:$LP$60=E$4)*(GMW!$LR$2:$LR$60=E$1),0),$C183-1966)</f>
        <v>536566</v>
      </c>
      <c r="F183" s="4" cm="1">
        <f t="array" ref="F183">INDEX(GMW!$A$2:$LR$60,MATCH(1,(GMW!$LQ$2:$LQ$60=F$3)*(GMW!$LP$2:$LP$60=F$4)*(GMW!$LR$2:$LR$60=F$1),0),$C183-1966)</f>
        <v>536566</v>
      </c>
      <c r="G183" s="4" cm="1">
        <f t="array" ref="G183">INDEX(GMW!$A$2:$LR$60,MATCH(1,(GMW!$LQ$2:$LQ$60=G$3)*(GMW!$LP$2:$LP$60=G$4)*(GMW!$LR$2:$LR$60=G$1),0),$C183-1966)</f>
        <v>536566</v>
      </c>
      <c r="H183" s="4" cm="1">
        <f t="array" ref="H183">INDEX(GMW!$A$2:$LR$60,MATCH(1,(GMW!$LQ$2:$LQ$60=H$3)*(GMW!$LP$2:$LP$60=H$4)*(GMW!$LR$2:$LR$60=H$1),0),$C183-1966)</f>
        <v>536566</v>
      </c>
      <c r="I183" s="4" cm="1">
        <f t="array" ref="I183">INDEX(GMW!$A$2:$LR$60,MATCH(1,(GMW!$LQ$2:$LQ$60=I$3)*(GMW!$LP$2:$LP$60=I$4)*(GMW!$LR$2:$LR$60=I$1),0),$C183-1966)</f>
        <v>536566</v>
      </c>
      <c r="J183" s="4" cm="1">
        <f t="array" ref="J183">INDEX(GMW!$A$2:$LR$60,MATCH(1,(GMW!$LQ$2:$LQ$60=J$3)*(GMW!$LP$2:$LP$60=J$4)*(GMW!$LR$2:$LR$60=J$1),0),$C183-1966)</f>
        <v>536566</v>
      </c>
      <c r="K183" s="4" cm="1">
        <f t="array" ref="K183">INDEX(GMW!$A$2:$LR$60,MATCH(1,(GMW!$LQ$2:$LQ$60=K$3)*(GMW!$LP$2:$LP$60=K$4)*(GMW!$LR$2:$LR$60=K$1),0),$C183-1966)</f>
        <v>536566</v>
      </c>
      <c r="L183" s="4" cm="1">
        <f t="array" ref="L183">INDEX(GMW!$A$2:$LR$60,MATCH(1,(GMW!$LQ$2:$LQ$60=L$3)*(GMW!$LP$2:$LP$60=L$4)*(GMW!$LR$2:$LR$60=L$1),0),$C183-1966)</f>
        <v>536566</v>
      </c>
      <c r="M183" s="4" cm="1">
        <f t="array" ref="M183">INDEX(GMW!$A$2:$LR$60,MATCH(1,(GMW!$LQ$2:$LQ$60=M$3)*(GMW!$LP$2:$LP$60=M$4)*(GMW!$LR$2:$LR$60=M$1),0),$C183-1966)</f>
        <v>536566</v>
      </c>
      <c r="N183" s="4" cm="1">
        <f t="array" ref="N183">INDEX(GMW!$A$2:$LR$60,MATCH(1,(GMW!$LQ$2:$LQ$60=N$3)*(GMW!$LP$2:$LP$60=N$4)*(GMW!$LR$2:$LR$60=N$1),0),$C183-1966)</f>
        <v>536566</v>
      </c>
      <c r="O183" s="4" cm="1">
        <f t="array" ref="O183">INDEX(GMW!$A$2:$LR$60,MATCH(1,(GMW!$LQ$2:$LQ$60=O$3)*(GMW!$LP$2:$LP$60=O$4)*(GMW!$LR$2:$LR$60=O$1),0),$C183-1966)</f>
        <v>536566</v>
      </c>
      <c r="P183" s="4" cm="1">
        <f t="array" ref="P183">INDEX(GMW!$A$2:$LR$60,MATCH(1,(GMW!$LQ$2:$LQ$60=P$3)*(GMW!$LP$2:$LP$60=P$4)*(GMW!$LR$2:$LR$60=P$1),0),$C183-1966)</f>
        <v>536566</v>
      </c>
      <c r="Q183" s="4" cm="1">
        <f t="array" ref="Q183">INDEX(GMW!$A$2:$LR$60,MATCH(1,(GMW!$LQ$2:$LQ$60=Q$3)*(GMW!$LP$2:$LP$60=Q$4)*(GMW!$LR$2:$LR$60=Q$1),0),$C183-1966)</f>
        <v>536566</v>
      </c>
      <c r="R183" s="4" cm="1">
        <f t="array" ref="R183">INDEX(GMW!$A$2:$LR$60,MATCH(1,(GMW!$LQ$2:$LQ$60=R$3)*(GMW!$LP$2:$LP$60=R$4)*(GMW!$LR$2:$LR$60=R$1),0),$C183-1966)</f>
        <v>536566</v>
      </c>
      <c r="S183" s="4" cm="1">
        <f t="array" ref="S183">INDEX(GMW!$A$2:$LR$60,MATCH(1,(GMW!$LQ$2:$LQ$60=S$3)*(GMW!$LP$2:$LP$60=S$4)*(GMW!$LR$2:$LR$60=S$1),0),$C183-1966)</f>
        <v>536566</v>
      </c>
      <c r="T183" s="4" cm="1">
        <f t="array" ref="T183">INDEX(GMW!$A$2:$LR$60,MATCH(1,(GMW!$LQ$2:$LQ$60=T$3)*(GMW!$LP$2:$LP$60=T$4)*(GMW!$LR$2:$LR$60=T$1),0),$C183-1966)</f>
        <v>536566</v>
      </c>
      <c r="U183" s="4" cm="1">
        <f t="array" ref="U183">INDEX(GMW!$A$2:$LR$60,MATCH(1,(GMW!$LQ$2:$LQ$60=U$3)*(GMW!$LP$2:$LP$60=U$4)*(GMW!$LR$2:$LR$60=U$1),0),$C183-1966)</f>
        <v>499</v>
      </c>
      <c r="V183" s="4" cm="1">
        <f t="array" ref="V183">INDEX(GMW!$A$2:$LR$60,MATCH(1,(GMW!$LQ$2:$LQ$60=V$3)*(GMW!$LP$2:$LP$60=V$4)*(GMW!$LR$2:$LR$60=V$1),0),$C183-1966)</f>
        <v>102</v>
      </c>
      <c r="W183" s="4" cm="1">
        <f t="array" ref="W183">INDEX(GMW!$A$2:$LR$60,MATCH(1,(GMW!$LQ$2:$LQ$60=W$3)*(GMW!$LP$2:$LP$60=W$4)*(GMW!$LR$2:$LR$60=W$1),0),$C183-1966)</f>
        <v>100.3</v>
      </c>
      <c r="X183" s="4" cm="1">
        <f t="array" ref="X183">INDEX(GMW!$A$2:$LR$60,MATCH(1,(GMW!$LQ$2:$LQ$60=X$3)*(GMW!$LP$2:$LP$60=X$4)*(GMW!$LR$2:$LR$60=X$1),0),$C183-1966)</f>
        <v>107.2333</v>
      </c>
      <c r="Y183" s="4" cm="1">
        <f t="array" ref="Y183">INDEX(GMW!$A$2:$LR$60,MATCH(1,(GMW!$LQ$2:$LQ$60=Y$3)*(GMW!$LP$2:$LP$60=Y$4)*(GMW!$LR$2:$LR$60=Y$1),0),$C183-1966)</f>
        <v>97.6</v>
      </c>
      <c r="Z183" s="4" cm="1">
        <f t="array" ref="Z183">INDEX(GMW!$A$2:$LR$60,MATCH(1,(GMW!$LQ$2:$LQ$60=Z$3)*(GMW!$LP$2:$LP$60=Z$4)*(GMW!$LR$2:$LR$60=Z$1),0),$C183-1966)</f>
        <v>102.2667</v>
      </c>
      <c r="AA183" s="4" cm="1">
        <f t="array" ref="AA183">INDEX(GMW!$A$2:$LR$60,MATCH(1,(GMW!$LQ$2:$LQ$60=AA$3)*(GMW!$LP$2:$LP$60=AA$4)*(GMW!$LR$2:$LR$60=AA$1),0),$C183-1966)</f>
        <v>333975</v>
      </c>
      <c r="AB183" s="4" cm="1">
        <f t="array" ref="AB183">INDEX(GMW!$A$2:$LR$60,MATCH(1,(GMW!$LQ$2:$LQ$60=AB$3)*(GMW!$LP$2:$LP$60=AB$4)*(GMW!$LR$2:$LR$60=AB$1),0),$C183-1966)</f>
        <v>99077</v>
      </c>
      <c r="AC183" s="4" cm="1">
        <f t="array" ref="AC183">INDEX(GMW!$A$2:$LR$60,MATCH(1,(GMW!$LQ$2:$LQ$60=AC$3)*(GMW!$LP$2:$LP$60=AC$4)*(GMW!$LR$2:$LR$60=AC$1),0),$C183-1966)</f>
        <v>101335</v>
      </c>
      <c r="AD183" s="4" cm="1">
        <f t="array" ref="AD183">INDEX(GMW!$A$2:$LR$60,MATCH(1,(GMW!$LQ$2:$LQ$60=AD$3)*(GMW!$LP$2:$LP$60=AD$4)*(GMW!$LR$2:$LR$60=AD$1),0),$C183-1966)</f>
        <v>163631</v>
      </c>
      <c r="AE183" s="4" cm="1">
        <f t="array" ref="AE183">INDEX(GMW!$A$2:$LR$60,MATCH(1,(GMW!$LQ$2:$LQ$60=AE$3)*(GMW!$LP$2:$LP$60=AE$4)*(GMW!$LR$2:$LR$60=AE$1),0),$C183-1966)</f>
        <v>171129</v>
      </c>
      <c r="AF183" s="4" cm="1">
        <f t="array" ref="AF183">INDEX(GMW!$A$2:$LR$60,MATCH(1,(GMW!$LQ$2:$LQ$60=AF$3)*(GMW!$LP$2:$LP$60=AF$4)*(GMW!$LR$2:$LR$60=AF$1),0),$C183-1966)</f>
        <v>0.31564920000000002</v>
      </c>
      <c r="AG183" s="4" cm="1">
        <f t="array" ref="AG183">INDEX(GMW!$A$2:$LR$60,MATCH(1,(GMW!$LQ$2:$LQ$60=AG$3)*(GMW!$LP$2:$LP$60=AG$4)*(GMW!$LR$2:$LR$60=AG$1),0),$C183-1966)</f>
        <v>0.5734416</v>
      </c>
    </row>
    <row r="184" spans="1:33" x14ac:dyDescent="0.25">
      <c r="B184" s="4">
        <f t="shared" si="5"/>
        <v>2017</v>
      </c>
      <c r="C184" s="4">
        <f t="shared" si="6"/>
        <v>2150</v>
      </c>
      <c r="D184" s="4" cm="1">
        <f t="array" ref="D184">INDEX(GMW!$A$2:$LR$60,MATCH(1,(GMW!$LQ$2:$LQ$60=D$3)*(GMW!$LP$2:$LP$60=D$4)*(GMW!$LR$2:$LR$60=D$1),0),$C184-1966)</f>
        <v>540020</v>
      </c>
      <c r="E184" s="4" cm="1">
        <f t="array" ref="E184">INDEX(GMW!$A$2:$LR$60,MATCH(1,(GMW!$LQ$2:$LQ$60=E$3)*(GMW!$LP$2:$LP$60=E$4)*(GMW!$LR$2:$LR$60=E$1),0),$C184-1966)</f>
        <v>540020</v>
      </c>
      <c r="F184" s="4" cm="1">
        <f t="array" ref="F184">INDEX(GMW!$A$2:$LR$60,MATCH(1,(GMW!$LQ$2:$LQ$60=F$3)*(GMW!$LP$2:$LP$60=F$4)*(GMW!$LR$2:$LR$60=F$1),0),$C184-1966)</f>
        <v>540020</v>
      </c>
      <c r="G184" s="4" cm="1">
        <f t="array" ref="G184">INDEX(GMW!$A$2:$LR$60,MATCH(1,(GMW!$LQ$2:$LQ$60=G$3)*(GMW!$LP$2:$LP$60=G$4)*(GMW!$LR$2:$LR$60=G$1),0),$C184-1966)</f>
        <v>540020</v>
      </c>
      <c r="H184" s="4" cm="1">
        <f t="array" ref="H184">INDEX(GMW!$A$2:$LR$60,MATCH(1,(GMW!$LQ$2:$LQ$60=H$3)*(GMW!$LP$2:$LP$60=H$4)*(GMW!$LR$2:$LR$60=H$1),0),$C184-1966)</f>
        <v>540020</v>
      </c>
      <c r="I184" s="4" cm="1">
        <f t="array" ref="I184">INDEX(GMW!$A$2:$LR$60,MATCH(1,(GMW!$LQ$2:$LQ$60=I$3)*(GMW!$LP$2:$LP$60=I$4)*(GMW!$LR$2:$LR$60=I$1),0),$C184-1966)</f>
        <v>540020</v>
      </c>
      <c r="J184" s="4" cm="1">
        <f t="array" ref="J184">INDEX(GMW!$A$2:$LR$60,MATCH(1,(GMW!$LQ$2:$LQ$60=J$3)*(GMW!$LP$2:$LP$60=J$4)*(GMW!$LR$2:$LR$60=J$1),0),$C184-1966)</f>
        <v>540020</v>
      </c>
      <c r="K184" s="4" cm="1">
        <f t="array" ref="K184">INDEX(GMW!$A$2:$LR$60,MATCH(1,(GMW!$LQ$2:$LQ$60=K$3)*(GMW!$LP$2:$LP$60=K$4)*(GMW!$LR$2:$LR$60=K$1),0),$C184-1966)</f>
        <v>540020</v>
      </c>
      <c r="L184" s="4" cm="1">
        <f t="array" ref="L184">INDEX(GMW!$A$2:$LR$60,MATCH(1,(GMW!$LQ$2:$LQ$60=L$3)*(GMW!$LP$2:$LP$60=L$4)*(GMW!$LR$2:$LR$60=L$1),0),$C184-1966)</f>
        <v>540020</v>
      </c>
      <c r="M184" s="4" cm="1">
        <f t="array" ref="M184">INDEX(GMW!$A$2:$LR$60,MATCH(1,(GMW!$LQ$2:$LQ$60=M$3)*(GMW!$LP$2:$LP$60=M$4)*(GMW!$LR$2:$LR$60=M$1),0),$C184-1966)</f>
        <v>540020</v>
      </c>
      <c r="N184" s="4" cm="1">
        <f t="array" ref="N184">INDEX(GMW!$A$2:$LR$60,MATCH(1,(GMW!$LQ$2:$LQ$60=N$3)*(GMW!$LP$2:$LP$60=N$4)*(GMW!$LR$2:$LR$60=N$1),0),$C184-1966)</f>
        <v>540020</v>
      </c>
      <c r="O184" s="4" cm="1">
        <f t="array" ref="O184">INDEX(GMW!$A$2:$LR$60,MATCH(1,(GMW!$LQ$2:$LQ$60=O$3)*(GMW!$LP$2:$LP$60=O$4)*(GMW!$LR$2:$LR$60=O$1),0),$C184-1966)</f>
        <v>540020</v>
      </c>
      <c r="P184" s="4" cm="1">
        <f t="array" ref="P184">INDEX(GMW!$A$2:$LR$60,MATCH(1,(GMW!$LQ$2:$LQ$60=P$3)*(GMW!$LP$2:$LP$60=P$4)*(GMW!$LR$2:$LR$60=P$1),0),$C184-1966)</f>
        <v>540020</v>
      </c>
      <c r="Q184" s="4" cm="1">
        <f t="array" ref="Q184">INDEX(GMW!$A$2:$LR$60,MATCH(1,(GMW!$LQ$2:$LQ$60=Q$3)*(GMW!$LP$2:$LP$60=Q$4)*(GMW!$LR$2:$LR$60=Q$1),0),$C184-1966)</f>
        <v>540020</v>
      </c>
      <c r="R184" s="4" cm="1">
        <f t="array" ref="R184">INDEX(GMW!$A$2:$LR$60,MATCH(1,(GMW!$LQ$2:$LQ$60=R$3)*(GMW!$LP$2:$LP$60=R$4)*(GMW!$LR$2:$LR$60=R$1),0),$C184-1966)</f>
        <v>540020</v>
      </c>
      <c r="S184" s="4" cm="1">
        <f t="array" ref="S184">INDEX(GMW!$A$2:$LR$60,MATCH(1,(GMW!$LQ$2:$LQ$60=S$3)*(GMW!$LP$2:$LP$60=S$4)*(GMW!$LR$2:$LR$60=S$1),0),$C184-1966)</f>
        <v>540020</v>
      </c>
      <c r="T184" s="4" cm="1">
        <f t="array" ref="T184">INDEX(GMW!$A$2:$LR$60,MATCH(1,(GMW!$LQ$2:$LQ$60=T$3)*(GMW!$LP$2:$LP$60=T$4)*(GMW!$LR$2:$LR$60=T$1),0),$C184-1966)</f>
        <v>540020</v>
      </c>
      <c r="U184" s="4" cm="1">
        <f t="array" ref="U184">INDEX(GMW!$A$2:$LR$60,MATCH(1,(GMW!$LQ$2:$LQ$60=U$3)*(GMW!$LP$2:$LP$60=U$4)*(GMW!$LR$2:$LR$60=U$1),0),$C184-1966)</f>
        <v>504.33330000000001</v>
      </c>
      <c r="V184" s="4" cm="1">
        <f t="array" ref="V184">INDEX(GMW!$A$2:$LR$60,MATCH(1,(GMW!$LQ$2:$LQ$60=V$3)*(GMW!$LP$2:$LP$60=V$4)*(GMW!$LR$2:$LR$60=V$1),0),$C184-1966)</f>
        <v>103.16670000000001</v>
      </c>
      <c r="W184" s="4" cm="1">
        <f t="array" ref="W184">INDEX(GMW!$A$2:$LR$60,MATCH(1,(GMW!$LQ$2:$LQ$60=W$3)*(GMW!$LP$2:$LP$60=W$4)*(GMW!$LR$2:$LR$60=W$1),0),$C184-1966)</f>
        <v>101.4</v>
      </c>
      <c r="X184" s="4" cm="1">
        <f t="array" ref="X184">INDEX(GMW!$A$2:$LR$60,MATCH(1,(GMW!$LQ$2:$LQ$60=X$3)*(GMW!$LP$2:$LP$60=X$4)*(GMW!$LR$2:$LR$60=X$1),0),$C184-1966)</f>
        <v>104.4</v>
      </c>
      <c r="Y184" s="4" cm="1">
        <f t="array" ref="Y184">INDEX(GMW!$A$2:$LR$60,MATCH(1,(GMW!$LQ$2:$LQ$60=Y$3)*(GMW!$LP$2:$LP$60=Y$4)*(GMW!$LR$2:$LR$60=Y$1),0),$C184-1966)</f>
        <v>100.13330000000001</v>
      </c>
      <c r="Z184" s="4" cm="1">
        <f t="array" ref="Z184">INDEX(GMW!$A$2:$LR$60,MATCH(1,(GMW!$LQ$2:$LQ$60=Z$3)*(GMW!$LP$2:$LP$60=Z$4)*(GMW!$LR$2:$LR$60=Z$1),0),$C184-1966)</f>
        <v>103.63330000000001</v>
      </c>
      <c r="AA184" s="4" cm="1">
        <f t="array" ref="AA184">INDEX(GMW!$A$2:$LR$60,MATCH(1,(GMW!$LQ$2:$LQ$60=AA$3)*(GMW!$LP$2:$LP$60=AA$4)*(GMW!$LR$2:$LR$60=AA$1),0),$C184-1966)</f>
        <v>333794</v>
      </c>
      <c r="AB184" s="4" cm="1">
        <f t="array" ref="AB184">INDEX(GMW!$A$2:$LR$60,MATCH(1,(GMW!$LQ$2:$LQ$60=AB$3)*(GMW!$LP$2:$LP$60=AB$4)*(GMW!$LR$2:$LR$60=AB$1),0),$C184-1966)</f>
        <v>100304</v>
      </c>
      <c r="AC184" s="4" cm="1">
        <f t="array" ref="AC184">INDEX(GMW!$A$2:$LR$60,MATCH(1,(GMW!$LQ$2:$LQ$60=AC$3)*(GMW!$LP$2:$LP$60=AC$4)*(GMW!$LR$2:$LR$60=AC$1),0),$C184-1966)</f>
        <v>101859</v>
      </c>
      <c r="AD184" s="4" cm="1">
        <f t="array" ref="AD184">INDEX(GMW!$A$2:$LR$60,MATCH(1,(GMW!$LQ$2:$LQ$60=AD$3)*(GMW!$LP$2:$LP$60=AD$4)*(GMW!$LR$2:$LR$60=AD$1),0),$C184-1966)</f>
        <v>168016</v>
      </c>
      <c r="AE184" s="4" cm="1">
        <f t="array" ref="AE184">INDEX(GMW!$A$2:$LR$60,MATCH(1,(GMW!$LQ$2:$LQ$60=AE$3)*(GMW!$LP$2:$LP$60=AE$4)*(GMW!$LR$2:$LR$60=AE$1),0),$C184-1966)</f>
        <v>175707</v>
      </c>
      <c r="AF184" s="4" cm="1">
        <f t="array" ref="AF184">INDEX(GMW!$A$2:$LR$60,MATCH(1,(GMW!$LQ$2:$LQ$60=AF$3)*(GMW!$LP$2:$LP$60=AF$4)*(GMW!$LR$2:$LR$60=AF$1),0),$C184-1966)</f>
        <v>0.3102123</v>
      </c>
      <c r="AG184" s="4" cm="1">
        <f t="array" ref="AG184">INDEX(GMW!$A$2:$LR$60,MATCH(1,(GMW!$LQ$2:$LQ$60=AG$3)*(GMW!$LP$2:$LP$60=AG$4)*(GMW!$LR$2:$LR$60=AG$1),0),$C184-1966)</f>
        <v>0.51767390000000002</v>
      </c>
    </row>
    <row r="185" spans="1:33" x14ac:dyDescent="0.25">
      <c r="B185" s="4">
        <f t="shared" si="5"/>
        <v>2017</v>
      </c>
      <c r="C185" s="4">
        <f t="shared" si="6"/>
        <v>2151</v>
      </c>
      <c r="D185" s="4" cm="1">
        <f t="array" ref="D185">INDEX(GMW!$A$2:$LR$60,MATCH(1,(GMW!$LQ$2:$LQ$60=D$3)*(GMW!$LP$2:$LP$60=D$4)*(GMW!$LR$2:$LR$60=D$1),0),$C185-1966)</f>
        <v>543452</v>
      </c>
      <c r="E185" s="4" cm="1">
        <f t="array" ref="E185">INDEX(GMW!$A$2:$LR$60,MATCH(1,(GMW!$LQ$2:$LQ$60=E$3)*(GMW!$LP$2:$LP$60=E$4)*(GMW!$LR$2:$LR$60=E$1),0),$C185-1966)</f>
        <v>543452</v>
      </c>
      <c r="F185" s="4" cm="1">
        <f t="array" ref="F185">INDEX(GMW!$A$2:$LR$60,MATCH(1,(GMW!$LQ$2:$LQ$60=F$3)*(GMW!$LP$2:$LP$60=F$4)*(GMW!$LR$2:$LR$60=F$1),0),$C185-1966)</f>
        <v>543452</v>
      </c>
      <c r="G185" s="4" cm="1">
        <f t="array" ref="G185">INDEX(GMW!$A$2:$LR$60,MATCH(1,(GMW!$LQ$2:$LQ$60=G$3)*(GMW!$LP$2:$LP$60=G$4)*(GMW!$LR$2:$LR$60=G$1),0),$C185-1966)</f>
        <v>543452</v>
      </c>
      <c r="H185" s="4" cm="1">
        <f t="array" ref="H185">INDEX(GMW!$A$2:$LR$60,MATCH(1,(GMW!$LQ$2:$LQ$60=H$3)*(GMW!$LP$2:$LP$60=H$4)*(GMW!$LR$2:$LR$60=H$1),0),$C185-1966)</f>
        <v>543452</v>
      </c>
      <c r="I185" s="4" cm="1">
        <f t="array" ref="I185">INDEX(GMW!$A$2:$LR$60,MATCH(1,(GMW!$LQ$2:$LQ$60=I$3)*(GMW!$LP$2:$LP$60=I$4)*(GMW!$LR$2:$LR$60=I$1),0),$C185-1966)</f>
        <v>543452</v>
      </c>
      <c r="J185" s="4" cm="1">
        <f t="array" ref="J185">INDEX(GMW!$A$2:$LR$60,MATCH(1,(GMW!$LQ$2:$LQ$60=J$3)*(GMW!$LP$2:$LP$60=J$4)*(GMW!$LR$2:$LR$60=J$1),0),$C185-1966)</f>
        <v>543452</v>
      </c>
      <c r="K185" s="4" cm="1">
        <f t="array" ref="K185">INDEX(GMW!$A$2:$LR$60,MATCH(1,(GMW!$LQ$2:$LQ$60=K$3)*(GMW!$LP$2:$LP$60=K$4)*(GMW!$LR$2:$LR$60=K$1),0),$C185-1966)</f>
        <v>543452</v>
      </c>
      <c r="L185" s="4" cm="1">
        <f t="array" ref="L185">INDEX(GMW!$A$2:$LR$60,MATCH(1,(GMW!$LQ$2:$LQ$60=L$3)*(GMW!$LP$2:$LP$60=L$4)*(GMW!$LR$2:$LR$60=L$1),0),$C185-1966)</f>
        <v>543452</v>
      </c>
      <c r="M185" s="4" cm="1">
        <f t="array" ref="M185">INDEX(GMW!$A$2:$LR$60,MATCH(1,(GMW!$LQ$2:$LQ$60=M$3)*(GMW!$LP$2:$LP$60=M$4)*(GMW!$LR$2:$LR$60=M$1),0),$C185-1966)</f>
        <v>543452</v>
      </c>
      <c r="N185" s="4" cm="1">
        <f t="array" ref="N185">INDEX(GMW!$A$2:$LR$60,MATCH(1,(GMW!$LQ$2:$LQ$60=N$3)*(GMW!$LP$2:$LP$60=N$4)*(GMW!$LR$2:$LR$60=N$1),0),$C185-1966)</f>
        <v>543452</v>
      </c>
      <c r="O185" s="4" cm="1">
        <f t="array" ref="O185">INDEX(GMW!$A$2:$LR$60,MATCH(1,(GMW!$LQ$2:$LQ$60=O$3)*(GMW!$LP$2:$LP$60=O$4)*(GMW!$LR$2:$LR$60=O$1),0),$C185-1966)</f>
        <v>543452</v>
      </c>
      <c r="P185" s="4" cm="1">
        <f t="array" ref="P185">INDEX(GMW!$A$2:$LR$60,MATCH(1,(GMW!$LQ$2:$LQ$60=P$3)*(GMW!$LP$2:$LP$60=P$4)*(GMW!$LR$2:$LR$60=P$1),0),$C185-1966)</f>
        <v>543452</v>
      </c>
      <c r="Q185" s="4" cm="1">
        <f t="array" ref="Q185">INDEX(GMW!$A$2:$LR$60,MATCH(1,(GMW!$LQ$2:$LQ$60=Q$3)*(GMW!$LP$2:$LP$60=Q$4)*(GMW!$LR$2:$LR$60=Q$1),0),$C185-1966)</f>
        <v>543452</v>
      </c>
      <c r="R185" s="4" cm="1">
        <f t="array" ref="R185">INDEX(GMW!$A$2:$LR$60,MATCH(1,(GMW!$LQ$2:$LQ$60=R$3)*(GMW!$LP$2:$LP$60=R$4)*(GMW!$LR$2:$LR$60=R$1),0),$C185-1966)</f>
        <v>543452</v>
      </c>
      <c r="S185" s="4" cm="1">
        <f t="array" ref="S185">INDEX(GMW!$A$2:$LR$60,MATCH(1,(GMW!$LQ$2:$LQ$60=S$3)*(GMW!$LP$2:$LP$60=S$4)*(GMW!$LR$2:$LR$60=S$1),0),$C185-1966)</f>
        <v>543452</v>
      </c>
      <c r="T185" s="4" cm="1">
        <f t="array" ref="T185">INDEX(GMW!$A$2:$LR$60,MATCH(1,(GMW!$LQ$2:$LQ$60=T$3)*(GMW!$LP$2:$LP$60=T$4)*(GMW!$LR$2:$LR$60=T$1),0),$C185-1966)</f>
        <v>543452</v>
      </c>
      <c r="U185" s="4" cm="1">
        <f t="array" ref="U185">INDEX(GMW!$A$2:$LR$60,MATCH(1,(GMW!$LQ$2:$LQ$60=U$3)*(GMW!$LP$2:$LP$60=U$4)*(GMW!$LR$2:$LR$60=U$1),0),$C185-1966)</f>
        <v>506.66669999999999</v>
      </c>
      <c r="V185" s="4" cm="1">
        <f t="array" ref="V185">INDEX(GMW!$A$2:$LR$60,MATCH(1,(GMW!$LQ$2:$LQ$60=V$3)*(GMW!$LP$2:$LP$60=V$4)*(GMW!$LR$2:$LR$60=V$1),0),$C185-1966)</f>
        <v>103.7</v>
      </c>
      <c r="W185" s="4" cm="1">
        <f t="array" ref="W185">INDEX(GMW!$A$2:$LR$60,MATCH(1,(GMW!$LQ$2:$LQ$60=W$3)*(GMW!$LP$2:$LP$60=W$4)*(GMW!$LR$2:$LR$60=W$1),0),$C185-1966)</f>
        <v>101.66670000000001</v>
      </c>
      <c r="X185" s="4" cm="1">
        <f t="array" ref="X185">INDEX(GMW!$A$2:$LR$60,MATCH(1,(GMW!$LQ$2:$LQ$60=X$3)*(GMW!$LP$2:$LP$60=X$4)*(GMW!$LR$2:$LR$60=X$1),0),$C185-1966)</f>
        <v>103.86669999999999</v>
      </c>
      <c r="Y185" s="4" cm="1">
        <f t="array" ref="Y185">INDEX(GMW!$A$2:$LR$60,MATCH(1,(GMW!$LQ$2:$LQ$60=Y$3)*(GMW!$LP$2:$LP$60=Y$4)*(GMW!$LR$2:$LR$60=Y$1),0),$C185-1966)</f>
        <v>101.7</v>
      </c>
      <c r="Z185" s="4" cm="1">
        <f t="array" ref="Z185">INDEX(GMW!$A$2:$LR$60,MATCH(1,(GMW!$LQ$2:$LQ$60=Z$3)*(GMW!$LP$2:$LP$60=Z$4)*(GMW!$LR$2:$LR$60=Z$1),0),$C185-1966)</f>
        <v>104.2</v>
      </c>
      <c r="AA185" s="4" cm="1">
        <f t="array" ref="AA185">INDEX(GMW!$A$2:$LR$60,MATCH(1,(GMW!$LQ$2:$LQ$60=AA$3)*(GMW!$LP$2:$LP$60=AA$4)*(GMW!$LR$2:$LR$60=AA$1),0),$C185-1966)</f>
        <v>335915</v>
      </c>
      <c r="AB185" s="4" cm="1">
        <f t="array" ref="AB185">INDEX(GMW!$A$2:$LR$60,MATCH(1,(GMW!$LQ$2:$LQ$60=AB$3)*(GMW!$LP$2:$LP$60=AB$4)*(GMW!$LR$2:$LR$60=AB$1),0),$C185-1966)</f>
        <v>99419</v>
      </c>
      <c r="AC185" s="4" cm="1">
        <f t="array" ref="AC185">INDEX(GMW!$A$2:$LR$60,MATCH(1,(GMW!$LQ$2:$LQ$60=AC$3)*(GMW!$LP$2:$LP$60=AC$4)*(GMW!$LR$2:$LR$60=AC$1),0),$C185-1966)</f>
        <v>102258</v>
      </c>
      <c r="AD185" s="4" cm="1">
        <f t="array" ref="AD185">INDEX(GMW!$A$2:$LR$60,MATCH(1,(GMW!$LQ$2:$LQ$60=AD$3)*(GMW!$LP$2:$LP$60=AD$4)*(GMW!$LR$2:$LR$60=AD$1),0),$C185-1966)</f>
        <v>172089</v>
      </c>
      <c r="AE185" s="4" cm="1">
        <f t="array" ref="AE185">INDEX(GMW!$A$2:$LR$60,MATCH(1,(GMW!$LQ$2:$LQ$60=AE$3)*(GMW!$LP$2:$LP$60=AE$4)*(GMW!$LR$2:$LR$60=AE$1),0),$C185-1966)</f>
        <v>176567</v>
      </c>
      <c r="AF185" s="4" cm="1">
        <f t="array" ref="AF185">INDEX(GMW!$A$2:$LR$60,MATCH(1,(GMW!$LQ$2:$LQ$60=AF$3)*(GMW!$LP$2:$LP$60=AF$4)*(GMW!$LR$2:$LR$60=AF$1),0),$C185-1966)</f>
        <v>0.44710460000000002</v>
      </c>
      <c r="AG185" s="4" cm="1">
        <f t="array" ref="AG185">INDEX(GMW!$A$2:$LR$60,MATCH(1,(GMW!$LQ$2:$LQ$60=AG$3)*(GMW!$LP$2:$LP$60=AG$4)*(GMW!$LR$2:$LR$60=AG$1),0),$C185-1966)</f>
        <v>0.67274920000000005</v>
      </c>
    </row>
    <row r="186" spans="1:33" x14ac:dyDescent="0.25">
      <c r="B186" s="4">
        <f t="shared" si="5"/>
        <v>2017</v>
      </c>
      <c r="C186" s="4">
        <f t="shared" si="6"/>
        <v>2152</v>
      </c>
      <c r="D186" s="4" cm="1">
        <f t="array" ref="D186">INDEX(GMW!$A$2:$LR$60,MATCH(1,(GMW!$LQ$2:$LQ$60=D$3)*(GMW!$LP$2:$LP$60=D$4)*(GMW!$LR$2:$LR$60=D$1),0),$C186-1966)</f>
        <v>547377</v>
      </c>
      <c r="E186" s="4" cm="1">
        <f t="array" ref="E186">INDEX(GMW!$A$2:$LR$60,MATCH(1,(GMW!$LQ$2:$LQ$60=E$3)*(GMW!$LP$2:$LP$60=E$4)*(GMW!$LR$2:$LR$60=E$1),0),$C186-1966)</f>
        <v>547377</v>
      </c>
      <c r="F186" s="4" cm="1">
        <f t="array" ref="F186">INDEX(GMW!$A$2:$LR$60,MATCH(1,(GMW!$LQ$2:$LQ$60=F$3)*(GMW!$LP$2:$LP$60=F$4)*(GMW!$LR$2:$LR$60=F$1),0),$C186-1966)</f>
        <v>547377</v>
      </c>
      <c r="G186" s="4" cm="1">
        <f t="array" ref="G186">INDEX(GMW!$A$2:$LR$60,MATCH(1,(GMW!$LQ$2:$LQ$60=G$3)*(GMW!$LP$2:$LP$60=G$4)*(GMW!$LR$2:$LR$60=G$1),0),$C186-1966)</f>
        <v>547377</v>
      </c>
      <c r="H186" s="4" cm="1">
        <f t="array" ref="H186">INDEX(GMW!$A$2:$LR$60,MATCH(1,(GMW!$LQ$2:$LQ$60=H$3)*(GMW!$LP$2:$LP$60=H$4)*(GMW!$LR$2:$LR$60=H$1),0),$C186-1966)</f>
        <v>547377</v>
      </c>
      <c r="I186" s="4" cm="1">
        <f t="array" ref="I186">INDEX(GMW!$A$2:$LR$60,MATCH(1,(GMW!$LQ$2:$LQ$60=I$3)*(GMW!$LP$2:$LP$60=I$4)*(GMW!$LR$2:$LR$60=I$1),0),$C186-1966)</f>
        <v>547377</v>
      </c>
      <c r="J186" s="4" cm="1">
        <f t="array" ref="J186">INDEX(GMW!$A$2:$LR$60,MATCH(1,(GMW!$LQ$2:$LQ$60=J$3)*(GMW!$LP$2:$LP$60=J$4)*(GMW!$LR$2:$LR$60=J$1),0),$C186-1966)</f>
        <v>547377</v>
      </c>
      <c r="K186" s="4" cm="1">
        <f t="array" ref="K186">INDEX(GMW!$A$2:$LR$60,MATCH(1,(GMW!$LQ$2:$LQ$60=K$3)*(GMW!$LP$2:$LP$60=K$4)*(GMW!$LR$2:$LR$60=K$1),0),$C186-1966)</f>
        <v>547377</v>
      </c>
      <c r="L186" s="4" cm="1">
        <f t="array" ref="L186">INDEX(GMW!$A$2:$LR$60,MATCH(1,(GMW!$LQ$2:$LQ$60=L$3)*(GMW!$LP$2:$LP$60=L$4)*(GMW!$LR$2:$LR$60=L$1),0),$C186-1966)</f>
        <v>547377</v>
      </c>
      <c r="M186" s="4" cm="1">
        <f t="array" ref="M186">INDEX(GMW!$A$2:$LR$60,MATCH(1,(GMW!$LQ$2:$LQ$60=M$3)*(GMW!$LP$2:$LP$60=M$4)*(GMW!$LR$2:$LR$60=M$1),0),$C186-1966)</f>
        <v>547377</v>
      </c>
      <c r="N186" s="4" cm="1">
        <f t="array" ref="N186">INDEX(GMW!$A$2:$LR$60,MATCH(1,(GMW!$LQ$2:$LQ$60=N$3)*(GMW!$LP$2:$LP$60=N$4)*(GMW!$LR$2:$LR$60=N$1),0),$C186-1966)</f>
        <v>547377</v>
      </c>
      <c r="O186" s="4" cm="1">
        <f t="array" ref="O186">INDEX(GMW!$A$2:$LR$60,MATCH(1,(GMW!$LQ$2:$LQ$60=O$3)*(GMW!$LP$2:$LP$60=O$4)*(GMW!$LR$2:$LR$60=O$1),0),$C186-1966)</f>
        <v>547377</v>
      </c>
      <c r="P186" s="4" cm="1">
        <f t="array" ref="P186">INDEX(GMW!$A$2:$LR$60,MATCH(1,(GMW!$LQ$2:$LQ$60=P$3)*(GMW!$LP$2:$LP$60=P$4)*(GMW!$LR$2:$LR$60=P$1),0),$C186-1966)</f>
        <v>547377</v>
      </c>
      <c r="Q186" s="4" cm="1">
        <f t="array" ref="Q186">INDEX(GMW!$A$2:$LR$60,MATCH(1,(GMW!$LQ$2:$LQ$60=Q$3)*(GMW!$LP$2:$LP$60=Q$4)*(GMW!$LR$2:$LR$60=Q$1),0),$C186-1966)</f>
        <v>547377</v>
      </c>
      <c r="R186" s="4" cm="1">
        <f t="array" ref="R186">INDEX(GMW!$A$2:$LR$60,MATCH(1,(GMW!$LQ$2:$LQ$60=R$3)*(GMW!$LP$2:$LP$60=R$4)*(GMW!$LR$2:$LR$60=R$1),0),$C186-1966)</f>
        <v>547377</v>
      </c>
      <c r="S186" s="4" cm="1">
        <f t="array" ref="S186">INDEX(GMW!$A$2:$LR$60,MATCH(1,(GMW!$LQ$2:$LQ$60=S$3)*(GMW!$LP$2:$LP$60=S$4)*(GMW!$LR$2:$LR$60=S$1),0),$C186-1966)</f>
        <v>547377</v>
      </c>
      <c r="T186" s="4" cm="1">
        <f t="array" ref="T186">INDEX(GMW!$A$2:$LR$60,MATCH(1,(GMW!$LQ$2:$LQ$60=T$3)*(GMW!$LP$2:$LP$60=T$4)*(GMW!$LR$2:$LR$60=T$1),0),$C186-1966)</f>
        <v>547377</v>
      </c>
      <c r="U186" s="4" cm="1">
        <f t="array" ref="U186">INDEX(GMW!$A$2:$LR$60,MATCH(1,(GMW!$LQ$2:$LQ$60=U$3)*(GMW!$LP$2:$LP$60=U$4)*(GMW!$LR$2:$LR$60=U$1),0),$C186-1966)</f>
        <v>510.33330000000001</v>
      </c>
      <c r="V186" s="4" cm="1">
        <f t="array" ref="V186">INDEX(GMW!$A$2:$LR$60,MATCH(1,(GMW!$LQ$2:$LQ$60=V$3)*(GMW!$LP$2:$LP$60=V$4)*(GMW!$LR$2:$LR$60=V$1),0),$C186-1966)</f>
        <v>104.5667</v>
      </c>
      <c r="W186" s="4" cm="1">
        <f t="array" ref="W186">INDEX(GMW!$A$2:$LR$60,MATCH(1,(GMW!$LQ$2:$LQ$60=W$3)*(GMW!$LP$2:$LP$60=W$4)*(GMW!$LR$2:$LR$60=W$1),0),$C186-1966)</f>
        <v>102.7667</v>
      </c>
      <c r="X186" s="4" cm="1">
        <f t="array" ref="X186">INDEX(GMW!$A$2:$LR$60,MATCH(1,(GMW!$LQ$2:$LQ$60=X$3)*(GMW!$LP$2:$LP$60=X$4)*(GMW!$LR$2:$LR$60=X$1),0),$C186-1966)</f>
        <v>106.9</v>
      </c>
      <c r="Y186" s="4" cm="1">
        <f t="array" ref="Y186">INDEX(GMW!$A$2:$LR$60,MATCH(1,(GMW!$LQ$2:$LQ$60=Y$3)*(GMW!$LP$2:$LP$60=Y$4)*(GMW!$LR$2:$LR$60=Y$1),0),$C186-1966)</f>
        <v>103.36669999999999</v>
      </c>
      <c r="Z186" s="4" cm="1">
        <f t="array" ref="Z186">INDEX(GMW!$A$2:$LR$60,MATCH(1,(GMW!$LQ$2:$LQ$60=Z$3)*(GMW!$LP$2:$LP$60=Z$4)*(GMW!$LR$2:$LR$60=Z$1),0),$C186-1966)</f>
        <v>104.9</v>
      </c>
      <c r="AA186" s="4" cm="1">
        <f t="array" ref="AA186">INDEX(GMW!$A$2:$LR$60,MATCH(1,(GMW!$LQ$2:$LQ$60=AA$3)*(GMW!$LP$2:$LP$60=AA$4)*(GMW!$LR$2:$LR$60=AA$1),0),$C186-1966)</f>
        <v>337535</v>
      </c>
      <c r="AB186" s="4" cm="1">
        <f t="array" ref="AB186">INDEX(GMW!$A$2:$LR$60,MATCH(1,(GMW!$LQ$2:$LQ$60=AB$3)*(GMW!$LP$2:$LP$60=AB$4)*(GMW!$LR$2:$LR$60=AB$1),0),$C186-1966)</f>
        <v>100952</v>
      </c>
      <c r="AC186" s="4" cm="1">
        <f t="array" ref="AC186">INDEX(GMW!$A$2:$LR$60,MATCH(1,(GMW!$LQ$2:$LQ$60=AC$3)*(GMW!$LP$2:$LP$60=AC$4)*(GMW!$LR$2:$LR$60=AC$1),0),$C186-1966)</f>
        <v>102180</v>
      </c>
      <c r="AD186" s="4" cm="1">
        <f t="array" ref="AD186">INDEX(GMW!$A$2:$LR$60,MATCH(1,(GMW!$LQ$2:$LQ$60=AD$3)*(GMW!$LP$2:$LP$60=AD$4)*(GMW!$LR$2:$LR$60=AD$1),0),$C186-1966)</f>
        <v>168382</v>
      </c>
      <c r="AE186" s="4" cm="1">
        <f t="array" ref="AE186">INDEX(GMW!$A$2:$LR$60,MATCH(1,(GMW!$LQ$2:$LQ$60=AE$3)*(GMW!$LP$2:$LP$60=AE$4)*(GMW!$LR$2:$LR$60=AE$1),0),$C186-1966)</f>
        <v>173358</v>
      </c>
      <c r="AF186" s="4" cm="1">
        <f t="array" ref="AF186">INDEX(GMW!$A$2:$LR$60,MATCH(1,(GMW!$LQ$2:$LQ$60=AF$3)*(GMW!$LP$2:$LP$60=AF$4)*(GMW!$LR$2:$LR$60=AF$1),0),$C186-1966)</f>
        <v>0.67998899999999995</v>
      </c>
      <c r="AG186" s="4" cm="1">
        <f t="array" ref="AG186">INDEX(GMW!$A$2:$LR$60,MATCH(1,(GMW!$LQ$2:$LQ$60=AG$3)*(GMW!$LP$2:$LP$60=AG$4)*(GMW!$LR$2:$LR$60=AG$1),0),$C186-1966)</f>
        <v>0.89198120000000003</v>
      </c>
    </row>
    <row r="187" spans="1:33" x14ac:dyDescent="0.25">
      <c r="A187" s="4">
        <v>2018</v>
      </c>
      <c r="B187" s="4">
        <f t="shared" si="5"/>
        <v>2018</v>
      </c>
      <c r="C187" s="4">
        <f t="shared" si="6"/>
        <v>2153</v>
      </c>
      <c r="D187" s="4" cm="1">
        <f t="array" ref="D187">INDEX(GMW!$A$2:$LR$60,MATCH(1,(GMW!$LQ$2:$LQ$60=D$3)*(GMW!$LP$2:$LP$60=D$4)*(GMW!$LR$2:$LR$60=D$1),0),$C187-1966)</f>
        <v>547688</v>
      </c>
      <c r="E187" s="4" cm="1">
        <f t="array" ref="E187">INDEX(GMW!$A$2:$LR$60,MATCH(1,(GMW!$LQ$2:$LQ$60=E$3)*(GMW!$LP$2:$LP$60=E$4)*(GMW!$LR$2:$LR$60=E$1),0),$C187-1966)</f>
        <v>547688</v>
      </c>
      <c r="F187" s="4" cm="1">
        <f t="array" ref="F187">INDEX(GMW!$A$2:$LR$60,MATCH(1,(GMW!$LQ$2:$LQ$60=F$3)*(GMW!$LP$2:$LP$60=F$4)*(GMW!$LR$2:$LR$60=F$1),0),$C187-1966)</f>
        <v>547688</v>
      </c>
      <c r="G187" s="4" cm="1">
        <f t="array" ref="G187">INDEX(GMW!$A$2:$LR$60,MATCH(1,(GMW!$LQ$2:$LQ$60=G$3)*(GMW!$LP$2:$LP$60=G$4)*(GMW!$LR$2:$LR$60=G$1),0),$C187-1966)</f>
        <v>547688</v>
      </c>
      <c r="H187" s="4" cm="1">
        <f t="array" ref="H187">INDEX(GMW!$A$2:$LR$60,MATCH(1,(GMW!$LQ$2:$LQ$60=H$3)*(GMW!$LP$2:$LP$60=H$4)*(GMW!$LR$2:$LR$60=H$1),0),$C187-1966)</f>
        <v>547688</v>
      </c>
      <c r="I187" s="4" cm="1">
        <f t="array" ref="I187">INDEX(GMW!$A$2:$LR$60,MATCH(1,(GMW!$LQ$2:$LQ$60=I$3)*(GMW!$LP$2:$LP$60=I$4)*(GMW!$LR$2:$LR$60=I$1),0),$C187-1966)</f>
        <v>547688</v>
      </c>
      <c r="J187" s="4" cm="1">
        <f t="array" ref="J187">INDEX(GMW!$A$2:$LR$60,MATCH(1,(GMW!$LQ$2:$LQ$60=J$3)*(GMW!$LP$2:$LP$60=J$4)*(GMW!$LR$2:$LR$60=J$1),0),$C187-1966)</f>
        <v>547688</v>
      </c>
      <c r="K187" s="4" cm="1">
        <f t="array" ref="K187">INDEX(GMW!$A$2:$LR$60,MATCH(1,(GMW!$LQ$2:$LQ$60=K$3)*(GMW!$LP$2:$LP$60=K$4)*(GMW!$LR$2:$LR$60=K$1),0),$C187-1966)</f>
        <v>547688</v>
      </c>
      <c r="L187" s="4" cm="1">
        <f t="array" ref="L187">INDEX(GMW!$A$2:$LR$60,MATCH(1,(GMW!$LQ$2:$LQ$60=L$3)*(GMW!$LP$2:$LP$60=L$4)*(GMW!$LR$2:$LR$60=L$1),0),$C187-1966)</f>
        <v>547688</v>
      </c>
      <c r="M187" s="4" cm="1">
        <f t="array" ref="M187">INDEX(GMW!$A$2:$LR$60,MATCH(1,(GMW!$LQ$2:$LQ$60=M$3)*(GMW!$LP$2:$LP$60=M$4)*(GMW!$LR$2:$LR$60=M$1),0),$C187-1966)</f>
        <v>547688</v>
      </c>
      <c r="N187" s="4" cm="1">
        <f t="array" ref="N187">INDEX(GMW!$A$2:$LR$60,MATCH(1,(GMW!$LQ$2:$LQ$60=N$3)*(GMW!$LP$2:$LP$60=N$4)*(GMW!$LR$2:$LR$60=N$1),0),$C187-1966)</f>
        <v>547688</v>
      </c>
      <c r="O187" s="4" cm="1">
        <f t="array" ref="O187">INDEX(GMW!$A$2:$LR$60,MATCH(1,(GMW!$LQ$2:$LQ$60=O$3)*(GMW!$LP$2:$LP$60=O$4)*(GMW!$LR$2:$LR$60=O$1),0),$C187-1966)</f>
        <v>547688</v>
      </c>
      <c r="P187" s="4" cm="1">
        <f t="array" ref="P187">INDEX(GMW!$A$2:$LR$60,MATCH(1,(GMW!$LQ$2:$LQ$60=P$3)*(GMW!$LP$2:$LP$60=P$4)*(GMW!$LR$2:$LR$60=P$1),0),$C187-1966)</f>
        <v>547688</v>
      </c>
      <c r="Q187" s="4" cm="1">
        <f t="array" ref="Q187">INDEX(GMW!$A$2:$LR$60,MATCH(1,(GMW!$LQ$2:$LQ$60=Q$3)*(GMW!$LP$2:$LP$60=Q$4)*(GMW!$LR$2:$LR$60=Q$1),0),$C187-1966)</f>
        <v>547688</v>
      </c>
      <c r="R187" s="4" cm="1">
        <f t="array" ref="R187">INDEX(GMW!$A$2:$LR$60,MATCH(1,(GMW!$LQ$2:$LQ$60=R$3)*(GMW!$LP$2:$LP$60=R$4)*(GMW!$LR$2:$LR$60=R$1),0),$C187-1966)</f>
        <v>547688</v>
      </c>
      <c r="S187" s="4" cm="1">
        <f t="array" ref="S187">INDEX(GMW!$A$2:$LR$60,MATCH(1,(GMW!$LQ$2:$LQ$60=S$3)*(GMW!$LP$2:$LP$60=S$4)*(GMW!$LR$2:$LR$60=S$1),0),$C187-1966)</f>
        <v>547688</v>
      </c>
      <c r="T187" s="4" cm="1">
        <f t="array" ref="T187">INDEX(GMW!$A$2:$LR$60,MATCH(1,(GMW!$LQ$2:$LQ$60=T$3)*(GMW!$LP$2:$LP$60=T$4)*(GMW!$LR$2:$LR$60=T$1),0),$C187-1966)</f>
        <v>547688</v>
      </c>
      <c r="U187" s="4" cm="1">
        <f t="array" ref="U187">INDEX(GMW!$A$2:$LR$60,MATCH(1,(GMW!$LQ$2:$LQ$60=U$3)*(GMW!$LP$2:$LP$60=U$4)*(GMW!$LR$2:$LR$60=U$1),0),$C187-1966)</f>
        <v>512</v>
      </c>
      <c r="V187" s="4" cm="1">
        <f t="array" ref="V187">INDEX(GMW!$A$2:$LR$60,MATCH(1,(GMW!$LQ$2:$LQ$60=V$3)*(GMW!$LP$2:$LP$60=V$4)*(GMW!$LR$2:$LR$60=V$1),0),$C187-1966)</f>
        <v>104.7667</v>
      </c>
      <c r="W187" s="4" cm="1">
        <f t="array" ref="W187">INDEX(GMW!$A$2:$LR$60,MATCH(1,(GMW!$LQ$2:$LQ$60=W$3)*(GMW!$LP$2:$LP$60=W$4)*(GMW!$LR$2:$LR$60=W$1),0),$C187-1966)</f>
        <v>104.0333</v>
      </c>
      <c r="X187" s="4" cm="1">
        <f t="array" ref="X187">INDEX(GMW!$A$2:$LR$60,MATCH(1,(GMW!$LQ$2:$LQ$60=X$3)*(GMW!$LP$2:$LP$60=X$4)*(GMW!$LR$2:$LR$60=X$1),0),$C187-1966)</f>
        <v>108.36669999999999</v>
      </c>
      <c r="Y187" s="4" cm="1">
        <f t="array" ref="Y187">INDEX(GMW!$A$2:$LR$60,MATCH(1,(GMW!$LQ$2:$LQ$60=Y$3)*(GMW!$LP$2:$LP$60=Y$4)*(GMW!$LR$2:$LR$60=Y$1),0),$C187-1966)</f>
        <v>103.7333</v>
      </c>
      <c r="Z187" s="4" cm="1">
        <f t="array" ref="Z187">INDEX(GMW!$A$2:$LR$60,MATCH(1,(GMW!$LQ$2:$LQ$60=Z$3)*(GMW!$LP$2:$LP$60=Z$4)*(GMW!$LR$2:$LR$60=Z$1),0),$C187-1966)</f>
        <v>104.7667</v>
      </c>
      <c r="AA187" s="4" cm="1">
        <f t="array" ref="AA187">INDEX(GMW!$A$2:$LR$60,MATCH(1,(GMW!$LQ$2:$LQ$60=AA$3)*(GMW!$LP$2:$LP$60=AA$4)*(GMW!$LR$2:$LR$60=AA$1),0),$C187-1966)</f>
        <v>339497</v>
      </c>
      <c r="AB187" s="4" cm="1">
        <f t="array" ref="AB187">INDEX(GMW!$A$2:$LR$60,MATCH(1,(GMW!$LQ$2:$LQ$60=AB$3)*(GMW!$LP$2:$LP$60=AB$4)*(GMW!$LR$2:$LR$60=AB$1),0),$C187-1966)</f>
        <v>100378</v>
      </c>
      <c r="AC187" s="4" cm="1">
        <f t="array" ref="AC187">INDEX(GMW!$A$2:$LR$60,MATCH(1,(GMW!$LQ$2:$LQ$60=AC$3)*(GMW!$LP$2:$LP$60=AC$4)*(GMW!$LR$2:$LR$60=AC$1),0),$C187-1966)</f>
        <v>101885</v>
      </c>
      <c r="AD187" s="4" cm="1">
        <f t="array" ref="AD187">INDEX(GMW!$A$2:$LR$60,MATCH(1,(GMW!$LQ$2:$LQ$60=AD$3)*(GMW!$LP$2:$LP$60=AD$4)*(GMW!$LR$2:$LR$60=AD$1),0),$C187-1966)</f>
        <v>171698</v>
      </c>
      <c r="AE187" s="4" cm="1">
        <f t="array" ref="AE187">INDEX(GMW!$A$2:$LR$60,MATCH(1,(GMW!$LQ$2:$LQ$60=AE$3)*(GMW!$LP$2:$LP$60=AE$4)*(GMW!$LR$2:$LR$60=AE$1),0),$C187-1966)</f>
        <v>176579</v>
      </c>
      <c r="AF187" s="4" cm="1">
        <f t="array" ref="AF187">INDEX(GMW!$A$2:$LR$60,MATCH(1,(GMW!$LQ$2:$LQ$60=AF$3)*(GMW!$LP$2:$LP$60=AF$4)*(GMW!$LR$2:$LR$60=AF$1),0),$C187-1966)</f>
        <v>0.83303119999999997</v>
      </c>
      <c r="AG187" s="4" cm="1">
        <f t="array" ref="AG187">INDEX(GMW!$A$2:$LR$60,MATCH(1,(GMW!$LQ$2:$LQ$60=AG$3)*(GMW!$LP$2:$LP$60=AG$4)*(GMW!$LR$2:$LR$60=AG$1),0),$C187-1966)</f>
        <v>1.092973</v>
      </c>
    </row>
    <row r="188" spans="1:33" x14ac:dyDescent="0.25">
      <c r="B188" s="4">
        <f t="shared" si="5"/>
        <v>2018</v>
      </c>
      <c r="C188" s="4">
        <f t="shared" si="6"/>
        <v>2154</v>
      </c>
      <c r="D188" s="4" cm="1">
        <f t="array" ref="D188">INDEX(GMW!$A$2:$LR$60,MATCH(1,(GMW!$LQ$2:$LQ$60=D$3)*(GMW!$LP$2:$LP$60=D$4)*(GMW!$LR$2:$LR$60=D$1),0),$C188-1966)</f>
        <v>548600</v>
      </c>
      <c r="E188" s="4" cm="1">
        <f t="array" ref="E188">INDEX(GMW!$A$2:$LR$60,MATCH(1,(GMW!$LQ$2:$LQ$60=E$3)*(GMW!$LP$2:$LP$60=E$4)*(GMW!$LR$2:$LR$60=E$1),0),$C188-1966)</f>
        <v>548600</v>
      </c>
      <c r="F188" s="4" cm="1">
        <f t="array" ref="F188">INDEX(GMW!$A$2:$LR$60,MATCH(1,(GMW!$LQ$2:$LQ$60=F$3)*(GMW!$LP$2:$LP$60=F$4)*(GMW!$LR$2:$LR$60=F$1),0),$C188-1966)</f>
        <v>548600</v>
      </c>
      <c r="G188" s="4" cm="1">
        <f t="array" ref="G188">INDEX(GMW!$A$2:$LR$60,MATCH(1,(GMW!$LQ$2:$LQ$60=G$3)*(GMW!$LP$2:$LP$60=G$4)*(GMW!$LR$2:$LR$60=G$1),0),$C188-1966)</f>
        <v>548600</v>
      </c>
      <c r="H188" s="4" cm="1">
        <f t="array" ref="H188">INDEX(GMW!$A$2:$LR$60,MATCH(1,(GMW!$LQ$2:$LQ$60=H$3)*(GMW!$LP$2:$LP$60=H$4)*(GMW!$LR$2:$LR$60=H$1),0),$C188-1966)</f>
        <v>548600</v>
      </c>
      <c r="I188" s="4" cm="1">
        <f t="array" ref="I188">INDEX(GMW!$A$2:$LR$60,MATCH(1,(GMW!$LQ$2:$LQ$60=I$3)*(GMW!$LP$2:$LP$60=I$4)*(GMW!$LR$2:$LR$60=I$1),0),$C188-1966)</f>
        <v>548600</v>
      </c>
      <c r="J188" s="4" cm="1">
        <f t="array" ref="J188">INDEX(GMW!$A$2:$LR$60,MATCH(1,(GMW!$LQ$2:$LQ$60=J$3)*(GMW!$LP$2:$LP$60=J$4)*(GMW!$LR$2:$LR$60=J$1),0),$C188-1966)</f>
        <v>548600</v>
      </c>
      <c r="K188" s="4" cm="1">
        <f t="array" ref="K188">INDEX(GMW!$A$2:$LR$60,MATCH(1,(GMW!$LQ$2:$LQ$60=K$3)*(GMW!$LP$2:$LP$60=K$4)*(GMW!$LR$2:$LR$60=K$1),0),$C188-1966)</f>
        <v>548600</v>
      </c>
      <c r="L188" s="4" cm="1">
        <f t="array" ref="L188">INDEX(GMW!$A$2:$LR$60,MATCH(1,(GMW!$LQ$2:$LQ$60=L$3)*(GMW!$LP$2:$LP$60=L$4)*(GMW!$LR$2:$LR$60=L$1),0),$C188-1966)</f>
        <v>548600</v>
      </c>
      <c r="M188" s="4" cm="1">
        <f t="array" ref="M188">INDEX(GMW!$A$2:$LR$60,MATCH(1,(GMW!$LQ$2:$LQ$60=M$3)*(GMW!$LP$2:$LP$60=M$4)*(GMW!$LR$2:$LR$60=M$1),0),$C188-1966)</f>
        <v>548600</v>
      </c>
      <c r="N188" s="4" cm="1">
        <f t="array" ref="N188">INDEX(GMW!$A$2:$LR$60,MATCH(1,(GMW!$LQ$2:$LQ$60=N$3)*(GMW!$LP$2:$LP$60=N$4)*(GMW!$LR$2:$LR$60=N$1),0),$C188-1966)</f>
        <v>548600</v>
      </c>
      <c r="O188" s="4" cm="1">
        <f t="array" ref="O188">INDEX(GMW!$A$2:$LR$60,MATCH(1,(GMW!$LQ$2:$LQ$60=O$3)*(GMW!$LP$2:$LP$60=O$4)*(GMW!$LR$2:$LR$60=O$1),0),$C188-1966)</f>
        <v>548600</v>
      </c>
      <c r="P188" s="4" cm="1">
        <f t="array" ref="P188">INDEX(GMW!$A$2:$LR$60,MATCH(1,(GMW!$LQ$2:$LQ$60=P$3)*(GMW!$LP$2:$LP$60=P$4)*(GMW!$LR$2:$LR$60=P$1),0),$C188-1966)</f>
        <v>548600</v>
      </c>
      <c r="Q188" s="4" cm="1">
        <f t="array" ref="Q188">INDEX(GMW!$A$2:$LR$60,MATCH(1,(GMW!$LQ$2:$LQ$60=Q$3)*(GMW!$LP$2:$LP$60=Q$4)*(GMW!$LR$2:$LR$60=Q$1),0),$C188-1966)</f>
        <v>548600</v>
      </c>
      <c r="R188" s="4" cm="1">
        <f t="array" ref="R188">INDEX(GMW!$A$2:$LR$60,MATCH(1,(GMW!$LQ$2:$LQ$60=R$3)*(GMW!$LP$2:$LP$60=R$4)*(GMW!$LR$2:$LR$60=R$1),0),$C188-1966)</f>
        <v>548600</v>
      </c>
      <c r="S188" s="4" cm="1">
        <f t="array" ref="S188">INDEX(GMW!$A$2:$LR$60,MATCH(1,(GMW!$LQ$2:$LQ$60=S$3)*(GMW!$LP$2:$LP$60=S$4)*(GMW!$LR$2:$LR$60=S$1),0),$C188-1966)</f>
        <v>548600</v>
      </c>
      <c r="T188" s="4" cm="1">
        <f t="array" ref="T188">INDEX(GMW!$A$2:$LR$60,MATCH(1,(GMW!$LQ$2:$LQ$60=T$3)*(GMW!$LP$2:$LP$60=T$4)*(GMW!$LR$2:$LR$60=T$1),0),$C188-1966)</f>
        <v>548600</v>
      </c>
      <c r="U188" s="4" cm="1">
        <f t="array" ref="U188">INDEX(GMW!$A$2:$LR$60,MATCH(1,(GMW!$LQ$2:$LQ$60=U$3)*(GMW!$LP$2:$LP$60=U$4)*(GMW!$LR$2:$LR$60=U$1),0),$C188-1966)</f>
        <v>516.66669999999999</v>
      </c>
      <c r="V188" s="4" cm="1">
        <f t="array" ref="V188">INDEX(GMW!$A$2:$LR$60,MATCH(1,(GMW!$LQ$2:$LQ$60=V$3)*(GMW!$LP$2:$LP$60=V$4)*(GMW!$LR$2:$LR$60=V$1),0),$C188-1966)</f>
        <v>105.66670000000001</v>
      </c>
      <c r="W188" s="4" cm="1">
        <f t="array" ref="W188">INDEX(GMW!$A$2:$LR$60,MATCH(1,(GMW!$LQ$2:$LQ$60=W$3)*(GMW!$LP$2:$LP$60=W$4)*(GMW!$LR$2:$LR$60=W$1),0),$C188-1966)</f>
        <v>104.2333</v>
      </c>
      <c r="X188" s="4" cm="1">
        <f t="array" ref="X188">INDEX(GMW!$A$2:$LR$60,MATCH(1,(GMW!$LQ$2:$LQ$60=X$3)*(GMW!$LP$2:$LP$60=X$4)*(GMW!$LR$2:$LR$60=X$1),0),$C188-1966)</f>
        <v>112.2667</v>
      </c>
      <c r="Y188" s="4" cm="1">
        <f t="array" ref="Y188">INDEX(GMW!$A$2:$LR$60,MATCH(1,(GMW!$LQ$2:$LQ$60=Y$3)*(GMW!$LP$2:$LP$60=Y$4)*(GMW!$LR$2:$LR$60=Y$1),0),$C188-1966)</f>
        <v>105.33329999999999</v>
      </c>
      <c r="Z188" s="4" cm="1">
        <f t="array" ref="Z188">INDEX(GMW!$A$2:$LR$60,MATCH(1,(GMW!$LQ$2:$LQ$60=Z$3)*(GMW!$LP$2:$LP$60=Z$4)*(GMW!$LR$2:$LR$60=Z$1),0),$C188-1966)</f>
        <v>105.7</v>
      </c>
      <c r="AA188" s="4" cm="1">
        <f t="array" ref="AA188">INDEX(GMW!$A$2:$LR$60,MATCH(1,(GMW!$LQ$2:$LQ$60=AA$3)*(GMW!$LP$2:$LP$60=AA$4)*(GMW!$LR$2:$LR$60=AA$1),0),$C188-1966)</f>
        <v>338566</v>
      </c>
      <c r="AB188" s="4" cm="1">
        <f t="array" ref="AB188">INDEX(GMW!$A$2:$LR$60,MATCH(1,(GMW!$LQ$2:$LQ$60=AB$3)*(GMW!$LP$2:$LP$60=AB$4)*(GMW!$LR$2:$LR$60=AB$1),0),$C188-1966)</f>
        <v>99211</v>
      </c>
      <c r="AC188" s="4" cm="1">
        <f t="array" ref="AC188">INDEX(GMW!$A$2:$LR$60,MATCH(1,(GMW!$LQ$2:$LQ$60=AC$3)*(GMW!$LP$2:$LP$60=AC$4)*(GMW!$LR$2:$LR$60=AC$1),0),$C188-1966)</f>
        <v>101964</v>
      </c>
      <c r="AD188" s="4" cm="1">
        <f t="array" ref="AD188">INDEX(GMW!$A$2:$LR$60,MATCH(1,(GMW!$LQ$2:$LQ$60=AD$3)*(GMW!$LP$2:$LP$60=AD$4)*(GMW!$LR$2:$LR$60=AD$1),0),$C188-1966)</f>
        <v>172688</v>
      </c>
      <c r="AE188" s="4" cm="1">
        <f t="array" ref="AE188">INDEX(GMW!$A$2:$LR$60,MATCH(1,(GMW!$LQ$2:$LQ$60=AE$3)*(GMW!$LP$2:$LP$60=AE$4)*(GMW!$LR$2:$LR$60=AE$1),0),$C188-1966)</f>
        <v>177776</v>
      </c>
      <c r="AF188" s="4" cm="1">
        <f t="array" ref="AF188">INDEX(GMW!$A$2:$LR$60,MATCH(1,(GMW!$LQ$2:$LQ$60=AF$3)*(GMW!$LP$2:$LP$60=AF$4)*(GMW!$LR$2:$LR$60=AF$1),0),$C188-1966)</f>
        <v>0.81829079999999998</v>
      </c>
      <c r="AG188" s="4" cm="1">
        <f t="array" ref="AG188">INDEX(GMW!$A$2:$LR$60,MATCH(1,(GMW!$LQ$2:$LQ$60=AG$3)*(GMW!$LP$2:$LP$60=AG$4)*(GMW!$LR$2:$LR$60=AG$1),0),$C188-1966)</f>
        <v>1.0622720000000001</v>
      </c>
    </row>
    <row r="189" spans="1:33" x14ac:dyDescent="0.25">
      <c r="B189" s="4">
        <f t="shared" si="5"/>
        <v>2018</v>
      </c>
      <c r="C189" s="4">
        <f t="shared" si="6"/>
        <v>2155</v>
      </c>
      <c r="D189" s="4" cm="1">
        <f t="array" ref="D189">INDEX(GMW!$A$2:$LR$60,MATCH(1,(GMW!$LQ$2:$LQ$60=D$3)*(GMW!$LP$2:$LP$60=D$4)*(GMW!$LR$2:$LR$60=D$1),0),$C189-1966)</f>
        <v>550425</v>
      </c>
      <c r="E189" s="4" cm="1">
        <f t="array" ref="E189">INDEX(GMW!$A$2:$LR$60,MATCH(1,(GMW!$LQ$2:$LQ$60=E$3)*(GMW!$LP$2:$LP$60=E$4)*(GMW!$LR$2:$LR$60=E$1),0),$C189-1966)</f>
        <v>550425</v>
      </c>
      <c r="F189" s="4" cm="1">
        <f t="array" ref="F189">INDEX(GMW!$A$2:$LR$60,MATCH(1,(GMW!$LQ$2:$LQ$60=F$3)*(GMW!$LP$2:$LP$60=F$4)*(GMW!$LR$2:$LR$60=F$1),0),$C189-1966)</f>
        <v>550425</v>
      </c>
      <c r="G189" s="4" cm="1">
        <f t="array" ref="G189">INDEX(GMW!$A$2:$LR$60,MATCH(1,(GMW!$LQ$2:$LQ$60=G$3)*(GMW!$LP$2:$LP$60=G$4)*(GMW!$LR$2:$LR$60=G$1),0),$C189-1966)</f>
        <v>550425</v>
      </c>
      <c r="H189" s="4" cm="1">
        <f t="array" ref="H189">INDEX(GMW!$A$2:$LR$60,MATCH(1,(GMW!$LQ$2:$LQ$60=H$3)*(GMW!$LP$2:$LP$60=H$4)*(GMW!$LR$2:$LR$60=H$1),0),$C189-1966)</f>
        <v>550425</v>
      </c>
      <c r="I189" s="4" cm="1">
        <f t="array" ref="I189">INDEX(GMW!$A$2:$LR$60,MATCH(1,(GMW!$LQ$2:$LQ$60=I$3)*(GMW!$LP$2:$LP$60=I$4)*(GMW!$LR$2:$LR$60=I$1),0),$C189-1966)</f>
        <v>550425</v>
      </c>
      <c r="J189" s="4" cm="1">
        <f t="array" ref="J189">INDEX(GMW!$A$2:$LR$60,MATCH(1,(GMW!$LQ$2:$LQ$60=J$3)*(GMW!$LP$2:$LP$60=J$4)*(GMW!$LR$2:$LR$60=J$1),0),$C189-1966)</f>
        <v>550425</v>
      </c>
      <c r="K189" s="4" cm="1">
        <f t="array" ref="K189">INDEX(GMW!$A$2:$LR$60,MATCH(1,(GMW!$LQ$2:$LQ$60=K$3)*(GMW!$LP$2:$LP$60=K$4)*(GMW!$LR$2:$LR$60=K$1),0),$C189-1966)</f>
        <v>550425</v>
      </c>
      <c r="L189" s="4" cm="1">
        <f t="array" ref="L189">INDEX(GMW!$A$2:$LR$60,MATCH(1,(GMW!$LQ$2:$LQ$60=L$3)*(GMW!$LP$2:$LP$60=L$4)*(GMW!$LR$2:$LR$60=L$1),0),$C189-1966)</f>
        <v>550425</v>
      </c>
      <c r="M189" s="4" cm="1">
        <f t="array" ref="M189">INDEX(GMW!$A$2:$LR$60,MATCH(1,(GMW!$LQ$2:$LQ$60=M$3)*(GMW!$LP$2:$LP$60=M$4)*(GMW!$LR$2:$LR$60=M$1),0),$C189-1966)</f>
        <v>550425</v>
      </c>
      <c r="N189" s="4" cm="1">
        <f t="array" ref="N189">INDEX(GMW!$A$2:$LR$60,MATCH(1,(GMW!$LQ$2:$LQ$60=N$3)*(GMW!$LP$2:$LP$60=N$4)*(GMW!$LR$2:$LR$60=N$1),0),$C189-1966)</f>
        <v>550425</v>
      </c>
      <c r="O189" s="4" cm="1">
        <f t="array" ref="O189">INDEX(GMW!$A$2:$LR$60,MATCH(1,(GMW!$LQ$2:$LQ$60=O$3)*(GMW!$LP$2:$LP$60=O$4)*(GMW!$LR$2:$LR$60=O$1),0),$C189-1966)</f>
        <v>550425</v>
      </c>
      <c r="P189" s="4" cm="1">
        <f t="array" ref="P189">INDEX(GMW!$A$2:$LR$60,MATCH(1,(GMW!$LQ$2:$LQ$60=P$3)*(GMW!$LP$2:$LP$60=P$4)*(GMW!$LR$2:$LR$60=P$1),0),$C189-1966)</f>
        <v>550425</v>
      </c>
      <c r="Q189" s="4" cm="1">
        <f t="array" ref="Q189">INDEX(GMW!$A$2:$LR$60,MATCH(1,(GMW!$LQ$2:$LQ$60=Q$3)*(GMW!$LP$2:$LP$60=Q$4)*(GMW!$LR$2:$LR$60=Q$1),0),$C189-1966)</f>
        <v>550425</v>
      </c>
      <c r="R189" s="4" cm="1">
        <f t="array" ref="R189">INDEX(GMW!$A$2:$LR$60,MATCH(1,(GMW!$LQ$2:$LQ$60=R$3)*(GMW!$LP$2:$LP$60=R$4)*(GMW!$LR$2:$LR$60=R$1),0),$C189-1966)</f>
        <v>550425</v>
      </c>
      <c r="S189" s="4" cm="1">
        <f t="array" ref="S189">INDEX(GMW!$A$2:$LR$60,MATCH(1,(GMW!$LQ$2:$LQ$60=S$3)*(GMW!$LP$2:$LP$60=S$4)*(GMW!$LR$2:$LR$60=S$1),0),$C189-1966)</f>
        <v>550425</v>
      </c>
      <c r="T189" s="4" cm="1">
        <f t="array" ref="T189">INDEX(GMW!$A$2:$LR$60,MATCH(1,(GMW!$LQ$2:$LQ$60=T$3)*(GMW!$LP$2:$LP$60=T$4)*(GMW!$LR$2:$LR$60=T$1),0),$C189-1966)</f>
        <v>550425</v>
      </c>
      <c r="U189" s="4" cm="1">
        <f t="array" ref="U189">INDEX(GMW!$A$2:$LR$60,MATCH(1,(GMW!$LQ$2:$LQ$60=U$3)*(GMW!$LP$2:$LP$60=U$4)*(GMW!$LR$2:$LR$60=U$1),0),$C189-1966)</f>
        <v>522.33330000000001</v>
      </c>
      <c r="V189" s="4" cm="1">
        <f t="array" ref="V189">INDEX(GMW!$A$2:$LR$60,MATCH(1,(GMW!$LQ$2:$LQ$60=V$3)*(GMW!$LP$2:$LP$60=V$4)*(GMW!$LR$2:$LR$60=V$1),0),$C189-1966)</f>
        <v>106.3</v>
      </c>
      <c r="W189" s="4" cm="1">
        <f t="array" ref="W189">INDEX(GMW!$A$2:$LR$60,MATCH(1,(GMW!$LQ$2:$LQ$60=W$3)*(GMW!$LP$2:$LP$60=W$4)*(GMW!$LR$2:$LR$60=W$1),0),$C189-1966)</f>
        <v>104.33329999999999</v>
      </c>
      <c r="X189" s="4" cm="1">
        <f t="array" ref="X189">INDEX(GMW!$A$2:$LR$60,MATCH(1,(GMW!$LQ$2:$LQ$60=X$3)*(GMW!$LP$2:$LP$60=X$4)*(GMW!$LR$2:$LR$60=X$1),0),$C189-1966)</f>
        <v>115.9333</v>
      </c>
      <c r="Y189" s="4" cm="1">
        <f t="array" ref="Y189">INDEX(GMW!$A$2:$LR$60,MATCH(1,(GMW!$LQ$2:$LQ$60=Y$3)*(GMW!$LP$2:$LP$60=Y$4)*(GMW!$LR$2:$LR$60=Y$1),0),$C189-1966)</f>
        <v>108.86669999999999</v>
      </c>
      <c r="Z189" s="4" cm="1">
        <f t="array" ref="Z189">INDEX(GMW!$A$2:$LR$60,MATCH(1,(GMW!$LQ$2:$LQ$60=Z$3)*(GMW!$LP$2:$LP$60=Z$4)*(GMW!$LR$2:$LR$60=Z$1),0),$C189-1966)</f>
        <v>106.2</v>
      </c>
      <c r="AA189" s="4" cm="1">
        <f t="array" ref="AA189">INDEX(GMW!$A$2:$LR$60,MATCH(1,(GMW!$LQ$2:$LQ$60=AA$3)*(GMW!$LP$2:$LP$60=AA$4)*(GMW!$LR$2:$LR$60=AA$1),0),$C189-1966)</f>
        <v>340965</v>
      </c>
      <c r="AB189" s="4" cm="1">
        <f t="array" ref="AB189">INDEX(GMW!$A$2:$LR$60,MATCH(1,(GMW!$LQ$2:$LQ$60=AB$3)*(GMW!$LP$2:$LP$60=AB$4)*(GMW!$LR$2:$LR$60=AB$1),0),$C189-1966)</f>
        <v>99191</v>
      </c>
      <c r="AC189" s="4" cm="1">
        <f t="array" ref="AC189">INDEX(GMW!$A$2:$LR$60,MATCH(1,(GMW!$LQ$2:$LQ$60=AC$3)*(GMW!$LP$2:$LP$60=AC$4)*(GMW!$LR$2:$LR$60=AC$1),0),$C189-1966)</f>
        <v>102537</v>
      </c>
      <c r="AD189" s="4" cm="1">
        <f t="array" ref="AD189">INDEX(GMW!$A$2:$LR$60,MATCH(1,(GMW!$LQ$2:$LQ$60=AD$3)*(GMW!$LP$2:$LP$60=AD$4)*(GMW!$LR$2:$LR$60=AD$1),0),$C189-1966)</f>
        <v>174981</v>
      </c>
      <c r="AE189" s="4" cm="1">
        <f t="array" ref="AE189">INDEX(GMW!$A$2:$LR$60,MATCH(1,(GMW!$LQ$2:$LQ$60=AE$3)*(GMW!$LP$2:$LP$60=AE$4)*(GMW!$LR$2:$LR$60=AE$1),0),$C189-1966)</f>
        <v>178674</v>
      </c>
      <c r="AF189" s="4" cm="1">
        <f t="array" ref="AF189">INDEX(GMW!$A$2:$LR$60,MATCH(1,(GMW!$LQ$2:$LQ$60=AF$3)*(GMW!$LP$2:$LP$60=AF$4)*(GMW!$LR$2:$LR$60=AF$1),0),$C189-1966)</f>
        <v>0.87234769999999995</v>
      </c>
      <c r="AG189" s="4" cm="1">
        <f t="array" ref="AG189">INDEX(GMW!$A$2:$LR$60,MATCH(1,(GMW!$LQ$2:$LQ$60=AG$3)*(GMW!$LP$2:$LP$60=AG$4)*(GMW!$LR$2:$LR$60=AG$1),0),$C189-1966)</f>
        <v>1.0784629999999999</v>
      </c>
    </row>
    <row r="190" spans="1:33" x14ac:dyDescent="0.25">
      <c r="B190" s="4">
        <f t="shared" si="5"/>
        <v>2018</v>
      </c>
      <c r="C190" s="4">
        <f t="shared" si="6"/>
        <v>2156</v>
      </c>
      <c r="D190" s="4" cm="1">
        <f t="array" ref="D190">INDEX(GMW!$A$2:$LR$60,MATCH(1,(GMW!$LQ$2:$LQ$60=D$3)*(GMW!$LP$2:$LP$60=D$4)*(GMW!$LR$2:$LR$60=D$1),0),$C190-1966)</f>
        <v>551128</v>
      </c>
      <c r="E190" s="4" cm="1">
        <f t="array" ref="E190">INDEX(GMW!$A$2:$LR$60,MATCH(1,(GMW!$LQ$2:$LQ$60=E$3)*(GMW!$LP$2:$LP$60=E$4)*(GMW!$LR$2:$LR$60=E$1),0),$C190-1966)</f>
        <v>551128</v>
      </c>
      <c r="F190" s="4" cm="1">
        <f t="array" ref="F190">INDEX(GMW!$A$2:$LR$60,MATCH(1,(GMW!$LQ$2:$LQ$60=F$3)*(GMW!$LP$2:$LP$60=F$4)*(GMW!$LR$2:$LR$60=F$1),0),$C190-1966)</f>
        <v>551128</v>
      </c>
      <c r="G190" s="4" cm="1">
        <f t="array" ref="G190">INDEX(GMW!$A$2:$LR$60,MATCH(1,(GMW!$LQ$2:$LQ$60=G$3)*(GMW!$LP$2:$LP$60=G$4)*(GMW!$LR$2:$LR$60=G$1),0),$C190-1966)</f>
        <v>551128</v>
      </c>
      <c r="H190" s="4" cm="1">
        <f t="array" ref="H190">INDEX(GMW!$A$2:$LR$60,MATCH(1,(GMW!$LQ$2:$LQ$60=H$3)*(GMW!$LP$2:$LP$60=H$4)*(GMW!$LR$2:$LR$60=H$1),0),$C190-1966)</f>
        <v>551128</v>
      </c>
      <c r="I190" s="4" cm="1">
        <f t="array" ref="I190">INDEX(GMW!$A$2:$LR$60,MATCH(1,(GMW!$LQ$2:$LQ$60=I$3)*(GMW!$LP$2:$LP$60=I$4)*(GMW!$LR$2:$LR$60=I$1),0),$C190-1966)</f>
        <v>551128</v>
      </c>
      <c r="J190" s="4" cm="1">
        <f t="array" ref="J190">INDEX(GMW!$A$2:$LR$60,MATCH(1,(GMW!$LQ$2:$LQ$60=J$3)*(GMW!$LP$2:$LP$60=J$4)*(GMW!$LR$2:$LR$60=J$1),0),$C190-1966)</f>
        <v>551128</v>
      </c>
      <c r="K190" s="4" cm="1">
        <f t="array" ref="K190">INDEX(GMW!$A$2:$LR$60,MATCH(1,(GMW!$LQ$2:$LQ$60=K$3)*(GMW!$LP$2:$LP$60=K$4)*(GMW!$LR$2:$LR$60=K$1),0),$C190-1966)</f>
        <v>551128</v>
      </c>
      <c r="L190" s="4" cm="1">
        <f t="array" ref="L190">INDEX(GMW!$A$2:$LR$60,MATCH(1,(GMW!$LQ$2:$LQ$60=L$3)*(GMW!$LP$2:$LP$60=L$4)*(GMW!$LR$2:$LR$60=L$1),0),$C190-1966)</f>
        <v>551128</v>
      </c>
      <c r="M190" s="4" cm="1">
        <f t="array" ref="M190">INDEX(GMW!$A$2:$LR$60,MATCH(1,(GMW!$LQ$2:$LQ$60=M$3)*(GMW!$LP$2:$LP$60=M$4)*(GMW!$LR$2:$LR$60=M$1),0),$C190-1966)</f>
        <v>551128</v>
      </c>
      <c r="N190" s="4" cm="1">
        <f t="array" ref="N190">INDEX(GMW!$A$2:$LR$60,MATCH(1,(GMW!$LQ$2:$LQ$60=N$3)*(GMW!$LP$2:$LP$60=N$4)*(GMW!$LR$2:$LR$60=N$1),0),$C190-1966)</f>
        <v>551128</v>
      </c>
      <c r="O190" s="4" cm="1">
        <f t="array" ref="O190">INDEX(GMW!$A$2:$LR$60,MATCH(1,(GMW!$LQ$2:$LQ$60=O$3)*(GMW!$LP$2:$LP$60=O$4)*(GMW!$LR$2:$LR$60=O$1),0),$C190-1966)</f>
        <v>551128</v>
      </c>
      <c r="P190" s="4" cm="1">
        <f t="array" ref="P190">INDEX(GMW!$A$2:$LR$60,MATCH(1,(GMW!$LQ$2:$LQ$60=P$3)*(GMW!$LP$2:$LP$60=P$4)*(GMW!$LR$2:$LR$60=P$1),0),$C190-1966)</f>
        <v>551128</v>
      </c>
      <c r="Q190" s="4" cm="1">
        <f t="array" ref="Q190">INDEX(GMW!$A$2:$LR$60,MATCH(1,(GMW!$LQ$2:$LQ$60=Q$3)*(GMW!$LP$2:$LP$60=Q$4)*(GMW!$LR$2:$LR$60=Q$1),0),$C190-1966)</f>
        <v>551128</v>
      </c>
      <c r="R190" s="4" cm="1">
        <f t="array" ref="R190">INDEX(GMW!$A$2:$LR$60,MATCH(1,(GMW!$LQ$2:$LQ$60=R$3)*(GMW!$LP$2:$LP$60=R$4)*(GMW!$LR$2:$LR$60=R$1),0),$C190-1966)</f>
        <v>551128</v>
      </c>
      <c r="S190" s="4" cm="1">
        <f t="array" ref="S190">INDEX(GMW!$A$2:$LR$60,MATCH(1,(GMW!$LQ$2:$LQ$60=S$3)*(GMW!$LP$2:$LP$60=S$4)*(GMW!$LR$2:$LR$60=S$1),0),$C190-1966)</f>
        <v>551128</v>
      </c>
      <c r="T190" s="4" cm="1">
        <f t="array" ref="T190">INDEX(GMW!$A$2:$LR$60,MATCH(1,(GMW!$LQ$2:$LQ$60=T$3)*(GMW!$LP$2:$LP$60=T$4)*(GMW!$LR$2:$LR$60=T$1),0),$C190-1966)</f>
        <v>551128</v>
      </c>
      <c r="U190" s="4" cm="1">
        <f t="array" ref="U190">INDEX(GMW!$A$2:$LR$60,MATCH(1,(GMW!$LQ$2:$LQ$60=U$3)*(GMW!$LP$2:$LP$60=U$4)*(GMW!$LR$2:$LR$60=U$1),0),$C190-1966)</f>
        <v>528</v>
      </c>
      <c r="V190" s="4" cm="1">
        <f t="array" ref="V190">INDEX(GMW!$A$2:$LR$60,MATCH(1,(GMW!$LQ$2:$LQ$60=V$3)*(GMW!$LP$2:$LP$60=V$4)*(GMW!$LR$2:$LR$60=V$1),0),$C190-1966)</f>
        <v>106.9333</v>
      </c>
      <c r="W190" s="4" cm="1">
        <f t="array" ref="W190">INDEX(GMW!$A$2:$LR$60,MATCH(1,(GMW!$LQ$2:$LQ$60=W$3)*(GMW!$LP$2:$LP$60=W$4)*(GMW!$LR$2:$LR$60=W$1),0),$C190-1966)</f>
        <v>104.63330000000001</v>
      </c>
      <c r="X190" s="4" cm="1">
        <f t="array" ref="X190">INDEX(GMW!$A$2:$LR$60,MATCH(1,(GMW!$LQ$2:$LQ$60=X$3)*(GMW!$LP$2:$LP$60=X$4)*(GMW!$LR$2:$LR$60=X$1),0),$C190-1966)</f>
        <v>115.4667</v>
      </c>
      <c r="Y190" s="4" cm="1">
        <f t="array" ref="Y190">INDEX(GMW!$A$2:$LR$60,MATCH(1,(GMW!$LQ$2:$LQ$60=Y$3)*(GMW!$LP$2:$LP$60=Y$4)*(GMW!$LR$2:$LR$60=Y$1),0),$C190-1966)</f>
        <v>112.2</v>
      </c>
      <c r="Z190" s="4" cm="1">
        <f t="array" ref="Z190">INDEX(GMW!$A$2:$LR$60,MATCH(1,(GMW!$LQ$2:$LQ$60=Z$3)*(GMW!$LP$2:$LP$60=Z$4)*(GMW!$LR$2:$LR$60=Z$1),0),$C190-1966)</f>
        <v>106.83329999999999</v>
      </c>
      <c r="AA190" s="4" cm="1">
        <f t="array" ref="AA190">INDEX(GMW!$A$2:$LR$60,MATCH(1,(GMW!$LQ$2:$LQ$60=AA$3)*(GMW!$LP$2:$LP$60=AA$4)*(GMW!$LR$2:$LR$60=AA$1),0),$C190-1966)</f>
        <v>344408</v>
      </c>
      <c r="AB190" s="4" cm="1">
        <f t="array" ref="AB190">INDEX(GMW!$A$2:$LR$60,MATCH(1,(GMW!$LQ$2:$LQ$60=AB$3)*(GMW!$LP$2:$LP$60=AB$4)*(GMW!$LR$2:$LR$60=AB$1),0),$C190-1966)</f>
        <v>99058</v>
      </c>
      <c r="AC190" s="4" cm="1">
        <f t="array" ref="AC190">INDEX(GMW!$A$2:$LR$60,MATCH(1,(GMW!$LQ$2:$LQ$60=AC$3)*(GMW!$LP$2:$LP$60=AC$4)*(GMW!$LR$2:$LR$60=AC$1),0),$C190-1966)</f>
        <v>103785</v>
      </c>
      <c r="AD190" s="4" cm="1">
        <f t="array" ref="AD190">INDEX(GMW!$A$2:$LR$60,MATCH(1,(GMW!$LQ$2:$LQ$60=AD$3)*(GMW!$LP$2:$LP$60=AD$4)*(GMW!$LR$2:$LR$60=AD$1),0),$C190-1966)</f>
        <v>173493</v>
      </c>
      <c r="AE190" s="4" cm="1">
        <f t="array" ref="AE190">INDEX(GMW!$A$2:$LR$60,MATCH(1,(GMW!$LQ$2:$LQ$60=AE$3)*(GMW!$LP$2:$LP$60=AE$4)*(GMW!$LR$2:$LR$60=AE$1),0),$C190-1966)</f>
        <v>185318</v>
      </c>
      <c r="AF190" s="4" cm="1">
        <f t="array" ref="AF190">INDEX(GMW!$A$2:$LR$60,MATCH(1,(GMW!$LQ$2:$LQ$60=AF$3)*(GMW!$LP$2:$LP$60=AF$4)*(GMW!$LR$2:$LR$60=AF$1),0),$C190-1966)</f>
        <v>0.91356660000000001</v>
      </c>
      <c r="AG190" s="4" cm="1">
        <f t="array" ref="AG190">INDEX(GMW!$A$2:$LR$60,MATCH(1,(GMW!$LQ$2:$LQ$60=AG$3)*(GMW!$LP$2:$LP$60=AG$4)*(GMW!$LR$2:$LR$60=AG$1),0),$C190-1966)</f>
        <v>1.117405</v>
      </c>
    </row>
    <row r="191" spans="1:33" x14ac:dyDescent="0.25">
      <c r="A191" s="4">
        <v>2019</v>
      </c>
      <c r="B191" s="4">
        <f t="shared" si="5"/>
        <v>2019</v>
      </c>
      <c r="C191" s="4">
        <f t="shared" si="6"/>
        <v>2157</v>
      </c>
      <c r="D191" s="4" cm="1">
        <f t="array" ref="D191">INDEX(GMW!$A$2:$LR$60,MATCH(1,(GMW!$LQ$2:$LQ$60=D$3)*(GMW!$LP$2:$LP$60=D$4)*(GMW!$LR$2:$LR$60=D$1),0),$C191-1966)</f>
        <v>555141</v>
      </c>
      <c r="E191" s="4" cm="1">
        <f t="array" ref="E191">INDEX(GMW!$A$2:$LR$60,MATCH(1,(GMW!$LQ$2:$LQ$60=E$3)*(GMW!$LP$2:$LP$60=E$4)*(GMW!$LR$2:$LR$60=E$1),0),$C191-1966)</f>
        <v>555141</v>
      </c>
      <c r="F191" s="4" cm="1">
        <f t="array" ref="F191">INDEX(GMW!$A$2:$LR$60,MATCH(1,(GMW!$LQ$2:$LQ$60=F$3)*(GMW!$LP$2:$LP$60=F$4)*(GMW!$LR$2:$LR$60=F$1),0),$C191-1966)</f>
        <v>555141</v>
      </c>
      <c r="G191" s="4" cm="1">
        <f t="array" ref="G191">INDEX(GMW!$A$2:$LR$60,MATCH(1,(GMW!$LQ$2:$LQ$60=G$3)*(GMW!$LP$2:$LP$60=G$4)*(GMW!$LR$2:$LR$60=G$1),0),$C191-1966)</f>
        <v>555141</v>
      </c>
      <c r="H191" s="4" cm="1">
        <f t="array" ref="H191">INDEX(GMW!$A$2:$LR$60,MATCH(1,(GMW!$LQ$2:$LQ$60=H$3)*(GMW!$LP$2:$LP$60=H$4)*(GMW!$LR$2:$LR$60=H$1),0),$C191-1966)</f>
        <v>555141</v>
      </c>
      <c r="I191" s="4" cm="1">
        <f t="array" ref="I191">INDEX(GMW!$A$2:$LR$60,MATCH(1,(GMW!$LQ$2:$LQ$60=I$3)*(GMW!$LP$2:$LP$60=I$4)*(GMW!$LR$2:$LR$60=I$1),0),$C191-1966)</f>
        <v>555141</v>
      </c>
      <c r="J191" s="4" cm="1">
        <f t="array" ref="J191">INDEX(GMW!$A$2:$LR$60,MATCH(1,(GMW!$LQ$2:$LQ$60=J$3)*(GMW!$LP$2:$LP$60=J$4)*(GMW!$LR$2:$LR$60=J$1),0),$C191-1966)</f>
        <v>555141</v>
      </c>
      <c r="K191" s="4" cm="1">
        <f t="array" ref="K191">INDEX(GMW!$A$2:$LR$60,MATCH(1,(GMW!$LQ$2:$LQ$60=K$3)*(GMW!$LP$2:$LP$60=K$4)*(GMW!$LR$2:$LR$60=K$1),0),$C191-1966)</f>
        <v>555141</v>
      </c>
      <c r="L191" s="4" cm="1">
        <f t="array" ref="L191">INDEX(GMW!$A$2:$LR$60,MATCH(1,(GMW!$LQ$2:$LQ$60=L$3)*(GMW!$LP$2:$LP$60=L$4)*(GMW!$LR$2:$LR$60=L$1),0),$C191-1966)</f>
        <v>555141</v>
      </c>
      <c r="M191" s="4" cm="1">
        <f t="array" ref="M191">INDEX(GMW!$A$2:$LR$60,MATCH(1,(GMW!$LQ$2:$LQ$60=M$3)*(GMW!$LP$2:$LP$60=M$4)*(GMW!$LR$2:$LR$60=M$1),0),$C191-1966)</f>
        <v>555141</v>
      </c>
      <c r="N191" s="4" cm="1">
        <f t="array" ref="N191">INDEX(GMW!$A$2:$LR$60,MATCH(1,(GMW!$LQ$2:$LQ$60=N$3)*(GMW!$LP$2:$LP$60=N$4)*(GMW!$LR$2:$LR$60=N$1),0),$C191-1966)</f>
        <v>555141</v>
      </c>
      <c r="O191" s="4" cm="1">
        <f t="array" ref="O191">INDEX(GMW!$A$2:$LR$60,MATCH(1,(GMW!$LQ$2:$LQ$60=O$3)*(GMW!$LP$2:$LP$60=O$4)*(GMW!$LR$2:$LR$60=O$1),0),$C191-1966)</f>
        <v>555141</v>
      </c>
      <c r="P191" s="4" cm="1">
        <f t="array" ref="P191">INDEX(GMW!$A$2:$LR$60,MATCH(1,(GMW!$LQ$2:$LQ$60=P$3)*(GMW!$LP$2:$LP$60=P$4)*(GMW!$LR$2:$LR$60=P$1),0),$C191-1966)</f>
        <v>555141</v>
      </c>
      <c r="Q191" s="4" cm="1">
        <f t="array" ref="Q191">INDEX(GMW!$A$2:$LR$60,MATCH(1,(GMW!$LQ$2:$LQ$60=Q$3)*(GMW!$LP$2:$LP$60=Q$4)*(GMW!$LR$2:$LR$60=Q$1),0),$C191-1966)</f>
        <v>555141</v>
      </c>
      <c r="R191" s="4" cm="1">
        <f t="array" ref="R191">INDEX(GMW!$A$2:$LR$60,MATCH(1,(GMW!$LQ$2:$LQ$60=R$3)*(GMW!$LP$2:$LP$60=R$4)*(GMW!$LR$2:$LR$60=R$1),0),$C191-1966)</f>
        <v>555141</v>
      </c>
      <c r="S191" s="4" cm="1">
        <f t="array" ref="S191">INDEX(GMW!$A$2:$LR$60,MATCH(1,(GMW!$LQ$2:$LQ$60=S$3)*(GMW!$LP$2:$LP$60=S$4)*(GMW!$LR$2:$LR$60=S$1),0),$C191-1966)</f>
        <v>555141</v>
      </c>
      <c r="T191" s="4" cm="1">
        <f t="array" ref="T191">INDEX(GMW!$A$2:$LR$60,MATCH(1,(GMW!$LQ$2:$LQ$60=T$3)*(GMW!$LP$2:$LP$60=T$4)*(GMW!$LR$2:$LR$60=T$1),0),$C191-1966)</f>
        <v>555141</v>
      </c>
      <c r="U191" s="4" cm="1">
        <f t="array" ref="U191">INDEX(GMW!$A$2:$LR$60,MATCH(1,(GMW!$LQ$2:$LQ$60=U$3)*(GMW!$LP$2:$LP$60=U$4)*(GMW!$LR$2:$LR$60=U$1),0),$C191-1966)</f>
        <v>528.66669999999999</v>
      </c>
      <c r="V191" s="4" cm="1">
        <f t="array" ref="V191">INDEX(GMW!$A$2:$LR$60,MATCH(1,(GMW!$LQ$2:$LQ$60=V$3)*(GMW!$LP$2:$LP$60=V$4)*(GMW!$LR$2:$LR$60=V$1),0),$C191-1966)</f>
        <v>106.7</v>
      </c>
      <c r="W191" s="4" cm="1">
        <f t="array" ref="W191">INDEX(GMW!$A$2:$LR$60,MATCH(1,(GMW!$LQ$2:$LQ$60=W$3)*(GMW!$LP$2:$LP$60=W$4)*(GMW!$LR$2:$LR$60=W$1),0),$C191-1966)</f>
        <v>106.16670000000001</v>
      </c>
      <c r="X191" s="4" cm="1">
        <f t="array" ref="X191">INDEX(GMW!$A$2:$LR$60,MATCH(1,(GMW!$LQ$2:$LQ$60=X$3)*(GMW!$LP$2:$LP$60=X$4)*(GMW!$LR$2:$LR$60=X$1),0),$C191-1966)</f>
        <v>109.86669999999999</v>
      </c>
      <c r="Y191" s="4" cm="1">
        <f t="array" ref="Y191">INDEX(GMW!$A$2:$LR$60,MATCH(1,(GMW!$LQ$2:$LQ$60=Y$3)*(GMW!$LP$2:$LP$60=Y$4)*(GMW!$LR$2:$LR$60=Y$1),0),$C191-1966)</f>
        <v>105.33329999999999</v>
      </c>
      <c r="Z191" s="4" cm="1">
        <f t="array" ref="Z191">INDEX(GMW!$A$2:$LR$60,MATCH(1,(GMW!$LQ$2:$LQ$60=Z$3)*(GMW!$LP$2:$LP$60=Z$4)*(GMW!$LR$2:$LR$60=Z$1),0),$C191-1966)</f>
        <v>106.7667</v>
      </c>
      <c r="AA191" s="4" cm="1">
        <f t="array" ref="AA191">INDEX(GMW!$A$2:$LR$60,MATCH(1,(GMW!$LQ$2:$LQ$60=AA$3)*(GMW!$LP$2:$LP$60=AA$4)*(GMW!$LR$2:$LR$60=AA$1),0),$C191-1966)</f>
        <v>344046</v>
      </c>
      <c r="AB191" s="4" cm="1">
        <f t="array" ref="AB191">INDEX(GMW!$A$2:$LR$60,MATCH(1,(GMW!$LQ$2:$LQ$60=AB$3)*(GMW!$LP$2:$LP$60=AB$4)*(GMW!$LR$2:$LR$60=AB$1),0),$C191-1966)</f>
        <v>102105</v>
      </c>
      <c r="AC191" s="4" cm="1">
        <f t="array" ref="AC191">INDEX(GMW!$A$2:$LR$60,MATCH(1,(GMW!$LQ$2:$LQ$60=AC$3)*(GMW!$LP$2:$LP$60=AC$4)*(GMW!$LR$2:$LR$60=AC$1),0),$C191-1966)</f>
        <v>105264</v>
      </c>
      <c r="AD191" s="4" cm="1">
        <f t="array" ref="AD191">INDEX(GMW!$A$2:$LR$60,MATCH(1,(GMW!$LQ$2:$LQ$60=AD$3)*(GMW!$LP$2:$LP$60=AD$4)*(GMW!$LR$2:$LR$60=AD$1),0),$C191-1966)</f>
        <v>171534</v>
      </c>
      <c r="AE191" s="4" cm="1">
        <f t="array" ref="AE191">INDEX(GMW!$A$2:$LR$60,MATCH(1,(GMW!$LQ$2:$LQ$60=AE$3)*(GMW!$LP$2:$LP$60=AE$4)*(GMW!$LR$2:$LR$60=AE$1),0),$C191-1966)</f>
        <v>198389</v>
      </c>
      <c r="AF191" s="4" cm="1">
        <f t="array" ref="AF191">INDEX(GMW!$A$2:$LR$60,MATCH(1,(GMW!$LQ$2:$LQ$60=AF$3)*(GMW!$LP$2:$LP$60=AF$4)*(GMW!$LR$2:$LR$60=AF$1),0),$C191-1966)</f>
        <v>0.83282659999999997</v>
      </c>
      <c r="AG191" s="4" cm="1">
        <f t="array" ref="AG191">INDEX(GMW!$A$2:$LR$60,MATCH(1,(GMW!$LQ$2:$LQ$60=AG$3)*(GMW!$LP$2:$LP$60=AG$4)*(GMW!$LR$2:$LR$60=AG$1),0),$C191-1966)</f>
        <v>0.98093589999999997</v>
      </c>
    </row>
    <row r="192" spans="1:33" x14ac:dyDescent="0.25">
      <c r="B192" s="4">
        <f t="shared" si="5"/>
        <v>2019</v>
      </c>
      <c r="C192" s="4">
        <f t="shared" si="6"/>
        <v>2158</v>
      </c>
      <c r="D192" s="4" cm="1">
        <f t="array" ref="D192">INDEX(GMW!$A$2:$LR$60,MATCH(1,(GMW!$LQ$2:$LQ$60=D$3)*(GMW!$LP$2:$LP$60=D$4)*(GMW!$LR$2:$LR$60=D$1),0),$C192-1966)</f>
        <v>556932</v>
      </c>
      <c r="E192" s="4" cm="1">
        <f t="array" ref="E192">INDEX(GMW!$A$2:$LR$60,MATCH(1,(GMW!$LQ$2:$LQ$60=E$3)*(GMW!$LP$2:$LP$60=E$4)*(GMW!$LR$2:$LR$60=E$1),0),$C192-1966)</f>
        <v>556932</v>
      </c>
      <c r="F192" s="4" cm="1">
        <f t="array" ref="F192">INDEX(GMW!$A$2:$LR$60,MATCH(1,(GMW!$LQ$2:$LQ$60=F$3)*(GMW!$LP$2:$LP$60=F$4)*(GMW!$LR$2:$LR$60=F$1),0),$C192-1966)</f>
        <v>556932</v>
      </c>
      <c r="G192" s="4" cm="1">
        <f t="array" ref="G192">INDEX(GMW!$A$2:$LR$60,MATCH(1,(GMW!$LQ$2:$LQ$60=G$3)*(GMW!$LP$2:$LP$60=G$4)*(GMW!$LR$2:$LR$60=G$1),0),$C192-1966)</f>
        <v>556932</v>
      </c>
      <c r="H192" s="4" cm="1">
        <f t="array" ref="H192">INDEX(GMW!$A$2:$LR$60,MATCH(1,(GMW!$LQ$2:$LQ$60=H$3)*(GMW!$LP$2:$LP$60=H$4)*(GMW!$LR$2:$LR$60=H$1),0),$C192-1966)</f>
        <v>556932</v>
      </c>
      <c r="I192" s="4" cm="1">
        <f t="array" ref="I192">INDEX(GMW!$A$2:$LR$60,MATCH(1,(GMW!$LQ$2:$LQ$60=I$3)*(GMW!$LP$2:$LP$60=I$4)*(GMW!$LR$2:$LR$60=I$1),0),$C192-1966)</f>
        <v>556932</v>
      </c>
      <c r="J192" s="4" cm="1">
        <f t="array" ref="J192">INDEX(GMW!$A$2:$LR$60,MATCH(1,(GMW!$LQ$2:$LQ$60=J$3)*(GMW!$LP$2:$LP$60=J$4)*(GMW!$LR$2:$LR$60=J$1),0),$C192-1966)</f>
        <v>556932</v>
      </c>
      <c r="K192" s="4" cm="1">
        <f t="array" ref="K192">INDEX(GMW!$A$2:$LR$60,MATCH(1,(GMW!$LQ$2:$LQ$60=K$3)*(GMW!$LP$2:$LP$60=K$4)*(GMW!$LR$2:$LR$60=K$1),0),$C192-1966)</f>
        <v>556932</v>
      </c>
      <c r="L192" s="4" cm="1">
        <f t="array" ref="L192">INDEX(GMW!$A$2:$LR$60,MATCH(1,(GMW!$LQ$2:$LQ$60=L$3)*(GMW!$LP$2:$LP$60=L$4)*(GMW!$LR$2:$LR$60=L$1),0),$C192-1966)</f>
        <v>556932</v>
      </c>
      <c r="M192" s="4" cm="1">
        <f t="array" ref="M192">INDEX(GMW!$A$2:$LR$60,MATCH(1,(GMW!$LQ$2:$LQ$60=M$3)*(GMW!$LP$2:$LP$60=M$4)*(GMW!$LR$2:$LR$60=M$1),0),$C192-1966)</f>
        <v>556932</v>
      </c>
      <c r="N192" s="4" cm="1">
        <f t="array" ref="N192">INDEX(GMW!$A$2:$LR$60,MATCH(1,(GMW!$LQ$2:$LQ$60=N$3)*(GMW!$LP$2:$LP$60=N$4)*(GMW!$LR$2:$LR$60=N$1),0),$C192-1966)</f>
        <v>556932</v>
      </c>
      <c r="O192" s="4" cm="1">
        <f t="array" ref="O192">INDEX(GMW!$A$2:$LR$60,MATCH(1,(GMW!$LQ$2:$LQ$60=O$3)*(GMW!$LP$2:$LP$60=O$4)*(GMW!$LR$2:$LR$60=O$1),0),$C192-1966)</f>
        <v>556932</v>
      </c>
      <c r="P192" s="4" cm="1">
        <f t="array" ref="P192">INDEX(GMW!$A$2:$LR$60,MATCH(1,(GMW!$LQ$2:$LQ$60=P$3)*(GMW!$LP$2:$LP$60=P$4)*(GMW!$LR$2:$LR$60=P$1),0),$C192-1966)</f>
        <v>556932</v>
      </c>
      <c r="Q192" s="4" cm="1">
        <f t="array" ref="Q192">INDEX(GMW!$A$2:$LR$60,MATCH(1,(GMW!$LQ$2:$LQ$60=Q$3)*(GMW!$LP$2:$LP$60=Q$4)*(GMW!$LR$2:$LR$60=Q$1),0),$C192-1966)</f>
        <v>556932</v>
      </c>
      <c r="R192" s="4" cm="1">
        <f t="array" ref="R192">INDEX(GMW!$A$2:$LR$60,MATCH(1,(GMW!$LQ$2:$LQ$60=R$3)*(GMW!$LP$2:$LP$60=R$4)*(GMW!$LR$2:$LR$60=R$1),0),$C192-1966)</f>
        <v>556932</v>
      </c>
      <c r="S192" s="4" cm="1">
        <f t="array" ref="S192">INDEX(GMW!$A$2:$LR$60,MATCH(1,(GMW!$LQ$2:$LQ$60=S$3)*(GMW!$LP$2:$LP$60=S$4)*(GMW!$LR$2:$LR$60=S$1),0),$C192-1966)</f>
        <v>556932</v>
      </c>
      <c r="T192" s="4" cm="1">
        <f t="array" ref="T192">INDEX(GMW!$A$2:$LR$60,MATCH(1,(GMW!$LQ$2:$LQ$60=T$3)*(GMW!$LP$2:$LP$60=T$4)*(GMW!$LR$2:$LR$60=T$1),0),$C192-1966)</f>
        <v>556932</v>
      </c>
      <c r="U192" s="4" cm="1">
        <f t="array" ref="U192">INDEX(GMW!$A$2:$LR$60,MATCH(1,(GMW!$LQ$2:$LQ$60=U$3)*(GMW!$LP$2:$LP$60=U$4)*(GMW!$LR$2:$LR$60=U$1),0),$C192-1966)</f>
        <v>537</v>
      </c>
      <c r="V192" s="4" cm="1">
        <f t="array" ref="V192">INDEX(GMW!$A$2:$LR$60,MATCH(1,(GMW!$LQ$2:$LQ$60=V$3)*(GMW!$LP$2:$LP$60=V$4)*(GMW!$LR$2:$LR$60=V$1),0),$C192-1966)</f>
        <v>107.8</v>
      </c>
      <c r="W192" s="4" cm="1">
        <f t="array" ref="W192">INDEX(GMW!$A$2:$LR$60,MATCH(1,(GMW!$LQ$2:$LQ$60=W$3)*(GMW!$LP$2:$LP$60=W$4)*(GMW!$LR$2:$LR$60=W$1),0),$C192-1966)</f>
        <v>106.13330000000001</v>
      </c>
      <c r="X192" s="4" cm="1">
        <f t="array" ref="X192">INDEX(GMW!$A$2:$LR$60,MATCH(1,(GMW!$LQ$2:$LQ$60=X$3)*(GMW!$LP$2:$LP$60=X$4)*(GMW!$LR$2:$LR$60=X$1),0),$C192-1966)</f>
        <v>115.36669999999999</v>
      </c>
      <c r="Y192" s="4" cm="1">
        <f t="array" ref="Y192">INDEX(GMW!$A$2:$LR$60,MATCH(1,(GMW!$LQ$2:$LQ$60=Y$3)*(GMW!$LP$2:$LP$60=Y$4)*(GMW!$LR$2:$LR$60=Y$1),0),$C192-1966)</f>
        <v>115.4333</v>
      </c>
      <c r="Z192" s="4" cm="1">
        <f t="array" ref="Z192">INDEX(GMW!$A$2:$LR$60,MATCH(1,(GMW!$LQ$2:$LQ$60=Z$3)*(GMW!$LP$2:$LP$60=Z$4)*(GMW!$LR$2:$LR$60=Z$1),0),$C192-1966)</f>
        <v>107.5667</v>
      </c>
      <c r="AA192" s="4" cm="1">
        <f t="array" ref="AA192">INDEX(GMW!$A$2:$LR$60,MATCH(1,(GMW!$LQ$2:$LQ$60=AA$3)*(GMW!$LP$2:$LP$60=AA$4)*(GMW!$LR$2:$LR$60=AA$1),0),$C192-1966)</f>
        <v>345335</v>
      </c>
      <c r="AB192" s="4" cm="1">
        <f t="array" ref="AB192">INDEX(GMW!$A$2:$LR$60,MATCH(1,(GMW!$LQ$2:$LQ$60=AB$3)*(GMW!$LP$2:$LP$60=AB$4)*(GMW!$LR$2:$LR$60=AB$1),0),$C192-1966)</f>
        <v>101275</v>
      </c>
      <c r="AC192" s="4" cm="1">
        <f t="array" ref="AC192">INDEX(GMW!$A$2:$LR$60,MATCH(1,(GMW!$LQ$2:$LQ$60=AC$3)*(GMW!$LP$2:$LP$60=AC$4)*(GMW!$LR$2:$LR$60=AC$1),0),$C192-1966)</f>
        <v>107139</v>
      </c>
      <c r="AD192" s="4" cm="1">
        <f t="array" ref="AD192">INDEX(GMW!$A$2:$LR$60,MATCH(1,(GMW!$LQ$2:$LQ$60=AD$3)*(GMW!$LP$2:$LP$60=AD$4)*(GMW!$LR$2:$LR$60=AD$1),0),$C192-1966)</f>
        <v>169396</v>
      </c>
      <c r="AE192" s="4" cm="1">
        <f t="array" ref="AE192">INDEX(GMW!$A$2:$LR$60,MATCH(1,(GMW!$LQ$2:$LQ$60=AE$3)*(GMW!$LP$2:$LP$60=AE$4)*(GMW!$LR$2:$LR$60=AE$1),0),$C192-1966)</f>
        <v>179954</v>
      </c>
      <c r="AF192" s="4" cm="1">
        <f t="array" ref="AF192">INDEX(GMW!$A$2:$LR$60,MATCH(1,(GMW!$LQ$2:$LQ$60=AF$3)*(GMW!$LP$2:$LP$60=AF$4)*(GMW!$LR$2:$LR$60=AF$1),0),$C192-1966)</f>
        <v>0.73666160000000003</v>
      </c>
      <c r="AG192" s="4" cm="1">
        <f t="array" ref="AG192">INDEX(GMW!$A$2:$LR$60,MATCH(1,(GMW!$LQ$2:$LQ$60=AG$3)*(GMW!$LP$2:$LP$60=AG$4)*(GMW!$LR$2:$LR$60=AG$1),0),$C192-1966)</f>
        <v>0.83509840000000002</v>
      </c>
    </row>
    <row r="193" spans="1:33" x14ac:dyDescent="0.25">
      <c r="B193" s="4">
        <f t="shared" si="5"/>
        <v>2019</v>
      </c>
      <c r="C193" s="4">
        <f t="shared" si="6"/>
        <v>2159</v>
      </c>
      <c r="D193" s="4" cm="1">
        <f t="array" ref="D193">INDEX(GMW!$A$2:$LR$60,MATCH(1,(GMW!$LQ$2:$LQ$60=D$3)*(GMW!$LP$2:$LP$60=D$4)*(GMW!$LR$2:$LR$60=D$1),0),$C193-1966)</f>
        <v>560987</v>
      </c>
      <c r="E193" s="4" cm="1">
        <f t="array" ref="E193">INDEX(GMW!$A$2:$LR$60,MATCH(1,(GMW!$LQ$2:$LQ$60=E$3)*(GMW!$LP$2:$LP$60=E$4)*(GMW!$LR$2:$LR$60=E$1),0),$C193-1966)</f>
        <v>560987</v>
      </c>
      <c r="F193" s="4" cm="1">
        <f t="array" ref="F193">INDEX(GMW!$A$2:$LR$60,MATCH(1,(GMW!$LQ$2:$LQ$60=F$3)*(GMW!$LP$2:$LP$60=F$4)*(GMW!$LR$2:$LR$60=F$1),0),$C193-1966)</f>
        <v>560987</v>
      </c>
      <c r="G193" s="4" cm="1">
        <f t="array" ref="G193">INDEX(GMW!$A$2:$LR$60,MATCH(1,(GMW!$LQ$2:$LQ$60=G$3)*(GMW!$LP$2:$LP$60=G$4)*(GMW!$LR$2:$LR$60=G$1),0),$C193-1966)</f>
        <v>560987</v>
      </c>
      <c r="H193" s="4" cm="1">
        <f t="array" ref="H193">INDEX(GMW!$A$2:$LR$60,MATCH(1,(GMW!$LQ$2:$LQ$60=H$3)*(GMW!$LP$2:$LP$60=H$4)*(GMW!$LR$2:$LR$60=H$1),0),$C193-1966)</f>
        <v>560987</v>
      </c>
      <c r="I193" s="4" cm="1">
        <f t="array" ref="I193">INDEX(GMW!$A$2:$LR$60,MATCH(1,(GMW!$LQ$2:$LQ$60=I$3)*(GMW!$LP$2:$LP$60=I$4)*(GMW!$LR$2:$LR$60=I$1),0),$C193-1966)</f>
        <v>560987</v>
      </c>
      <c r="J193" s="4" cm="1">
        <f t="array" ref="J193">INDEX(GMW!$A$2:$LR$60,MATCH(1,(GMW!$LQ$2:$LQ$60=J$3)*(GMW!$LP$2:$LP$60=J$4)*(GMW!$LR$2:$LR$60=J$1),0),$C193-1966)</f>
        <v>560987</v>
      </c>
      <c r="K193" s="4" cm="1">
        <f t="array" ref="K193">INDEX(GMW!$A$2:$LR$60,MATCH(1,(GMW!$LQ$2:$LQ$60=K$3)*(GMW!$LP$2:$LP$60=K$4)*(GMW!$LR$2:$LR$60=K$1),0),$C193-1966)</f>
        <v>560987</v>
      </c>
      <c r="L193" s="4" cm="1">
        <f t="array" ref="L193">INDEX(GMW!$A$2:$LR$60,MATCH(1,(GMW!$LQ$2:$LQ$60=L$3)*(GMW!$LP$2:$LP$60=L$4)*(GMW!$LR$2:$LR$60=L$1),0),$C193-1966)</f>
        <v>560987</v>
      </c>
      <c r="M193" s="4" cm="1">
        <f t="array" ref="M193">INDEX(GMW!$A$2:$LR$60,MATCH(1,(GMW!$LQ$2:$LQ$60=M$3)*(GMW!$LP$2:$LP$60=M$4)*(GMW!$LR$2:$LR$60=M$1),0),$C193-1966)</f>
        <v>560987</v>
      </c>
      <c r="N193" s="4" cm="1">
        <f t="array" ref="N193">INDEX(GMW!$A$2:$LR$60,MATCH(1,(GMW!$LQ$2:$LQ$60=N$3)*(GMW!$LP$2:$LP$60=N$4)*(GMW!$LR$2:$LR$60=N$1),0),$C193-1966)</f>
        <v>560987</v>
      </c>
      <c r="O193" s="4" cm="1">
        <f t="array" ref="O193">INDEX(GMW!$A$2:$LR$60,MATCH(1,(GMW!$LQ$2:$LQ$60=O$3)*(GMW!$LP$2:$LP$60=O$4)*(GMW!$LR$2:$LR$60=O$1),0),$C193-1966)</f>
        <v>560987</v>
      </c>
      <c r="P193" s="4" cm="1">
        <f t="array" ref="P193">INDEX(GMW!$A$2:$LR$60,MATCH(1,(GMW!$LQ$2:$LQ$60=P$3)*(GMW!$LP$2:$LP$60=P$4)*(GMW!$LR$2:$LR$60=P$1),0),$C193-1966)</f>
        <v>560987</v>
      </c>
      <c r="Q193" s="4" cm="1">
        <f t="array" ref="Q193">INDEX(GMW!$A$2:$LR$60,MATCH(1,(GMW!$LQ$2:$LQ$60=Q$3)*(GMW!$LP$2:$LP$60=Q$4)*(GMW!$LR$2:$LR$60=Q$1),0),$C193-1966)</f>
        <v>560987</v>
      </c>
      <c r="R193" s="4" cm="1">
        <f t="array" ref="R193">INDEX(GMW!$A$2:$LR$60,MATCH(1,(GMW!$LQ$2:$LQ$60=R$3)*(GMW!$LP$2:$LP$60=R$4)*(GMW!$LR$2:$LR$60=R$1),0),$C193-1966)</f>
        <v>560987</v>
      </c>
      <c r="S193" s="4" cm="1">
        <f t="array" ref="S193">INDEX(GMW!$A$2:$LR$60,MATCH(1,(GMW!$LQ$2:$LQ$60=S$3)*(GMW!$LP$2:$LP$60=S$4)*(GMW!$LR$2:$LR$60=S$1),0),$C193-1966)</f>
        <v>560987</v>
      </c>
      <c r="T193" s="4" cm="1">
        <f t="array" ref="T193">INDEX(GMW!$A$2:$LR$60,MATCH(1,(GMW!$LQ$2:$LQ$60=T$3)*(GMW!$LP$2:$LP$60=T$4)*(GMW!$LR$2:$LR$60=T$1),0),$C193-1966)</f>
        <v>560987</v>
      </c>
      <c r="U193" s="4" cm="1">
        <f t="array" ref="U193">INDEX(GMW!$A$2:$LR$60,MATCH(1,(GMW!$LQ$2:$LQ$60=U$3)*(GMW!$LP$2:$LP$60=U$4)*(GMW!$LR$2:$LR$60=U$1),0),$C193-1966)</f>
        <v>542.33330000000001</v>
      </c>
      <c r="V193" s="4" cm="1">
        <f t="array" ref="V193">INDEX(GMW!$A$2:$LR$60,MATCH(1,(GMW!$LQ$2:$LQ$60=V$3)*(GMW!$LP$2:$LP$60=V$4)*(GMW!$LR$2:$LR$60=V$1),0),$C193-1966)</f>
        <v>108.2667</v>
      </c>
      <c r="W193" s="4" cm="1">
        <f t="array" ref="W193">INDEX(GMW!$A$2:$LR$60,MATCH(1,(GMW!$LQ$2:$LQ$60=W$3)*(GMW!$LP$2:$LP$60=W$4)*(GMW!$LR$2:$LR$60=W$1),0),$C193-1966)</f>
        <v>106.5667</v>
      </c>
      <c r="X193" s="4" cm="1">
        <f t="array" ref="X193">INDEX(GMW!$A$2:$LR$60,MATCH(1,(GMW!$LQ$2:$LQ$60=X$3)*(GMW!$LP$2:$LP$60=X$4)*(GMW!$LR$2:$LR$60=X$1),0),$C193-1966)</f>
        <v>115.1</v>
      </c>
      <c r="Y193" s="4" cm="1">
        <f t="array" ref="Y193">INDEX(GMW!$A$2:$LR$60,MATCH(1,(GMW!$LQ$2:$LQ$60=Y$3)*(GMW!$LP$2:$LP$60=Y$4)*(GMW!$LR$2:$LR$60=Y$1),0),$C193-1966)</f>
        <v>115.36669999999999</v>
      </c>
      <c r="Z193" s="4" cm="1">
        <f t="array" ref="Z193">INDEX(GMW!$A$2:$LR$60,MATCH(1,(GMW!$LQ$2:$LQ$60=Z$3)*(GMW!$LP$2:$LP$60=Z$4)*(GMW!$LR$2:$LR$60=Z$1),0),$C193-1966)</f>
        <v>108.0333</v>
      </c>
      <c r="AA193" s="4" cm="1">
        <f t="array" ref="AA193">INDEX(GMW!$A$2:$LR$60,MATCH(1,(GMW!$LQ$2:$LQ$60=AA$3)*(GMW!$LP$2:$LP$60=AA$4)*(GMW!$LR$2:$LR$60=AA$1),0),$C193-1966)</f>
        <v>345013</v>
      </c>
      <c r="AB193" s="4" cm="1">
        <f t="array" ref="AB193">INDEX(GMW!$A$2:$LR$60,MATCH(1,(GMW!$LQ$2:$LQ$60=AB$3)*(GMW!$LP$2:$LP$60=AB$4)*(GMW!$LR$2:$LR$60=AB$1),0),$C193-1966)</f>
        <v>102100</v>
      </c>
      <c r="AC193" s="4" cm="1">
        <f t="array" ref="AC193">INDEX(GMW!$A$2:$LR$60,MATCH(1,(GMW!$LQ$2:$LQ$60=AC$3)*(GMW!$LP$2:$LP$60=AC$4)*(GMW!$LR$2:$LR$60=AC$1),0),$C193-1966)</f>
        <v>106851</v>
      </c>
      <c r="AD193" s="4" cm="1">
        <f t="array" ref="AD193">INDEX(GMW!$A$2:$LR$60,MATCH(1,(GMW!$LQ$2:$LQ$60=AD$3)*(GMW!$LP$2:$LP$60=AD$4)*(GMW!$LR$2:$LR$60=AD$1),0),$C193-1966)</f>
        <v>179408</v>
      </c>
      <c r="AE193" s="4" cm="1">
        <f t="array" ref="AE193">INDEX(GMW!$A$2:$LR$60,MATCH(1,(GMW!$LQ$2:$LQ$60=AE$3)*(GMW!$LP$2:$LP$60=AE$4)*(GMW!$LR$2:$LR$60=AE$1),0),$C193-1966)</f>
        <v>182622</v>
      </c>
      <c r="AF193" s="4" cm="1">
        <f t="array" ref="AF193">INDEX(GMW!$A$2:$LR$60,MATCH(1,(GMW!$LQ$2:$LQ$60=AF$3)*(GMW!$LP$2:$LP$60=AF$4)*(GMW!$LR$2:$LR$60=AF$1),0),$C193-1966)</f>
        <v>0.50933790000000001</v>
      </c>
      <c r="AG193" s="4" cm="1">
        <f t="array" ref="AG193">INDEX(GMW!$A$2:$LR$60,MATCH(1,(GMW!$LQ$2:$LQ$60=AG$3)*(GMW!$LP$2:$LP$60=AG$4)*(GMW!$LR$2:$LR$60=AG$1),0),$C193-1966)</f>
        <v>0.48114400000000002</v>
      </c>
    </row>
    <row r="194" spans="1:33" x14ac:dyDescent="0.25">
      <c r="B194" s="4">
        <f t="shared" si="5"/>
        <v>2019</v>
      </c>
      <c r="C194" s="4">
        <f t="shared" si="6"/>
        <v>2160</v>
      </c>
      <c r="D194" s="4" cm="1">
        <f t="array" ref="D194">INDEX(GMW!$A$2:$LR$60,MATCH(1,(GMW!$LQ$2:$LQ$60=D$3)*(GMW!$LP$2:$LP$60=D$4)*(GMW!$LR$2:$LR$60=D$1),0),$C194-1966)</f>
        <v>560861</v>
      </c>
      <c r="E194" s="4" cm="1">
        <f t="array" ref="E194">INDEX(GMW!$A$2:$LR$60,MATCH(1,(GMW!$LQ$2:$LQ$60=E$3)*(GMW!$LP$2:$LP$60=E$4)*(GMW!$LR$2:$LR$60=E$1),0),$C194-1966)</f>
        <v>560861</v>
      </c>
      <c r="F194" s="4" cm="1">
        <f t="array" ref="F194">INDEX(GMW!$A$2:$LR$60,MATCH(1,(GMW!$LQ$2:$LQ$60=F$3)*(GMW!$LP$2:$LP$60=F$4)*(GMW!$LR$2:$LR$60=F$1),0),$C194-1966)</f>
        <v>560861</v>
      </c>
      <c r="G194" s="4" cm="1">
        <f t="array" ref="G194">INDEX(GMW!$A$2:$LR$60,MATCH(1,(GMW!$LQ$2:$LQ$60=G$3)*(GMW!$LP$2:$LP$60=G$4)*(GMW!$LR$2:$LR$60=G$1),0),$C194-1966)</f>
        <v>560861</v>
      </c>
      <c r="H194" s="4" cm="1">
        <f t="array" ref="H194">INDEX(GMW!$A$2:$LR$60,MATCH(1,(GMW!$LQ$2:$LQ$60=H$3)*(GMW!$LP$2:$LP$60=H$4)*(GMW!$LR$2:$LR$60=H$1),0),$C194-1966)</f>
        <v>560861</v>
      </c>
      <c r="I194" s="4" cm="1">
        <f t="array" ref="I194">INDEX(GMW!$A$2:$LR$60,MATCH(1,(GMW!$LQ$2:$LQ$60=I$3)*(GMW!$LP$2:$LP$60=I$4)*(GMW!$LR$2:$LR$60=I$1),0),$C194-1966)</f>
        <v>560861</v>
      </c>
      <c r="J194" s="4" cm="1">
        <f t="array" ref="J194">INDEX(GMW!$A$2:$LR$60,MATCH(1,(GMW!$LQ$2:$LQ$60=J$3)*(GMW!$LP$2:$LP$60=J$4)*(GMW!$LR$2:$LR$60=J$1),0),$C194-1966)</f>
        <v>560861</v>
      </c>
      <c r="K194" s="4" cm="1">
        <f t="array" ref="K194">INDEX(GMW!$A$2:$LR$60,MATCH(1,(GMW!$LQ$2:$LQ$60=K$3)*(GMW!$LP$2:$LP$60=K$4)*(GMW!$LR$2:$LR$60=K$1),0),$C194-1966)</f>
        <v>560861</v>
      </c>
      <c r="L194" s="4" cm="1">
        <f t="array" ref="L194">INDEX(GMW!$A$2:$LR$60,MATCH(1,(GMW!$LQ$2:$LQ$60=L$3)*(GMW!$LP$2:$LP$60=L$4)*(GMW!$LR$2:$LR$60=L$1),0),$C194-1966)</f>
        <v>560861</v>
      </c>
      <c r="M194" s="4" cm="1">
        <f t="array" ref="M194">INDEX(GMW!$A$2:$LR$60,MATCH(1,(GMW!$LQ$2:$LQ$60=M$3)*(GMW!$LP$2:$LP$60=M$4)*(GMW!$LR$2:$LR$60=M$1),0),$C194-1966)</f>
        <v>560861</v>
      </c>
      <c r="N194" s="4" cm="1">
        <f t="array" ref="N194">INDEX(GMW!$A$2:$LR$60,MATCH(1,(GMW!$LQ$2:$LQ$60=N$3)*(GMW!$LP$2:$LP$60=N$4)*(GMW!$LR$2:$LR$60=N$1),0),$C194-1966)</f>
        <v>560861</v>
      </c>
      <c r="O194" s="4" cm="1">
        <f t="array" ref="O194">INDEX(GMW!$A$2:$LR$60,MATCH(1,(GMW!$LQ$2:$LQ$60=O$3)*(GMW!$LP$2:$LP$60=O$4)*(GMW!$LR$2:$LR$60=O$1),0),$C194-1966)</f>
        <v>560861</v>
      </c>
      <c r="P194" s="4" cm="1">
        <f t="array" ref="P194">INDEX(GMW!$A$2:$LR$60,MATCH(1,(GMW!$LQ$2:$LQ$60=P$3)*(GMW!$LP$2:$LP$60=P$4)*(GMW!$LR$2:$LR$60=P$1),0),$C194-1966)</f>
        <v>560861</v>
      </c>
      <c r="Q194" s="4" cm="1">
        <f t="array" ref="Q194">INDEX(GMW!$A$2:$LR$60,MATCH(1,(GMW!$LQ$2:$LQ$60=Q$3)*(GMW!$LP$2:$LP$60=Q$4)*(GMW!$LR$2:$LR$60=Q$1),0),$C194-1966)</f>
        <v>560861</v>
      </c>
      <c r="R194" s="4" cm="1">
        <f t="array" ref="R194">INDEX(GMW!$A$2:$LR$60,MATCH(1,(GMW!$LQ$2:$LQ$60=R$3)*(GMW!$LP$2:$LP$60=R$4)*(GMW!$LR$2:$LR$60=R$1),0),$C194-1966)</f>
        <v>560861</v>
      </c>
      <c r="S194" s="4" cm="1">
        <f t="array" ref="S194">INDEX(GMW!$A$2:$LR$60,MATCH(1,(GMW!$LQ$2:$LQ$60=S$3)*(GMW!$LP$2:$LP$60=S$4)*(GMW!$LR$2:$LR$60=S$1),0),$C194-1966)</f>
        <v>560861</v>
      </c>
      <c r="T194" s="4" cm="1">
        <f t="array" ref="T194">INDEX(GMW!$A$2:$LR$60,MATCH(1,(GMW!$LQ$2:$LQ$60=T$3)*(GMW!$LP$2:$LP$60=T$4)*(GMW!$LR$2:$LR$60=T$1),0),$C194-1966)</f>
        <v>560861</v>
      </c>
      <c r="U194" s="4" cm="1">
        <f t="array" ref="U194">INDEX(GMW!$A$2:$LR$60,MATCH(1,(GMW!$LQ$2:$LQ$60=U$3)*(GMW!$LP$2:$LP$60=U$4)*(GMW!$LR$2:$LR$60=U$1),0),$C194-1966)</f>
        <v>542.33330000000001</v>
      </c>
      <c r="V194" s="4" cm="1">
        <f t="array" ref="V194">INDEX(GMW!$A$2:$LR$60,MATCH(1,(GMW!$LQ$2:$LQ$60=V$3)*(GMW!$LP$2:$LP$60=V$4)*(GMW!$LR$2:$LR$60=V$1),0),$C194-1966)</f>
        <v>108.4333</v>
      </c>
      <c r="W194" s="4" cm="1">
        <f t="array" ref="W194">INDEX(GMW!$A$2:$LR$60,MATCH(1,(GMW!$LQ$2:$LQ$60=W$3)*(GMW!$LP$2:$LP$60=W$4)*(GMW!$LR$2:$LR$60=W$1),0),$C194-1966)</f>
        <v>106.6</v>
      </c>
      <c r="X194" s="4" cm="1">
        <f t="array" ref="X194">INDEX(GMW!$A$2:$LR$60,MATCH(1,(GMW!$LQ$2:$LQ$60=X$3)*(GMW!$LP$2:$LP$60=X$4)*(GMW!$LR$2:$LR$60=X$1),0),$C194-1966)</f>
        <v>113.4</v>
      </c>
      <c r="Y194" s="4" cm="1">
        <f t="array" ref="Y194">INDEX(GMW!$A$2:$LR$60,MATCH(1,(GMW!$LQ$2:$LQ$60=Y$3)*(GMW!$LP$2:$LP$60=Y$4)*(GMW!$LR$2:$LR$60=Y$1),0),$C194-1966)</f>
        <v>110.3</v>
      </c>
      <c r="Z194" s="4" cm="1">
        <f t="array" ref="Z194">INDEX(GMW!$A$2:$LR$60,MATCH(1,(GMW!$LQ$2:$LQ$60=Z$3)*(GMW!$LP$2:$LP$60=Z$4)*(GMW!$LR$2:$LR$60=Z$1),0),$C194-1966)</f>
        <v>108.5333</v>
      </c>
      <c r="AA194" s="4" cm="1">
        <f t="array" ref="AA194">INDEX(GMW!$A$2:$LR$60,MATCH(1,(GMW!$LQ$2:$LQ$60=AA$3)*(GMW!$LP$2:$LP$60=AA$4)*(GMW!$LR$2:$LR$60=AA$1),0),$C194-1966)</f>
        <v>344255</v>
      </c>
      <c r="AB194" s="4" cm="1">
        <f t="array" ref="AB194">INDEX(GMW!$A$2:$LR$60,MATCH(1,(GMW!$LQ$2:$LQ$60=AB$3)*(GMW!$LP$2:$LP$60=AB$4)*(GMW!$LR$2:$LR$60=AB$1),0),$C194-1966)</f>
        <v>100943</v>
      </c>
      <c r="AC194" s="4" cm="1">
        <f t="array" ref="AC194">INDEX(GMW!$A$2:$LR$60,MATCH(1,(GMW!$LQ$2:$LQ$60=AC$3)*(GMW!$LP$2:$LP$60=AC$4)*(GMW!$LR$2:$LR$60=AC$1),0),$C194-1966)</f>
        <v>107338</v>
      </c>
      <c r="AD194" s="4" cm="1">
        <f t="array" ref="AD194">INDEX(GMW!$A$2:$LR$60,MATCH(1,(GMW!$LQ$2:$LQ$60=AD$3)*(GMW!$LP$2:$LP$60=AD$4)*(GMW!$LR$2:$LR$60=AD$1),0),$C194-1966)</f>
        <v>186358</v>
      </c>
      <c r="AE194" s="4" cm="1">
        <f t="array" ref="AE194">INDEX(GMW!$A$2:$LR$60,MATCH(1,(GMW!$LQ$2:$LQ$60=AE$3)*(GMW!$LP$2:$LP$60=AE$4)*(GMW!$LR$2:$LR$60=AE$1),0),$C194-1966)</f>
        <v>176907</v>
      </c>
      <c r="AF194" s="4" cm="1">
        <f t="array" ref="AF194">INDEX(GMW!$A$2:$LR$60,MATCH(1,(GMW!$LQ$2:$LQ$60=AF$3)*(GMW!$LP$2:$LP$60=AF$4)*(GMW!$LR$2:$LR$60=AF$1),0),$C194-1966)</f>
        <v>0.56899089999999997</v>
      </c>
      <c r="AG194" s="4" cm="1">
        <f t="array" ref="AG194">INDEX(GMW!$A$2:$LR$60,MATCH(1,(GMW!$LQ$2:$LQ$60=AG$3)*(GMW!$LP$2:$LP$60=AG$4)*(GMW!$LR$2:$LR$60=AG$1),0),$C194-1966)</f>
        <v>0.57794239999999997</v>
      </c>
    </row>
    <row r="195" spans="1:33" x14ac:dyDescent="0.25">
      <c r="A195" s="4">
        <v>2020</v>
      </c>
      <c r="B195" s="4">
        <f t="shared" si="5"/>
        <v>2020</v>
      </c>
      <c r="C195" s="4">
        <f t="shared" si="6"/>
        <v>2161</v>
      </c>
      <c r="D195" s="4" cm="1">
        <f t="array" ref="D195">INDEX(GMW!$A$2:$LR$60,MATCH(1,(GMW!$LQ$2:$LQ$60=D$3)*(GMW!$LP$2:$LP$60=D$4)*(GMW!$LR$2:$LR$60=D$1),0),$C195-1966)</f>
        <v>545597</v>
      </c>
      <c r="E195" s="4" cm="1">
        <f t="array" ref="E195">INDEX(GMW!$A$2:$LR$60,MATCH(1,(GMW!$LQ$2:$LQ$60=E$3)*(GMW!$LP$2:$LP$60=E$4)*(GMW!$LR$2:$LR$60=E$1),0),$C195-1966)</f>
        <v>545597</v>
      </c>
      <c r="F195" s="4" cm="1">
        <f t="array" ref="F195">INDEX(GMW!$A$2:$LR$60,MATCH(1,(GMW!$LQ$2:$LQ$60=F$3)*(GMW!$LP$2:$LP$60=F$4)*(GMW!$LR$2:$LR$60=F$1),0),$C195-1966)</f>
        <v>545597</v>
      </c>
      <c r="G195" s="4" cm="1">
        <f t="array" ref="G195">INDEX(GMW!$A$2:$LR$60,MATCH(1,(GMW!$LQ$2:$LQ$60=G$3)*(GMW!$LP$2:$LP$60=G$4)*(GMW!$LR$2:$LR$60=G$1),0),$C195-1966)</f>
        <v>545597</v>
      </c>
      <c r="H195" s="4" cm="1">
        <f t="array" ref="H195">INDEX(GMW!$A$2:$LR$60,MATCH(1,(GMW!$LQ$2:$LQ$60=H$3)*(GMW!$LP$2:$LP$60=H$4)*(GMW!$LR$2:$LR$60=H$1),0),$C195-1966)</f>
        <v>545597</v>
      </c>
      <c r="I195" s="4" cm="1">
        <f t="array" ref="I195">INDEX(GMW!$A$2:$LR$60,MATCH(1,(GMW!$LQ$2:$LQ$60=I$3)*(GMW!$LP$2:$LP$60=I$4)*(GMW!$LR$2:$LR$60=I$1),0),$C195-1966)</f>
        <v>545597</v>
      </c>
      <c r="J195" s="4" cm="1">
        <f t="array" ref="J195">INDEX(GMW!$A$2:$LR$60,MATCH(1,(GMW!$LQ$2:$LQ$60=J$3)*(GMW!$LP$2:$LP$60=J$4)*(GMW!$LR$2:$LR$60=J$1),0),$C195-1966)</f>
        <v>545597</v>
      </c>
      <c r="K195" s="4" cm="1">
        <f t="array" ref="K195">INDEX(GMW!$A$2:$LR$60,MATCH(1,(GMW!$LQ$2:$LQ$60=K$3)*(GMW!$LP$2:$LP$60=K$4)*(GMW!$LR$2:$LR$60=K$1),0),$C195-1966)</f>
        <v>545597</v>
      </c>
      <c r="L195" s="4" cm="1">
        <f t="array" ref="L195">INDEX(GMW!$A$2:$LR$60,MATCH(1,(GMW!$LQ$2:$LQ$60=L$3)*(GMW!$LP$2:$LP$60=L$4)*(GMW!$LR$2:$LR$60=L$1),0),$C195-1966)</f>
        <v>545597</v>
      </c>
      <c r="M195" s="4" cm="1">
        <f t="array" ref="M195">INDEX(GMW!$A$2:$LR$60,MATCH(1,(GMW!$LQ$2:$LQ$60=M$3)*(GMW!$LP$2:$LP$60=M$4)*(GMW!$LR$2:$LR$60=M$1),0),$C195-1966)</f>
        <v>545597</v>
      </c>
      <c r="N195" s="4" cm="1">
        <f t="array" ref="N195">INDEX(GMW!$A$2:$LR$60,MATCH(1,(GMW!$LQ$2:$LQ$60=N$3)*(GMW!$LP$2:$LP$60=N$4)*(GMW!$LR$2:$LR$60=N$1),0),$C195-1966)</f>
        <v>545597</v>
      </c>
      <c r="O195" s="4" cm="1">
        <f t="array" ref="O195">INDEX(GMW!$A$2:$LR$60,MATCH(1,(GMW!$LQ$2:$LQ$60=O$3)*(GMW!$LP$2:$LP$60=O$4)*(GMW!$LR$2:$LR$60=O$1),0),$C195-1966)</f>
        <v>545597</v>
      </c>
      <c r="P195" s="4" cm="1">
        <f t="array" ref="P195">INDEX(GMW!$A$2:$LR$60,MATCH(1,(GMW!$LQ$2:$LQ$60=P$3)*(GMW!$LP$2:$LP$60=P$4)*(GMW!$LR$2:$LR$60=P$1),0),$C195-1966)</f>
        <v>545597</v>
      </c>
      <c r="Q195" s="4" cm="1">
        <f t="array" ref="Q195">INDEX(GMW!$A$2:$LR$60,MATCH(1,(GMW!$LQ$2:$LQ$60=Q$3)*(GMW!$LP$2:$LP$60=Q$4)*(GMW!$LR$2:$LR$60=Q$1),0),$C195-1966)</f>
        <v>545597</v>
      </c>
      <c r="R195" s="4" cm="1">
        <f t="array" ref="R195">INDEX(GMW!$A$2:$LR$60,MATCH(1,(GMW!$LQ$2:$LQ$60=R$3)*(GMW!$LP$2:$LP$60=R$4)*(GMW!$LR$2:$LR$60=R$1),0),$C195-1966)</f>
        <v>545597</v>
      </c>
      <c r="S195" s="4" cm="1">
        <f t="array" ref="S195">INDEX(GMW!$A$2:$LR$60,MATCH(1,(GMW!$LQ$2:$LQ$60=S$3)*(GMW!$LP$2:$LP$60=S$4)*(GMW!$LR$2:$LR$60=S$1),0),$C195-1966)</f>
        <v>545597</v>
      </c>
      <c r="T195" s="4" cm="1">
        <f t="array" ref="T195">INDEX(GMW!$A$2:$LR$60,MATCH(1,(GMW!$LQ$2:$LQ$60=T$3)*(GMW!$LP$2:$LP$60=T$4)*(GMW!$LR$2:$LR$60=T$1),0),$C195-1966)</f>
        <v>545597</v>
      </c>
      <c r="U195" s="4" cm="1">
        <f t="array" ref="U195">INDEX(GMW!$A$2:$LR$60,MATCH(1,(GMW!$LQ$2:$LQ$60=U$3)*(GMW!$LP$2:$LP$60=U$4)*(GMW!$LR$2:$LR$60=U$1),0),$C195-1966)</f>
        <v>540.33330000000001</v>
      </c>
      <c r="V195" s="4" cm="1">
        <f t="array" ref="V195">INDEX(GMW!$A$2:$LR$60,MATCH(1,(GMW!$LQ$2:$LQ$60=V$3)*(GMW!$LP$2:$LP$60=V$4)*(GMW!$LR$2:$LR$60=V$1),0),$C195-1966)</f>
        <v>108.4667</v>
      </c>
      <c r="W195" s="4" cm="1">
        <f t="array" ref="W195">INDEX(GMW!$A$2:$LR$60,MATCH(1,(GMW!$LQ$2:$LQ$60=W$3)*(GMW!$LP$2:$LP$60=W$4)*(GMW!$LR$2:$LR$60=W$1),0),$C195-1966)</f>
        <v>107.5667</v>
      </c>
      <c r="X195" s="4" cm="1">
        <f t="array" ref="X195">INDEX(GMW!$A$2:$LR$60,MATCH(1,(GMW!$LQ$2:$LQ$60=X$3)*(GMW!$LP$2:$LP$60=X$4)*(GMW!$LR$2:$LR$60=X$1),0),$C195-1966)</f>
        <v>111.7333</v>
      </c>
      <c r="Y195" s="4" cm="1">
        <f t="array" ref="Y195">INDEX(GMW!$A$2:$LR$60,MATCH(1,(GMW!$LQ$2:$LQ$60=Y$3)*(GMW!$LP$2:$LP$60=Y$4)*(GMW!$LR$2:$LR$60=Y$1),0),$C195-1966)</f>
        <v>109.9667</v>
      </c>
      <c r="Z195" s="4" cm="1">
        <f t="array" ref="Z195">INDEX(GMW!$A$2:$LR$60,MATCH(1,(GMW!$LQ$2:$LQ$60=Z$3)*(GMW!$LP$2:$LP$60=Z$4)*(GMW!$LR$2:$LR$60=Z$1),0),$C195-1966)</f>
        <v>108.4667</v>
      </c>
      <c r="AA195" s="4" cm="1">
        <f t="array" ref="AA195">INDEX(GMW!$A$2:$LR$60,MATCH(1,(GMW!$LQ$2:$LQ$60=AA$3)*(GMW!$LP$2:$LP$60=AA$4)*(GMW!$LR$2:$LR$60=AA$1),0),$C195-1966)</f>
        <v>334308</v>
      </c>
      <c r="AB195" s="4" cm="1">
        <f t="array" ref="AB195">INDEX(GMW!$A$2:$LR$60,MATCH(1,(GMW!$LQ$2:$LQ$60=AB$3)*(GMW!$LP$2:$LP$60=AB$4)*(GMW!$LR$2:$LR$60=AB$1),0),$C195-1966)</f>
        <v>97191</v>
      </c>
      <c r="AC195" s="4" cm="1">
        <f t="array" ref="AC195">INDEX(GMW!$A$2:$LR$60,MATCH(1,(GMW!$LQ$2:$LQ$60=AC$3)*(GMW!$LP$2:$LP$60=AC$4)*(GMW!$LR$2:$LR$60=AC$1),0),$C195-1966)</f>
        <v>103574</v>
      </c>
      <c r="AD195" s="4" cm="1">
        <f t="array" ref="AD195">INDEX(GMW!$A$2:$LR$60,MATCH(1,(GMW!$LQ$2:$LQ$60=AD$3)*(GMW!$LP$2:$LP$60=AD$4)*(GMW!$LR$2:$LR$60=AD$1),0),$C195-1966)</f>
        <v>170317</v>
      </c>
      <c r="AE195" s="4" cm="1">
        <f t="array" ref="AE195">INDEX(GMW!$A$2:$LR$60,MATCH(1,(GMW!$LQ$2:$LQ$60=AE$3)*(GMW!$LP$2:$LP$60=AE$4)*(GMW!$LR$2:$LR$60=AE$1),0),$C195-1966)</f>
        <v>169730</v>
      </c>
      <c r="AF195" s="4" cm="1">
        <f t="array" ref="AF195">INDEX(GMW!$A$2:$LR$60,MATCH(1,(GMW!$LQ$2:$LQ$60=AF$3)*(GMW!$LP$2:$LP$60=AF$4)*(GMW!$LR$2:$LR$60=AF$1),0),$C195-1966)</f>
        <v>0.40063850000000001</v>
      </c>
      <c r="AG195" s="4" cm="1">
        <f t="array" ref="AG195">INDEX(GMW!$A$2:$LR$60,MATCH(1,(GMW!$LQ$2:$LQ$60=AG$3)*(GMW!$LP$2:$LP$60=AG$4)*(GMW!$LR$2:$LR$60=AG$1),0),$C195-1966)</f>
        <v>0.43880459999999999</v>
      </c>
    </row>
    <row r="196" spans="1:33" x14ac:dyDescent="0.25">
      <c r="B196" s="4">
        <f t="shared" si="5"/>
        <v>2020</v>
      </c>
      <c r="C196" s="4">
        <f t="shared" si="6"/>
        <v>2162</v>
      </c>
      <c r="D196" s="4" cm="1">
        <f t="array" ref="D196">INDEX(GMW!$A$2:$LR$60,MATCH(1,(GMW!$LQ$2:$LQ$60=D$3)*(GMW!$LP$2:$LP$60=D$4)*(GMW!$LR$2:$LR$60=D$1),0),$C196-1966)</f>
        <v>434718</v>
      </c>
      <c r="E196" s="4" cm="1">
        <f t="array" ref="E196">INDEX(GMW!$A$2:$LR$60,MATCH(1,(GMW!$LQ$2:$LQ$60=E$3)*(GMW!$LP$2:$LP$60=E$4)*(GMW!$LR$2:$LR$60=E$1),0),$C196-1966)</f>
        <v>434718</v>
      </c>
      <c r="F196" s="4" cm="1">
        <f t="array" ref="F196">INDEX(GMW!$A$2:$LR$60,MATCH(1,(GMW!$LQ$2:$LQ$60=F$3)*(GMW!$LP$2:$LP$60=F$4)*(GMW!$LR$2:$LR$60=F$1),0),$C196-1966)</f>
        <v>434718</v>
      </c>
      <c r="G196" s="4" cm="1">
        <f t="array" ref="G196">INDEX(GMW!$A$2:$LR$60,MATCH(1,(GMW!$LQ$2:$LQ$60=G$3)*(GMW!$LP$2:$LP$60=G$4)*(GMW!$LR$2:$LR$60=G$1),0),$C196-1966)</f>
        <v>434718</v>
      </c>
      <c r="H196" s="4" cm="1">
        <f t="array" ref="H196">INDEX(GMW!$A$2:$LR$60,MATCH(1,(GMW!$LQ$2:$LQ$60=H$3)*(GMW!$LP$2:$LP$60=H$4)*(GMW!$LR$2:$LR$60=H$1),0),$C196-1966)</f>
        <v>434718</v>
      </c>
      <c r="I196" s="4" cm="1">
        <f t="array" ref="I196">INDEX(GMW!$A$2:$LR$60,MATCH(1,(GMW!$LQ$2:$LQ$60=I$3)*(GMW!$LP$2:$LP$60=I$4)*(GMW!$LR$2:$LR$60=I$1),0),$C196-1966)</f>
        <v>434718</v>
      </c>
      <c r="J196" s="4" cm="1">
        <f t="array" ref="J196">INDEX(GMW!$A$2:$LR$60,MATCH(1,(GMW!$LQ$2:$LQ$60=J$3)*(GMW!$LP$2:$LP$60=J$4)*(GMW!$LR$2:$LR$60=J$1),0),$C196-1966)</f>
        <v>434718</v>
      </c>
      <c r="K196" s="4" cm="1">
        <f t="array" ref="K196">INDEX(GMW!$A$2:$LR$60,MATCH(1,(GMW!$LQ$2:$LQ$60=K$3)*(GMW!$LP$2:$LP$60=K$4)*(GMW!$LR$2:$LR$60=K$1),0),$C196-1966)</f>
        <v>434718</v>
      </c>
      <c r="L196" s="4" cm="1">
        <f t="array" ref="L196">INDEX(GMW!$A$2:$LR$60,MATCH(1,(GMW!$LQ$2:$LQ$60=L$3)*(GMW!$LP$2:$LP$60=L$4)*(GMW!$LR$2:$LR$60=L$1),0),$C196-1966)</f>
        <v>434718</v>
      </c>
      <c r="M196" s="4" cm="1">
        <f t="array" ref="M196">INDEX(GMW!$A$2:$LR$60,MATCH(1,(GMW!$LQ$2:$LQ$60=M$3)*(GMW!$LP$2:$LP$60=M$4)*(GMW!$LR$2:$LR$60=M$1),0),$C196-1966)</f>
        <v>434718</v>
      </c>
      <c r="N196" s="4" cm="1">
        <f t="array" ref="N196">INDEX(GMW!$A$2:$LR$60,MATCH(1,(GMW!$LQ$2:$LQ$60=N$3)*(GMW!$LP$2:$LP$60=N$4)*(GMW!$LR$2:$LR$60=N$1),0),$C196-1966)</f>
        <v>434718</v>
      </c>
      <c r="O196" s="4" cm="1">
        <f t="array" ref="O196">INDEX(GMW!$A$2:$LR$60,MATCH(1,(GMW!$LQ$2:$LQ$60=O$3)*(GMW!$LP$2:$LP$60=O$4)*(GMW!$LR$2:$LR$60=O$1),0),$C196-1966)</f>
        <v>434718</v>
      </c>
      <c r="P196" s="4" cm="1">
        <f t="array" ref="P196">INDEX(GMW!$A$2:$LR$60,MATCH(1,(GMW!$LQ$2:$LQ$60=P$3)*(GMW!$LP$2:$LP$60=P$4)*(GMW!$LR$2:$LR$60=P$1),0),$C196-1966)</f>
        <v>434718</v>
      </c>
      <c r="Q196" s="4" cm="1">
        <f t="array" ref="Q196">INDEX(GMW!$A$2:$LR$60,MATCH(1,(GMW!$LQ$2:$LQ$60=Q$3)*(GMW!$LP$2:$LP$60=Q$4)*(GMW!$LR$2:$LR$60=Q$1),0),$C196-1966)</f>
        <v>434718</v>
      </c>
      <c r="R196" s="4" cm="1">
        <f t="array" ref="R196">INDEX(GMW!$A$2:$LR$60,MATCH(1,(GMW!$LQ$2:$LQ$60=R$3)*(GMW!$LP$2:$LP$60=R$4)*(GMW!$LR$2:$LR$60=R$1),0),$C196-1966)</f>
        <v>434718</v>
      </c>
      <c r="S196" s="4" cm="1">
        <f t="array" ref="S196">INDEX(GMW!$A$2:$LR$60,MATCH(1,(GMW!$LQ$2:$LQ$60=S$3)*(GMW!$LP$2:$LP$60=S$4)*(GMW!$LR$2:$LR$60=S$1),0),$C196-1966)</f>
        <v>434718</v>
      </c>
      <c r="T196" s="4" cm="1">
        <f t="array" ref="T196">INDEX(GMW!$A$2:$LR$60,MATCH(1,(GMW!$LQ$2:$LQ$60=T$3)*(GMW!$LP$2:$LP$60=T$4)*(GMW!$LR$2:$LR$60=T$1),0),$C196-1966)</f>
        <v>434718</v>
      </c>
      <c r="U196" s="4" cm="1">
        <f t="array" ref="U196">INDEX(GMW!$A$2:$LR$60,MATCH(1,(GMW!$LQ$2:$LQ$60=U$3)*(GMW!$LP$2:$LP$60=U$4)*(GMW!$LR$2:$LR$60=U$1),0),$C196-1966)</f>
        <v>531</v>
      </c>
      <c r="V196" s="4" cm="1">
        <f t="array" ref="V196">INDEX(GMW!$A$2:$LR$60,MATCH(1,(GMW!$LQ$2:$LQ$60=V$3)*(GMW!$LP$2:$LP$60=V$4)*(GMW!$LR$2:$LR$60=V$1),0),$C196-1966)</f>
        <v>108.5333</v>
      </c>
      <c r="W196" s="4" cm="1">
        <f t="array" ref="W196">INDEX(GMW!$A$2:$LR$60,MATCH(1,(GMW!$LQ$2:$LQ$60=W$3)*(GMW!$LP$2:$LP$60=W$4)*(GMW!$LR$2:$LR$60=W$1),0),$C196-1966)</f>
        <v>107.9667</v>
      </c>
      <c r="X196" s="4" cm="1">
        <f t="array" ref="X196">INDEX(GMW!$A$2:$LR$60,MATCH(1,(GMW!$LQ$2:$LQ$60=X$3)*(GMW!$LP$2:$LP$60=X$4)*(GMW!$LR$2:$LR$60=X$1),0),$C196-1966)</f>
        <v>97.9</v>
      </c>
      <c r="Y196" s="4" cm="1">
        <f t="array" ref="Y196">INDEX(GMW!$A$2:$LR$60,MATCH(1,(GMW!$LQ$2:$LQ$60=Y$3)*(GMW!$LP$2:$LP$60=Y$4)*(GMW!$LR$2:$LR$60=Y$1),0),$C196-1966)</f>
        <v>107.5333</v>
      </c>
      <c r="Z196" s="4" cm="1">
        <f t="array" ref="Z196">INDEX(GMW!$A$2:$LR$60,MATCH(1,(GMW!$LQ$2:$LQ$60=Z$3)*(GMW!$LP$2:$LP$60=Z$4)*(GMW!$LR$2:$LR$60=Z$1),0),$C196-1966)</f>
        <v>109.0333</v>
      </c>
      <c r="AA196" s="4" cm="1">
        <f t="array" ref="AA196">INDEX(GMW!$A$2:$LR$60,MATCH(1,(GMW!$LQ$2:$LQ$60=AA$3)*(GMW!$LP$2:$LP$60=AA$4)*(GMW!$LR$2:$LR$60=AA$1),0),$C196-1966)</f>
        <v>256744</v>
      </c>
      <c r="AB196" s="4" cm="1">
        <f t="array" ref="AB196">INDEX(GMW!$A$2:$LR$60,MATCH(1,(GMW!$LQ$2:$LQ$60=AB$3)*(GMW!$LP$2:$LP$60=AB$4)*(GMW!$LR$2:$LR$60=AB$1),0),$C196-1966)</f>
        <v>78563</v>
      </c>
      <c r="AC196" s="4" cm="1">
        <f t="array" ref="AC196">INDEX(GMW!$A$2:$LR$60,MATCH(1,(GMW!$LQ$2:$LQ$60=AC$3)*(GMW!$LP$2:$LP$60=AC$4)*(GMW!$LR$2:$LR$60=AC$1),0),$C196-1966)</f>
        <v>84624</v>
      </c>
      <c r="AD196" s="4" cm="1">
        <f t="array" ref="AD196">INDEX(GMW!$A$2:$LR$60,MATCH(1,(GMW!$LQ$2:$LQ$60=AD$3)*(GMW!$LP$2:$LP$60=AD$4)*(GMW!$LR$2:$LR$60=AD$1),0),$C196-1966)</f>
        <v>148831</v>
      </c>
      <c r="AE196" s="4" cm="1">
        <f t="array" ref="AE196">INDEX(GMW!$A$2:$LR$60,MATCH(1,(GMW!$LQ$2:$LQ$60=AE$3)*(GMW!$LP$2:$LP$60=AE$4)*(GMW!$LR$2:$LR$60=AE$1),0),$C196-1966)</f>
        <v>127475</v>
      </c>
      <c r="AF196" s="4" cm="1">
        <f t="array" ref="AF196">INDEX(GMW!$A$2:$LR$60,MATCH(1,(GMW!$LQ$2:$LQ$60=AF$3)*(GMW!$LP$2:$LP$60=AF$4)*(GMW!$LR$2:$LR$60=AF$1),0),$C196-1966)</f>
        <v>4.8140000000000002E-2</v>
      </c>
      <c r="AG196" s="4" cm="1">
        <f t="array" ref="AG196">INDEX(GMW!$A$2:$LR$60,MATCH(1,(GMW!$LQ$2:$LQ$60=AG$3)*(GMW!$LP$2:$LP$60=AG$4)*(GMW!$LR$2:$LR$60=AG$1),0),$C196-1966)</f>
        <v>0.1120569</v>
      </c>
    </row>
    <row r="197" spans="1:33" x14ac:dyDescent="0.25">
      <c r="B197" s="4">
        <f t="shared" si="5"/>
        <v>2020</v>
      </c>
      <c r="C197" s="4">
        <f t="shared" si="6"/>
        <v>2163</v>
      </c>
      <c r="D197" s="4" cm="1">
        <f t="array" ref="D197">INDEX(GMW!$A$2:$LR$60,MATCH(1,(GMW!$LQ$2:$LQ$60=D$3)*(GMW!$LP$2:$LP$60=D$4)*(GMW!$LR$2:$LR$60=D$1),0),$C197-1966)</f>
        <v>507643</v>
      </c>
      <c r="E197" s="4" cm="1">
        <f t="array" ref="E197">INDEX(GMW!$A$2:$LR$60,MATCH(1,(GMW!$LQ$2:$LQ$60=E$3)*(GMW!$LP$2:$LP$60=E$4)*(GMW!$LR$2:$LR$60=E$1),0),$C197-1966)</f>
        <v>507643</v>
      </c>
      <c r="F197" s="4" cm="1">
        <f t="array" ref="F197">INDEX(GMW!$A$2:$LR$60,MATCH(1,(GMW!$LQ$2:$LQ$60=F$3)*(GMW!$LP$2:$LP$60=F$4)*(GMW!$LR$2:$LR$60=F$1),0),$C197-1966)</f>
        <v>507643</v>
      </c>
      <c r="G197" s="4" cm="1">
        <f t="array" ref="G197">INDEX(GMW!$A$2:$LR$60,MATCH(1,(GMW!$LQ$2:$LQ$60=G$3)*(GMW!$LP$2:$LP$60=G$4)*(GMW!$LR$2:$LR$60=G$1),0),$C197-1966)</f>
        <v>507643</v>
      </c>
      <c r="H197" s="4" cm="1">
        <f t="array" ref="H197">INDEX(GMW!$A$2:$LR$60,MATCH(1,(GMW!$LQ$2:$LQ$60=H$3)*(GMW!$LP$2:$LP$60=H$4)*(GMW!$LR$2:$LR$60=H$1),0),$C197-1966)</f>
        <v>507643</v>
      </c>
      <c r="I197" s="4" cm="1">
        <f t="array" ref="I197">INDEX(GMW!$A$2:$LR$60,MATCH(1,(GMW!$LQ$2:$LQ$60=I$3)*(GMW!$LP$2:$LP$60=I$4)*(GMW!$LR$2:$LR$60=I$1),0),$C197-1966)</f>
        <v>507643</v>
      </c>
      <c r="J197" s="4" cm="1">
        <f t="array" ref="J197">INDEX(GMW!$A$2:$LR$60,MATCH(1,(GMW!$LQ$2:$LQ$60=J$3)*(GMW!$LP$2:$LP$60=J$4)*(GMW!$LR$2:$LR$60=J$1),0),$C197-1966)</f>
        <v>507643</v>
      </c>
      <c r="K197" s="4" cm="1">
        <f t="array" ref="K197">INDEX(GMW!$A$2:$LR$60,MATCH(1,(GMW!$LQ$2:$LQ$60=K$3)*(GMW!$LP$2:$LP$60=K$4)*(GMW!$LR$2:$LR$60=K$1),0),$C197-1966)</f>
        <v>507643</v>
      </c>
      <c r="L197" s="4" cm="1">
        <f t="array" ref="L197">INDEX(GMW!$A$2:$LR$60,MATCH(1,(GMW!$LQ$2:$LQ$60=L$3)*(GMW!$LP$2:$LP$60=L$4)*(GMW!$LR$2:$LR$60=L$1),0),$C197-1966)</f>
        <v>507643</v>
      </c>
      <c r="M197" s="4" cm="1">
        <f t="array" ref="M197">INDEX(GMW!$A$2:$LR$60,MATCH(1,(GMW!$LQ$2:$LQ$60=M$3)*(GMW!$LP$2:$LP$60=M$4)*(GMW!$LR$2:$LR$60=M$1),0),$C197-1966)</f>
        <v>507643</v>
      </c>
      <c r="N197" s="4" cm="1">
        <f t="array" ref="N197">INDEX(GMW!$A$2:$LR$60,MATCH(1,(GMW!$LQ$2:$LQ$60=N$3)*(GMW!$LP$2:$LP$60=N$4)*(GMW!$LR$2:$LR$60=N$1),0),$C197-1966)</f>
        <v>507643</v>
      </c>
      <c r="O197" s="4" cm="1">
        <f t="array" ref="O197">INDEX(GMW!$A$2:$LR$60,MATCH(1,(GMW!$LQ$2:$LQ$60=O$3)*(GMW!$LP$2:$LP$60=O$4)*(GMW!$LR$2:$LR$60=O$1),0),$C197-1966)</f>
        <v>507643</v>
      </c>
      <c r="P197" s="4" cm="1">
        <f t="array" ref="P197">INDEX(GMW!$A$2:$LR$60,MATCH(1,(GMW!$LQ$2:$LQ$60=P$3)*(GMW!$LP$2:$LP$60=P$4)*(GMW!$LR$2:$LR$60=P$1),0),$C197-1966)</f>
        <v>507643</v>
      </c>
      <c r="Q197" s="4" cm="1">
        <f t="array" ref="Q197">INDEX(GMW!$A$2:$LR$60,MATCH(1,(GMW!$LQ$2:$LQ$60=Q$3)*(GMW!$LP$2:$LP$60=Q$4)*(GMW!$LR$2:$LR$60=Q$1),0),$C197-1966)</f>
        <v>507643</v>
      </c>
      <c r="R197" s="4" cm="1">
        <f t="array" ref="R197">INDEX(GMW!$A$2:$LR$60,MATCH(1,(GMW!$LQ$2:$LQ$60=R$3)*(GMW!$LP$2:$LP$60=R$4)*(GMW!$LR$2:$LR$60=R$1),0),$C197-1966)</f>
        <v>507643</v>
      </c>
      <c r="S197" s="4" cm="1">
        <f t="array" ref="S197">INDEX(GMW!$A$2:$LR$60,MATCH(1,(GMW!$LQ$2:$LQ$60=S$3)*(GMW!$LP$2:$LP$60=S$4)*(GMW!$LR$2:$LR$60=S$1),0),$C197-1966)</f>
        <v>507643</v>
      </c>
      <c r="T197" s="4" cm="1">
        <f t="array" ref="T197">INDEX(GMW!$A$2:$LR$60,MATCH(1,(GMW!$LQ$2:$LQ$60=T$3)*(GMW!$LP$2:$LP$60=T$4)*(GMW!$LR$2:$LR$60=T$1),0),$C197-1966)</f>
        <v>507643</v>
      </c>
      <c r="U197" s="4" cm="1">
        <f t="array" ref="U197">INDEX(GMW!$A$2:$LR$60,MATCH(1,(GMW!$LQ$2:$LQ$60=U$3)*(GMW!$LP$2:$LP$60=U$4)*(GMW!$LR$2:$LR$60=U$1),0),$C197-1966)</f>
        <v>550.33330000000001</v>
      </c>
      <c r="V197" s="4" cm="1">
        <f t="array" ref="V197">INDEX(GMW!$A$2:$LR$60,MATCH(1,(GMW!$LQ$2:$LQ$60=V$3)*(GMW!$LP$2:$LP$60=V$4)*(GMW!$LR$2:$LR$60=V$1),0),$C197-1966)</f>
        <v>108.9333</v>
      </c>
      <c r="W197" s="4" cm="1">
        <f t="array" ref="W197">INDEX(GMW!$A$2:$LR$60,MATCH(1,(GMW!$LQ$2:$LQ$60=W$3)*(GMW!$LP$2:$LP$60=W$4)*(GMW!$LR$2:$LR$60=W$1),0),$C197-1966)</f>
        <v>107.4667</v>
      </c>
      <c r="X197" s="4" cm="1">
        <f t="array" ref="X197">INDEX(GMW!$A$2:$LR$60,MATCH(1,(GMW!$LQ$2:$LQ$60=X$3)*(GMW!$LP$2:$LP$60=X$4)*(GMW!$LR$2:$LR$60=X$1),0),$C197-1966)</f>
        <v>102.0667</v>
      </c>
      <c r="Y197" s="4" cm="1">
        <f t="array" ref="Y197">INDEX(GMW!$A$2:$LR$60,MATCH(1,(GMW!$LQ$2:$LQ$60=Y$3)*(GMW!$LP$2:$LP$60=Y$4)*(GMW!$LR$2:$LR$60=Y$1),0),$C197-1966)</f>
        <v>107.63330000000001</v>
      </c>
      <c r="Z197" s="4" cm="1">
        <f t="array" ref="Z197">INDEX(GMW!$A$2:$LR$60,MATCH(1,(GMW!$LQ$2:$LQ$60=Z$3)*(GMW!$LP$2:$LP$60=Z$4)*(GMW!$LR$2:$LR$60=Z$1),0),$C197-1966)</f>
        <v>109.4667</v>
      </c>
      <c r="AA197" s="4" cm="1">
        <f t="array" ref="AA197">INDEX(GMW!$A$2:$LR$60,MATCH(1,(GMW!$LQ$2:$LQ$60=AA$3)*(GMW!$LP$2:$LP$60=AA$4)*(GMW!$LR$2:$LR$60=AA$1),0),$C197-1966)</f>
        <v>307192</v>
      </c>
      <c r="AB197" s="4" cm="1">
        <f t="array" ref="AB197">INDEX(GMW!$A$2:$LR$60,MATCH(1,(GMW!$LQ$2:$LQ$60=AB$3)*(GMW!$LP$2:$LP$60=AB$4)*(GMW!$LR$2:$LR$60=AB$1),0),$C197-1966)</f>
        <v>90756</v>
      </c>
      <c r="AC197" s="4" cm="1">
        <f t="array" ref="AC197">INDEX(GMW!$A$2:$LR$60,MATCH(1,(GMW!$LQ$2:$LQ$60=AC$3)*(GMW!$LP$2:$LP$60=AC$4)*(GMW!$LR$2:$LR$60=AC$1),0),$C197-1966)</f>
        <v>99934</v>
      </c>
      <c r="AD197" s="4" cm="1">
        <f t="array" ref="AD197">INDEX(GMW!$A$2:$LR$60,MATCH(1,(GMW!$LQ$2:$LQ$60=AD$3)*(GMW!$LP$2:$LP$60=AD$4)*(GMW!$LR$2:$LR$60=AD$1),0),$C197-1966)</f>
        <v>148901</v>
      </c>
      <c r="AE197" s="4" cm="1">
        <f t="array" ref="AE197">INDEX(GMW!$A$2:$LR$60,MATCH(1,(GMW!$LQ$2:$LQ$60=AE$3)*(GMW!$LP$2:$LP$60=AE$4)*(GMW!$LR$2:$LR$60=AE$1),0),$C197-1966)</f>
        <v>150369</v>
      </c>
      <c r="AF197" s="4" cm="1">
        <f t="array" ref="AF197">INDEX(GMW!$A$2:$LR$60,MATCH(1,(GMW!$LQ$2:$LQ$60=AF$3)*(GMW!$LP$2:$LP$60=AF$4)*(GMW!$LR$2:$LR$60=AF$1),0),$C197-1966)</f>
        <v>-4.6777300000000001E-2</v>
      </c>
      <c r="AG197" s="4" cm="1">
        <f t="array" ref="AG197">INDEX(GMW!$A$2:$LR$60,MATCH(1,(GMW!$LQ$2:$LQ$60=AG$3)*(GMW!$LP$2:$LP$60=AG$4)*(GMW!$LR$2:$LR$60=AG$1),0),$C197-1966)</f>
        <v>-2.2577300000000002E-2</v>
      </c>
    </row>
    <row r="198" spans="1:33" x14ac:dyDescent="0.25">
      <c r="B198" s="4">
        <f t="shared" si="5"/>
        <v>2020</v>
      </c>
      <c r="C198" s="4">
        <f t="shared" si="6"/>
        <v>2164</v>
      </c>
      <c r="D198" s="4" cm="1">
        <f t="array" ref="D198">INDEX(GMW!$A$2:$LR$60,MATCH(1,(GMW!$LQ$2:$LQ$60=D$3)*(GMW!$LP$2:$LP$60=D$4)*(GMW!$LR$2:$LR$60=D$1),0),$C198-1966)</f>
        <v>514531</v>
      </c>
      <c r="E198" s="4" cm="1">
        <f t="array" ref="E198">INDEX(GMW!$A$2:$LR$60,MATCH(1,(GMW!$LQ$2:$LQ$60=E$3)*(GMW!$LP$2:$LP$60=E$4)*(GMW!$LR$2:$LR$60=E$1),0),$C198-1966)</f>
        <v>514531</v>
      </c>
      <c r="F198" s="4" cm="1">
        <f t="array" ref="F198">INDEX(GMW!$A$2:$LR$60,MATCH(1,(GMW!$LQ$2:$LQ$60=F$3)*(GMW!$LP$2:$LP$60=F$4)*(GMW!$LR$2:$LR$60=F$1),0),$C198-1966)</f>
        <v>514531</v>
      </c>
      <c r="G198" s="4" cm="1">
        <f t="array" ref="G198">INDEX(GMW!$A$2:$LR$60,MATCH(1,(GMW!$LQ$2:$LQ$60=G$3)*(GMW!$LP$2:$LP$60=G$4)*(GMW!$LR$2:$LR$60=G$1),0),$C198-1966)</f>
        <v>514531</v>
      </c>
      <c r="H198" s="4" cm="1">
        <f t="array" ref="H198">INDEX(GMW!$A$2:$LR$60,MATCH(1,(GMW!$LQ$2:$LQ$60=H$3)*(GMW!$LP$2:$LP$60=H$4)*(GMW!$LR$2:$LR$60=H$1),0),$C198-1966)</f>
        <v>514531</v>
      </c>
      <c r="I198" s="4" cm="1">
        <f t="array" ref="I198">INDEX(GMW!$A$2:$LR$60,MATCH(1,(GMW!$LQ$2:$LQ$60=I$3)*(GMW!$LP$2:$LP$60=I$4)*(GMW!$LR$2:$LR$60=I$1),0),$C198-1966)</f>
        <v>514531</v>
      </c>
      <c r="J198" s="4" cm="1">
        <f t="array" ref="J198">INDEX(GMW!$A$2:$LR$60,MATCH(1,(GMW!$LQ$2:$LQ$60=J$3)*(GMW!$LP$2:$LP$60=J$4)*(GMW!$LR$2:$LR$60=J$1),0),$C198-1966)</f>
        <v>514531</v>
      </c>
      <c r="K198" s="4" cm="1">
        <f t="array" ref="K198">INDEX(GMW!$A$2:$LR$60,MATCH(1,(GMW!$LQ$2:$LQ$60=K$3)*(GMW!$LP$2:$LP$60=K$4)*(GMW!$LR$2:$LR$60=K$1),0),$C198-1966)</f>
        <v>514531</v>
      </c>
      <c r="L198" s="4" cm="1">
        <f t="array" ref="L198">INDEX(GMW!$A$2:$LR$60,MATCH(1,(GMW!$LQ$2:$LQ$60=L$3)*(GMW!$LP$2:$LP$60=L$4)*(GMW!$LR$2:$LR$60=L$1),0),$C198-1966)</f>
        <v>514531</v>
      </c>
      <c r="M198" s="4" cm="1">
        <f t="array" ref="M198">INDEX(GMW!$A$2:$LR$60,MATCH(1,(GMW!$LQ$2:$LQ$60=M$3)*(GMW!$LP$2:$LP$60=M$4)*(GMW!$LR$2:$LR$60=M$1),0),$C198-1966)</f>
        <v>514531</v>
      </c>
      <c r="N198" s="4" cm="1">
        <f t="array" ref="N198">INDEX(GMW!$A$2:$LR$60,MATCH(1,(GMW!$LQ$2:$LQ$60=N$3)*(GMW!$LP$2:$LP$60=N$4)*(GMW!$LR$2:$LR$60=N$1),0),$C198-1966)</f>
        <v>514531</v>
      </c>
      <c r="O198" s="4" cm="1">
        <f t="array" ref="O198">INDEX(GMW!$A$2:$LR$60,MATCH(1,(GMW!$LQ$2:$LQ$60=O$3)*(GMW!$LP$2:$LP$60=O$4)*(GMW!$LR$2:$LR$60=O$1),0),$C198-1966)</f>
        <v>514531</v>
      </c>
      <c r="P198" s="4" cm="1">
        <f t="array" ref="P198">INDEX(GMW!$A$2:$LR$60,MATCH(1,(GMW!$LQ$2:$LQ$60=P$3)*(GMW!$LP$2:$LP$60=P$4)*(GMW!$LR$2:$LR$60=P$1),0),$C198-1966)</f>
        <v>514531</v>
      </c>
      <c r="Q198" s="4" cm="1">
        <f t="array" ref="Q198">INDEX(GMW!$A$2:$LR$60,MATCH(1,(GMW!$LQ$2:$LQ$60=Q$3)*(GMW!$LP$2:$LP$60=Q$4)*(GMW!$LR$2:$LR$60=Q$1),0),$C198-1966)</f>
        <v>514531</v>
      </c>
      <c r="R198" s="4" cm="1">
        <f t="array" ref="R198">INDEX(GMW!$A$2:$LR$60,MATCH(1,(GMW!$LQ$2:$LQ$60=R$3)*(GMW!$LP$2:$LP$60=R$4)*(GMW!$LR$2:$LR$60=R$1),0),$C198-1966)</f>
        <v>514531</v>
      </c>
      <c r="S198" s="4" cm="1">
        <f t="array" ref="S198">INDEX(GMW!$A$2:$LR$60,MATCH(1,(GMW!$LQ$2:$LQ$60=S$3)*(GMW!$LP$2:$LP$60=S$4)*(GMW!$LR$2:$LR$60=S$1),0),$C198-1966)</f>
        <v>514531</v>
      </c>
      <c r="T198" s="4" cm="1">
        <f t="array" ref="T198">INDEX(GMW!$A$2:$LR$60,MATCH(1,(GMW!$LQ$2:$LQ$60=T$3)*(GMW!$LP$2:$LP$60=T$4)*(GMW!$LR$2:$LR$60=T$1),0),$C198-1966)</f>
        <v>514531</v>
      </c>
      <c r="U198" s="4" cm="1">
        <f t="array" ref="U198">INDEX(GMW!$A$2:$LR$60,MATCH(1,(GMW!$LQ$2:$LQ$60=U$3)*(GMW!$LP$2:$LP$60=U$4)*(GMW!$LR$2:$LR$60=U$1),0),$C198-1966)</f>
        <v>567</v>
      </c>
      <c r="V198" s="4" cm="1">
        <f t="array" ref="V198">INDEX(GMW!$A$2:$LR$60,MATCH(1,(GMW!$LQ$2:$LQ$60=V$3)*(GMW!$LP$2:$LP$60=V$4)*(GMW!$LR$2:$LR$60=V$1),0),$C198-1966)</f>
        <v>109.0667</v>
      </c>
      <c r="W198" s="4" cm="1">
        <f t="array" ref="W198">INDEX(GMW!$A$2:$LR$60,MATCH(1,(GMW!$LQ$2:$LQ$60=W$3)*(GMW!$LP$2:$LP$60=W$4)*(GMW!$LR$2:$LR$60=W$1),0),$C198-1966)</f>
        <v>107.0333</v>
      </c>
      <c r="X198" s="4" cm="1">
        <f t="array" ref="X198">INDEX(GMW!$A$2:$LR$60,MATCH(1,(GMW!$LQ$2:$LQ$60=X$3)*(GMW!$LP$2:$LP$60=X$4)*(GMW!$LR$2:$LR$60=X$1),0),$C198-1966)</f>
        <v>102.6</v>
      </c>
      <c r="Y198" s="4" cm="1">
        <f t="array" ref="Y198">INDEX(GMW!$A$2:$LR$60,MATCH(1,(GMW!$LQ$2:$LQ$60=Y$3)*(GMW!$LP$2:$LP$60=Y$4)*(GMW!$LR$2:$LR$60=Y$1),0),$C198-1966)</f>
        <v>100.66670000000001</v>
      </c>
      <c r="Z198" s="4" cm="1">
        <f t="array" ref="Z198">INDEX(GMW!$A$2:$LR$60,MATCH(1,(GMW!$LQ$2:$LQ$60=Z$3)*(GMW!$LP$2:$LP$60=Z$4)*(GMW!$LR$2:$LR$60=Z$1),0),$C198-1966)</f>
        <v>109.9333</v>
      </c>
      <c r="AA198" s="4" cm="1">
        <f t="array" ref="AA198">INDEX(GMW!$A$2:$LR$60,MATCH(1,(GMW!$LQ$2:$LQ$60=AA$3)*(GMW!$LP$2:$LP$60=AA$4)*(GMW!$LR$2:$LR$60=AA$1),0),$C198-1966)</f>
        <v>301652</v>
      </c>
      <c r="AB198" s="4" cm="1">
        <f t="array" ref="AB198">INDEX(GMW!$A$2:$LR$60,MATCH(1,(GMW!$LQ$2:$LQ$60=AB$3)*(GMW!$LP$2:$LP$60=AB$4)*(GMW!$LR$2:$LR$60=AB$1),0),$C198-1966)</f>
        <v>96147</v>
      </c>
      <c r="AC198" s="4" cm="1">
        <f t="array" ref="AC198">INDEX(GMW!$A$2:$LR$60,MATCH(1,(GMW!$LQ$2:$LQ$60=AC$3)*(GMW!$LP$2:$LP$60=AC$4)*(GMW!$LR$2:$LR$60=AC$1),0),$C198-1966)</f>
        <v>104835</v>
      </c>
      <c r="AD198" s="4" cm="1">
        <f t="array" ref="AD198">INDEX(GMW!$A$2:$LR$60,MATCH(1,(GMW!$LQ$2:$LQ$60=AD$3)*(GMW!$LP$2:$LP$60=AD$4)*(GMW!$LR$2:$LR$60=AD$1),0),$C198-1966)</f>
        <v>157591</v>
      </c>
      <c r="AE198" s="4" cm="1">
        <f t="array" ref="AE198">INDEX(GMW!$A$2:$LR$60,MATCH(1,(GMW!$LQ$2:$LQ$60=AE$3)*(GMW!$LP$2:$LP$60=AE$4)*(GMW!$LR$2:$LR$60=AE$1),0),$C198-1966)</f>
        <v>172219</v>
      </c>
      <c r="AF198" s="4" cm="1">
        <f t="array" ref="AF198">INDEX(GMW!$A$2:$LR$60,MATCH(1,(GMW!$LQ$2:$LQ$60=AF$3)*(GMW!$LP$2:$LP$60=AF$4)*(GMW!$LR$2:$LR$60=AF$1),0),$C198-1966)</f>
        <v>-3.1698499999999998E-2</v>
      </c>
      <c r="AG198" s="4" cm="1">
        <f t="array" ref="AG198">INDEX(GMW!$A$2:$LR$60,MATCH(1,(GMW!$LQ$2:$LQ$60=AG$3)*(GMW!$LP$2:$LP$60=AG$4)*(GMW!$LR$2:$LR$60=AG$1),0),$C198-1966)</f>
        <v>2.346061E-2</v>
      </c>
    </row>
    <row r="199" spans="1:33" x14ac:dyDescent="0.25">
      <c r="A199" s="4">
        <v>2021</v>
      </c>
      <c r="B199" s="4">
        <f t="shared" si="5"/>
        <v>2021</v>
      </c>
      <c r="C199" s="4">
        <f t="shared" si="6"/>
        <v>2165</v>
      </c>
      <c r="D199" s="4" cm="1">
        <f t="array" ref="D199">INDEX(GMW!$A$2:$LR$60,MATCH(1,(GMW!$LQ$2:$LQ$60=D$3)*(GMW!$LP$2:$LP$60=D$4)*(GMW!$LR$2:$LR$60=D$1),0),$C199-1966)</f>
        <v>509261</v>
      </c>
      <c r="E199" s="4" cm="1">
        <f t="array" ref="E199">INDEX(GMW!$A$2:$LR$60,MATCH(1,(GMW!$LQ$2:$LQ$60=E$3)*(GMW!$LP$2:$LP$60=E$4)*(GMW!$LR$2:$LR$60=E$1),0),$C199-1966)</f>
        <v>509261</v>
      </c>
      <c r="F199" s="4" cm="1">
        <f t="array" ref="F199">INDEX(GMW!$A$2:$LR$60,MATCH(1,(GMW!$LQ$2:$LQ$60=F$3)*(GMW!$LP$2:$LP$60=F$4)*(GMW!$LR$2:$LR$60=F$1),0),$C199-1966)</f>
        <v>509261</v>
      </c>
      <c r="G199" s="4" cm="1">
        <f t="array" ref="G199">INDEX(GMW!$A$2:$LR$60,MATCH(1,(GMW!$LQ$2:$LQ$60=G$3)*(GMW!$LP$2:$LP$60=G$4)*(GMW!$LR$2:$LR$60=G$1),0),$C199-1966)</f>
        <v>509261</v>
      </c>
      <c r="H199" s="4" cm="1">
        <f t="array" ref="H199">INDEX(GMW!$A$2:$LR$60,MATCH(1,(GMW!$LQ$2:$LQ$60=H$3)*(GMW!$LP$2:$LP$60=H$4)*(GMW!$LR$2:$LR$60=H$1),0),$C199-1966)</f>
        <v>509261</v>
      </c>
      <c r="I199" s="4" cm="1">
        <f t="array" ref="I199">INDEX(GMW!$A$2:$LR$60,MATCH(1,(GMW!$LQ$2:$LQ$60=I$3)*(GMW!$LP$2:$LP$60=I$4)*(GMW!$LR$2:$LR$60=I$1),0),$C199-1966)</f>
        <v>509261</v>
      </c>
      <c r="J199" s="4" cm="1">
        <f t="array" ref="J199">INDEX(GMW!$A$2:$LR$60,MATCH(1,(GMW!$LQ$2:$LQ$60=J$3)*(GMW!$LP$2:$LP$60=J$4)*(GMW!$LR$2:$LR$60=J$1),0),$C199-1966)</f>
        <v>509261</v>
      </c>
      <c r="K199" s="4" cm="1">
        <f t="array" ref="K199">INDEX(GMW!$A$2:$LR$60,MATCH(1,(GMW!$LQ$2:$LQ$60=K$3)*(GMW!$LP$2:$LP$60=K$4)*(GMW!$LR$2:$LR$60=K$1),0),$C199-1966)</f>
        <v>509261</v>
      </c>
      <c r="L199" s="4" cm="1">
        <f t="array" ref="L199">INDEX(GMW!$A$2:$LR$60,MATCH(1,(GMW!$LQ$2:$LQ$60=L$3)*(GMW!$LP$2:$LP$60=L$4)*(GMW!$LR$2:$LR$60=L$1),0),$C199-1966)</f>
        <v>509261</v>
      </c>
      <c r="M199" s="4" cm="1">
        <f t="array" ref="M199">INDEX(GMW!$A$2:$LR$60,MATCH(1,(GMW!$LQ$2:$LQ$60=M$3)*(GMW!$LP$2:$LP$60=M$4)*(GMW!$LR$2:$LR$60=M$1),0),$C199-1966)</f>
        <v>509261</v>
      </c>
      <c r="N199" s="4" cm="1">
        <f t="array" ref="N199">INDEX(GMW!$A$2:$LR$60,MATCH(1,(GMW!$LQ$2:$LQ$60=N$3)*(GMW!$LP$2:$LP$60=N$4)*(GMW!$LR$2:$LR$60=N$1),0),$C199-1966)</f>
        <v>509261</v>
      </c>
      <c r="O199" s="4" cm="1">
        <f t="array" ref="O199">INDEX(GMW!$A$2:$LR$60,MATCH(1,(GMW!$LQ$2:$LQ$60=O$3)*(GMW!$LP$2:$LP$60=O$4)*(GMW!$LR$2:$LR$60=O$1),0),$C199-1966)</f>
        <v>509261</v>
      </c>
      <c r="P199" s="4" cm="1">
        <f t="array" ref="P199">INDEX(GMW!$A$2:$LR$60,MATCH(1,(GMW!$LQ$2:$LQ$60=P$3)*(GMW!$LP$2:$LP$60=P$4)*(GMW!$LR$2:$LR$60=P$1),0),$C199-1966)</f>
        <v>509261</v>
      </c>
      <c r="Q199" s="4" cm="1">
        <f t="array" ref="Q199">INDEX(GMW!$A$2:$LR$60,MATCH(1,(GMW!$LQ$2:$LQ$60=Q$3)*(GMW!$LP$2:$LP$60=Q$4)*(GMW!$LR$2:$LR$60=Q$1),0),$C199-1966)</f>
        <v>509261</v>
      </c>
      <c r="R199" s="4" cm="1">
        <f t="array" ref="R199">INDEX(GMW!$A$2:$LR$60,MATCH(1,(GMW!$LQ$2:$LQ$60=R$3)*(GMW!$LP$2:$LP$60=R$4)*(GMW!$LR$2:$LR$60=R$1),0),$C199-1966)</f>
        <v>509261</v>
      </c>
      <c r="S199" s="4" cm="1">
        <f t="array" ref="S199">INDEX(GMW!$A$2:$LR$60,MATCH(1,(GMW!$LQ$2:$LQ$60=S$3)*(GMW!$LP$2:$LP$60=S$4)*(GMW!$LR$2:$LR$60=S$1),0),$C199-1966)</f>
        <v>509261</v>
      </c>
      <c r="T199" s="4" cm="1">
        <f t="array" ref="T199">INDEX(GMW!$A$2:$LR$60,MATCH(1,(GMW!$LQ$2:$LQ$60=T$3)*(GMW!$LP$2:$LP$60=T$4)*(GMW!$LR$2:$LR$60=T$1),0),$C199-1966)</f>
        <v>509261</v>
      </c>
      <c r="U199" s="4" cm="1">
        <f t="array" ref="U199">INDEX(GMW!$A$2:$LR$60,MATCH(1,(GMW!$LQ$2:$LQ$60=U$3)*(GMW!$LP$2:$LP$60=U$4)*(GMW!$LR$2:$LR$60=U$1),0),$C199-1966)</f>
        <v>563</v>
      </c>
      <c r="V199" s="4" cm="1">
        <f t="array" ref="V199">INDEX(GMW!$A$2:$LR$60,MATCH(1,(GMW!$LQ$2:$LQ$60=V$3)*(GMW!$LP$2:$LP$60=V$4)*(GMW!$LR$2:$LR$60=V$1),0),$C199-1966)</f>
        <v>109.16670000000001</v>
      </c>
      <c r="W199" s="4" cm="1">
        <f t="array" ref="W199">INDEX(GMW!$A$2:$LR$60,MATCH(1,(GMW!$LQ$2:$LQ$60=W$3)*(GMW!$LP$2:$LP$60=W$4)*(GMW!$LR$2:$LR$60=W$1),0),$C199-1966)</f>
        <v>107.7</v>
      </c>
      <c r="X199" s="4" cm="1">
        <f t="array" ref="X199">INDEX(GMW!$A$2:$LR$60,MATCH(1,(GMW!$LQ$2:$LQ$60=X$3)*(GMW!$LP$2:$LP$60=X$4)*(GMW!$LR$2:$LR$60=X$1),0),$C199-1966)</f>
        <v>108.5333</v>
      </c>
      <c r="Y199" s="4" cm="1">
        <f t="array" ref="Y199">INDEX(GMW!$A$2:$LR$60,MATCH(1,(GMW!$LQ$2:$LQ$60=Y$3)*(GMW!$LP$2:$LP$60=Y$4)*(GMW!$LR$2:$LR$60=Y$1),0),$C199-1966)</f>
        <v>101.33329999999999</v>
      </c>
      <c r="Z199" s="4" cm="1">
        <f t="array" ref="Z199">INDEX(GMW!$A$2:$LR$60,MATCH(1,(GMW!$LQ$2:$LQ$60=Z$3)*(GMW!$LP$2:$LP$60=Z$4)*(GMW!$LR$2:$LR$60=Z$1),0),$C199-1966)</f>
        <v>109.7333</v>
      </c>
      <c r="AA199" s="4" cm="1">
        <f t="array" ref="AA199">INDEX(GMW!$A$2:$LR$60,MATCH(1,(GMW!$LQ$2:$LQ$60=AA$3)*(GMW!$LP$2:$LP$60=AA$4)*(GMW!$LR$2:$LR$60=AA$1),0),$C199-1966)</f>
        <v>291628</v>
      </c>
      <c r="AB199" s="4" cm="1">
        <f t="array" ref="AB199">INDEX(GMW!$A$2:$LR$60,MATCH(1,(GMW!$LQ$2:$LQ$60=AB$3)*(GMW!$LP$2:$LP$60=AB$4)*(GMW!$LR$2:$LR$60=AB$1),0),$C199-1966)</f>
        <v>93777</v>
      </c>
      <c r="AC199" s="4" cm="1">
        <f t="array" ref="AC199">INDEX(GMW!$A$2:$LR$60,MATCH(1,(GMW!$LQ$2:$LQ$60=AC$3)*(GMW!$LP$2:$LP$60=AC$4)*(GMW!$LR$2:$LR$60=AC$1),0),$C199-1966)</f>
        <v>105864</v>
      </c>
      <c r="AD199" s="4" cm="1">
        <f t="array" ref="AD199">INDEX(GMW!$A$2:$LR$60,MATCH(1,(GMW!$LQ$2:$LQ$60=AD$3)*(GMW!$LP$2:$LP$60=AD$4)*(GMW!$LR$2:$LR$60=AD$1),0),$C199-1966)</f>
        <v>154707</v>
      </c>
      <c r="AE199" s="4" cm="1">
        <f t="array" ref="AE199">INDEX(GMW!$A$2:$LR$60,MATCH(1,(GMW!$LQ$2:$LQ$60=AE$3)*(GMW!$LP$2:$LP$60=AE$4)*(GMW!$LR$2:$LR$60=AE$1),0),$C199-1966)</f>
        <v>155665</v>
      </c>
      <c r="AF199" s="4" cm="1">
        <f t="array" ref="AF199">INDEX(GMW!$A$2:$LR$60,MATCH(1,(GMW!$LQ$2:$LQ$60=AF$3)*(GMW!$LP$2:$LP$60=AF$4)*(GMW!$LR$2:$LR$60=AF$1),0),$C199-1966)</f>
        <v>2.943438E-2</v>
      </c>
      <c r="AG199" s="4" cm="1">
        <f t="array" ref="AG199">INDEX(GMW!$A$2:$LR$60,MATCH(1,(GMW!$LQ$2:$LQ$60=AG$3)*(GMW!$LP$2:$LP$60=AG$4)*(GMW!$LR$2:$LR$60=AG$1),0),$C199-1966)</f>
        <v>0.2252266</v>
      </c>
    </row>
    <row r="200" spans="1:33" x14ac:dyDescent="0.25">
      <c r="B200" s="4">
        <f t="shared" si="5"/>
        <v>2021</v>
      </c>
      <c r="C200" s="4">
        <f t="shared" si="6"/>
        <v>2166</v>
      </c>
      <c r="D200" s="4" cm="1">
        <f t="array" ref="D200">INDEX(GMW!$A$2:$LR$60,MATCH(1,(GMW!$LQ$2:$LQ$60=D$3)*(GMW!$LP$2:$LP$60=D$4)*(GMW!$LR$2:$LR$60=D$1),0),$C200-1966)</f>
        <v>546579</v>
      </c>
      <c r="E200" s="4" cm="1">
        <f t="array" ref="E200">INDEX(GMW!$A$2:$LR$60,MATCH(1,(GMW!$LQ$2:$LQ$60=E$3)*(GMW!$LP$2:$LP$60=E$4)*(GMW!$LR$2:$LR$60=E$1),0),$C200-1966)</f>
        <v>546579</v>
      </c>
      <c r="F200" s="4" cm="1">
        <f t="array" ref="F200">INDEX(GMW!$A$2:$LR$60,MATCH(1,(GMW!$LQ$2:$LQ$60=F$3)*(GMW!$LP$2:$LP$60=F$4)*(GMW!$LR$2:$LR$60=F$1),0),$C200-1966)</f>
        <v>546579</v>
      </c>
      <c r="G200" s="4" cm="1">
        <f t="array" ref="G200">INDEX(GMW!$A$2:$LR$60,MATCH(1,(GMW!$LQ$2:$LQ$60=G$3)*(GMW!$LP$2:$LP$60=G$4)*(GMW!$LR$2:$LR$60=G$1),0),$C200-1966)</f>
        <v>546579</v>
      </c>
      <c r="H200" s="4" cm="1">
        <f t="array" ref="H200">INDEX(GMW!$A$2:$LR$60,MATCH(1,(GMW!$LQ$2:$LQ$60=H$3)*(GMW!$LP$2:$LP$60=H$4)*(GMW!$LR$2:$LR$60=H$1),0),$C200-1966)</f>
        <v>546579</v>
      </c>
      <c r="I200" s="4" cm="1">
        <f t="array" ref="I200">INDEX(GMW!$A$2:$LR$60,MATCH(1,(GMW!$LQ$2:$LQ$60=I$3)*(GMW!$LP$2:$LP$60=I$4)*(GMW!$LR$2:$LR$60=I$1),0),$C200-1966)</f>
        <v>546579</v>
      </c>
      <c r="J200" s="4" cm="1">
        <f t="array" ref="J200">INDEX(GMW!$A$2:$LR$60,MATCH(1,(GMW!$LQ$2:$LQ$60=J$3)*(GMW!$LP$2:$LP$60=J$4)*(GMW!$LR$2:$LR$60=J$1),0),$C200-1966)</f>
        <v>546579</v>
      </c>
      <c r="K200" s="4" cm="1">
        <f t="array" ref="K200">INDEX(GMW!$A$2:$LR$60,MATCH(1,(GMW!$LQ$2:$LQ$60=K$3)*(GMW!$LP$2:$LP$60=K$4)*(GMW!$LR$2:$LR$60=K$1),0),$C200-1966)</f>
        <v>546579</v>
      </c>
      <c r="L200" s="4" cm="1">
        <f t="array" ref="L200">INDEX(GMW!$A$2:$LR$60,MATCH(1,(GMW!$LQ$2:$LQ$60=L$3)*(GMW!$LP$2:$LP$60=L$4)*(GMW!$LR$2:$LR$60=L$1),0),$C200-1966)</f>
        <v>546579</v>
      </c>
      <c r="M200" s="4" cm="1">
        <f t="array" ref="M200">INDEX(GMW!$A$2:$LR$60,MATCH(1,(GMW!$LQ$2:$LQ$60=M$3)*(GMW!$LP$2:$LP$60=M$4)*(GMW!$LR$2:$LR$60=M$1),0),$C200-1966)</f>
        <v>546579</v>
      </c>
      <c r="N200" s="4" cm="1">
        <f t="array" ref="N200">INDEX(GMW!$A$2:$LR$60,MATCH(1,(GMW!$LQ$2:$LQ$60=N$3)*(GMW!$LP$2:$LP$60=N$4)*(GMW!$LR$2:$LR$60=N$1),0),$C200-1966)</f>
        <v>546579</v>
      </c>
      <c r="O200" s="4" cm="1">
        <f t="array" ref="O200">INDEX(GMW!$A$2:$LR$60,MATCH(1,(GMW!$LQ$2:$LQ$60=O$3)*(GMW!$LP$2:$LP$60=O$4)*(GMW!$LR$2:$LR$60=O$1),0),$C200-1966)</f>
        <v>546579</v>
      </c>
      <c r="P200" s="4" cm="1">
        <f t="array" ref="P200">INDEX(GMW!$A$2:$LR$60,MATCH(1,(GMW!$LQ$2:$LQ$60=P$3)*(GMW!$LP$2:$LP$60=P$4)*(GMW!$LR$2:$LR$60=P$1),0),$C200-1966)</f>
        <v>546579</v>
      </c>
      <c r="Q200" s="4" cm="1">
        <f t="array" ref="Q200">INDEX(GMW!$A$2:$LR$60,MATCH(1,(GMW!$LQ$2:$LQ$60=Q$3)*(GMW!$LP$2:$LP$60=Q$4)*(GMW!$LR$2:$LR$60=Q$1),0),$C200-1966)</f>
        <v>546579</v>
      </c>
      <c r="R200" s="4" cm="1">
        <f t="array" ref="R200">INDEX(GMW!$A$2:$LR$60,MATCH(1,(GMW!$LQ$2:$LQ$60=R$3)*(GMW!$LP$2:$LP$60=R$4)*(GMW!$LR$2:$LR$60=R$1),0),$C200-1966)</f>
        <v>546579</v>
      </c>
      <c r="S200" s="4" cm="1">
        <f t="array" ref="S200">INDEX(GMW!$A$2:$LR$60,MATCH(1,(GMW!$LQ$2:$LQ$60=S$3)*(GMW!$LP$2:$LP$60=S$4)*(GMW!$LR$2:$LR$60=S$1),0),$C200-1966)</f>
        <v>546579</v>
      </c>
      <c r="T200" s="4" cm="1">
        <f t="array" ref="T200">INDEX(GMW!$A$2:$LR$60,MATCH(1,(GMW!$LQ$2:$LQ$60=T$3)*(GMW!$LP$2:$LP$60=T$4)*(GMW!$LR$2:$LR$60=T$1),0),$C200-1966)</f>
        <v>546579</v>
      </c>
      <c r="U200" s="4" cm="1">
        <f t="array" ref="U200">INDEX(GMW!$A$2:$LR$60,MATCH(1,(GMW!$LQ$2:$LQ$60=U$3)*(GMW!$LP$2:$LP$60=U$4)*(GMW!$LR$2:$LR$60=U$1),0),$C200-1966)</f>
        <v>578</v>
      </c>
      <c r="V200" s="4" cm="1">
        <f t="array" ref="V200">INDEX(GMW!$A$2:$LR$60,MATCH(1,(GMW!$LQ$2:$LQ$60=V$3)*(GMW!$LP$2:$LP$60=V$4)*(GMW!$LR$2:$LR$60=V$1),0),$C200-1966)</f>
        <v>110.7333</v>
      </c>
      <c r="W200" s="4" cm="1">
        <f t="array" ref="W200">INDEX(GMW!$A$2:$LR$60,MATCH(1,(GMW!$LQ$2:$LQ$60=W$3)*(GMW!$LP$2:$LP$60=W$4)*(GMW!$LR$2:$LR$60=W$1),0),$C200-1966)</f>
        <v>108</v>
      </c>
      <c r="X200" s="4" cm="1">
        <f t="array" ref="X200">INDEX(GMW!$A$2:$LR$60,MATCH(1,(GMW!$LQ$2:$LQ$60=X$3)*(GMW!$LP$2:$LP$60=X$4)*(GMW!$LR$2:$LR$60=X$1),0),$C200-1966)</f>
        <v>114.7667</v>
      </c>
      <c r="Y200" s="4" cm="1">
        <f t="array" ref="Y200">INDEX(GMW!$A$2:$LR$60,MATCH(1,(GMW!$LQ$2:$LQ$60=Y$3)*(GMW!$LP$2:$LP$60=Y$4)*(GMW!$LR$2:$LR$60=Y$1),0),$C200-1966)</f>
        <v>110.2</v>
      </c>
      <c r="Z200" s="4" cm="1">
        <f t="array" ref="Z200">INDEX(GMW!$A$2:$LR$60,MATCH(1,(GMW!$LQ$2:$LQ$60=Z$3)*(GMW!$LP$2:$LP$60=Z$4)*(GMW!$LR$2:$LR$60=Z$1),0),$C200-1966)</f>
        <v>111.0333</v>
      </c>
      <c r="AA200" s="4" cm="1">
        <f t="array" ref="AA200">INDEX(GMW!$A$2:$LR$60,MATCH(1,(GMW!$LQ$2:$LQ$60=AA$3)*(GMW!$LP$2:$LP$60=AA$4)*(GMW!$LR$2:$LR$60=AA$1),0),$C200-1966)</f>
        <v>325915</v>
      </c>
      <c r="AB200" s="4" cm="1">
        <f t="array" ref="AB200">INDEX(GMW!$A$2:$LR$60,MATCH(1,(GMW!$LQ$2:$LQ$60=AB$3)*(GMW!$LP$2:$LP$60=AB$4)*(GMW!$LR$2:$LR$60=AB$1),0),$C200-1966)</f>
        <v>98872</v>
      </c>
      <c r="AC200" s="4" cm="1">
        <f t="array" ref="AC200">INDEX(GMW!$A$2:$LR$60,MATCH(1,(GMW!$LQ$2:$LQ$60=AC$3)*(GMW!$LP$2:$LP$60=AC$4)*(GMW!$LR$2:$LR$60=AC$1),0),$C200-1966)</f>
        <v>114096</v>
      </c>
      <c r="AD200" s="4" cm="1">
        <f t="array" ref="AD200">INDEX(GMW!$A$2:$LR$60,MATCH(1,(GMW!$LQ$2:$LQ$60=AD$3)*(GMW!$LP$2:$LP$60=AD$4)*(GMW!$LR$2:$LR$60=AD$1),0),$C200-1966)</f>
        <v>166787</v>
      </c>
      <c r="AE200" s="4" cm="1">
        <f t="array" ref="AE200">INDEX(GMW!$A$2:$LR$60,MATCH(1,(GMW!$LQ$2:$LQ$60=AE$3)*(GMW!$LP$2:$LP$60=AE$4)*(GMW!$LR$2:$LR$60=AE$1),0),$C200-1966)</f>
        <v>161625</v>
      </c>
      <c r="AF200" s="4" cm="1">
        <f t="array" ref="AF200">INDEX(GMW!$A$2:$LR$60,MATCH(1,(GMW!$LQ$2:$LQ$60=AF$3)*(GMW!$LP$2:$LP$60=AF$4)*(GMW!$LR$2:$LR$60=AF$1),0),$C200-1966)</f>
        <v>0.14078309999999999</v>
      </c>
      <c r="AG200" s="4" cm="1">
        <f t="array" ref="AG200">INDEX(GMW!$A$2:$LR$60,MATCH(1,(GMW!$LQ$2:$LQ$60=AG$3)*(GMW!$LP$2:$LP$60=AG$4)*(GMW!$LR$2:$LR$60=AG$1),0),$C200-1966)</f>
        <v>0.45630769999999998</v>
      </c>
    </row>
    <row r="201" spans="1:33" x14ac:dyDescent="0.25">
      <c r="B201" s="4">
        <f t="shared" si="5"/>
        <v>2021</v>
      </c>
      <c r="C201" s="4">
        <f t="shared" si="6"/>
        <v>2167</v>
      </c>
      <c r="D201" s="4" cm="1">
        <f t="array" ref="D201">INDEX(GMW!$A$2:$LR$60,MATCH(1,(GMW!$LQ$2:$LQ$60=D$3)*(GMW!$LP$2:$LP$60=D$4)*(GMW!$LR$2:$LR$60=D$1),0),$C201-1966)</f>
        <v>555956</v>
      </c>
      <c r="E201" s="4" cm="1">
        <f t="array" ref="E201">INDEX(GMW!$A$2:$LR$60,MATCH(1,(GMW!$LQ$2:$LQ$60=E$3)*(GMW!$LP$2:$LP$60=E$4)*(GMW!$LR$2:$LR$60=E$1),0),$C201-1966)</f>
        <v>555956</v>
      </c>
      <c r="F201" s="4" cm="1">
        <f t="array" ref="F201">INDEX(GMW!$A$2:$LR$60,MATCH(1,(GMW!$LQ$2:$LQ$60=F$3)*(GMW!$LP$2:$LP$60=F$4)*(GMW!$LR$2:$LR$60=F$1),0),$C201-1966)</f>
        <v>555956</v>
      </c>
      <c r="G201" s="4" cm="1">
        <f t="array" ref="G201">INDEX(GMW!$A$2:$LR$60,MATCH(1,(GMW!$LQ$2:$LQ$60=G$3)*(GMW!$LP$2:$LP$60=G$4)*(GMW!$LR$2:$LR$60=G$1),0),$C201-1966)</f>
        <v>555956</v>
      </c>
      <c r="H201" s="4" cm="1">
        <f t="array" ref="H201">INDEX(GMW!$A$2:$LR$60,MATCH(1,(GMW!$LQ$2:$LQ$60=H$3)*(GMW!$LP$2:$LP$60=H$4)*(GMW!$LR$2:$LR$60=H$1),0),$C201-1966)</f>
        <v>555956</v>
      </c>
      <c r="I201" s="4" cm="1">
        <f t="array" ref="I201">INDEX(GMW!$A$2:$LR$60,MATCH(1,(GMW!$LQ$2:$LQ$60=I$3)*(GMW!$LP$2:$LP$60=I$4)*(GMW!$LR$2:$LR$60=I$1),0),$C201-1966)</f>
        <v>555956</v>
      </c>
      <c r="J201" s="4" cm="1">
        <f t="array" ref="J201">INDEX(GMW!$A$2:$LR$60,MATCH(1,(GMW!$LQ$2:$LQ$60=J$3)*(GMW!$LP$2:$LP$60=J$4)*(GMW!$LR$2:$LR$60=J$1),0),$C201-1966)</f>
        <v>555956</v>
      </c>
      <c r="K201" s="4" cm="1">
        <f t="array" ref="K201">INDEX(GMW!$A$2:$LR$60,MATCH(1,(GMW!$LQ$2:$LQ$60=K$3)*(GMW!$LP$2:$LP$60=K$4)*(GMW!$LR$2:$LR$60=K$1),0),$C201-1966)</f>
        <v>555956</v>
      </c>
      <c r="L201" s="4" cm="1">
        <f t="array" ref="L201">INDEX(GMW!$A$2:$LR$60,MATCH(1,(GMW!$LQ$2:$LQ$60=L$3)*(GMW!$LP$2:$LP$60=L$4)*(GMW!$LR$2:$LR$60=L$1),0),$C201-1966)</f>
        <v>555956</v>
      </c>
      <c r="M201" s="4" cm="1">
        <f t="array" ref="M201">INDEX(GMW!$A$2:$LR$60,MATCH(1,(GMW!$LQ$2:$LQ$60=M$3)*(GMW!$LP$2:$LP$60=M$4)*(GMW!$LR$2:$LR$60=M$1),0),$C201-1966)</f>
        <v>555956</v>
      </c>
      <c r="N201" s="4" cm="1">
        <f t="array" ref="N201">INDEX(GMW!$A$2:$LR$60,MATCH(1,(GMW!$LQ$2:$LQ$60=N$3)*(GMW!$LP$2:$LP$60=N$4)*(GMW!$LR$2:$LR$60=N$1),0),$C201-1966)</f>
        <v>555956</v>
      </c>
      <c r="O201" s="4" cm="1">
        <f t="array" ref="O201">INDEX(GMW!$A$2:$LR$60,MATCH(1,(GMW!$LQ$2:$LQ$60=O$3)*(GMW!$LP$2:$LP$60=O$4)*(GMW!$LR$2:$LR$60=O$1),0),$C201-1966)</f>
        <v>555956</v>
      </c>
      <c r="P201" s="4" cm="1">
        <f t="array" ref="P201">INDEX(GMW!$A$2:$LR$60,MATCH(1,(GMW!$LQ$2:$LQ$60=P$3)*(GMW!$LP$2:$LP$60=P$4)*(GMW!$LR$2:$LR$60=P$1),0),$C201-1966)</f>
        <v>555956</v>
      </c>
      <c r="Q201" s="4" cm="1">
        <f t="array" ref="Q201">INDEX(GMW!$A$2:$LR$60,MATCH(1,(GMW!$LQ$2:$LQ$60=Q$3)*(GMW!$LP$2:$LP$60=Q$4)*(GMW!$LR$2:$LR$60=Q$1),0),$C201-1966)</f>
        <v>555956</v>
      </c>
      <c r="R201" s="4" cm="1">
        <f t="array" ref="R201">INDEX(GMW!$A$2:$LR$60,MATCH(1,(GMW!$LQ$2:$LQ$60=R$3)*(GMW!$LP$2:$LP$60=R$4)*(GMW!$LR$2:$LR$60=R$1),0),$C201-1966)</f>
        <v>555956</v>
      </c>
      <c r="S201" s="4" cm="1">
        <f t="array" ref="S201">INDEX(GMW!$A$2:$LR$60,MATCH(1,(GMW!$LQ$2:$LQ$60=S$3)*(GMW!$LP$2:$LP$60=S$4)*(GMW!$LR$2:$LR$60=S$1),0),$C201-1966)</f>
        <v>555956</v>
      </c>
      <c r="T201" s="4" cm="1">
        <f t="array" ref="T201">INDEX(GMW!$A$2:$LR$60,MATCH(1,(GMW!$LQ$2:$LQ$60=T$3)*(GMW!$LP$2:$LP$60=T$4)*(GMW!$LR$2:$LR$60=T$1),0),$C201-1966)</f>
        <v>555956</v>
      </c>
      <c r="U201" s="4" cm="1">
        <f t="array" ref="U201">INDEX(GMW!$A$2:$LR$60,MATCH(1,(GMW!$LQ$2:$LQ$60=U$3)*(GMW!$LP$2:$LP$60=U$4)*(GMW!$LR$2:$LR$60=U$1),0),$C201-1966)</f>
        <v>583.66669999999999</v>
      </c>
      <c r="V201" s="4" cm="1">
        <f t="array" ref="V201">INDEX(GMW!$A$2:$LR$60,MATCH(1,(GMW!$LQ$2:$LQ$60=V$3)*(GMW!$LP$2:$LP$60=V$4)*(GMW!$LR$2:$LR$60=V$1),0),$C201-1966)</f>
        <v>111.9333</v>
      </c>
      <c r="W201" s="4" cm="1">
        <f t="array" ref="W201">INDEX(GMW!$A$2:$LR$60,MATCH(1,(GMW!$LQ$2:$LQ$60=W$3)*(GMW!$LP$2:$LP$60=W$4)*(GMW!$LR$2:$LR$60=W$1),0),$C201-1966)</f>
        <v>108.3</v>
      </c>
      <c r="X201" s="4" cm="1">
        <f t="array" ref="X201">INDEX(GMW!$A$2:$LR$60,MATCH(1,(GMW!$LQ$2:$LQ$60=X$3)*(GMW!$LP$2:$LP$60=X$4)*(GMW!$LR$2:$LR$60=X$1),0),$C201-1966)</f>
        <v>120.2333</v>
      </c>
      <c r="Y201" s="4" cm="1">
        <f t="array" ref="Y201">INDEX(GMW!$A$2:$LR$60,MATCH(1,(GMW!$LQ$2:$LQ$60=Y$3)*(GMW!$LP$2:$LP$60=Y$4)*(GMW!$LR$2:$LR$60=Y$1),0),$C201-1966)</f>
        <v>110.5</v>
      </c>
      <c r="Z201" s="4" cm="1">
        <f t="array" ref="Z201">INDEX(GMW!$A$2:$LR$60,MATCH(1,(GMW!$LQ$2:$LQ$60=Z$3)*(GMW!$LP$2:$LP$60=Z$4)*(GMW!$LR$2:$LR$60=Z$1),0),$C201-1966)</f>
        <v>112.36669999999999</v>
      </c>
      <c r="AA201" s="4" cm="1">
        <f t="array" ref="AA201">INDEX(GMW!$A$2:$LR$60,MATCH(1,(GMW!$LQ$2:$LQ$60=AA$3)*(GMW!$LP$2:$LP$60=AA$4)*(GMW!$LR$2:$LR$60=AA$1),0),$C201-1966)</f>
        <v>335438</v>
      </c>
      <c r="AB201" s="4" cm="1">
        <f t="array" ref="AB201">INDEX(GMW!$A$2:$LR$60,MATCH(1,(GMW!$LQ$2:$LQ$60=AB$3)*(GMW!$LP$2:$LP$60=AB$4)*(GMW!$LR$2:$LR$60=AB$1),0),$C201-1966)</f>
        <v>98233</v>
      </c>
      <c r="AC201" s="4" cm="1">
        <f t="array" ref="AC201">INDEX(GMW!$A$2:$LR$60,MATCH(1,(GMW!$LQ$2:$LQ$60=AC$3)*(GMW!$LP$2:$LP$60=AC$4)*(GMW!$LR$2:$LR$60=AC$1),0),$C201-1966)</f>
        <v>115146</v>
      </c>
      <c r="AD201" s="4" cm="1">
        <f t="array" ref="AD201">INDEX(GMW!$A$2:$LR$60,MATCH(1,(GMW!$LQ$2:$LQ$60=AD$3)*(GMW!$LP$2:$LP$60=AD$4)*(GMW!$LR$2:$LR$60=AD$1),0),$C201-1966)</f>
        <v>159497</v>
      </c>
      <c r="AE201" s="4" cm="1">
        <f t="array" ref="AE201">INDEX(GMW!$A$2:$LR$60,MATCH(1,(GMW!$LQ$2:$LQ$60=AE$3)*(GMW!$LP$2:$LP$60=AE$4)*(GMW!$LR$2:$LR$60=AE$1),0),$C201-1966)</f>
        <v>168489</v>
      </c>
      <c r="AF201" s="4" cm="1">
        <f t="array" ref="AF201">INDEX(GMW!$A$2:$LR$60,MATCH(1,(GMW!$LQ$2:$LQ$60=AF$3)*(GMW!$LP$2:$LP$60=AF$4)*(GMW!$LR$2:$LR$60=AF$1),0),$C201-1966)</f>
        <v>0.27432119999999999</v>
      </c>
      <c r="AG201" s="4" cm="1">
        <f t="array" ref="AG201">INDEX(GMW!$A$2:$LR$60,MATCH(1,(GMW!$LQ$2:$LQ$60=AG$3)*(GMW!$LP$2:$LP$60=AG$4)*(GMW!$LR$2:$LR$60=AG$1),0),$C201-1966)</f>
        <v>0.47962579999999999</v>
      </c>
    </row>
    <row r="202" spans="1:33" x14ac:dyDescent="0.25">
      <c r="B202" s="4">
        <f t="shared" si="5"/>
        <v>2021</v>
      </c>
      <c r="C202" s="4">
        <f t="shared" si="6"/>
        <v>2168</v>
      </c>
      <c r="D202" s="4" cm="1">
        <f t="array" ref="D202">INDEX(GMW!$A$2:$LR$60,MATCH(1,(GMW!$LQ$2:$LQ$60=D$3)*(GMW!$LP$2:$LP$60=D$4)*(GMW!$LR$2:$LR$60=D$1),0),$C202-1966)</f>
        <v>564407</v>
      </c>
      <c r="E202" s="4" cm="1">
        <f t="array" ref="E202">INDEX(GMW!$A$2:$LR$60,MATCH(1,(GMW!$LQ$2:$LQ$60=E$3)*(GMW!$LP$2:$LP$60=E$4)*(GMW!$LR$2:$LR$60=E$1),0),$C202-1966)</f>
        <v>564407</v>
      </c>
      <c r="F202" s="4" cm="1">
        <f t="array" ref="F202">INDEX(GMW!$A$2:$LR$60,MATCH(1,(GMW!$LQ$2:$LQ$60=F$3)*(GMW!$LP$2:$LP$60=F$4)*(GMW!$LR$2:$LR$60=F$1),0),$C202-1966)</f>
        <v>564407</v>
      </c>
      <c r="G202" s="4" cm="1">
        <f t="array" ref="G202">INDEX(GMW!$A$2:$LR$60,MATCH(1,(GMW!$LQ$2:$LQ$60=G$3)*(GMW!$LP$2:$LP$60=G$4)*(GMW!$LR$2:$LR$60=G$1),0),$C202-1966)</f>
        <v>564407</v>
      </c>
      <c r="H202" s="4" cm="1">
        <f t="array" ref="H202">INDEX(GMW!$A$2:$LR$60,MATCH(1,(GMW!$LQ$2:$LQ$60=H$3)*(GMW!$LP$2:$LP$60=H$4)*(GMW!$LR$2:$LR$60=H$1),0),$C202-1966)</f>
        <v>564407</v>
      </c>
      <c r="I202" s="4" cm="1">
        <f t="array" ref="I202">INDEX(GMW!$A$2:$LR$60,MATCH(1,(GMW!$LQ$2:$LQ$60=I$3)*(GMW!$LP$2:$LP$60=I$4)*(GMW!$LR$2:$LR$60=I$1),0),$C202-1966)</f>
        <v>564407</v>
      </c>
      <c r="J202" s="4" cm="1">
        <f t="array" ref="J202">INDEX(GMW!$A$2:$LR$60,MATCH(1,(GMW!$LQ$2:$LQ$60=J$3)*(GMW!$LP$2:$LP$60=J$4)*(GMW!$LR$2:$LR$60=J$1),0),$C202-1966)</f>
        <v>564407</v>
      </c>
      <c r="K202" s="4" cm="1">
        <f t="array" ref="K202">INDEX(GMW!$A$2:$LR$60,MATCH(1,(GMW!$LQ$2:$LQ$60=K$3)*(GMW!$LP$2:$LP$60=K$4)*(GMW!$LR$2:$LR$60=K$1),0),$C202-1966)</f>
        <v>564407</v>
      </c>
      <c r="L202" s="4" cm="1">
        <f t="array" ref="L202">INDEX(GMW!$A$2:$LR$60,MATCH(1,(GMW!$LQ$2:$LQ$60=L$3)*(GMW!$LP$2:$LP$60=L$4)*(GMW!$LR$2:$LR$60=L$1),0),$C202-1966)</f>
        <v>564407</v>
      </c>
      <c r="M202" s="4" cm="1">
        <f t="array" ref="M202">INDEX(GMW!$A$2:$LR$60,MATCH(1,(GMW!$LQ$2:$LQ$60=M$3)*(GMW!$LP$2:$LP$60=M$4)*(GMW!$LR$2:$LR$60=M$1),0),$C202-1966)</f>
        <v>564407</v>
      </c>
      <c r="N202" s="4" cm="1">
        <f t="array" ref="N202">INDEX(GMW!$A$2:$LR$60,MATCH(1,(GMW!$LQ$2:$LQ$60=N$3)*(GMW!$LP$2:$LP$60=N$4)*(GMW!$LR$2:$LR$60=N$1),0),$C202-1966)</f>
        <v>564407</v>
      </c>
      <c r="O202" s="4" cm="1">
        <f t="array" ref="O202">INDEX(GMW!$A$2:$LR$60,MATCH(1,(GMW!$LQ$2:$LQ$60=O$3)*(GMW!$LP$2:$LP$60=O$4)*(GMW!$LR$2:$LR$60=O$1),0),$C202-1966)</f>
        <v>564407</v>
      </c>
      <c r="P202" s="4" cm="1">
        <f t="array" ref="P202">INDEX(GMW!$A$2:$LR$60,MATCH(1,(GMW!$LQ$2:$LQ$60=P$3)*(GMW!$LP$2:$LP$60=P$4)*(GMW!$LR$2:$LR$60=P$1),0),$C202-1966)</f>
        <v>564407</v>
      </c>
      <c r="Q202" s="4" cm="1">
        <f t="array" ref="Q202">INDEX(GMW!$A$2:$LR$60,MATCH(1,(GMW!$LQ$2:$LQ$60=Q$3)*(GMW!$LP$2:$LP$60=Q$4)*(GMW!$LR$2:$LR$60=Q$1),0),$C202-1966)</f>
        <v>564407</v>
      </c>
      <c r="R202" s="4" cm="1">
        <f t="array" ref="R202">INDEX(GMW!$A$2:$LR$60,MATCH(1,(GMW!$LQ$2:$LQ$60=R$3)*(GMW!$LP$2:$LP$60=R$4)*(GMW!$LR$2:$LR$60=R$1),0),$C202-1966)</f>
        <v>564407</v>
      </c>
      <c r="S202" s="4" cm="1">
        <f t="array" ref="S202">INDEX(GMW!$A$2:$LR$60,MATCH(1,(GMW!$LQ$2:$LQ$60=S$3)*(GMW!$LP$2:$LP$60=S$4)*(GMW!$LR$2:$LR$60=S$1),0),$C202-1966)</f>
        <v>564407</v>
      </c>
      <c r="T202" s="4" cm="1">
        <f t="array" ref="T202">INDEX(GMW!$A$2:$LR$60,MATCH(1,(GMW!$LQ$2:$LQ$60=T$3)*(GMW!$LP$2:$LP$60=T$4)*(GMW!$LR$2:$LR$60=T$1),0),$C202-1966)</f>
        <v>564407</v>
      </c>
      <c r="U202" s="4" cm="1">
        <f t="array" ref="U202">INDEX(GMW!$A$2:$LR$60,MATCH(1,(GMW!$LQ$2:$LQ$60=U$3)*(GMW!$LP$2:$LP$60=U$4)*(GMW!$LR$2:$LR$60=U$1),0),$C202-1966)</f>
        <v>592.66669999999999</v>
      </c>
      <c r="V202" s="4" cm="1">
        <f t="array" ref="V202">INDEX(GMW!$A$2:$LR$60,MATCH(1,(GMW!$LQ$2:$LQ$60=V$3)*(GMW!$LP$2:$LP$60=V$4)*(GMW!$LR$2:$LR$60=V$1),0),$C202-1966)</f>
        <v>114.4</v>
      </c>
      <c r="W202" s="4" cm="1">
        <f t="array" ref="W202">INDEX(GMW!$A$2:$LR$60,MATCH(1,(GMW!$LQ$2:$LQ$60=W$3)*(GMW!$LP$2:$LP$60=W$4)*(GMW!$LR$2:$LR$60=W$1),0),$C202-1966)</f>
        <v>110.1</v>
      </c>
      <c r="X202" s="4" cm="1">
        <f t="array" ref="X202">INDEX(GMW!$A$2:$LR$60,MATCH(1,(GMW!$LQ$2:$LQ$60=X$3)*(GMW!$LP$2:$LP$60=X$4)*(GMW!$LR$2:$LR$60=X$1),0),$C202-1966)</f>
        <v>128.86670000000001</v>
      </c>
      <c r="Y202" s="4" cm="1">
        <f t="array" ref="Y202">INDEX(GMW!$A$2:$LR$60,MATCH(1,(GMW!$LQ$2:$LQ$60=Y$3)*(GMW!$LP$2:$LP$60=Y$4)*(GMW!$LR$2:$LR$60=Y$1),0),$C202-1966)</f>
        <v>123.8</v>
      </c>
      <c r="Z202" s="4" cm="1">
        <f t="array" ref="Z202">INDEX(GMW!$A$2:$LR$60,MATCH(1,(GMW!$LQ$2:$LQ$60=Z$3)*(GMW!$LP$2:$LP$60=Z$4)*(GMW!$LR$2:$LR$60=Z$1),0),$C202-1966)</f>
        <v>114.2333</v>
      </c>
      <c r="AA202" s="4" cm="1">
        <f t="array" ref="AA202">INDEX(GMW!$A$2:$LR$60,MATCH(1,(GMW!$LQ$2:$LQ$60=AA$3)*(GMW!$LP$2:$LP$60=AA$4)*(GMW!$LR$2:$LR$60=AA$1),0),$C202-1966)</f>
        <v>336309</v>
      </c>
      <c r="AB202" s="4" cm="1">
        <f t="array" ref="AB202">INDEX(GMW!$A$2:$LR$60,MATCH(1,(GMW!$LQ$2:$LQ$60=AB$3)*(GMW!$LP$2:$LP$60=AB$4)*(GMW!$LR$2:$LR$60=AB$1),0),$C202-1966)</f>
        <v>98770</v>
      </c>
      <c r="AC202" s="4" cm="1">
        <f t="array" ref="AC202">INDEX(GMW!$A$2:$LR$60,MATCH(1,(GMW!$LQ$2:$LQ$60=AC$3)*(GMW!$LP$2:$LP$60=AC$4)*(GMW!$LR$2:$LR$60=AC$1),0),$C202-1966)</f>
        <v>116404</v>
      </c>
      <c r="AD202" s="4" cm="1">
        <f t="array" ref="AD202">INDEX(GMW!$A$2:$LR$60,MATCH(1,(GMW!$LQ$2:$LQ$60=AD$3)*(GMW!$LP$2:$LP$60=AD$4)*(GMW!$LR$2:$LR$60=AD$1),0),$C202-1966)</f>
        <v>175563</v>
      </c>
      <c r="AE202" s="4" cm="1">
        <f t="array" ref="AE202">INDEX(GMW!$A$2:$LR$60,MATCH(1,(GMW!$LQ$2:$LQ$60=AE$3)*(GMW!$LP$2:$LP$60=AE$4)*(GMW!$LR$2:$LR$60=AE$1),0),$C202-1966)</f>
        <v>172084</v>
      </c>
      <c r="AF202" s="4" cm="1">
        <f t="array" ref="AF202">INDEX(GMW!$A$2:$LR$60,MATCH(1,(GMW!$LQ$2:$LQ$60=AF$3)*(GMW!$LP$2:$LP$60=AF$4)*(GMW!$LR$2:$LR$60=AF$1),0),$C202-1966)</f>
        <v>0.86002880000000004</v>
      </c>
      <c r="AG202" s="4" cm="1">
        <f t="array" ref="AG202">INDEX(GMW!$A$2:$LR$60,MATCH(1,(GMW!$LQ$2:$LQ$60=AG$3)*(GMW!$LP$2:$LP$60=AG$4)*(GMW!$LR$2:$LR$60=AG$1),0),$C202-1966)</f>
        <v>0.94125300000000001</v>
      </c>
    </row>
    <row r="203" spans="1:33" x14ac:dyDescent="0.25">
      <c r="A203" s="4">
        <v>2022</v>
      </c>
      <c r="B203" s="4">
        <f t="shared" si="5"/>
        <v>2022</v>
      </c>
      <c r="C203" s="4">
        <f t="shared" si="6"/>
        <v>2169</v>
      </c>
      <c r="D203" s="4" cm="1">
        <f t="array" ref="D203">INDEX(GMW!$A$2:$LR$60,MATCH(1,(GMW!$LQ$2:$LQ$60=D$3)*(GMW!$LP$2:$LP$60=D$4)*(GMW!$LR$2:$LR$60=D$1),0),$C203-1966)</f>
        <v>567396</v>
      </c>
      <c r="E203" s="4" cm="1">
        <f t="array" ref="E203">INDEX(GMW!$A$2:$LR$60,MATCH(1,(GMW!$LQ$2:$LQ$60=E$3)*(GMW!$LP$2:$LP$60=E$4)*(GMW!$LR$2:$LR$60=E$1),0),$C203-1966)</f>
        <v>567396</v>
      </c>
      <c r="F203" s="4" cm="1">
        <f t="array" ref="F203">INDEX(GMW!$A$2:$LR$60,MATCH(1,(GMW!$LQ$2:$LQ$60=F$3)*(GMW!$LP$2:$LP$60=F$4)*(GMW!$LR$2:$LR$60=F$1),0),$C203-1966)</f>
        <v>567396</v>
      </c>
      <c r="G203" s="4" cm="1">
        <f t="array" ref="G203">INDEX(GMW!$A$2:$LR$60,MATCH(1,(GMW!$LQ$2:$LQ$60=G$3)*(GMW!$LP$2:$LP$60=G$4)*(GMW!$LR$2:$LR$60=G$1),0),$C203-1966)</f>
        <v>567396</v>
      </c>
      <c r="H203" s="4" cm="1">
        <f t="array" ref="H203">INDEX(GMW!$A$2:$LR$60,MATCH(1,(GMW!$LQ$2:$LQ$60=H$3)*(GMW!$LP$2:$LP$60=H$4)*(GMW!$LR$2:$LR$60=H$1),0),$C203-1966)</f>
        <v>567396</v>
      </c>
      <c r="I203" s="4" cm="1">
        <f t="array" ref="I203">INDEX(GMW!$A$2:$LR$60,MATCH(1,(GMW!$LQ$2:$LQ$60=I$3)*(GMW!$LP$2:$LP$60=I$4)*(GMW!$LR$2:$LR$60=I$1),0),$C203-1966)</f>
        <v>567396</v>
      </c>
      <c r="J203" s="4" cm="1">
        <f t="array" ref="J203">INDEX(GMW!$A$2:$LR$60,MATCH(1,(GMW!$LQ$2:$LQ$60=J$3)*(GMW!$LP$2:$LP$60=J$4)*(GMW!$LR$2:$LR$60=J$1),0),$C203-1966)</f>
        <v>567396</v>
      </c>
      <c r="K203" s="4" cm="1">
        <f t="array" ref="K203">INDEX(GMW!$A$2:$LR$60,MATCH(1,(GMW!$LQ$2:$LQ$60=K$3)*(GMW!$LP$2:$LP$60=K$4)*(GMW!$LR$2:$LR$60=K$1),0),$C203-1966)</f>
        <v>567396</v>
      </c>
      <c r="L203" s="4" cm="1">
        <f t="array" ref="L203">INDEX(GMW!$A$2:$LR$60,MATCH(1,(GMW!$LQ$2:$LQ$60=L$3)*(GMW!$LP$2:$LP$60=L$4)*(GMW!$LR$2:$LR$60=L$1),0),$C203-1966)</f>
        <v>567396</v>
      </c>
      <c r="M203" s="4" cm="1">
        <f t="array" ref="M203">INDEX(GMW!$A$2:$LR$60,MATCH(1,(GMW!$LQ$2:$LQ$60=M$3)*(GMW!$LP$2:$LP$60=M$4)*(GMW!$LR$2:$LR$60=M$1),0),$C203-1966)</f>
        <v>567396</v>
      </c>
      <c r="N203" s="4" cm="1">
        <f t="array" ref="N203">INDEX(GMW!$A$2:$LR$60,MATCH(1,(GMW!$LQ$2:$LQ$60=N$3)*(GMW!$LP$2:$LP$60=N$4)*(GMW!$LR$2:$LR$60=N$1),0),$C203-1966)</f>
        <v>567396</v>
      </c>
      <c r="O203" s="4" cm="1">
        <f t="array" ref="O203">INDEX(GMW!$A$2:$LR$60,MATCH(1,(GMW!$LQ$2:$LQ$60=O$3)*(GMW!$LP$2:$LP$60=O$4)*(GMW!$LR$2:$LR$60=O$1),0),$C203-1966)</f>
        <v>567396</v>
      </c>
      <c r="P203" s="4" cm="1">
        <f t="array" ref="P203">INDEX(GMW!$A$2:$LR$60,MATCH(1,(GMW!$LQ$2:$LQ$60=P$3)*(GMW!$LP$2:$LP$60=P$4)*(GMW!$LR$2:$LR$60=P$1),0),$C203-1966)</f>
        <v>567396</v>
      </c>
      <c r="Q203" s="4" cm="1">
        <f t="array" ref="Q203">INDEX(GMW!$A$2:$LR$60,MATCH(1,(GMW!$LQ$2:$LQ$60=Q$3)*(GMW!$LP$2:$LP$60=Q$4)*(GMW!$LR$2:$LR$60=Q$1),0),$C203-1966)</f>
        <v>567396</v>
      </c>
      <c r="R203" s="4" cm="1">
        <f t="array" ref="R203">INDEX(GMW!$A$2:$LR$60,MATCH(1,(GMW!$LQ$2:$LQ$60=R$3)*(GMW!$LP$2:$LP$60=R$4)*(GMW!$LR$2:$LR$60=R$1),0),$C203-1966)</f>
        <v>567396</v>
      </c>
      <c r="S203" s="4" cm="1">
        <f t="array" ref="S203">INDEX(GMW!$A$2:$LR$60,MATCH(1,(GMW!$LQ$2:$LQ$60=S$3)*(GMW!$LP$2:$LP$60=S$4)*(GMW!$LR$2:$LR$60=S$1),0),$C203-1966)</f>
        <v>567396</v>
      </c>
      <c r="T203" s="4" cm="1">
        <f t="array" ref="T203">INDEX(GMW!$A$2:$LR$60,MATCH(1,(GMW!$LQ$2:$LQ$60=T$3)*(GMW!$LP$2:$LP$60=T$4)*(GMW!$LR$2:$LR$60=T$1),0),$C203-1966)</f>
        <v>567396</v>
      </c>
      <c r="U203" s="4" cm="1">
        <f t="array" ref="U203">INDEX(GMW!$A$2:$LR$60,MATCH(1,(GMW!$LQ$2:$LQ$60=U$3)*(GMW!$LP$2:$LP$60=U$4)*(GMW!$LR$2:$LR$60=U$1),0),$C203-1966)</f>
        <v>602.33330000000001</v>
      </c>
      <c r="V203" s="4" cm="1">
        <f t="array" ref="V203">INDEX(GMW!$A$2:$LR$60,MATCH(1,(GMW!$LQ$2:$LQ$60=V$3)*(GMW!$LP$2:$LP$60=V$4)*(GMW!$LR$2:$LR$60=V$1),0),$C203-1966)</f>
        <v>115.9333</v>
      </c>
      <c r="W203" s="4" cm="1">
        <f t="array" ref="W203">INDEX(GMW!$A$2:$LR$60,MATCH(1,(GMW!$LQ$2:$LQ$60=W$3)*(GMW!$LP$2:$LP$60=W$4)*(GMW!$LR$2:$LR$60=W$1),0),$C203-1966)</f>
        <v>112.8</v>
      </c>
      <c r="X203" s="4" cm="1">
        <f t="array" ref="X203">INDEX(GMW!$A$2:$LR$60,MATCH(1,(GMW!$LQ$2:$LQ$60=X$3)*(GMW!$LP$2:$LP$60=X$4)*(GMW!$LR$2:$LR$60=X$1),0),$C203-1966)</f>
        <v>136.33330000000001</v>
      </c>
      <c r="Y203" s="4" cm="1">
        <f t="array" ref="Y203">INDEX(GMW!$A$2:$LR$60,MATCH(1,(GMW!$LQ$2:$LQ$60=Y$3)*(GMW!$LP$2:$LP$60=Y$4)*(GMW!$LR$2:$LR$60=Y$1),0),$C203-1966)</f>
        <v>125.2333</v>
      </c>
      <c r="Z203" s="4" cm="1">
        <f t="array" ref="Z203">INDEX(GMW!$A$2:$LR$60,MATCH(1,(GMW!$LQ$2:$LQ$60=Z$3)*(GMW!$LP$2:$LP$60=Z$4)*(GMW!$LR$2:$LR$60=Z$1),0),$C203-1966)</f>
        <v>115.33329999999999</v>
      </c>
      <c r="AA203" s="4" cm="1">
        <f t="array" ref="AA203">INDEX(GMW!$A$2:$LR$60,MATCH(1,(GMW!$LQ$2:$LQ$60=AA$3)*(GMW!$LP$2:$LP$60=AA$4)*(GMW!$LR$2:$LR$60=AA$1),0),$C203-1966)</f>
        <v>338499</v>
      </c>
      <c r="AB203" s="4" cm="1">
        <f t="array" ref="AB203">INDEX(GMW!$A$2:$LR$60,MATCH(1,(GMW!$LQ$2:$LQ$60=AB$3)*(GMW!$LP$2:$LP$60=AB$4)*(GMW!$LR$2:$LR$60=AB$1),0),$C203-1966)</f>
        <v>103833</v>
      </c>
      <c r="AC203" s="4" cm="1">
        <f t="array" ref="AC203">INDEX(GMW!$A$2:$LR$60,MATCH(1,(GMW!$LQ$2:$LQ$60=AC$3)*(GMW!$LP$2:$LP$60=AC$4)*(GMW!$LR$2:$LR$60=AC$1),0),$C203-1966)</f>
        <v>117600</v>
      </c>
      <c r="AD203" s="4" cm="1">
        <f t="array" ref="AD203">INDEX(GMW!$A$2:$LR$60,MATCH(1,(GMW!$LQ$2:$LQ$60=AD$3)*(GMW!$LP$2:$LP$60=AD$4)*(GMW!$LR$2:$LR$60=AD$1),0),$C203-1966)</f>
        <v>162165</v>
      </c>
      <c r="AE203" s="4" cm="1">
        <f t="array" ref="AE203">INDEX(GMW!$A$2:$LR$60,MATCH(1,(GMW!$LQ$2:$LQ$60=AE$3)*(GMW!$LP$2:$LP$60=AE$4)*(GMW!$LR$2:$LR$60=AE$1),0),$C203-1966)</f>
        <v>188489</v>
      </c>
      <c r="AF203" s="4" cm="1">
        <f t="array" ref="AF203">INDEX(GMW!$A$2:$LR$60,MATCH(1,(GMW!$LQ$2:$LQ$60=AF$3)*(GMW!$LP$2:$LP$60=AF$4)*(GMW!$LR$2:$LR$60=AF$1),0),$C203-1966)</f>
        <v>1.562864</v>
      </c>
      <c r="AG203" s="4" cm="1">
        <f t="array" ref="AG203">INDEX(GMW!$A$2:$LR$60,MATCH(1,(GMW!$LQ$2:$LQ$60=AG$3)*(GMW!$LP$2:$LP$60=AG$4)*(GMW!$LR$2:$LR$60=AG$1),0),$C203-1966)</f>
        <v>1.5181469999999999</v>
      </c>
    </row>
    <row r="204" spans="1:33" x14ac:dyDescent="0.25">
      <c r="B204" s="4">
        <f t="shared" ref="B204:B267" si="7">B200+1</f>
        <v>2022</v>
      </c>
      <c r="C204" s="4">
        <f t="shared" si="6"/>
        <v>2170</v>
      </c>
      <c r="D204" s="4" cm="1">
        <f t="array" ref="D204">INDEX(GMW!$A$2:$LR$60,MATCH(1,(GMW!$LQ$2:$LQ$60=D$3)*(GMW!$LP$2:$LP$60=D$4)*(GMW!$LR$2:$LR$60=D$1),0),$C204-1966)</f>
        <v>567889</v>
      </c>
      <c r="E204" s="4" cm="1">
        <f t="array" ref="E204">INDEX(GMW!$A$2:$LR$60,MATCH(1,(GMW!$LQ$2:$LQ$60=E$3)*(GMW!$LP$2:$LP$60=E$4)*(GMW!$LR$2:$LR$60=E$1),0),$C204-1966)</f>
        <v>567889</v>
      </c>
      <c r="F204" s="4" cm="1">
        <f t="array" ref="F204">INDEX(GMW!$A$2:$LR$60,MATCH(1,(GMW!$LQ$2:$LQ$60=F$3)*(GMW!$LP$2:$LP$60=F$4)*(GMW!$LR$2:$LR$60=F$1),0),$C204-1966)</f>
        <v>567889</v>
      </c>
      <c r="G204" s="4" cm="1">
        <f t="array" ref="G204">INDEX(GMW!$A$2:$LR$60,MATCH(1,(GMW!$LQ$2:$LQ$60=G$3)*(GMW!$LP$2:$LP$60=G$4)*(GMW!$LR$2:$LR$60=G$1),0),$C204-1966)</f>
        <v>567889</v>
      </c>
      <c r="H204" s="4" cm="1">
        <f t="array" ref="H204">INDEX(GMW!$A$2:$LR$60,MATCH(1,(GMW!$LQ$2:$LQ$60=H$3)*(GMW!$LP$2:$LP$60=H$4)*(GMW!$LR$2:$LR$60=H$1),0),$C204-1966)</f>
        <v>567889</v>
      </c>
      <c r="I204" s="4" cm="1">
        <f t="array" ref="I204">INDEX(GMW!$A$2:$LR$60,MATCH(1,(GMW!$LQ$2:$LQ$60=I$3)*(GMW!$LP$2:$LP$60=I$4)*(GMW!$LR$2:$LR$60=I$1),0),$C204-1966)</f>
        <v>567889</v>
      </c>
      <c r="J204" s="4" cm="1">
        <f t="array" ref="J204">INDEX(GMW!$A$2:$LR$60,MATCH(1,(GMW!$LQ$2:$LQ$60=J$3)*(GMW!$LP$2:$LP$60=J$4)*(GMW!$LR$2:$LR$60=J$1),0),$C204-1966)</f>
        <v>567889</v>
      </c>
      <c r="K204" s="4" cm="1">
        <f t="array" ref="K204">INDEX(GMW!$A$2:$LR$60,MATCH(1,(GMW!$LQ$2:$LQ$60=K$3)*(GMW!$LP$2:$LP$60=K$4)*(GMW!$LR$2:$LR$60=K$1),0),$C204-1966)</f>
        <v>567889</v>
      </c>
      <c r="L204" s="4" cm="1">
        <f t="array" ref="L204">INDEX(GMW!$A$2:$LR$60,MATCH(1,(GMW!$LQ$2:$LQ$60=L$3)*(GMW!$LP$2:$LP$60=L$4)*(GMW!$LR$2:$LR$60=L$1),0),$C204-1966)</f>
        <v>567889</v>
      </c>
      <c r="M204" s="4" cm="1">
        <f t="array" ref="M204">INDEX(GMW!$A$2:$LR$60,MATCH(1,(GMW!$LQ$2:$LQ$60=M$3)*(GMW!$LP$2:$LP$60=M$4)*(GMW!$LR$2:$LR$60=M$1),0),$C204-1966)</f>
        <v>567889</v>
      </c>
      <c r="N204" s="4" cm="1">
        <f t="array" ref="N204">INDEX(GMW!$A$2:$LR$60,MATCH(1,(GMW!$LQ$2:$LQ$60=N$3)*(GMW!$LP$2:$LP$60=N$4)*(GMW!$LR$2:$LR$60=N$1),0),$C204-1966)</f>
        <v>567889</v>
      </c>
      <c r="O204" s="4" cm="1">
        <f t="array" ref="O204">INDEX(GMW!$A$2:$LR$60,MATCH(1,(GMW!$LQ$2:$LQ$60=O$3)*(GMW!$LP$2:$LP$60=O$4)*(GMW!$LR$2:$LR$60=O$1),0),$C204-1966)</f>
        <v>567889</v>
      </c>
      <c r="P204" s="4" cm="1">
        <f t="array" ref="P204">INDEX(GMW!$A$2:$LR$60,MATCH(1,(GMW!$LQ$2:$LQ$60=P$3)*(GMW!$LP$2:$LP$60=P$4)*(GMW!$LR$2:$LR$60=P$1),0),$C204-1966)</f>
        <v>567889</v>
      </c>
      <c r="Q204" s="4" cm="1">
        <f t="array" ref="Q204">INDEX(GMW!$A$2:$LR$60,MATCH(1,(GMW!$LQ$2:$LQ$60=Q$3)*(GMW!$LP$2:$LP$60=Q$4)*(GMW!$LR$2:$LR$60=Q$1),0),$C204-1966)</f>
        <v>567889</v>
      </c>
      <c r="R204" s="4" cm="1">
        <f t="array" ref="R204">INDEX(GMW!$A$2:$LR$60,MATCH(1,(GMW!$LQ$2:$LQ$60=R$3)*(GMW!$LP$2:$LP$60=R$4)*(GMW!$LR$2:$LR$60=R$1),0),$C204-1966)</f>
        <v>567889</v>
      </c>
      <c r="S204" s="4" cm="1">
        <f t="array" ref="S204">INDEX(GMW!$A$2:$LR$60,MATCH(1,(GMW!$LQ$2:$LQ$60=S$3)*(GMW!$LP$2:$LP$60=S$4)*(GMW!$LR$2:$LR$60=S$1),0),$C204-1966)</f>
        <v>567889</v>
      </c>
      <c r="T204" s="4" cm="1">
        <f t="array" ref="T204">INDEX(GMW!$A$2:$LR$60,MATCH(1,(GMW!$LQ$2:$LQ$60=T$3)*(GMW!$LP$2:$LP$60=T$4)*(GMW!$LR$2:$LR$60=T$1),0),$C204-1966)</f>
        <v>567889</v>
      </c>
      <c r="U204" s="4" cm="1">
        <f t="array" ref="U204">INDEX(GMW!$A$2:$LR$60,MATCH(1,(GMW!$LQ$2:$LQ$60=U$3)*(GMW!$LP$2:$LP$60=U$4)*(GMW!$LR$2:$LR$60=U$1),0),$C204-1966)</f>
        <v>607.66669999999999</v>
      </c>
      <c r="V204" s="4" cm="1">
        <f t="array" ref="V204">INDEX(GMW!$A$2:$LR$60,MATCH(1,(GMW!$LQ$2:$LQ$60=V$3)*(GMW!$LP$2:$LP$60=V$4)*(GMW!$LR$2:$LR$60=V$1),0),$C204-1966)</f>
        <v>120.86669999999999</v>
      </c>
      <c r="W204" s="4" cm="1">
        <f t="array" ref="W204">INDEX(GMW!$A$2:$LR$60,MATCH(1,(GMW!$LQ$2:$LQ$60=W$3)*(GMW!$LP$2:$LP$60=W$4)*(GMW!$LR$2:$LR$60=W$1),0),$C204-1966)</f>
        <v>115.86669999999999</v>
      </c>
      <c r="X204" s="4" cm="1">
        <f t="array" ref="X204">INDEX(GMW!$A$2:$LR$60,MATCH(1,(GMW!$LQ$2:$LQ$60=X$3)*(GMW!$LP$2:$LP$60=X$4)*(GMW!$LR$2:$LR$60=X$1),0),$C204-1966)</f>
        <v>155.6</v>
      </c>
      <c r="Y204" s="4" cm="1">
        <f t="array" ref="Y204">INDEX(GMW!$A$2:$LR$60,MATCH(1,(GMW!$LQ$2:$LQ$60=Y$3)*(GMW!$LP$2:$LP$60=Y$4)*(GMW!$LR$2:$LR$60=Y$1),0),$C204-1966)</f>
        <v>187.26669999999999</v>
      </c>
      <c r="Z204" s="4" cm="1">
        <f t="array" ref="Z204">INDEX(GMW!$A$2:$LR$60,MATCH(1,(GMW!$LQ$2:$LQ$60=Z$3)*(GMW!$LP$2:$LP$60=Z$4)*(GMW!$LR$2:$LR$60=Z$1),0),$C204-1966)</f>
        <v>117.66670000000001</v>
      </c>
      <c r="AA204" s="4" cm="1">
        <f t="array" ref="AA204">INDEX(GMW!$A$2:$LR$60,MATCH(1,(GMW!$LQ$2:$LQ$60=AA$3)*(GMW!$LP$2:$LP$60=AA$4)*(GMW!$LR$2:$LR$60=AA$1),0),$C204-1966)</f>
        <v>339607</v>
      </c>
      <c r="AB204" s="4" cm="1">
        <f t="array" ref="AB204">INDEX(GMW!$A$2:$LR$60,MATCH(1,(GMW!$LQ$2:$LQ$60=AB$3)*(GMW!$LP$2:$LP$60=AB$4)*(GMW!$LR$2:$LR$60=AB$1),0),$C204-1966)</f>
        <v>104294</v>
      </c>
      <c r="AC204" s="4" cm="1">
        <f t="array" ref="AC204">INDEX(GMW!$A$2:$LR$60,MATCH(1,(GMW!$LQ$2:$LQ$60=AC$3)*(GMW!$LP$2:$LP$60=AC$4)*(GMW!$LR$2:$LR$60=AC$1),0),$C204-1966)</f>
        <v>114550</v>
      </c>
      <c r="AD204" s="4" cm="1">
        <f t="array" ref="AD204">INDEX(GMW!$A$2:$LR$60,MATCH(1,(GMW!$LQ$2:$LQ$60=AD$3)*(GMW!$LP$2:$LP$60=AD$4)*(GMW!$LR$2:$LR$60=AD$1),0),$C204-1966)</f>
        <v>171586</v>
      </c>
      <c r="AE204" s="4" cm="1">
        <f t="array" ref="AE204">INDEX(GMW!$A$2:$LR$60,MATCH(1,(GMW!$LQ$2:$LQ$60=AE$3)*(GMW!$LP$2:$LP$60=AE$4)*(GMW!$LR$2:$LR$60=AE$1),0),$C204-1966)</f>
        <v>192205</v>
      </c>
      <c r="AF204" s="4" cm="1">
        <f t="array" ref="AF204">INDEX(GMW!$A$2:$LR$60,MATCH(1,(GMW!$LQ$2:$LQ$60=AF$3)*(GMW!$LP$2:$LP$60=AF$4)*(GMW!$LR$2:$LR$60=AF$1),0),$C204-1966)</f>
        <v>2.3736320000000002</v>
      </c>
      <c r="AG204" s="4" cm="1">
        <f t="array" ref="AG204">INDEX(GMW!$A$2:$LR$60,MATCH(1,(GMW!$LQ$2:$LQ$60=AG$3)*(GMW!$LP$2:$LP$60=AG$4)*(GMW!$LR$2:$LR$60=AG$1),0),$C204-1966)</f>
        <v>2.2661720000000001</v>
      </c>
    </row>
    <row r="205" spans="1:33" x14ac:dyDescent="0.25">
      <c r="B205" s="4">
        <f t="shared" si="7"/>
        <v>2022</v>
      </c>
      <c r="C205" s="4">
        <f t="shared" si="6"/>
        <v>2171</v>
      </c>
      <c r="D205" s="4" cm="1">
        <f t="array" ref="D205">INDEX(GMW!$A$2:$LR$60,MATCH(1,(GMW!$LQ$2:$LQ$60=D$3)*(GMW!$LP$2:$LP$60=D$4)*(GMW!$LR$2:$LR$60=D$1),0),$C205-1966)</f>
        <v>567445</v>
      </c>
      <c r="E205" s="4" cm="1">
        <f t="array" ref="E205">INDEX(GMW!$A$2:$LR$60,MATCH(1,(GMW!$LQ$2:$LQ$60=E$3)*(GMW!$LP$2:$LP$60=E$4)*(GMW!$LR$2:$LR$60=E$1),0),$C205-1966)</f>
        <v>567445</v>
      </c>
      <c r="F205" s="4" cm="1">
        <f t="array" ref="F205">INDEX(GMW!$A$2:$LR$60,MATCH(1,(GMW!$LQ$2:$LQ$60=F$3)*(GMW!$LP$2:$LP$60=F$4)*(GMW!$LR$2:$LR$60=F$1),0),$C205-1966)</f>
        <v>567445</v>
      </c>
      <c r="G205" s="4" cm="1">
        <f t="array" ref="G205">INDEX(GMW!$A$2:$LR$60,MATCH(1,(GMW!$LQ$2:$LQ$60=G$3)*(GMW!$LP$2:$LP$60=G$4)*(GMW!$LR$2:$LR$60=G$1),0),$C205-1966)</f>
        <v>567445</v>
      </c>
      <c r="H205" s="4" cm="1">
        <f t="array" ref="H205">INDEX(GMW!$A$2:$LR$60,MATCH(1,(GMW!$LQ$2:$LQ$60=H$3)*(GMW!$LP$2:$LP$60=H$4)*(GMW!$LR$2:$LR$60=H$1),0),$C205-1966)</f>
        <v>567445</v>
      </c>
      <c r="I205" s="4" cm="1">
        <f t="array" ref="I205">INDEX(GMW!$A$2:$LR$60,MATCH(1,(GMW!$LQ$2:$LQ$60=I$3)*(GMW!$LP$2:$LP$60=I$4)*(GMW!$LR$2:$LR$60=I$1),0),$C205-1966)</f>
        <v>567445</v>
      </c>
      <c r="J205" s="4" cm="1">
        <f t="array" ref="J205">INDEX(GMW!$A$2:$LR$60,MATCH(1,(GMW!$LQ$2:$LQ$60=J$3)*(GMW!$LP$2:$LP$60=J$4)*(GMW!$LR$2:$LR$60=J$1),0),$C205-1966)</f>
        <v>567445</v>
      </c>
      <c r="K205" s="4" cm="1">
        <f t="array" ref="K205">INDEX(GMW!$A$2:$LR$60,MATCH(1,(GMW!$LQ$2:$LQ$60=K$3)*(GMW!$LP$2:$LP$60=K$4)*(GMW!$LR$2:$LR$60=K$1),0),$C205-1966)</f>
        <v>567445</v>
      </c>
      <c r="L205" s="4" cm="1">
        <f t="array" ref="L205">INDEX(GMW!$A$2:$LR$60,MATCH(1,(GMW!$LQ$2:$LQ$60=L$3)*(GMW!$LP$2:$LP$60=L$4)*(GMW!$LR$2:$LR$60=L$1),0),$C205-1966)</f>
        <v>567445</v>
      </c>
      <c r="M205" s="4" cm="1">
        <f t="array" ref="M205">INDEX(GMW!$A$2:$LR$60,MATCH(1,(GMW!$LQ$2:$LQ$60=M$3)*(GMW!$LP$2:$LP$60=M$4)*(GMW!$LR$2:$LR$60=M$1),0),$C205-1966)</f>
        <v>567445</v>
      </c>
      <c r="N205" s="4" cm="1">
        <f t="array" ref="N205">INDEX(GMW!$A$2:$LR$60,MATCH(1,(GMW!$LQ$2:$LQ$60=N$3)*(GMW!$LP$2:$LP$60=N$4)*(GMW!$LR$2:$LR$60=N$1),0),$C205-1966)</f>
        <v>567445</v>
      </c>
      <c r="O205" s="4" cm="1">
        <f t="array" ref="O205">INDEX(GMW!$A$2:$LR$60,MATCH(1,(GMW!$LQ$2:$LQ$60=O$3)*(GMW!$LP$2:$LP$60=O$4)*(GMW!$LR$2:$LR$60=O$1),0),$C205-1966)</f>
        <v>567445</v>
      </c>
      <c r="P205" s="4" cm="1">
        <f t="array" ref="P205">INDEX(GMW!$A$2:$LR$60,MATCH(1,(GMW!$LQ$2:$LQ$60=P$3)*(GMW!$LP$2:$LP$60=P$4)*(GMW!$LR$2:$LR$60=P$1),0),$C205-1966)</f>
        <v>567445</v>
      </c>
      <c r="Q205" s="4" cm="1">
        <f t="array" ref="Q205">INDEX(GMW!$A$2:$LR$60,MATCH(1,(GMW!$LQ$2:$LQ$60=Q$3)*(GMW!$LP$2:$LP$60=Q$4)*(GMW!$LR$2:$LR$60=Q$1),0),$C205-1966)</f>
        <v>567445</v>
      </c>
      <c r="R205" s="4" cm="1">
        <f t="array" ref="R205">INDEX(GMW!$A$2:$LR$60,MATCH(1,(GMW!$LQ$2:$LQ$60=R$3)*(GMW!$LP$2:$LP$60=R$4)*(GMW!$LR$2:$LR$60=R$1),0),$C205-1966)</f>
        <v>567445</v>
      </c>
      <c r="S205" s="4" cm="1">
        <f t="array" ref="S205">INDEX(GMW!$A$2:$LR$60,MATCH(1,(GMW!$LQ$2:$LQ$60=S$3)*(GMW!$LP$2:$LP$60=S$4)*(GMW!$LR$2:$LR$60=S$1),0),$C205-1966)</f>
        <v>567445</v>
      </c>
      <c r="T205" s="4" cm="1">
        <f t="array" ref="T205">INDEX(GMW!$A$2:$LR$60,MATCH(1,(GMW!$LQ$2:$LQ$60=T$3)*(GMW!$LP$2:$LP$60=T$4)*(GMW!$LR$2:$LR$60=T$1),0),$C205-1966)</f>
        <v>567445</v>
      </c>
      <c r="U205" s="4" cm="1">
        <f t="array" ref="U205">INDEX(GMW!$A$2:$LR$60,MATCH(1,(GMW!$LQ$2:$LQ$60=U$3)*(GMW!$LP$2:$LP$60=U$4)*(GMW!$LR$2:$LR$60=U$1),0),$C205-1966)</f>
        <v>618</v>
      </c>
      <c r="V205" s="4" cm="1">
        <f t="array" ref="V205">INDEX(GMW!$A$2:$LR$60,MATCH(1,(GMW!$LQ$2:$LQ$60=V$3)*(GMW!$LP$2:$LP$60=V$4)*(GMW!$LR$2:$LR$60=V$1),0),$C205-1966)</f>
        <v>123.13330000000001</v>
      </c>
      <c r="W205" s="4" cm="1">
        <f t="array" ref="W205">INDEX(GMW!$A$2:$LR$60,MATCH(1,(GMW!$LQ$2:$LQ$60=W$3)*(GMW!$LP$2:$LP$60=W$4)*(GMW!$LR$2:$LR$60=W$1),0),$C205-1966)</f>
        <v>120.2</v>
      </c>
      <c r="X205" s="4" cm="1">
        <f t="array" ref="X205">INDEX(GMW!$A$2:$LR$60,MATCH(1,(GMW!$LQ$2:$LQ$60=X$3)*(GMW!$LP$2:$LP$60=X$4)*(GMW!$LR$2:$LR$60=X$1),0),$C205-1966)</f>
        <v>161.16669999999999</v>
      </c>
      <c r="Y205" s="4" cm="1">
        <f t="array" ref="Y205">INDEX(GMW!$A$2:$LR$60,MATCH(1,(GMW!$LQ$2:$LQ$60=Y$3)*(GMW!$LP$2:$LP$60=Y$4)*(GMW!$LR$2:$LR$60=Y$1),0),$C205-1966)</f>
        <v>187.9</v>
      </c>
      <c r="Z205" s="4" cm="1">
        <f t="array" ref="Z205">INDEX(GMW!$A$2:$LR$60,MATCH(1,(GMW!$LQ$2:$LQ$60=Z$3)*(GMW!$LP$2:$LP$60=Z$4)*(GMW!$LR$2:$LR$60=Z$1),0),$C205-1966)</f>
        <v>119.4333</v>
      </c>
      <c r="AA205" s="4" cm="1">
        <f t="array" ref="AA205">INDEX(GMW!$A$2:$LR$60,MATCH(1,(GMW!$LQ$2:$LQ$60=AA$3)*(GMW!$LP$2:$LP$60=AA$4)*(GMW!$LR$2:$LR$60=AA$1),0),$C205-1966)</f>
        <v>336390</v>
      </c>
      <c r="AB205" s="4" cm="1">
        <f t="array" ref="AB205">INDEX(GMW!$A$2:$LR$60,MATCH(1,(GMW!$LQ$2:$LQ$60=AB$3)*(GMW!$LP$2:$LP$60=AB$4)*(GMW!$LR$2:$LR$60=AB$1),0),$C205-1966)</f>
        <v>106086</v>
      </c>
      <c r="AC205" s="4" cm="1">
        <f t="array" ref="AC205">INDEX(GMW!$A$2:$LR$60,MATCH(1,(GMW!$LQ$2:$LQ$60=AC$3)*(GMW!$LP$2:$LP$60=AC$4)*(GMW!$LR$2:$LR$60=AC$1),0),$C205-1966)</f>
        <v>115094</v>
      </c>
      <c r="AD205" s="4" cm="1">
        <f t="array" ref="AD205">INDEX(GMW!$A$2:$LR$60,MATCH(1,(GMW!$LQ$2:$LQ$60=AD$3)*(GMW!$LP$2:$LP$60=AD$4)*(GMW!$LR$2:$LR$60=AD$1),0),$C205-1966)</f>
        <v>190525</v>
      </c>
      <c r="AE205" s="4" cm="1">
        <f t="array" ref="AE205">INDEX(GMW!$A$2:$LR$60,MATCH(1,(GMW!$LQ$2:$LQ$60=AE$3)*(GMW!$LP$2:$LP$60=AE$4)*(GMW!$LR$2:$LR$60=AE$1),0),$C205-1966)</f>
        <v>186157</v>
      </c>
      <c r="AF205" s="4" cm="1">
        <f t="array" ref="AF205">INDEX(GMW!$A$2:$LR$60,MATCH(1,(GMW!$LQ$2:$LQ$60=AF$3)*(GMW!$LP$2:$LP$60=AF$4)*(GMW!$LR$2:$LR$60=AF$1),0),$C205-1966)</f>
        <v>3.443794</v>
      </c>
      <c r="AG205" s="4" cm="1">
        <f t="array" ref="AG205">INDEX(GMW!$A$2:$LR$60,MATCH(1,(GMW!$LQ$2:$LQ$60=AG$3)*(GMW!$LP$2:$LP$60=AG$4)*(GMW!$LR$2:$LR$60=AG$1),0),$C205-1966)</f>
        <v>3.0635319999999999</v>
      </c>
    </row>
    <row r="206" spans="1:33" x14ac:dyDescent="0.25">
      <c r="B206" s="4">
        <f t="shared" si="7"/>
        <v>2022</v>
      </c>
      <c r="C206" s="4">
        <f t="shared" si="6"/>
        <v>2172</v>
      </c>
      <c r="D206" s="4" cm="1">
        <f t="array" ref="D206">INDEX(GMW!$A$2:$LR$60,MATCH(1,(GMW!$LQ$2:$LQ$60=D$3)*(GMW!$LP$2:$LP$60=D$4)*(GMW!$LR$2:$LR$60=D$1),0),$C206-1966)</f>
        <v>568034</v>
      </c>
      <c r="E206" s="4" cm="1">
        <f t="array" ref="E206">INDEX(GMW!$A$2:$LR$60,MATCH(1,(GMW!$LQ$2:$LQ$60=E$3)*(GMW!$LP$2:$LP$60=E$4)*(GMW!$LR$2:$LR$60=E$1),0),$C206-1966)</f>
        <v>568034</v>
      </c>
      <c r="F206" s="4" cm="1">
        <f t="array" ref="F206">INDEX(GMW!$A$2:$LR$60,MATCH(1,(GMW!$LQ$2:$LQ$60=F$3)*(GMW!$LP$2:$LP$60=F$4)*(GMW!$LR$2:$LR$60=F$1),0),$C206-1966)</f>
        <v>568034</v>
      </c>
      <c r="G206" s="4" cm="1">
        <f t="array" ref="G206">INDEX(GMW!$A$2:$LR$60,MATCH(1,(GMW!$LQ$2:$LQ$60=G$3)*(GMW!$LP$2:$LP$60=G$4)*(GMW!$LR$2:$LR$60=G$1),0),$C206-1966)</f>
        <v>568034</v>
      </c>
      <c r="H206" s="4" cm="1">
        <f t="array" ref="H206">INDEX(GMW!$A$2:$LR$60,MATCH(1,(GMW!$LQ$2:$LQ$60=H$3)*(GMW!$LP$2:$LP$60=H$4)*(GMW!$LR$2:$LR$60=H$1),0),$C206-1966)</f>
        <v>568034</v>
      </c>
      <c r="I206" s="4" cm="1">
        <f t="array" ref="I206">INDEX(GMW!$A$2:$LR$60,MATCH(1,(GMW!$LQ$2:$LQ$60=I$3)*(GMW!$LP$2:$LP$60=I$4)*(GMW!$LR$2:$LR$60=I$1),0),$C206-1966)</f>
        <v>568034</v>
      </c>
      <c r="J206" s="4" cm="1">
        <f t="array" ref="J206">INDEX(GMW!$A$2:$LR$60,MATCH(1,(GMW!$LQ$2:$LQ$60=J$3)*(GMW!$LP$2:$LP$60=J$4)*(GMW!$LR$2:$LR$60=J$1),0),$C206-1966)</f>
        <v>568034</v>
      </c>
      <c r="K206" s="4" cm="1">
        <f t="array" ref="K206">INDEX(GMW!$A$2:$LR$60,MATCH(1,(GMW!$LQ$2:$LQ$60=K$3)*(GMW!$LP$2:$LP$60=K$4)*(GMW!$LR$2:$LR$60=K$1),0),$C206-1966)</f>
        <v>568034</v>
      </c>
      <c r="L206" s="4" cm="1">
        <f t="array" ref="L206">INDEX(GMW!$A$2:$LR$60,MATCH(1,(GMW!$LQ$2:$LQ$60=L$3)*(GMW!$LP$2:$LP$60=L$4)*(GMW!$LR$2:$LR$60=L$1),0),$C206-1966)</f>
        <v>568034</v>
      </c>
      <c r="M206" s="4" cm="1">
        <f t="array" ref="M206">INDEX(GMW!$A$2:$LR$60,MATCH(1,(GMW!$LQ$2:$LQ$60=M$3)*(GMW!$LP$2:$LP$60=M$4)*(GMW!$LR$2:$LR$60=M$1),0),$C206-1966)</f>
        <v>568034</v>
      </c>
      <c r="N206" s="4" cm="1">
        <f t="array" ref="N206">INDEX(GMW!$A$2:$LR$60,MATCH(1,(GMW!$LQ$2:$LQ$60=N$3)*(GMW!$LP$2:$LP$60=N$4)*(GMW!$LR$2:$LR$60=N$1),0),$C206-1966)</f>
        <v>568034</v>
      </c>
      <c r="O206" s="4" cm="1">
        <f t="array" ref="O206">INDEX(GMW!$A$2:$LR$60,MATCH(1,(GMW!$LQ$2:$LQ$60=O$3)*(GMW!$LP$2:$LP$60=O$4)*(GMW!$LR$2:$LR$60=O$1),0),$C206-1966)</f>
        <v>568034</v>
      </c>
      <c r="P206" s="4" cm="1">
        <f t="array" ref="P206">INDEX(GMW!$A$2:$LR$60,MATCH(1,(GMW!$LQ$2:$LQ$60=P$3)*(GMW!$LP$2:$LP$60=P$4)*(GMW!$LR$2:$LR$60=P$1),0),$C206-1966)</f>
        <v>568034</v>
      </c>
      <c r="Q206" s="4" cm="1">
        <f t="array" ref="Q206">INDEX(GMW!$A$2:$LR$60,MATCH(1,(GMW!$LQ$2:$LQ$60=Q$3)*(GMW!$LP$2:$LP$60=Q$4)*(GMW!$LR$2:$LR$60=Q$1),0),$C206-1966)</f>
        <v>568034</v>
      </c>
      <c r="R206" s="4" cm="1">
        <f t="array" ref="R206">INDEX(GMW!$A$2:$LR$60,MATCH(1,(GMW!$LQ$2:$LQ$60=R$3)*(GMW!$LP$2:$LP$60=R$4)*(GMW!$LR$2:$LR$60=R$1),0),$C206-1966)</f>
        <v>568034</v>
      </c>
      <c r="S206" s="4" cm="1">
        <f t="array" ref="S206">INDEX(GMW!$A$2:$LR$60,MATCH(1,(GMW!$LQ$2:$LQ$60=S$3)*(GMW!$LP$2:$LP$60=S$4)*(GMW!$LR$2:$LR$60=S$1),0),$C206-1966)</f>
        <v>568034</v>
      </c>
      <c r="T206" s="4" cm="1">
        <f t="array" ref="T206">INDEX(GMW!$A$2:$LR$60,MATCH(1,(GMW!$LQ$2:$LQ$60=T$3)*(GMW!$LP$2:$LP$60=T$4)*(GMW!$LR$2:$LR$60=T$1),0),$C206-1966)</f>
        <v>568034</v>
      </c>
      <c r="U206" s="4" cm="1">
        <f t="array" ref="U206">INDEX(GMW!$A$2:$LR$60,MATCH(1,(GMW!$LQ$2:$LQ$60=U$3)*(GMW!$LP$2:$LP$60=U$4)*(GMW!$LR$2:$LR$60=U$1),0),$C206-1966)</f>
        <v>630.33330000000001</v>
      </c>
      <c r="V206" s="4" cm="1">
        <f t="array" ref="V206">INDEX(GMW!$A$2:$LR$60,MATCH(1,(GMW!$LQ$2:$LQ$60=V$3)*(GMW!$LP$2:$LP$60=V$4)*(GMW!$LR$2:$LR$60=V$1),0),$C206-1966)</f>
        <v>126.7</v>
      </c>
      <c r="W206" s="4" cm="1">
        <f t="array" ref="W206">INDEX(GMW!$A$2:$LR$60,MATCH(1,(GMW!$LQ$2:$LQ$60=W$3)*(GMW!$LP$2:$LP$60=W$4)*(GMW!$LR$2:$LR$60=W$1),0),$C206-1966)</f>
        <v>124.3</v>
      </c>
      <c r="X206" s="4" cm="1">
        <f t="array" ref="X206">INDEX(GMW!$A$2:$LR$60,MATCH(1,(GMW!$LQ$2:$LQ$60=X$3)*(GMW!$LP$2:$LP$60=X$4)*(GMW!$LR$2:$LR$60=X$1),0),$C206-1966)</f>
        <v>150.5667</v>
      </c>
      <c r="Y206" s="4" cm="1">
        <f t="array" ref="Y206">INDEX(GMW!$A$2:$LR$60,MATCH(1,(GMW!$LQ$2:$LQ$60=Y$3)*(GMW!$LP$2:$LP$60=Y$4)*(GMW!$LR$2:$LR$60=Y$1),0),$C206-1966)</f>
        <v>234.16669999999999</v>
      </c>
      <c r="Z206" s="4" cm="1">
        <f t="array" ref="Z206">INDEX(GMW!$A$2:$LR$60,MATCH(1,(GMW!$LQ$2:$LQ$60=Z$3)*(GMW!$LP$2:$LP$60=Z$4)*(GMW!$LR$2:$LR$60=Z$1),0),$C206-1966)</f>
        <v>121.5</v>
      </c>
      <c r="AA206" s="4" cm="1">
        <f t="array" ref="AA206">INDEX(GMW!$A$2:$LR$60,MATCH(1,(GMW!$LQ$2:$LQ$60=AA$3)*(GMW!$LP$2:$LP$60=AA$4)*(GMW!$LR$2:$LR$60=AA$1),0),$C206-1966)</f>
        <v>336043</v>
      </c>
      <c r="AB206" s="4" cm="1">
        <f t="array" ref="AB206">INDEX(GMW!$A$2:$LR$60,MATCH(1,(GMW!$LQ$2:$LQ$60=AB$3)*(GMW!$LP$2:$LP$60=AB$4)*(GMW!$LR$2:$LR$60=AB$1),0),$C206-1966)</f>
        <v>106689</v>
      </c>
      <c r="AC206" s="4" cm="1">
        <f t="array" ref="AC206">INDEX(GMW!$A$2:$LR$60,MATCH(1,(GMW!$LQ$2:$LQ$60=AC$3)*(GMW!$LP$2:$LP$60=AC$4)*(GMW!$LR$2:$LR$60=AC$1),0),$C206-1966)</f>
        <v>114440</v>
      </c>
      <c r="AD206" s="4" cm="1">
        <f t="array" ref="AD206">INDEX(GMW!$A$2:$LR$60,MATCH(1,(GMW!$LQ$2:$LQ$60=AD$3)*(GMW!$LP$2:$LP$60=AD$4)*(GMW!$LR$2:$LR$60=AD$1),0),$C206-1966)</f>
        <v>191173</v>
      </c>
      <c r="AE206" s="4" cm="1">
        <f t="array" ref="AE206">INDEX(GMW!$A$2:$LR$60,MATCH(1,(GMW!$LQ$2:$LQ$60=AE$3)*(GMW!$LP$2:$LP$60=AE$4)*(GMW!$LR$2:$LR$60=AE$1),0),$C206-1966)</f>
        <v>187111</v>
      </c>
      <c r="AF206" s="4" cm="1">
        <f t="array" ref="AF206">INDEX(GMW!$A$2:$LR$60,MATCH(1,(GMW!$LQ$2:$LQ$60=AF$3)*(GMW!$LP$2:$LP$60=AF$4)*(GMW!$LR$2:$LR$60=AF$1),0),$C206-1966)</f>
        <v>4.5538879999999997</v>
      </c>
      <c r="AG206" s="4" cm="1">
        <f t="array" ref="AG206">INDEX(GMW!$A$2:$LR$60,MATCH(1,(GMW!$LQ$2:$LQ$60=AG$3)*(GMW!$LP$2:$LP$60=AG$4)*(GMW!$LR$2:$LR$60=AG$1),0),$C206-1966)</f>
        <v>4.1811449999999999</v>
      </c>
    </row>
    <row r="207" spans="1:33" x14ac:dyDescent="0.25">
      <c r="A207" s="4">
        <v>2023</v>
      </c>
      <c r="B207" s="4">
        <f t="shared" si="7"/>
        <v>2023</v>
      </c>
      <c r="C207" s="4">
        <f t="shared" si="6"/>
        <v>2173</v>
      </c>
      <c r="D207" s="4" cm="1">
        <f t="array" ref="D207">INDEX(GMW!$A$2:$LR$60,MATCH(1,(GMW!$LQ$2:$LQ$60=D$3)*(GMW!$LP$2:$LP$60=D$4)*(GMW!$LR$2:$LR$60=D$1),0),$C207-1966)</f>
        <v>569027</v>
      </c>
      <c r="E207" s="4" cm="1">
        <f t="array" ref="E207">INDEX(GMW!$A$2:$LR$60,MATCH(1,(GMW!$LQ$2:$LQ$60=E$3)*(GMW!$LP$2:$LP$60=E$4)*(GMW!$LR$2:$LR$60=E$1),0),$C207-1966)</f>
        <v>569472</v>
      </c>
      <c r="F207" s="4" cm="1">
        <f t="array" ref="F207">INDEX(GMW!$A$2:$LR$60,MATCH(1,(GMW!$LQ$2:$LQ$60=F$3)*(GMW!$LP$2:$LP$60=F$4)*(GMW!$LR$2:$LR$60=F$1),0),$C207-1966)</f>
        <v>569472</v>
      </c>
      <c r="G207" s="4" cm="1">
        <f t="array" ref="G207">INDEX(GMW!$A$2:$LR$60,MATCH(1,(GMW!$LQ$2:$LQ$60=G$3)*(GMW!$LP$2:$LP$60=G$4)*(GMW!$LR$2:$LR$60=G$1),0),$C207-1966)</f>
        <v>569472</v>
      </c>
      <c r="H207" s="4" cm="1">
        <f t="array" ref="H207">INDEX(GMW!$A$2:$LR$60,MATCH(1,(GMW!$LQ$2:$LQ$60=H$3)*(GMW!$LP$2:$LP$60=H$4)*(GMW!$LR$2:$LR$60=H$1),0),$C207-1966)</f>
        <v>569336</v>
      </c>
      <c r="I207" s="4" cm="1">
        <f t="array" ref="I207">INDEX(GMW!$A$2:$LR$60,MATCH(1,(GMW!$LQ$2:$LQ$60=I$3)*(GMW!$LP$2:$LP$60=I$4)*(GMW!$LR$2:$LR$60=I$1),0),$C207-1966)</f>
        <v>569336</v>
      </c>
      <c r="J207" s="4" cm="1">
        <f t="array" ref="J207">INDEX(GMW!$A$2:$LR$60,MATCH(1,(GMW!$LQ$2:$LQ$60=J$3)*(GMW!$LP$2:$LP$60=J$4)*(GMW!$LR$2:$LR$60=J$1),0),$C207-1966)</f>
        <v>569336</v>
      </c>
      <c r="K207" s="4" cm="1">
        <f t="array" ref="K207">INDEX(GMW!$A$2:$LR$60,MATCH(1,(GMW!$LQ$2:$LQ$60=K$3)*(GMW!$LP$2:$LP$60=K$4)*(GMW!$LR$2:$LR$60=K$1),0),$C207-1966)</f>
        <v>569027</v>
      </c>
      <c r="L207" s="4" cm="1">
        <f t="array" ref="L207">INDEX(GMW!$A$2:$LR$60,MATCH(1,(GMW!$LQ$2:$LQ$60=L$3)*(GMW!$LP$2:$LP$60=L$4)*(GMW!$LR$2:$LR$60=L$1),0),$C207-1966)</f>
        <v>569027</v>
      </c>
      <c r="M207" s="4" cm="1">
        <f t="array" ref="M207">INDEX(GMW!$A$2:$LR$60,MATCH(1,(GMW!$LQ$2:$LQ$60=M$3)*(GMW!$LP$2:$LP$60=M$4)*(GMW!$LR$2:$LR$60=M$1),0),$C207-1966)</f>
        <v>569027</v>
      </c>
      <c r="N207" s="4" cm="1">
        <f t="array" ref="N207">INDEX(GMW!$A$2:$LR$60,MATCH(1,(GMW!$LQ$2:$LQ$60=N$3)*(GMW!$LP$2:$LP$60=N$4)*(GMW!$LR$2:$LR$60=N$1),0),$C207-1966)</f>
        <v>569027</v>
      </c>
      <c r="O207" s="4" cm="1">
        <f t="array" ref="O207">INDEX(GMW!$A$2:$LR$60,MATCH(1,(GMW!$LQ$2:$LQ$60=O$3)*(GMW!$LP$2:$LP$60=O$4)*(GMW!$LR$2:$LR$60=O$1),0),$C207-1966)</f>
        <v>569027</v>
      </c>
      <c r="P207" s="4" cm="1">
        <f t="array" ref="P207">INDEX(GMW!$A$2:$LR$60,MATCH(1,(GMW!$LQ$2:$LQ$60=P$3)*(GMW!$LP$2:$LP$60=P$4)*(GMW!$LR$2:$LR$60=P$1),0),$C207-1966)</f>
        <v>569027</v>
      </c>
      <c r="Q207" s="4" cm="1">
        <f t="array" ref="Q207">INDEX(GMW!$A$2:$LR$60,MATCH(1,(GMW!$LQ$2:$LQ$60=Q$3)*(GMW!$LP$2:$LP$60=Q$4)*(GMW!$LR$2:$LR$60=Q$1),0),$C207-1966)</f>
        <v>569027</v>
      </c>
      <c r="R207" s="4" cm="1">
        <f t="array" ref="R207">INDEX(GMW!$A$2:$LR$60,MATCH(1,(GMW!$LQ$2:$LQ$60=R$3)*(GMW!$LP$2:$LP$60=R$4)*(GMW!$LR$2:$LR$60=R$1),0),$C207-1966)</f>
        <v>569027</v>
      </c>
      <c r="S207" s="4" cm="1">
        <f t="array" ref="S207">INDEX(GMW!$A$2:$LR$60,MATCH(1,(GMW!$LQ$2:$LQ$60=S$3)*(GMW!$LP$2:$LP$60=S$4)*(GMW!$LR$2:$LR$60=S$1),0),$C207-1966)</f>
        <v>569027</v>
      </c>
      <c r="T207" s="4" cm="1">
        <f t="array" ref="T207">INDEX(GMW!$A$2:$LR$60,MATCH(1,(GMW!$LQ$2:$LQ$60=T$3)*(GMW!$LP$2:$LP$60=T$4)*(GMW!$LR$2:$LR$60=T$1),0),$C207-1966)</f>
        <v>569027</v>
      </c>
      <c r="U207" s="4" cm="1">
        <f t="array" ref="U207">INDEX(GMW!$A$2:$LR$60,MATCH(1,(GMW!$LQ$2:$LQ$60=U$3)*(GMW!$LP$2:$LP$60=U$4)*(GMW!$LR$2:$LR$60=U$1),0),$C207-1966)</f>
        <v>640.33330000000001</v>
      </c>
      <c r="V207" s="4" cm="1">
        <f t="array" ref="V207">INDEX(GMW!$A$2:$LR$60,MATCH(1,(GMW!$LQ$2:$LQ$60=V$3)*(GMW!$LP$2:$LP$60=V$4)*(GMW!$LR$2:$LR$60=V$1),0),$C207-1966)</f>
        <v>127.7333</v>
      </c>
      <c r="W207" s="4" cm="1">
        <f t="array" ref="W207">INDEX(GMW!$A$2:$LR$60,MATCH(1,(GMW!$LQ$2:$LQ$60=W$3)*(GMW!$LP$2:$LP$60=W$4)*(GMW!$LR$2:$LR$60=W$1),0),$C207-1966)</f>
        <v>128.80000000000001</v>
      </c>
      <c r="X207" s="4" cm="1">
        <f t="array" ref="X207">INDEX(GMW!$A$2:$LR$60,MATCH(1,(GMW!$LQ$2:$LQ$60=X$3)*(GMW!$LP$2:$LP$60=X$4)*(GMW!$LR$2:$LR$60=X$1),0),$C207-1966)</f>
        <v>138.83330000000001</v>
      </c>
      <c r="Y207" s="4" cm="1">
        <f t="array" ref="Y207">INDEX(GMW!$A$2:$LR$60,MATCH(1,(GMW!$LQ$2:$LQ$60=Y$3)*(GMW!$LP$2:$LP$60=Y$4)*(GMW!$LR$2:$LR$60=Y$1),0),$C207-1966)</f>
        <v>235.23330000000001</v>
      </c>
      <c r="Z207" s="4" cm="1">
        <f t="array" ref="Z207">INDEX(GMW!$A$2:$LR$60,MATCH(1,(GMW!$LQ$2:$LQ$60=Z$3)*(GMW!$LP$2:$LP$60=Z$4)*(GMW!$LR$2:$LR$60=Z$1),0),$C207-1966)</f>
        <v>122.3</v>
      </c>
      <c r="AA207" s="4" cm="1">
        <f t="array" ref="AA207">INDEX(GMW!$A$2:$LR$60,MATCH(1,(GMW!$LQ$2:$LQ$60=AA$3)*(GMW!$LP$2:$LP$60=AA$4)*(GMW!$LR$2:$LR$60=AA$1),0),$C207-1966)</f>
        <v>338991</v>
      </c>
      <c r="AB207" s="4" cm="1">
        <f t="array" ref="AB207">INDEX(GMW!$A$2:$LR$60,MATCH(1,(GMW!$LQ$2:$LQ$60=AB$3)*(GMW!$LP$2:$LP$60=AB$4)*(GMW!$LR$2:$LR$60=AB$1),0),$C207-1966)</f>
        <v>108986</v>
      </c>
      <c r="AC207" s="4" cm="1">
        <f t="array" ref="AC207">INDEX(GMW!$A$2:$LR$60,MATCH(1,(GMW!$LQ$2:$LQ$60=AC$3)*(GMW!$LP$2:$LP$60=AC$4)*(GMW!$LR$2:$LR$60=AC$1),0),$C207-1966)</f>
        <v>113488</v>
      </c>
      <c r="AD207" s="4" cm="1">
        <f t="array" ref="AD207">INDEX(GMW!$A$2:$LR$60,MATCH(1,(GMW!$LQ$2:$LQ$60=AD$3)*(GMW!$LP$2:$LP$60=AD$4)*(GMW!$LR$2:$LR$60=AD$1),0),$C207-1966)</f>
        <v>178739</v>
      </c>
      <c r="AE207" s="4" cm="1">
        <f t="array" ref="AE207">INDEX(GMW!$A$2:$LR$60,MATCH(1,(GMW!$LQ$2:$LQ$60=AE$3)*(GMW!$LP$2:$LP$60=AE$4)*(GMW!$LR$2:$LR$60=AE$1),0),$C207-1966)</f>
        <v>185089</v>
      </c>
      <c r="AF207" s="4" cm="1">
        <f t="array" ref="AF207">INDEX(GMW!$A$2:$LR$60,MATCH(1,(GMW!$LQ$2:$LQ$60=AF$3)*(GMW!$LP$2:$LP$60=AF$4)*(GMW!$LR$2:$LR$60=AF$1),0),$C207-1966)</f>
        <v>4.2135749999999996</v>
      </c>
      <c r="AG207" s="4" cm="1">
        <f t="array" ref="AG207">INDEX(GMW!$A$2:$LR$60,MATCH(1,(GMW!$LQ$2:$LQ$60=AG$3)*(GMW!$LP$2:$LP$60=AG$4)*(GMW!$LR$2:$LR$60=AG$1),0),$C207-1966)</f>
        <v>3.7578680000000002</v>
      </c>
    </row>
    <row r="208" spans="1:33" x14ac:dyDescent="0.25">
      <c r="B208" s="4">
        <f t="shared" si="7"/>
        <v>2023</v>
      </c>
      <c r="C208" s="4">
        <f t="shared" si="6"/>
        <v>2174</v>
      </c>
      <c r="D208" s="4" cm="1">
        <f t="array" ref="D208">INDEX(GMW!$A$2:$LR$60,MATCH(1,(GMW!$LQ$2:$LQ$60=D$3)*(GMW!$LP$2:$LP$60=D$4)*(GMW!$LR$2:$LR$60=D$1),0),$C208-1966)</f>
        <v>569076</v>
      </c>
      <c r="E208" s="4" cm="1">
        <f t="array" ref="E208">INDEX(GMW!$A$2:$LR$60,MATCH(1,(GMW!$LQ$2:$LQ$60=E$3)*(GMW!$LP$2:$LP$60=E$4)*(GMW!$LR$2:$LR$60=E$1),0),$C208-1966)</f>
        <v>569687</v>
      </c>
      <c r="F208" s="4" cm="1">
        <f t="array" ref="F208">INDEX(GMW!$A$2:$LR$60,MATCH(1,(GMW!$LQ$2:$LQ$60=F$3)*(GMW!$LP$2:$LP$60=F$4)*(GMW!$LR$2:$LR$60=F$1),0),$C208-1966)</f>
        <v>569687</v>
      </c>
      <c r="G208" s="4" cm="1">
        <f t="array" ref="G208">INDEX(GMW!$A$2:$LR$60,MATCH(1,(GMW!$LQ$2:$LQ$60=G$3)*(GMW!$LP$2:$LP$60=G$4)*(GMW!$LR$2:$LR$60=G$1),0),$C208-1966)</f>
        <v>569687</v>
      </c>
      <c r="H208" s="4" cm="1">
        <f t="array" ref="H208">INDEX(GMW!$A$2:$LR$60,MATCH(1,(GMW!$LQ$2:$LQ$60=H$3)*(GMW!$LP$2:$LP$60=H$4)*(GMW!$LR$2:$LR$60=H$1),0),$C208-1966)</f>
        <v>569364</v>
      </c>
      <c r="I208" s="4" cm="1">
        <f t="array" ref="I208">INDEX(GMW!$A$2:$LR$60,MATCH(1,(GMW!$LQ$2:$LQ$60=I$3)*(GMW!$LP$2:$LP$60=I$4)*(GMW!$LR$2:$LR$60=I$1),0),$C208-1966)</f>
        <v>569364</v>
      </c>
      <c r="J208" s="4" cm="1">
        <f t="array" ref="J208">INDEX(GMW!$A$2:$LR$60,MATCH(1,(GMW!$LQ$2:$LQ$60=J$3)*(GMW!$LP$2:$LP$60=J$4)*(GMW!$LR$2:$LR$60=J$1),0),$C208-1966)</f>
        <v>569364</v>
      </c>
      <c r="K208" s="4" cm="1">
        <f t="array" ref="K208">INDEX(GMW!$A$2:$LR$60,MATCH(1,(GMW!$LQ$2:$LQ$60=K$3)*(GMW!$LP$2:$LP$60=K$4)*(GMW!$LR$2:$LR$60=K$1),0),$C208-1966)</f>
        <v>569076</v>
      </c>
      <c r="L208" s="4" cm="1">
        <f t="array" ref="L208">INDEX(GMW!$A$2:$LR$60,MATCH(1,(GMW!$LQ$2:$LQ$60=L$3)*(GMW!$LP$2:$LP$60=L$4)*(GMW!$LR$2:$LR$60=L$1),0),$C208-1966)</f>
        <v>569076</v>
      </c>
      <c r="M208" s="4" cm="1">
        <f t="array" ref="M208">INDEX(GMW!$A$2:$LR$60,MATCH(1,(GMW!$LQ$2:$LQ$60=M$3)*(GMW!$LP$2:$LP$60=M$4)*(GMW!$LR$2:$LR$60=M$1),0),$C208-1966)</f>
        <v>569076</v>
      </c>
      <c r="N208" s="4" cm="1">
        <f t="array" ref="N208">INDEX(GMW!$A$2:$LR$60,MATCH(1,(GMW!$LQ$2:$LQ$60=N$3)*(GMW!$LP$2:$LP$60=N$4)*(GMW!$LR$2:$LR$60=N$1),0),$C208-1966)</f>
        <v>569076</v>
      </c>
      <c r="O208" s="4" cm="1">
        <f t="array" ref="O208">INDEX(GMW!$A$2:$LR$60,MATCH(1,(GMW!$LQ$2:$LQ$60=O$3)*(GMW!$LP$2:$LP$60=O$4)*(GMW!$LR$2:$LR$60=O$1),0),$C208-1966)</f>
        <v>569076</v>
      </c>
      <c r="P208" s="4" cm="1">
        <f t="array" ref="P208">INDEX(GMW!$A$2:$LR$60,MATCH(1,(GMW!$LQ$2:$LQ$60=P$3)*(GMW!$LP$2:$LP$60=P$4)*(GMW!$LR$2:$LR$60=P$1),0),$C208-1966)</f>
        <v>569076</v>
      </c>
      <c r="Q208" s="4" cm="1">
        <f t="array" ref="Q208">INDEX(GMW!$A$2:$LR$60,MATCH(1,(GMW!$LQ$2:$LQ$60=Q$3)*(GMW!$LP$2:$LP$60=Q$4)*(GMW!$LR$2:$LR$60=Q$1),0),$C208-1966)</f>
        <v>569076</v>
      </c>
      <c r="R208" s="4" cm="1">
        <f t="array" ref="R208">INDEX(GMW!$A$2:$LR$60,MATCH(1,(GMW!$LQ$2:$LQ$60=R$3)*(GMW!$LP$2:$LP$60=R$4)*(GMW!$LR$2:$LR$60=R$1),0),$C208-1966)</f>
        <v>569076</v>
      </c>
      <c r="S208" s="4" cm="1">
        <f t="array" ref="S208">INDEX(GMW!$A$2:$LR$60,MATCH(1,(GMW!$LQ$2:$LQ$60=S$3)*(GMW!$LP$2:$LP$60=S$4)*(GMW!$LR$2:$LR$60=S$1),0),$C208-1966)</f>
        <v>569076</v>
      </c>
      <c r="T208" s="4" cm="1">
        <f t="array" ref="T208">INDEX(GMW!$A$2:$LR$60,MATCH(1,(GMW!$LQ$2:$LQ$60=T$3)*(GMW!$LP$2:$LP$60=T$4)*(GMW!$LR$2:$LR$60=T$1),0),$C208-1966)</f>
        <v>569076</v>
      </c>
      <c r="U208" s="4" cm="1">
        <f t="array" ref="U208">INDEX(GMW!$A$2:$LR$60,MATCH(1,(GMW!$LQ$2:$LQ$60=U$3)*(GMW!$LP$2:$LP$60=U$4)*(GMW!$LR$2:$LR$60=U$1),0),$C208-1966)</f>
        <v>658</v>
      </c>
      <c r="V208" s="4" cm="1">
        <f t="array" ref="V208">INDEX(GMW!$A$2:$LR$60,MATCH(1,(GMW!$LQ$2:$LQ$60=V$3)*(GMW!$LP$2:$LP$60=V$4)*(GMW!$LR$2:$LR$60=V$1),0),$C208-1966)</f>
        <v>131.0667</v>
      </c>
      <c r="W208" s="4" cm="1">
        <f t="array" ref="W208">INDEX(GMW!$A$2:$LR$60,MATCH(1,(GMW!$LQ$2:$LQ$60=W$3)*(GMW!$LP$2:$LP$60=W$4)*(GMW!$LR$2:$LR$60=W$1),0),$C208-1966)</f>
        <v>133.83330000000001</v>
      </c>
      <c r="X208" s="4" cm="1">
        <f t="array" ref="X208">INDEX(GMW!$A$2:$LR$60,MATCH(1,(GMW!$LQ$2:$LQ$60=X$3)*(GMW!$LP$2:$LP$60=X$4)*(GMW!$LR$2:$LR$60=X$1),0),$C208-1966)</f>
        <v>132</v>
      </c>
      <c r="Y208" s="4" cm="1">
        <f t="array" ref="Y208">INDEX(GMW!$A$2:$LR$60,MATCH(1,(GMW!$LQ$2:$LQ$60=Y$3)*(GMW!$LP$2:$LP$60=Y$4)*(GMW!$LR$2:$LR$60=Y$1),0),$C208-1966)</f>
        <v>231.8</v>
      </c>
      <c r="Z208" s="4" cm="1">
        <f t="array" ref="Z208">INDEX(GMW!$A$2:$LR$60,MATCH(1,(GMW!$LQ$2:$LQ$60=Z$3)*(GMW!$LP$2:$LP$60=Z$4)*(GMW!$LR$2:$LR$60=Z$1),0),$C208-1966)</f>
        <v>125.83329999999999</v>
      </c>
      <c r="AA208" s="4" cm="1">
        <f t="array" ref="AA208">INDEX(GMW!$A$2:$LR$60,MATCH(1,(GMW!$LQ$2:$LQ$60=AA$3)*(GMW!$LP$2:$LP$60=AA$4)*(GMW!$LR$2:$LR$60=AA$1),0),$C208-1966)</f>
        <v>340193</v>
      </c>
      <c r="AB208" s="4" cm="1">
        <f t="array" ref="AB208">INDEX(GMW!$A$2:$LR$60,MATCH(1,(GMW!$LQ$2:$LQ$60=AB$3)*(GMW!$LP$2:$LP$60=AB$4)*(GMW!$LR$2:$LR$60=AB$1),0),$C208-1966)</f>
        <v>107707</v>
      </c>
      <c r="AC208" s="4" cm="1">
        <f t="array" ref="AC208">INDEX(GMW!$A$2:$LR$60,MATCH(1,(GMW!$LQ$2:$LQ$60=AC$3)*(GMW!$LP$2:$LP$60=AC$4)*(GMW!$LR$2:$LR$60=AC$1),0),$C208-1966)</f>
        <v>116016</v>
      </c>
      <c r="AD208" s="4" cm="1">
        <f t="array" ref="AD208">INDEX(GMW!$A$2:$LR$60,MATCH(1,(GMW!$LQ$2:$LQ$60=AD$3)*(GMW!$LP$2:$LP$60=AD$4)*(GMW!$LR$2:$LR$60=AD$1),0),$C208-1966)</f>
        <v>178292</v>
      </c>
      <c r="AE208" s="4" cm="1">
        <f t="array" ref="AE208">INDEX(GMW!$A$2:$LR$60,MATCH(1,(GMW!$LQ$2:$LQ$60=AE$3)*(GMW!$LP$2:$LP$60=AE$4)*(GMW!$LR$2:$LR$60=AE$1),0),$C208-1966)</f>
        <v>188316</v>
      </c>
      <c r="AF208" s="4" cm="1">
        <f t="array" ref="AF208">INDEX(GMW!$A$2:$LR$60,MATCH(1,(GMW!$LQ$2:$LQ$60=AF$3)*(GMW!$LP$2:$LP$60=AF$4)*(GMW!$LR$2:$LR$60=AF$1),0),$C208-1966)</f>
        <v>4.8666429999999998</v>
      </c>
      <c r="AG208" s="4" cm="1">
        <f t="array" ref="AG208">INDEX(GMW!$A$2:$LR$60,MATCH(1,(GMW!$LQ$2:$LQ$60=AG$3)*(GMW!$LP$2:$LP$60=AG$4)*(GMW!$LR$2:$LR$60=AG$1),0),$C208-1966)</f>
        <v>4.2907570000000002</v>
      </c>
    </row>
    <row r="209" spans="1:33" x14ac:dyDescent="0.25">
      <c r="B209" s="4">
        <f t="shared" si="7"/>
        <v>2023</v>
      </c>
      <c r="C209" s="4">
        <f t="shared" si="6"/>
        <v>2175</v>
      </c>
      <c r="D209" s="4" cm="1">
        <f t="array" ref="D209">INDEX(GMW!$A$2:$LR$60,MATCH(1,(GMW!$LQ$2:$LQ$60=D$3)*(GMW!$LP$2:$LP$60=D$4)*(GMW!$LR$2:$LR$60=D$1),0),$C209-1966)</f>
        <v>568397</v>
      </c>
      <c r="E209" s="4" cm="1">
        <f t="array" ref="E209">INDEX(GMW!$A$2:$LR$60,MATCH(1,(GMW!$LQ$2:$LQ$60=E$3)*(GMW!$LP$2:$LP$60=E$4)*(GMW!$LR$2:$LR$60=E$1),0),$C209-1966)</f>
        <v>568953</v>
      </c>
      <c r="F209" s="4" cm="1">
        <f t="array" ref="F209">INDEX(GMW!$A$2:$LR$60,MATCH(1,(GMW!$LQ$2:$LQ$60=F$3)*(GMW!$LP$2:$LP$60=F$4)*(GMW!$LR$2:$LR$60=F$1),0),$C209-1966)</f>
        <v>568953</v>
      </c>
      <c r="G209" s="4" cm="1">
        <f t="array" ref="G209">INDEX(GMW!$A$2:$LR$60,MATCH(1,(GMW!$LQ$2:$LQ$60=G$3)*(GMW!$LP$2:$LP$60=G$4)*(GMW!$LR$2:$LR$60=G$1),0),$C209-1966)</f>
        <v>568953</v>
      </c>
      <c r="H209" s="4" cm="1">
        <f t="array" ref="H209">INDEX(GMW!$A$2:$LR$60,MATCH(1,(GMW!$LQ$2:$LQ$60=H$3)*(GMW!$LP$2:$LP$60=H$4)*(GMW!$LR$2:$LR$60=H$1),0),$C209-1966)</f>
        <v>568655</v>
      </c>
      <c r="I209" s="4" cm="1">
        <f t="array" ref="I209">INDEX(GMW!$A$2:$LR$60,MATCH(1,(GMW!$LQ$2:$LQ$60=I$3)*(GMW!$LP$2:$LP$60=I$4)*(GMW!$LR$2:$LR$60=I$1),0),$C209-1966)</f>
        <v>568655</v>
      </c>
      <c r="J209" s="4" cm="1">
        <f t="array" ref="J209">INDEX(GMW!$A$2:$LR$60,MATCH(1,(GMW!$LQ$2:$LQ$60=J$3)*(GMW!$LP$2:$LP$60=J$4)*(GMW!$LR$2:$LR$60=J$1),0),$C209-1966)</f>
        <v>568655</v>
      </c>
      <c r="K209" s="4" cm="1">
        <f t="array" ref="K209">INDEX(GMW!$A$2:$LR$60,MATCH(1,(GMW!$LQ$2:$LQ$60=K$3)*(GMW!$LP$2:$LP$60=K$4)*(GMW!$LR$2:$LR$60=K$1),0),$C209-1966)</f>
        <v>568397</v>
      </c>
      <c r="L209" s="4" cm="1">
        <f t="array" ref="L209">INDEX(GMW!$A$2:$LR$60,MATCH(1,(GMW!$LQ$2:$LQ$60=L$3)*(GMW!$LP$2:$LP$60=L$4)*(GMW!$LR$2:$LR$60=L$1),0),$C209-1966)</f>
        <v>568397</v>
      </c>
      <c r="M209" s="4" cm="1">
        <f t="array" ref="M209">INDEX(GMW!$A$2:$LR$60,MATCH(1,(GMW!$LQ$2:$LQ$60=M$3)*(GMW!$LP$2:$LP$60=M$4)*(GMW!$LR$2:$LR$60=M$1),0),$C209-1966)</f>
        <v>568397</v>
      </c>
      <c r="N209" s="4" cm="1">
        <f t="array" ref="N209">INDEX(GMW!$A$2:$LR$60,MATCH(1,(GMW!$LQ$2:$LQ$60=N$3)*(GMW!$LP$2:$LP$60=N$4)*(GMW!$LR$2:$LR$60=N$1),0),$C209-1966)</f>
        <v>568397</v>
      </c>
      <c r="O209" s="4" cm="1">
        <f t="array" ref="O209">INDEX(GMW!$A$2:$LR$60,MATCH(1,(GMW!$LQ$2:$LQ$60=O$3)*(GMW!$LP$2:$LP$60=O$4)*(GMW!$LR$2:$LR$60=O$1),0),$C209-1966)</f>
        <v>568397</v>
      </c>
      <c r="P209" s="4" cm="1">
        <f t="array" ref="P209">INDEX(GMW!$A$2:$LR$60,MATCH(1,(GMW!$LQ$2:$LQ$60=P$3)*(GMW!$LP$2:$LP$60=P$4)*(GMW!$LR$2:$LR$60=P$1),0),$C209-1966)</f>
        <v>568397</v>
      </c>
      <c r="Q209" s="4" cm="1">
        <f t="array" ref="Q209">INDEX(GMW!$A$2:$LR$60,MATCH(1,(GMW!$LQ$2:$LQ$60=Q$3)*(GMW!$LP$2:$LP$60=Q$4)*(GMW!$LR$2:$LR$60=Q$1),0),$C209-1966)</f>
        <v>568397</v>
      </c>
      <c r="R209" s="4" cm="1">
        <f t="array" ref="R209">INDEX(GMW!$A$2:$LR$60,MATCH(1,(GMW!$LQ$2:$LQ$60=R$3)*(GMW!$LP$2:$LP$60=R$4)*(GMW!$LR$2:$LR$60=R$1),0),$C209-1966)</f>
        <v>568397</v>
      </c>
      <c r="S209" s="4" cm="1">
        <f t="array" ref="S209">INDEX(GMW!$A$2:$LR$60,MATCH(1,(GMW!$LQ$2:$LQ$60=S$3)*(GMW!$LP$2:$LP$60=S$4)*(GMW!$LR$2:$LR$60=S$1),0),$C209-1966)</f>
        <v>568397</v>
      </c>
      <c r="T209" s="4" cm="1">
        <f t="array" ref="T209">INDEX(GMW!$A$2:$LR$60,MATCH(1,(GMW!$LQ$2:$LQ$60=T$3)*(GMW!$LP$2:$LP$60=T$4)*(GMW!$LR$2:$LR$60=T$1),0),$C209-1966)</f>
        <v>568397</v>
      </c>
      <c r="U209" s="4" cm="1">
        <f t="array" ref="U209">INDEX(GMW!$A$2:$LR$60,MATCH(1,(GMW!$LQ$2:$LQ$60=U$3)*(GMW!$LP$2:$LP$60=U$4)*(GMW!$LR$2:$LR$60=U$1),0),$C209-1966)</f>
        <v>667.33330000000001</v>
      </c>
      <c r="V209" s="4" cm="1">
        <f t="array" ref="V209">INDEX(GMW!$A$2:$LR$60,MATCH(1,(GMW!$LQ$2:$LQ$60=V$3)*(GMW!$LP$2:$LP$60=V$4)*(GMW!$LR$2:$LR$60=V$1),0),$C209-1966)</f>
        <v>131.4</v>
      </c>
      <c r="W209" s="4" cm="1">
        <f t="array" ref="W209">INDEX(GMW!$A$2:$LR$60,MATCH(1,(GMW!$LQ$2:$LQ$60=W$3)*(GMW!$LP$2:$LP$60=W$4)*(GMW!$LR$2:$LR$60=W$1),0),$C209-1966)</f>
        <v>135.30000000000001</v>
      </c>
      <c r="X209" s="4" cm="1">
        <f t="array" ref="X209">INDEX(GMW!$A$2:$LR$60,MATCH(1,(GMW!$LQ$2:$LQ$60=X$3)*(GMW!$LP$2:$LP$60=X$4)*(GMW!$LR$2:$LR$60=X$1),0),$C209-1966)</f>
        <v>133.33330000000001</v>
      </c>
      <c r="Y209" s="4" cm="1">
        <f t="array" ref="Y209">INDEX(GMW!$A$2:$LR$60,MATCH(1,(GMW!$LQ$2:$LQ$60=Y$3)*(GMW!$LP$2:$LP$60=Y$4)*(GMW!$LR$2:$LR$60=Y$1),0),$C209-1966)</f>
        <v>197.2</v>
      </c>
      <c r="Z209" s="4" cm="1">
        <f t="array" ref="Z209">INDEX(GMW!$A$2:$LR$60,MATCH(1,(GMW!$LQ$2:$LQ$60=Z$3)*(GMW!$LP$2:$LP$60=Z$4)*(GMW!$LR$2:$LR$60=Z$1),0),$C209-1966)</f>
        <v>127.0333</v>
      </c>
      <c r="AA209" s="4" cm="1">
        <f t="array" ref="AA209">INDEX(GMW!$A$2:$LR$60,MATCH(1,(GMW!$LQ$2:$LQ$60=AA$3)*(GMW!$LP$2:$LP$60=AA$4)*(GMW!$LR$2:$LR$60=AA$1),0),$C209-1966)</f>
        <v>337146</v>
      </c>
      <c r="AB209" s="4" cm="1">
        <f t="array" ref="AB209">INDEX(GMW!$A$2:$LR$60,MATCH(1,(GMW!$LQ$2:$LQ$60=AB$3)*(GMW!$LP$2:$LP$60=AB$4)*(GMW!$LR$2:$LR$60=AB$1),0),$C209-1966)</f>
        <v>106244</v>
      </c>
      <c r="AC209" s="4" cm="1">
        <f t="array" ref="AC209">INDEX(GMW!$A$2:$LR$60,MATCH(1,(GMW!$LQ$2:$LQ$60=AC$3)*(GMW!$LP$2:$LP$60=AC$4)*(GMW!$LR$2:$LR$60=AC$1),0),$C209-1966)</f>
        <v>117255</v>
      </c>
      <c r="AD209" s="4" cm="1">
        <f t="array" ref="AD209">INDEX(GMW!$A$2:$LR$60,MATCH(1,(GMW!$LQ$2:$LQ$60=AD$3)*(GMW!$LP$2:$LP$60=AD$4)*(GMW!$LR$2:$LR$60=AD$1),0),$C209-1966)</f>
        <v>178081</v>
      </c>
      <c r="AE209" s="4" cm="1">
        <f t="array" ref="AE209">INDEX(GMW!$A$2:$LR$60,MATCH(1,(GMW!$LQ$2:$LQ$60=AE$3)*(GMW!$LP$2:$LP$60=AE$4)*(GMW!$LR$2:$LR$60=AE$1),0),$C209-1966)</f>
        <v>184928</v>
      </c>
      <c r="AF209" s="4" cm="1">
        <f t="array" ref="AF209">INDEX(GMW!$A$2:$LR$60,MATCH(1,(GMW!$LQ$2:$LQ$60=AF$3)*(GMW!$LP$2:$LP$60=AF$4)*(GMW!$LR$2:$LR$60=AF$1),0),$C209-1966)</f>
        <v>5.5906320000000003</v>
      </c>
      <c r="AG209" s="4" cm="1">
        <f t="array" ref="AG209">INDEX(GMW!$A$2:$LR$60,MATCH(1,(GMW!$LQ$2:$LQ$60=AG$3)*(GMW!$LP$2:$LP$60=AG$4)*(GMW!$LR$2:$LR$60=AG$1),0),$C209-1966)</f>
        <v>4.8693939999999998</v>
      </c>
    </row>
    <row r="210" spans="1:33" x14ac:dyDescent="0.25">
      <c r="B210" s="4">
        <f t="shared" si="7"/>
        <v>2023</v>
      </c>
      <c r="C210" s="4">
        <f t="shared" si="6"/>
        <v>2176</v>
      </c>
      <c r="D210" s="4" cm="1">
        <f t="array" ref="D210">INDEX(GMW!$A$2:$LR$60,MATCH(1,(GMW!$LQ$2:$LQ$60=D$3)*(GMW!$LP$2:$LP$60=D$4)*(GMW!$LR$2:$LR$60=D$1),0),$C210-1966)</f>
        <v>566626</v>
      </c>
      <c r="E210" s="4" cm="1">
        <f t="array" ref="E210">INDEX(GMW!$A$2:$LR$60,MATCH(1,(GMW!$LQ$2:$LQ$60=E$3)*(GMW!$LP$2:$LP$60=E$4)*(GMW!$LR$2:$LR$60=E$1),0),$C210-1966)</f>
        <v>569282.69999999995</v>
      </c>
      <c r="F210" s="4" cm="1">
        <f t="array" ref="F210">INDEX(GMW!$A$2:$LR$60,MATCH(1,(GMW!$LQ$2:$LQ$60=F$3)*(GMW!$LP$2:$LP$60=F$4)*(GMW!$LR$2:$LR$60=F$1),0),$C210-1966)</f>
        <v>568945.1</v>
      </c>
      <c r="G210" s="4" cm="1">
        <f t="array" ref="G210">INDEX(GMW!$A$2:$LR$60,MATCH(1,(GMW!$LQ$2:$LQ$60=G$3)*(GMW!$LP$2:$LP$60=G$4)*(GMW!$LR$2:$LR$60=G$1),0),$C210-1966)</f>
        <v>568945.1</v>
      </c>
      <c r="H210" s="4" cm="1">
        <f t="array" ref="H210">INDEX(GMW!$A$2:$LR$60,MATCH(1,(GMW!$LQ$2:$LQ$60=H$3)*(GMW!$LP$2:$LP$60=H$4)*(GMW!$LR$2:$LR$60=H$1),0),$C210-1966)</f>
        <v>566695</v>
      </c>
      <c r="I210" s="4" cm="1">
        <f t="array" ref="I210">INDEX(GMW!$A$2:$LR$60,MATCH(1,(GMW!$LQ$2:$LQ$60=I$3)*(GMW!$LP$2:$LP$60=I$4)*(GMW!$LR$2:$LR$60=I$1),0),$C210-1966)</f>
        <v>566695</v>
      </c>
      <c r="J210" s="4" cm="1">
        <f t="array" ref="J210">INDEX(GMW!$A$2:$LR$60,MATCH(1,(GMW!$LQ$2:$LQ$60=J$3)*(GMW!$LP$2:$LP$60=J$4)*(GMW!$LR$2:$LR$60=J$1),0),$C210-1966)</f>
        <v>566695</v>
      </c>
      <c r="K210" s="4" cm="1">
        <f t="array" ref="K210">INDEX(GMW!$A$2:$LR$60,MATCH(1,(GMW!$LQ$2:$LQ$60=K$3)*(GMW!$LP$2:$LP$60=K$4)*(GMW!$LR$2:$LR$60=K$1),0),$C210-1966)</f>
        <v>566626</v>
      </c>
      <c r="L210" s="4" cm="1">
        <f t="array" ref="L210">INDEX(GMW!$A$2:$LR$60,MATCH(1,(GMW!$LQ$2:$LQ$60=L$3)*(GMW!$LP$2:$LP$60=L$4)*(GMW!$LR$2:$LR$60=L$1),0),$C210-1966)</f>
        <v>566626</v>
      </c>
      <c r="M210" s="4" cm="1">
        <f t="array" ref="M210">INDEX(GMW!$A$2:$LR$60,MATCH(1,(GMW!$LQ$2:$LQ$60=M$3)*(GMW!$LP$2:$LP$60=M$4)*(GMW!$LR$2:$LR$60=M$1),0),$C210-1966)</f>
        <v>566626</v>
      </c>
      <c r="N210" s="4" cm="1">
        <f t="array" ref="N210">INDEX(GMW!$A$2:$LR$60,MATCH(1,(GMW!$LQ$2:$LQ$60=N$3)*(GMW!$LP$2:$LP$60=N$4)*(GMW!$LR$2:$LR$60=N$1),0),$C210-1966)</f>
        <v>566626</v>
      </c>
      <c r="O210" s="4" cm="1">
        <f t="array" ref="O210">INDEX(GMW!$A$2:$LR$60,MATCH(1,(GMW!$LQ$2:$LQ$60=O$3)*(GMW!$LP$2:$LP$60=O$4)*(GMW!$LR$2:$LR$60=O$1),0),$C210-1966)</f>
        <v>566626</v>
      </c>
      <c r="P210" s="4" cm="1">
        <f t="array" ref="P210">INDEX(GMW!$A$2:$LR$60,MATCH(1,(GMW!$LQ$2:$LQ$60=P$3)*(GMW!$LP$2:$LP$60=P$4)*(GMW!$LR$2:$LR$60=P$1),0),$C210-1966)</f>
        <v>566626</v>
      </c>
      <c r="Q210" s="4" cm="1">
        <f t="array" ref="Q210">INDEX(GMW!$A$2:$LR$60,MATCH(1,(GMW!$LQ$2:$LQ$60=Q$3)*(GMW!$LP$2:$LP$60=Q$4)*(GMW!$LR$2:$LR$60=Q$1),0),$C210-1966)</f>
        <v>566626</v>
      </c>
      <c r="R210" s="4" cm="1">
        <f t="array" ref="R210">INDEX(GMW!$A$2:$LR$60,MATCH(1,(GMW!$LQ$2:$LQ$60=R$3)*(GMW!$LP$2:$LP$60=R$4)*(GMW!$LR$2:$LR$60=R$1),0),$C210-1966)</f>
        <v>566626</v>
      </c>
      <c r="S210" s="4" cm="1">
        <f t="array" ref="S210">INDEX(GMW!$A$2:$LR$60,MATCH(1,(GMW!$LQ$2:$LQ$60=S$3)*(GMW!$LP$2:$LP$60=S$4)*(GMW!$LR$2:$LR$60=S$1),0),$C210-1966)</f>
        <v>566626</v>
      </c>
      <c r="T210" s="4" cm="1">
        <f t="array" ref="T210">INDEX(GMW!$A$2:$LR$60,MATCH(1,(GMW!$LQ$2:$LQ$60=T$3)*(GMW!$LP$2:$LP$60=T$4)*(GMW!$LR$2:$LR$60=T$1),0),$C210-1966)</f>
        <v>566626</v>
      </c>
      <c r="U210" s="4" cm="1">
        <f t="array" ref="U210">INDEX(GMW!$A$2:$LR$60,MATCH(1,(GMW!$LQ$2:$LQ$60=U$3)*(GMW!$LP$2:$LP$60=U$4)*(GMW!$LR$2:$LR$60=U$1),0),$C210-1966)</f>
        <v>666.66669999999999</v>
      </c>
      <c r="V210" s="4" cm="1">
        <f t="array" ref="V210">INDEX(GMW!$A$2:$LR$60,MATCH(1,(GMW!$LQ$2:$LQ$60=V$3)*(GMW!$LP$2:$LP$60=V$4)*(GMW!$LR$2:$LR$60=V$1),0),$C210-1966)</f>
        <v>131.9667</v>
      </c>
      <c r="W210" s="4" cm="1">
        <f t="array" ref="W210">INDEX(GMW!$A$2:$LR$60,MATCH(1,(GMW!$LQ$2:$LQ$60=W$3)*(GMW!$LP$2:$LP$60=W$4)*(GMW!$LR$2:$LR$60=W$1),0),$C210-1966)</f>
        <v>136.33330000000001</v>
      </c>
      <c r="X210" s="4" cm="1">
        <f t="array" ref="X210">INDEX(GMW!$A$2:$LR$60,MATCH(1,(GMW!$LQ$2:$LQ$60=X$3)*(GMW!$LP$2:$LP$60=X$4)*(GMW!$LR$2:$LR$60=X$1),0),$C210-1966)</f>
        <v>136</v>
      </c>
      <c r="Y210" s="4" cm="1">
        <f t="array" ref="Y210">INDEX(GMW!$A$2:$LR$60,MATCH(1,(GMW!$LQ$2:$LQ$60=Y$3)*(GMW!$LP$2:$LP$60=Y$4)*(GMW!$LR$2:$LR$60=Y$1),0),$C210-1966)</f>
        <v>183.63329999999999</v>
      </c>
      <c r="Z210" s="4" cm="1">
        <f t="array" ref="Z210">INDEX(GMW!$A$2:$LR$60,MATCH(1,(GMW!$LQ$2:$LQ$60=Z$3)*(GMW!$LP$2:$LP$60=Z$4)*(GMW!$LR$2:$LR$60=Z$1),0),$C210-1966)</f>
        <v>127.9333</v>
      </c>
      <c r="AA210" s="4" cm="1">
        <f t="array" ref="AA210">INDEX(GMW!$A$2:$LR$60,MATCH(1,(GMW!$LQ$2:$LQ$60=AA$3)*(GMW!$LP$2:$LP$60=AA$4)*(GMW!$LR$2:$LR$60=AA$1),0),$C210-1966)</f>
        <v>336957</v>
      </c>
      <c r="AB210" s="4" cm="1">
        <f t="array" ref="AB210">INDEX(GMW!$A$2:$LR$60,MATCH(1,(GMW!$LQ$2:$LQ$60=AB$3)*(GMW!$LP$2:$LP$60=AB$4)*(GMW!$LR$2:$LR$60=AB$1),0),$C210-1966)</f>
        <v>107170</v>
      </c>
      <c r="AC210" s="4" cm="1">
        <f t="array" ref="AC210">INDEX(GMW!$A$2:$LR$60,MATCH(1,(GMW!$LQ$2:$LQ$60=AC$3)*(GMW!$LP$2:$LP$60=AC$4)*(GMW!$LR$2:$LR$60=AC$1),0),$C210-1966)</f>
        <v>117343</v>
      </c>
      <c r="AD210" s="4" cm="1">
        <f t="array" ref="AD210">INDEX(GMW!$A$2:$LR$60,MATCH(1,(GMW!$LQ$2:$LQ$60=AD$3)*(GMW!$LP$2:$LP$60=AD$4)*(GMW!$LR$2:$LR$60=AD$1),0),$C210-1966)</f>
        <v>176673</v>
      </c>
      <c r="AE210" s="4" cm="1">
        <f t="array" ref="AE210">INDEX(GMW!$A$2:$LR$60,MATCH(1,(GMW!$LQ$2:$LQ$60=AE$3)*(GMW!$LP$2:$LP$60=AE$4)*(GMW!$LR$2:$LR$60=AE$1),0),$C210-1966)</f>
        <v>184391</v>
      </c>
      <c r="AF210" s="4" cm="1">
        <f t="array" ref="AF210">INDEX(GMW!$A$2:$LR$60,MATCH(1,(GMW!$LQ$2:$LQ$60=AF$3)*(GMW!$LP$2:$LP$60=AF$4)*(GMW!$LR$2:$LR$60=AF$1),0),$C210-1966)</f>
        <v>4.760923</v>
      </c>
      <c r="AG210" s="4" cm="1">
        <f t="array" ref="AG210">INDEX(GMW!$A$2:$LR$60,MATCH(1,(GMW!$LQ$2:$LQ$60=AG$3)*(GMW!$LP$2:$LP$60=AG$4)*(GMW!$LR$2:$LR$60=AG$1),0),$C210-1966)</f>
        <v>4.2015229999999999</v>
      </c>
    </row>
    <row r="211" spans="1:33" x14ac:dyDescent="0.25">
      <c r="A211" s="4">
        <v>2024</v>
      </c>
      <c r="B211" s="4">
        <f t="shared" si="7"/>
        <v>2024</v>
      </c>
      <c r="C211" s="4">
        <f t="shared" si="6"/>
        <v>2177</v>
      </c>
      <c r="D211" s="4" cm="1">
        <f t="array" ref="D211">INDEX(GMW!$A$2:$LR$60,MATCH(1,(GMW!$LQ$2:$LQ$60=D$3)*(GMW!$LP$2:$LP$60=D$4)*(GMW!$LR$2:$LR$60=D$1),0),$C211-1966)</f>
        <v>570694</v>
      </c>
      <c r="E211" s="4" cm="1">
        <f t="array" ref="E211">INDEX(GMW!$A$2:$LR$60,MATCH(1,(GMW!$LQ$2:$LQ$60=E$3)*(GMW!$LP$2:$LP$60=E$4)*(GMW!$LR$2:$LR$60=E$1),0),$C211-1966)</f>
        <v>570659.6</v>
      </c>
      <c r="F211" s="4" cm="1">
        <f t="array" ref="F211">INDEX(GMW!$A$2:$LR$60,MATCH(1,(GMW!$LQ$2:$LQ$60=F$3)*(GMW!$LP$2:$LP$60=F$4)*(GMW!$LR$2:$LR$60=F$1),0),$C211-1966)</f>
        <v>570855.9</v>
      </c>
      <c r="G211" s="4" cm="1">
        <f t="array" ref="G211">INDEX(GMW!$A$2:$LR$60,MATCH(1,(GMW!$LQ$2:$LQ$60=G$3)*(GMW!$LP$2:$LP$60=G$4)*(GMW!$LR$2:$LR$60=G$1),0),$C211-1966)</f>
        <v>570855.9</v>
      </c>
      <c r="H211" s="4" cm="1">
        <f t="array" ref="H211">INDEX(GMW!$A$2:$LR$60,MATCH(1,(GMW!$LQ$2:$LQ$60=H$3)*(GMW!$LP$2:$LP$60=H$4)*(GMW!$LR$2:$LR$60=H$1),0),$C211-1966)</f>
        <v>568298.30000000005</v>
      </c>
      <c r="I211" s="4" cm="1">
        <f t="array" ref="I211">INDEX(GMW!$A$2:$LR$60,MATCH(1,(GMW!$LQ$2:$LQ$60=I$3)*(GMW!$LP$2:$LP$60=I$4)*(GMW!$LR$2:$LR$60=I$1),0),$C211-1966)</f>
        <v>568298.30000000005</v>
      </c>
      <c r="J211" s="4" cm="1">
        <f t="array" ref="J211">INDEX(GMW!$A$2:$LR$60,MATCH(1,(GMW!$LQ$2:$LQ$60=J$3)*(GMW!$LP$2:$LP$60=J$4)*(GMW!$LR$2:$LR$60=J$1),0),$C211-1966)</f>
        <v>568371.30000000005</v>
      </c>
      <c r="K211" s="4" cm="1">
        <f t="array" ref="K211">INDEX(GMW!$A$2:$LR$60,MATCH(1,(GMW!$LQ$2:$LQ$60=K$3)*(GMW!$LP$2:$LP$60=K$4)*(GMW!$LR$2:$LR$60=K$1),0),$C211-1966)</f>
        <v>568279.1</v>
      </c>
      <c r="L211" s="4" cm="1">
        <f t="array" ref="L211">INDEX(GMW!$A$2:$LR$60,MATCH(1,(GMW!$LQ$2:$LQ$60=L$3)*(GMW!$LP$2:$LP$60=L$4)*(GMW!$LR$2:$LR$60=L$1),0),$C211-1966)</f>
        <v>568810.30000000005</v>
      </c>
      <c r="M211" s="4" cm="1">
        <f t="array" ref="M211">INDEX(GMW!$A$2:$LR$60,MATCH(1,(GMW!$LQ$2:$LQ$60=M$3)*(GMW!$LP$2:$LP$60=M$4)*(GMW!$LR$2:$LR$60=M$1),0),$C211-1966)</f>
        <v>568810.30000000005</v>
      </c>
      <c r="N211" s="4" cm="1">
        <f t="array" ref="N211">INDEX(GMW!$A$2:$LR$60,MATCH(1,(GMW!$LQ$2:$LQ$60=N$3)*(GMW!$LP$2:$LP$60=N$4)*(GMW!$LR$2:$LR$60=N$1),0),$C211-1966)</f>
        <v>570196</v>
      </c>
      <c r="O211" s="4" cm="1">
        <f t="array" ref="O211">INDEX(GMW!$A$2:$LR$60,MATCH(1,(GMW!$LQ$2:$LQ$60=O$3)*(GMW!$LP$2:$LP$60=O$4)*(GMW!$LR$2:$LR$60=O$1),0),$C211-1966)</f>
        <v>570196</v>
      </c>
      <c r="P211" s="4" cm="1">
        <f t="array" ref="P211">INDEX(GMW!$A$2:$LR$60,MATCH(1,(GMW!$LQ$2:$LQ$60=P$3)*(GMW!$LP$2:$LP$60=P$4)*(GMW!$LR$2:$LR$60=P$1),0),$C211-1966)</f>
        <v>570196</v>
      </c>
      <c r="Q211" s="4" cm="1">
        <f t="array" ref="Q211">INDEX(GMW!$A$2:$LR$60,MATCH(1,(GMW!$LQ$2:$LQ$60=Q$3)*(GMW!$LP$2:$LP$60=Q$4)*(GMW!$LR$2:$LR$60=Q$1),0),$C211-1966)</f>
        <v>570694</v>
      </c>
      <c r="R211" s="4" cm="1">
        <f t="array" ref="R211">INDEX(GMW!$A$2:$LR$60,MATCH(1,(GMW!$LQ$2:$LQ$60=R$3)*(GMW!$LP$2:$LP$60=R$4)*(GMW!$LR$2:$LR$60=R$1),0),$C211-1966)</f>
        <v>570694</v>
      </c>
      <c r="S211" s="4" cm="1">
        <f t="array" ref="S211">INDEX(GMW!$A$2:$LR$60,MATCH(1,(GMW!$LQ$2:$LQ$60=S$3)*(GMW!$LP$2:$LP$60=S$4)*(GMW!$LR$2:$LR$60=S$1),0),$C211-1966)</f>
        <v>570694</v>
      </c>
      <c r="T211" s="4" cm="1">
        <f t="array" ref="T211">INDEX(GMW!$A$2:$LR$60,MATCH(1,(GMW!$LQ$2:$LQ$60=T$3)*(GMW!$LP$2:$LP$60=T$4)*(GMW!$LR$2:$LR$60=T$1),0),$C211-1966)</f>
        <v>570694</v>
      </c>
      <c r="U211" s="4" cm="1">
        <f t="array" ref="U211">INDEX(GMW!$A$2:$LR$60,MATCH(1,(GMW!$LQ$2:$LQ$60=U$3)*(GMW!$LP$2:$LP$60=U$4)*(GMW!$LR$2:$LR$60=U$1),0),$C211-1966)</f>
        <v>678.33330000000001</v>
      </c>
      <c r="V211" s="4" cm="1">
        <f t="array" ref="V211">INDEX(GMW!$A$2:$LR$60,MATCH(1,(GMW!$LQ$2:$LQ$60=V$3)*(GMW!$LP$2:$LP$60=V$4)*(GMW!$LR$2:$LR$60=V$1),0),$C211-1966)</f>
        <v>132.26669999999999</v>
      </c>
      <c r="W211" s="4" cm="1">
        <f t="array" ref="W211">INDEX(GMW!$A$2:$LR$60,MATCH(1,(GMW!$LQ$2:$LQ$60=W$3)*(GMW!$LP$2:$LP$60=W$4)*(GMW!$LR$2:$LR$60=W$1),0),$C211-1966)</f>
        <v>137.76669999999999</v>
      </c>
      <c r="X211" s="4" cm="1">
        <f t="array" ref="X211">INDEX(GMW!$A$2:$LR$60,MATCH(1,(GMW!$LQ$2:$LQ$60=X$3)*(GMW!$LP$2:$LP$60=X$4)*(GMW!$LR$2:$LR$60=X$1),0),$C211-1966)</f>
        <v>129.86670000000001</v>
      </c>
      <c r="Y211" s="4" cm="1">
        <f t="array" ref="Y211">INDEX(GMW!$A$2:$LR$60,MATCH(1,(GMW!$LQ$2:$LQ$60=Y$3)*(GMW!$LP$2:$LP$60=Y$4)*(GMW!$LR$2:$LR$60=Y$1),0),$C211-1966)</f>
        <v>192.4</v>
      </c>
      <c r="Z211" s="4" cm="1">
        <f t="array" ref="Z211">INDEX(GMW!$A$2:$LR$60,MATCH(1,(GMW!$LQ$2:$LQ$60=Z$3)*(GMW!$LP$2:$LP$60=Z$4)*(GMW!$LR$2:$LR$60=Z$1),0),$C211-1966)</f>
        <v>127.9</v>
      </c>
      <c r="AA211" s="4" cm="1">
        <f t="array" ref="AA211">INDEX(GMW!$A$2:$LR$60,MATCH(1,(GMW!$LQ$2:$LQ$60=AA$3)*(GMW!$LP$2:$LP$60=AA$4)*(GMW!$LR$2:$LR$60=AA$1),0),$C211-1966)</f>
        <v>338388</v>
      </c>
      <c r="AB211" s="4" cm="1">
        <f t="array" ref="AB211">INDEX(GMW!$A$2:$LR$60,MATCH(1,(GMW!$LQ$2:$LQ$60=AB$3)*(GMW!$LP$2:$LP$60=AB$4)*(GMW!$LR$2:$LR$60=AB$1),0),$C211-1966)</f>
        <v>108142</v>
      </c>
      <c r="AC211" s="4" cm="1">
        <f t="array" ref="AC211">INDEX(GMW!$A$2:$LR$60,MATCH(1,(GMW!$LQ$2:$LQ$60=AC$3)*(GMW!$LP$2:$LP$60=AC$4)*(GMW!$LR$2:$LR$60=AC$1),0),$C211-1966)</f>
        <v>117324</v>
      </c>
      <c r="AD211" s="4" cm="1">
        <f t="array" ref="AD211">INDEX(GMW!$A$2:$LR$60,MATCH(1,(GMW!$LQ$2:$LQ$60=AD$3)*(GMW!$LP$2:$LP$60=AD$4)*(GMW!$LR$2:$LR$60=AD$1),0),$C211-1966)</f>
        <v>174931</v>
      </c>
      <c r="AE211" s="4" cm="1">
        <f t="array" ref="AE211">INDEX(GMW!$A$2:$LR$60,MATCH(1,(GMW!$LQ$2:$LQ$60=AE$3)*(GMW!$LP$2:$LP$60=AE$4)*(GMW!$LR$2:$LR$60=AE$1),0),$C211-1966)</f>
        <v>179462</v>
      </c>
      <c r="AF211" s="4" cm="1">
        <f t="array" ref="AF211">INDEX(GMW!$A$2:$LR$60,MATCH(1,(GMW!$LQ$2:$LQ$60=AF$3)*(GMW!$LP$2:$LP$60=AF$4)*(GMW!$LR$2:$LR$60=AF$1),0),$C211-1966)</f>
        <v>4.4109689999999997</v>
      </c>
      <c r="AG211" s="4" cm="1">
        <f t="array" ref="AG211">INDEX(GMW!$A$2:$LR$60,MATCH(1,(GMW!$LQ$2:$LQ$60=AG$3)*(GMW!$LP$2:$LP$60=AG$4)*(GMW!$LR$2:$LR$60=AG$1),0),$C211-1966)</f>
        <v>3.8337020000000002</v>
      </c>
    </row>
    <row r="212" spans="1:33" x14ac:dyDescent="0.25">
      <c r="B212" s="4">
        <f t="shared" si="7"/>
        <v>2024</v>
      </c>
      <c r="C212" s="4">
        <f t="shared" si="6"/>
        <v>2178</v>
      </c>
      <c r="D212" s="4" cm="1">
        <f t="array" ref="D212">INDEX(GMW!$A$2:$LR$60,MATCH(1,(GMW!$LQ$2:$LQ$60=D$3)*(GMW!$LP$2:$LP$60=D$4)*(GMW!$LR$2:$LR$60=D$1),0),$C212-1966)</f>
        <v>573956</v>
      </c>
      <c r="E212" s="4" cm="1">
        <f t="array" ref="E212">INDEX(GMW!$A$2:$LR$60,MATCH(1,(GMW!$LQ$2:$LQ$60=E$3)*(GMW!$LP$2:$LP$60=E$4)*(GMW!$LR$2:$LR$60=E$1),0),$C212-1966)</f>
        <v>571736.1</v>
      </c>
      <c r="F212" s="4" cm="1">
        <f t="array" ref="F212">INDEX(GMW!$A$2:$LR$60,MATCH(1,(GMW!$LQ$2:$LQ$60=F$3)*(GMW!$LP$2:$LP$60=F$4)*(GMW!$LR$2:$LR$60=F$1),0),$C212-1966)</f>
        <v>571938.1</v>
      </c>
      <c r="G212" s="4" cm="1">
        <f t="array" ref="G212">INDEX(GMW!$A$2:$LR$60,MATCH(1,(GMW!$LQ$2:$LQ$60=G$3)*(GMW!$LP$2:$LP$60=G$4)*(GMW!$LR$2:$LR$60=G$1),0),$C212-1966)</f>
        <v>571938.1</v>
      </c>
      <c r="H212" s="4" cm="1">
        <f t="array" ref="H212">INDEX(GMW!$A$2:$LR$60,MATCH(1,(GMW!$LQ$2:$LQ$60=H$3)*(GMW!$LP$2:$LP$60=H$4)*(GMW!$LR$2:$LR$60=H$1),0),$C212-1966)</f>
        <v>569712.9</v>
      </c>
      <c r="I212" s="4" cm="1">
        <f t="array" ref="I212">INDEX(GMW!$A$2:$LR$60,MATCH(1,(GMW!$LQ$2:$LQ$60=I$3)*(GMW!$LP$2:$LP$60=I$4)*(GMW!$LR$2:$LR$60=I$1),0),$C212-1966)</f>
        <v>570108.4</v>
      </c>
      <c r="J212" s="4" cm="1">
        <f t="array" ref="J212">INDEX(GMW!$A$2:$LR$60,MATCH(1,(GMW!$LQ$2:$LQ$60=J$3)*(GMW!$LP$2:$LP$60=J$4)*(GMW!$LR$2:$LR$60=J$1),0),$C212-1966)</f>
        <v>570105.9</v>
      </c>
      <c r="K212" s="4" cm="1">
        <f t="array" ref="K212">INDEX(GMW!$A$2:$LR$60,MATCH(1,(GMW!$LQ$2:$LQ$60=K$3)*(GMW!$LP$2:$LP$60=K$4)*(GMW!$LR$2:$LR$60=K$1),0),$C212-1966)</f>
        <v>569946.69999999995</v>
      </c>
      <c r="L212" s="4" cm="1">
        <f t="array" ref="L212">INDEX(GMW!$A$2:$LR$60,MATCH(1,(GMW!$LQ$2:$LQ$60=L$3)*(GMW!$LP$2:$LP$60=L$4)*(GMW!$LR$2:$LR$60=L$1),0),$C212-1966)</f>
        <v>570318.80000000005</v>
      </c>
      <c r="M212" s="4" cm="1">
        <f t="array" ref="M212">INDEX(GMW!$A$2:$LR$60,MATCH(1,(GMW!$LQ$2:$LQ$60=M$3)*(GMW!$LP$2:$LP$60=M$4)*(GMW!$LR$2:$LR$60=M$1),0),$C212-1966)</f>
        <v>570318.80000000005</v>
      </c>
      <c r="N212" s="4" cm="1">
        <f t="array" ref="N212">INDEX(GMW!$A$2:$LR$60,MATCH(1,(GMW!$LQ$2:$LQ$60=N$3)*(GMW!$LP$2:$LP$60=N$4)*(GMW!$LR$2:$LR$60=N$1),0),$C212-1966)</f>
        <v>572045.1</v>
      </c>
      <c r="O212" s="4" cm="1">
        <f t="array" ref="O212">INDEX(GMW!$A$2:$LR$60,MATCH(1,(GMW!$LQ$2:$LQ$60=O$3)*(GMW!$LP$2:$LP$60=O$4)*(GMW!$LR$2:$LR$60=O$1),0),$C212-1966)</f>
        <v>571523.1</v>
      </c>
      <c r="P212" s="4" cm="1">
        <f t="array" ref="P212">INDEX(GMW!$A$2:$LR$60,MATCH(1,(GMW!$LQ$2:$LQ$60=P$3)*(GMW!$LP$2:$LP$60=P$4)*(GMW!$LR$2:$LR$60=P$1),0),$C212-1966)</f>
        <v>572293.1</v>
      </c>
      <c r="Q212" s="4" cm="1">
        <f t="array" ref="Q212">INDEX(GMW!$A$2:$LR$60,MATCH(1,(GMW!$LQ$2:$LQ$60=Q$3)*(GMW!$LP$2:$LP$60=Q$4)*(GMW!$LR$2:$LR$60=Q$1),0),$C212-1966)</f>
        <v>573054.30000000005</v>
      </c>
      <c r="R212" s="4" cm="1">
        <f t="array" ref="R212">INDEX(GMW!$A$2:$LR$60,MATCH(1,(GMW!$LQ$2:$LQ$60=R$3)*(GMW!$LP$2:$LP$60=R$4)*(GMW!$LR$2:$LR$60=R$1),0),$C212-1966)</f>
        <v>573830.80000000005</v>
      </c>
      <c r="S212" s="4" cm="1">
        <f t="array" ref="S212">INDEX(GMW!$A$2:$LR$60,MATCH(1,(GMW!$LQ$2:$LQ$60=S$3)*(GMW!$LP$2:$LP$60=S$4)*(GMW!$LR$2:$LR$60=S$1),0),$C212-1966)</f>
        <v>573830.80000000005</v>
      </c>
      <c r="T212" s="4" cm="1">
        <f t="array" ref="T212">INDEX(GMW!$A$2:$LR$60,MATCH(1,(GMW!$LQ$2:$LQ$60=T$3)*(GMW!$LP$2:$LP$60=T$4)*(GMW!$LR$2:$LR$60=T$1),0),$C212-1966)</f>
        <v>573956</v>
      </c>
      <c r="U212" s="4" cm="1">
        <f t="array" ref="U212">INDEX(GMW!$A$2:$LR$60,MATCH(1,(GMW!$LQ$2:$LQ$60=U$3)*(GMW!$LP$2:$LP$60=U$4)*(GMW!$LR$2:$LR$60=U$1),0),$C212-1966)</f>
        <v>688</v>
      </c>
      <c r="V212" s="4" cm="1">
        <f t="array" ref="V212">INDEX(GMW!$A$2:$LR$60,MATCH(1,(GMW!$LQ$2:$LQ$60=V$3)*(GMW!$LP$2:$LP$60=V$4)*(GMW!$LR$2:$LR$60=V$1),0),$C212-1966)</f>
        <v>133.83330000000001</v>
      </c>
      <c r="W212" s="4" cm="1">
        <f t="array" ref="W212">INDEX(GMW!$A$2:$LR$60,MATCH(1,(GMW!$LQ$2:$LQ$60=W$3)*(GMW!$LP$2:$LP$60=W$4)*(GMW!$LR$2:$LR$60=W$1),0),$C212-1966)</f>
        <v>138.5</v>
      </c>
      <c r="X212" s="4" cm="1">
        <f t="array" ref="X212">INDEX(GMW!$A$2:$LR$60,MATCH(1,(GMW!$LQ$2:$LQ$60=X$3)*(GMW!$LP$2:$LP$60=X$4)*(GMW!$LR$2:$LR$60=X$1),0),$C212-1966)</f>
        <v>134</v>
      </c>
      <c r="Y212" s="4" cm="1">
        <f t="array" ref="Y212">INDEX(GMW!$A$2:$LR$60,MATCH(1,(GMW!$LQ$2:$LQ$60=Y$3)*(GMW!$LP$2:$LP$60=Y$4)*(GMW!$LR$2:$LR$60=Y$1),0),$C212-1966)</f>
        <v>168.9</v>
      </c>
      <c r="Z212" s="4" cm="1">
        <f t="array" ref="Z212">INDEX(GMW!$A$2:$LR$60,MATCH(1,(GMW!$LQ$2:$LQ$60=Z$3)*(GMW!$LP$2:$LP$60=Z$4)*(GMW!$LR$2:$LR$60=Z$1),0),$C212-1966)</f>
        <v>130.4</v>
      </c>
      <c r="AA212" s="4" cm="1">
        <f t="array" ref="AA212">INDEX(GMW!$A$2:$LR$60,MATCH(1,(GMW!$LQ$2:$LQ$60=AA$3)*(GMW!$LP$2:$LP$60=AA$4)*(GMW!$LR$2:$LR$60=AA$1),0),$C212-1966)</f>
        <v>339057</v>
      </c>
      <c r="AB212" s="4" cm="1">
        <f t="array" ref="AB212">INDEX(GMW!$A$2:$LR$60,MATCH(1,(GMW!$LQ$2:$LQ$60=AB$3)*(GMW!$LP$2:$LP$60=AB$4)*(GMW!$LR$2:$LR$60=AB$1),0),$C212-1966)</f>
        <v>108571</v>
      </c>
      <c r="AC212" s="4" cm="1">
        <f t="array" ref="AC212">INDEX(GMW!$A$2:$LR$60,MATCH(1,(GMW!$LQ$2:$LQ$60=AC$3)*(GMW!$LP$2:$LP$60=AC$4)*(GMW!$LR$2:$LR$60=AC$1),0),$C212-1966)</f>
        <v>119020</v>
      </c>
      <c r="AD212" s="4" cm="1">
        <f t="array" ref="AD212">INDEX(GMW!$A$2:$LR$60,MATCH(1,(GMW!$LQ$2:$LQ$60=AD$3)*(GMW!$LP$2:$LP$60=AD$4)*(GMW!$LR$2:$LR$60=AD$1),0),$C212-1966)</f>
        <v>176254</v>
      </c>
      <c r="AE212" s="4" cm="1">
        <f t="array" ref="AE212">INDEX(GMW!$A$2:$LR$60,MATCH(1,(GMW!$LQ$2:$LQ$60=AE$3)*(GMW!$LP$2:$LP$60=AE$4)*(GMW!$LR$2:$LR$60=AE$1),0),$C212-1966)</f>
        <v>193359</v>
      </c>
      <c r="AF212" s="4" cm="1">
        <f t="array" ref="AF212">INDEX(GMW!$A$2:$LR$60,MATCH(1,(GMW!$LQ$2:$LQ$60=AF$3)*(GMW!$LP$2:$LP$60=AF$4)*(GMW!$LR$2:$LR$60=AF$1),0),$C212-1966)</f>
        <v>4.6002789999999996</v>
      </c>
      <c r="AG212" s="4" cm="1">
        <f t="array" ref="AG212">INDEX(GMW!$A$2:$LR$60,MATCH(1,(GMW!$LQ$2:$LQ$60=AG$3)*(GMW!$LP$2:$LP$60=AG$4)*(GMW!$LR$2:$LR$60=AG$1),0),$C212-1966)</f>
        <v>4.0494620000000001</v>
      </c>
    </row>
    <row r="213" spans="1:33" x14ac:dyDescent="0.25">
      <c r="B213" s="4">
        <f t="shared" si="7"/>
        <v>2024</v>
      </c>
      <c r="C213" s="4">
        <f t="shared" si="6"/>
        <v>2179</v>
      </c>
      <c r="D213" s="4" cm="1">
        <f t="array" ref="D213">INDEX(GMW!$A$2:$LR$60,MATCH(1,(GMW!$LQ$2:$LQ$60=D$3)*(GMW!$LP$2:$LP$60=D$4)*(GMW!$LR$2:$LR$60=D$1),0),$C213-1966)</f>
        <v>576074.6</v>
      </c>
      <c r="E213" s="4" cm="1">
        <f t="array" ref="E213">INDEX(GMW!$A$2:$LR$60,MATCH(1,(GMW!$LQ$2:$LQ$60=E$3)*(GMW!$LP$2:$LP$60=E$4)*(GMW!$LR$2:$LR$60=E$1),0),$C213-1966)</f>
        <v>573029.5</v>
      </c>
      <c r="F213" s="4" cm="1">
        <f t="array" ref="F213">INDEX(GMW!$A$2:$LR$60,MATCH(1,(GMW!$LQ$2:$LQ$60=F$3)*(GMW!$LP$2:$LP$60=F$4)*(GMW!$LR$2:$LR$60=F$1),0),$C213-1966)</f>
        <v>573233.19999999995</v>
      </c>
      <c r="G213" s="4" cm="1">
        <f t="array" ref="G213">INDEX(GMW!$A$2:$LR$60,MATCH(1,(GMW!$LQ$2:$LQ$60=G$3)*(GMW!$LP$2:$LP$60=G$4)*(GMW!$LR$2:$LR$60=G$1),0),$C213-1966)</f>
        <v>573233.19999999995</v>
      </c>
      <c r="H213" s="4" cm="1">
        <f t="array" ref="H213">INDEX(GMW!$A$2:$LR$60,MATCH(1,(GMW!$LQ$2:$LQ$60=H$3)*(GMW!$LP$2:$LP$60=H$4)*(GMW!$LR$2:$LR$60=H$1),0),$C213-1966)</f>
        <v>571261.5</v>
      </c>
      <c r="I213" s="4" cm="1">
        <f t="array" ref="I213">INDEX(GMW!$A$2:$LR$60,MATCH(1,(GMW!$LQ$2:$LQ$60=I$3)*(GMW!$LP$2:$LP$60=I$4)*(GMW!$LR$2:$LR$60=I$1),0),$C213-1966)</f>
        <v>572322.4</v>
      </c>
      <c r="J213" s="4" cm="1">
        <f t="array" ref="J213">INDEX(GMW!$A$2:$LR$60,MATCH(1,(GMW!$LQ$2:$LQ$60=J$3)*(GMW!$LP$2:$LP$60=J$4)*(GMW!$LR$2:$LR$60=J$1),0),$C213-1966)</f>
        <v>572319.9</v>
      </c>
      <c r="K213" s="4" cm="1">
        <f t="array" ref="K213">INDEX(GMW!$A$2:$LR$60,MATCH(1,(GMW!$LQ$2:$LQ$60=K$3)*(GMW!$LP$2:$LP$60=K$4)*(GMW!$LR$2:$LR$60=K$1),0),$C213-1966)</f>
        <v>572160.30000000005</v>
      </c>
      <c r="L213" s="4" cm="1">
        <f t="array" ref="L213">INDEX(GMW!$A$2:$LR$60,MATCH(1,(GMW!$LQ$2:$LQ$60=L$3)*(GMW!$LP$2:$LP$60=L$4)*(GMW!$LR$2:$LR$60=L$1),0),$C213-1966)</f>
        <v>572564.9</v>
      </c>
      <c r="M213" s="4" cm="1">
        <f t="array" ref="M213">INDEX(GMW!$A$2:$LR$60,MATCH(1,(GMW!$LQ$2:$LQ$60=M$3)*(GMW!$LP$2:$LP$60=M$4)*(GMW!$LR$2:$LR$60=M$1),0),$C213-1966)</f>
        <v>572564.9</v>
      </c>
      <c r="N213" s="4" cm="1">
        <f t="array" ref="N213">INDEX(GMW!$A$2:$LR$60,MATCH(1,(GMW!$LQ$2:$LQ$60=N$3)*(GMW!$LP$2:$LP$60=N$4)*(GMW!$LR$2:$LR$60=N$1),0),$C213-1966)</f>
        <v>574261.4</v>
      </c>
      <c r="O213" s="4" cm="1">
        <f t="array" ref="O213">INDEX(GMW!$A$2:$LR$60,MATCH(1,(GMW!$LQ$2:$LQ$60=O$3)*(GMW!$LP$2:$LP$60=O$4)*(GMW!$LR$2:$LR$60=O$1),0),$C213-1966)</f>
        <v>574003.6</v>
      </c>
      <c r="P213" s="4" cm="1">
        <f t="array" ref="P213">INDEX(GMW!$A$2:$LR$60,MATCH(1,(GMW!$LQ$2:$LQ$60=P$3)*(GMW!$LP$2:$LP$60=P$4)*(GMW!$LR$2:$LR$60=P$1),0),$C213-1966)</f>
        <v>574441.6</v>
      </c>
      <c r="Q213" s="4" cm="1">
        <f t="array" ref="Q213">INDEX(GMW!$A$2:$LR$60,MATCH(1,(GMW!$LQ$2:$LQ$60=Q$3)*(GMW!$LP$2:$LP$60=Q$4)*(GMW!$LR$2:$LR$60=Q$1),0),$C213-1966)</f>
        <v>575242</v>
      </c>
      <c r="R213" s="4" cm="1">
        <f t="array" ref="R213">INDEX(GMW!$A$2:$LR$60,MATCH(1,(GMW!$LQ$2:$LQ$60=R$3)*(GMW!$LP$2:$LP$60=R$4)*(GMW!$LR$2:$LR$60=R$1),0),$C213-1966)</f>
        <v>575454.1</v>
      </c>
      <c r="S213" s="4" cm="1">
        <f t="array" ref="S213">INDEX(GMW!$A$2:$LR$60,MATCH(1,(GMW!$LQ$2:$LQ$60=S$3)*(GMW!$LP$2:$LP$60=S$4)*(GMW!$LR$2:$LR$60=S$1),0),$C213-1966)</f>
        <v>575345.5</v>
      </c>
      <c r="T213" s="4" cm="1">
        <f t="array" ref="T213">INDEX(GMW!$A$2:$LR$60,MATCH(1,(GMW!$LQ$2:$LQ$60=T$3)*(GMW!$LP$2:$LP$60=T$4)*(GMW!$LR$2:$LR$60=T$1),0),$C213-1966)</f>
        <v>575884</v>
      </c>
      <c r="U213" s="4" cm="1">
        <f t="array" ref="U213">INDEX(GMW!$A$2:$LR$60,MATCH(1,(GMW!$LQ$2:$LQ$60=U$3)*(GMW!$LP$2:$LP$60=U$4)*(GMW!$LR$2:$LR$60=U$1),0),$C213-1966)</f>
        <v>694.90650000000005</v>
      </c>
      <c r="V213" s="4" cm="1">
        <f t="array" ref="V213">INDEX(GMW!$A$2:$LR$60,MATCH(1,(GMW!$LQ$2:$LQ$60=V$3)*(GMW!$LP$2:$LP$60=V$4)*(GMW!$LR$2:$LR$60=V$1),0),$C213-1966)</f>
        <v>134.1499</v>
      </c>
      <c r="W213" s="4" cm="1">
        <f t="array" ref="W213">INDEX(GMW!$A$2:$LR$60,MATCH(1,(GMW!$LQ$2:$LQ$60=W$3)*(GMW!$LP$2:$LP$60=W$4)*(GMW!$LR$2:$LR$60=W$1),0),$C213-1966)</f>
        <v>138.71440000000001</v>
      </c>
      <c r="X213" s="4" cm="1">
        <f t="array" ref="X213">INDEX(GMW!$A$2:$LR$60,MATCH(1,(GMW!$LQ$2:$LQ$60=X$3)*(GMW!$LP$2:$LP$60=X$4)*(GMW!$LR$2:$LR$60=X$1),0),$C213-1966)</f>
        <v>129.12739999999999</v>
      </c>
      <c r="Y213" s="4" cm="1">
        <f t="array" ref="Y213">INDEX(GMW!$A$2:$LR$60,MATCH(1,(GMW!$LQ$2:$LQ$60=Y$3)*(GMW!$LP$2:$LP$60=Y$4)*(GMW!$LR$2:$LR$60=Y$1),0),$C213-1966)</f>
        <v>157.1165</v>
      </c>
      <c r="Z213" s="4" cm="1">
        <f t="array" ref="Z213">INDEX(GMW!$A$2:$LR$60,MATCH(1,(GMW!$LQ$2:$LQ$60=Z$3)*(GMW!$LP$2:$LP$60=Z$4)*(GMW!$LR$2:$LR$60=Z$1),0),$C213-1966)</f>
        <v>131.38239999999999</v>
      </c>
      <c r="AA213" s="4" cm="1">
        <f t="array" ref="AA213">INDEX(GMW!$A$2:$LR$60,MATCH(1,(GMW!$LQ$2:$LQ$60=AA$3)*(GMW!$LP$2:$LP$60=AA$4)*(GMW!$LR$2:$LR$60=AA$1),0),$C213-1966)</f>
        <v>340752.3</v>
      </c>
      <c r="AB213" s="4" cm="1">
        <f t="array" ref="AB213">INDEX(GMW!$A$2:$LR$60,MATCH(1,(GMW!$LQ$2:$LQ$60=AB$3)*(GMW!$LP$2:$LP$60=AB$4)*(GMW!$LR$2:$LR$60=AB$1),0),$C213-1966)</f>
        <v>107258</v>
      </c>
      <c r="AC213" s="4" cm="1">
        <f t="array" ref="AC213">INDEX(GMW!$A$2:$LR$60,MATCH(1,(GMW!$LQ$2:$LQ$60=AC$3)*(GMW!$LP$2:$LP$60=AC$4)*(GMW!$LR$2:$LR$60=AC$1),0),$C213-1966)</f>
        <v>119582.3</v>
      </c>
      <c r="AD213" s="4" cm="1">
        <f t="array" ref="AD213">INDEX(GMW!$A$2:$LR$60,MATCH(1,(GMW!$LQ$2:$LQ$60=AD$3)*(GMW!$LP$2:$LP$60=AD$4)*(GMW!$LR$2:$LR$60=AD$1),0),$C213-1966)</f>
        <v>177283.6</v>
      </c>
      <c r="AE213" s="4" cm="1">
        <f t="array" ref="AE213">INDEX(GMW!$A$2:$LR$60,MATCH(1,(GMW!$LQ$2:$LQ$60=AE$3)*(GMW!$LP$2:$LP$60=AE$4)*(GMW!$LR$2:$LR$60=AE$1),0),$C213-1966)</f>
        <v>186907.1</v>
      </c>
      <c r="AF213" s="4" cm="1">
        <f t="array" ref="AF213">INDEX(GMW!$A$2:$LR$60,MATCH(1,(GMW!$LQ$2:$LQ$60=AF$3)*(GMW!$LP$2:$LP$60=AF$4)*(GMW!$LR$2:$LR$60=AF$1),0),$C213-1966)</f>
        <v>4.2179609999999998</v>
      </c>
      <c r="AG213" s="4" cm="1">
        <f t="array" ref="AG213">INDEX(GMW!$A$2:$LR$60,MATCH(1,(GMW!$LQ$2:$LQ$60=AG$3)*(GMW!$LP$2:$LP$60=AG$4)*(GMW!$LR$2:$LR$60=AG$1),0),$C213-1966)</f>
        <v>3.7910439999999999</v>
      </c>
    </row>
    <row r="214" spans="1:33" x14ac:dyDescent="0.25">
      <c r="B214" s="4">
        <f t="shared" si="7"/>
        <v>2024</v>
      </c>
      <c r="C214" s="4">
        <f t="shared" si="6"/>
        <v>2180</v>
      </c>
      <c r="D214" s="4" cm="1">
        <f t="array" ref="D214">INDEX(GMW!$A$2:$LR$60,MATCH(1,(GMW!$LQ$2:$LQ$60=D$3)*(GMW!$LP$2:$LP$60=D$4)*(GMW!$LR$2:$LR$60=D$1),0),$C214-1966)</f>
        <v>578342.6</v>
      </c>
      <c r="E214" s="4" cm="1">
        <f t="array" ref="E214">INDEX(GMW!$A$2:$LR$60,MATCH(1,(GMW!$LQ$2:$LQ$60=E$3)*(GMW!$LP$2:$LP$60=E$4)*(GMW!$LR$2:$LR$60=E$1),0),$C214-1966)</f>
        <v>574662.30000000005</v>
      </c>
      <c r="F214" s="4" cm="1">
        <f t="array" ref="F214">INDEX(GMW!$A$2:$LR$60,MATCH(1,(GMW!$LQ$2:$LQ$60=F$3)*(GMW!$LP$2:$LP$60=F$4)*(GMW!$LR$2:$LR$60=F$1),0),$C214-1966)</f>
        <v>574865.80000000005</v>
      </c>
      <c r="G214" s="4" cm="1">
        <f t="array" ref="G214">INDEX(GMW!$A$2:$LR$60,MATCH(1,(GMW!$LQ$2:$LQ$60=G$3)*(GMW!$LP$2:$LP$60=G$4)*(GMW!$LR$2:$LR$60=G$1),0),$C214-1966)</f>
        <v>574865.80000000005</v>
      </c>
      <c r="H214" s="4" cm="1">
        <f t="array" ref="H214">INDEX(GMW!$A$2:$LR$60,MATCH(1,(GMW!$LQ$2:$LQ$60=H$3)*(GMW!$LP$2:$LP$60=H$4)*(GMW!$LR$2:$LR$60=H$1),0),$C214-1966)</f>
        <v>573464.30000000005</v>
      </c>
      <c r="I214" s="4" cm="1">
        <f t="array" ref="I214">INDEX(GMW!$A$2:$LR$60,MATCH(1,(GMW!$LQ$2:$LQ$60=I$3)*(GMW!$LP$2:$LP$60=I$4)*(GMW!$LR$2:$LR$60=I$1),0),$C214-1966)</f>
        <v>575181.1</v>
      </c>
      <c r="J214" s="4" cm="1">
        <f t="array" ref="J214">INDEX(GMW!$A$2:$LR$60,MATCH(1,(GMW!$LQ$2:$LQ$60=J$3)*(GMW!$LP$2:$LP$60=J$4)*(GMW!$LR$2:$LR$60=J$1),0),$C214-1966)</f>
        <v>575178.6</v>
      </c>
      <c r="K214" s="4" cm="1">
        <f t="array" ref="K214">INDEX(GMW!$A$2:$LR$60,MATCH(1,(GMW!$LQ$2:$LQ$60=K$3)*(GMW!$LP$2:$LP$60=K$4)*(GMW!$LR$2:$LR$60=K$1),0),$C214-1966)</f>
        <v>575018.5</v>
      </c>
      <c r="L214" s="4" cm="1">
        <f t="array" ref="L214">INDEX(GMW!$A$2:$LR$60,MATCH(1,(GMW!$LQ$2:$LQ$60=L$3)*(GMW!$LP$2:$LP$60=L$4)*(GMW!$LR$2:$LR$60=L$1),0),$C214-1966)</f>
        <v>575422.6</v>
      </c>
      <c r="M214" s="4" cm="1">
        <f t="array" ref="M214">INDEX(GMW!$A$2:$LR$60,MATCH(1,(GMW!$LQ$2:$LQ$60=M$3)*(GMW!$LP$2:$LP$60=M$4)*(GMW!$LR$2:$LR$60=M$1),0),$C214-1966)</f>
        <v>575422.6</v>
      </c>
      <c r="N214" s="4" cm="1">
        <f t="array" ref="N214">INDEX(GMW!$A$2:$LR$60,MATCH(1,(GMW!$LQ$2:$LQ$60=N$3)*(GMW!$LP$2:$LP$60=N$4)*(GMW!$LR$2:$LR$60=N$1),0),$C214-1966)</f>
        <v>577118.9</v>
      </c>
      <c r="O214" s="4" cm="1">
        <f t="array" ref="O214">INDEX(GMW!$A$2:$LR$60,MATCH(1,(GMW!$LQ$2:$LQ$60=O$3)*(GMW!$LP$2:$LP$60=O$4)*(GMW!$LR$2:$LR$60=O$1),0),$C214-1966)</f>
        <v>576946.80000000005</v>
      </c>
      <c r="P214" s="4" cm="1">
        <f t="array" ref="P214">INDEX(GMW!$A$2:$LR$60,MATCH(1,(GMW!$LQ$2:$LQ$60=P$3)*(GMW!$LP$2:$LP$60=P$4)*(GMW!$LR$2:$LR$60=P$1),0),$C214-1966)</f>
        <v>577384.69999999995</v>
      </c>
      <c r="Q214" s="4" cm="1">
        <f t="array" ref="Q214">INDEX(GMW!$A$2:$LR$60,MATCH(1,(GMW!$LQ$2:$LQ$60=Q$3)*(GMW!$LP$2:$LP$60=Q$4)*(GMW!$LR$2:$LR$60=Q$1),0),$C214-1966)</f>
        <v>578185.9</v>
      </c>
      <c r="R214" s="4" cm="1">
        <f t="array" ref="R214">INDEX(GMW!$A$2:$LR$60,MATCH(1,(GMW!$LQ$2:$LQ$60=R$3)*(GMW!$LP$2:$LP$60=R$4)*(GMW!$LR$2:$LR$60=R$1),0),$C214-1966)</f>
        <v>578397.30000000005</v>
      </c>
      <c r="S214" s="4" cm="1">
        <f t="array" ref="S214">INDEX(GMW!$A$2:$LR$60,MATCH(1,(GMW!$LQ$2:$LQ$60=S$3)*(GMW!$LP$2:$LP$60=S$4)*(GMW!$LR$2:$LR$60=S$1),0),$C214-1966)</f>
        <v>577872.9</v>
      </c>
      <c r="T214" s="4" cm="1">
        <f t="array" ref="T214">INDEX(GMW!$A$2:$LR$60,MATCH(1,(GMW!$LQ$2:$LQ$60=T$3)*(GMW!$LP$2:$LP$60=T$4)*(GMW!$LR$2:$LR$60=T$1),0),$C214-1966)</f>
        <v>578187.30000000005</v>
      </c>
      <c r="U214" s="4" cm="1">
        <f t="array" ref="U214">INDEX(GMW!$A$2:$LR$60,MATCH(1,(GMW!$LQ$2:$LQ$60=U$3)*(GMW!$LP$2:$LP$60=U$4)*(GMW!$LR$2:$LR$60=U$1),0),$C214-1966)</f>
        <v>702.13369999999998</v>
      </c>
      <c r="V214" s="4" cm="1">
        <f t="array" ref="V214">INDEX(GMW!$A$2:$LR$60,MATCH(1,(GMW!$LQ$2:$LQ$60=V$3)*(GMW!$LP$2:$LP$60=V$4)*(GMW!$LR$2:$LR$60=V$1),0),$C214-1966)</f>
        <v>135.34280000000001</v>
      </c>
      <c r="W214" s="4" cm="1">
        <f t="array" ref="W214">INDEX(GMW!$A$2:$LR$60,MATCH(1,(GMW!$LQ$2:$LQ$60=W$3)*(GMW!$LP$2:$LP$60=W$4)*(GMW!$LR$2:$LR$60=W$1),0),$C214-1966)</f>
        <v>139.18379999999999</v>
      </c>
      <c r="X214" s="4" cm="1">
        <f t="array" ref="X214">INDEX(GMW!$A$2:$LR$60,MATCH(1,(GMW!$LQ$2:$LQ$60=X$3)*(GMW!$LP$2:$LP$60=X$4)*(GMW!$LR$2:$LR$60=X$1),0),$C214-1966)</f>
        <v>128.24639999999999</v>
      </c>
      <c r="Y214" s="4" cm="1">
        <f t="array" ref="Y214">INDEX(GMW!$A$2:$LR$60,MATCH(1,(GMW!$LQ$2:$LQ$60=Y$3)*(GMW!$LP$2:$LP$60=Y$4)*(GMW!$LR$2:$LR$60=Y$1),0),$C214-1966)</f>
        <v>171.03800000000001</v>
      </c>
      <c r="Z214" s="4" cm="1">
        <f t="array" ref="Z214">INDEX(GMW!$A$2:$LR$60,MATCH(1,(GMW!$LQ$2:$LQ$60=Z$3)*(GMW!$LP$2:$LP$60=Z$4)*(GMW!$LR$2:$LR$60=Z$1),0),$C214-1966)</f>
        <v>132.32660000000001</v>
      </c>
      <c r="AA214" s="4" cm="1">
        <f t="array" ref="AA214">INDEX(GMW!$A$2:$LR$60,MATCH(1,(GMW!$LQ$2:$LQ$60=AA$3)*(GMW!$LP$2:$LP$60=AA$4)*(GMW!$LR$2:$LR$60=AA$1),0),$C214-1966)</f>
        <v>342667</v>
      </c>
      <c r="AB214" s="4" cm="1">
        <f t="array" ref="AB214">INDEX(GMW!$A$2:$LR$60,MATCH(1,(GMW!$LQ$2:$LQ$60=AB$3)*(GMW!$LP$2:$LP$60=AB$4)*(GMW!$LR$2:$LR$60=AB$1),0),$C214-1966)</f>
        <v>107554.1</v>
      </c>
      <c r="AC214" s="4" cm="1">
        <f t="array" ref="AC214">INDEX(GMW!$A$2:$LR$60,MATCH(1,(GMW!$LQ$2:$LQ$60=AC$3)*(GMW!$LP$2:$LP$60=AC$4)*(GMW!$LR$2:$LR$60=AC$1),0),$C214-1966)</f>
        <v>120644.3</v>
      </c>
      <c r="AD214" s="4" cm="1">
        <f t="array" ref="AD214">INDEX(GMW!$A$2:$LR$60,MATCH(1,(GMW!$LQ$2:$LQ$60=AD$3)*(GMW!$LP$2:$LP$60=AD$4)*(GMW!$LR$2:$LR$60=AD$1),0),$C214-1966)</f>
        <v>177903</v>
      </c>
      <c r="AE214" s="4" cm="1">
        <f t="array" ref="AE214">INDEX(GMW!$A$2:$LR$60,MATCH(1,(GMW!$LQ$2:$LQ$60=AE$3)*(GMW!$LP$2:$LP$60=AE$4)*(GMW!$LR$2:$LR$60=AE$1),0),$C214-1966)</f>
        <v>188519.3</v>
      </c>
      <c r="AF214" s="4" cm="1">
        <f t="array" ref="AF214">INDEX(GMW!$A$2:$LR$60,MATCH(1,(GMW!$LQ$2:$LQ$60=AF$3)*(GMW!$LP$2:$LP$60=AF$4)*(GMW!$LR$2:$LR$60=AF$1),0),$C214-1966)</f>
        <v>4.0969249999999997</v>
      </c>
      <c r="AG214" s="4" cm="1">
        <f t="array" ref="AG214">INDEX(GMW!$A$2:$LR$60,MATCH(1,(GMW!$LQ$2:$LQ$60=AG$3)*(GMW!$LP$2:$LP$60=AG$4)*(GMW!$LR$2:$LR$60=AG$1),0),$C214-1966)</f>
        <v>3.720237</v>
      </c>
    </row>
    <row r="215" spans="1:33" x14ac:dyDescent="0.25">
      <c r="A215" s="4">
        <v>2025</v>
      </c>
      <c r="B215" s="4">
        <f t="shared" si="7"/>
        <v>2025</v>
      </c>
      <c r="C215" s="4">
        <f t="shared" si="6"/>
        <v>2181</v>
      </c>
      <c r="D215" s="4" cm="1">
        <f t="array" ref="D215">INDEX(GMW!$A$2:$LR$60,MATCH(1,(GMW!$LQ$2:$LQ$60=D$3)*(GMW!$LP$2:$LP$60=D$4)*(GMW!$LR$2:$LR$60=D$1),0),$C215-1966)</f>
        <v>580724.9</v>
      </c>
      <c r="E215" s="4" cm="1">
        <f t="array" ref="E215">INDEX(GMW!$A$2:$LR$60,MATCH(1,(GMW!$LQ$2:$LQ$60=E$3)*(GMW!$LP$2:$LP$60=E$4)*(GMW!$LR$2:$LR$60=E$1),0),$C215-1966)</f>
        <v>577115.9</v>
      </c>
      <c r="F215" s="4" cm="1">
        <f t="array" ref="F215">INDEX(GMW!$A$2:$LR$60,MATCH(1,(GMW!$LQ$2:$LQ$60=F$3)*(GMW!$LP$2:$LP$60=F$4)*(GMW!$LR$2:$LR$60=F$1),0),$C215-1966)</f>
        <v>577320.19999999995</v>
      </c>
      <c r="G215" s="4" cm="1">
        <f t="array" ref="G215">INDEX(GMW!$A$2:$LR$60,MATCH(1,(GMW!$LQ$2:$LQ$60=G$3)*(GMW!$LP$2:$LP$60=G$4)*(GMW!$LR$2:$LR$60=G$1),0),$C215-1966)</f>
        <v>577320.19999999995</v>
      </c>
      <c r="H215" s="4" cm="1">
        <f t="array" ref="H215">INDEX(GMW!$A$2:$LR$60,MATCH(1,(GMW!$LQ$2:$LQ$60=H$3)*(GMW!$LP$2:$LP$60=H$4)*(GMW!$LR$2:$LR$60=H$1),0),$C215-1966)</f>
        <v>576141.9</v>
      </c>
      <c r="I215" s="4" cm="1">
        <f t="array" ref="I215">INDEX(GMW!$A$2:$LR$60,MATCH(1,(GMW!$LQ$2:$LQ$60=I$3)*(GMW!$LP$2:$LP$60=I$4)*(GMW!$LR$2:$LR$60=I$1),0),$C215-1966)</f>
        <v>578211.80000000005</v>
      </c>
      <c r="J215" s="4" cm="1">
        <f t="array" ref="J215">INDEX(GMW!$A$2:$LR$60,MATCH(1,(GMW!$LQ$2:$LQ$60=J$3)*(GMW!$LP$2:$LP$60=J$4)*(GMW!$LR$2:$LR$60=J$1),0),$C215-1966)</f>
        <v>578209.30000000005</v>
      </c>
      <c r="K215" s="4" cm="1">
        <f t="array" ref="K215">INDEX(GMW!$A$2:$LR$60,MATCH(1,(GMW!$LQ$2:$LQ$60=K$3)*(GMW!$LP$2:$LP$60=K$4)*(GMW!$LR$2:$LR$60=K$1),0),$C215-1966)</f>
        <v>578048.4</v>
      </c>
      <c r="L215" s="4" cm="1">
        <f t="array" ref="L215">INDEX(GMW!$A$2:$LR$60,MATCH(1,(GMW!$LQ$2:$LQ$60=L$3)*(GMW!$LP$2:$LP$60=L$4)*(GMW!$LR$2:$LR$60=L$1),0),$C215-1966)</f>
        <v>578454.6</v>
      </c>
      <c r="M215" s="4" cm="1">
        <f t="array" ref="M215">INDEX(GMW!$A$2:$LR$60,MATCH(1,(GMW!$LQ$2:$LQ$60=M$3)*(GMW!$LP$2:$LP$60=M$4)*(GMW!$LR$2:$LR$60=M$1),0),$C215-1966)</f>
        <v>578454.6</v>
      </c>
      <c r="N215" s="4" cm="1">
        <f t="array" ref="N215">INDEX(GMW!$A$2:$LR$60,MATCH(1,(GMW!$LQ$2:$LQ$60=N$3)*(GMW!$LP$2:$LP$60=N$4)*(GMW!$LR$2:$LR$60=N$1),0),$C215-1966)</f>
        <v>580159.9</v>
      </c>
      <c r="O215" s="4" cm="1">
        <f t="array" ref="O215">INDEX(GMW!$A$2:$LR$60,MATCH(1,(GMW!$LQ$2:$LQ$60=O$3)*(GMW!$LP$2:$LP$60=O$4)*(GMW!$LR$2:$LR$60=O$1),0),$C215-1966)</f>
        <v>579986.80000000005</v>
      </c>
      <c r="P215" s="4" cm="1">
        <f t="array" ref="P215">INDEX(GMW!$A$2:$LR$60,MATCH(1,(GMW!$LQ$2:$LQ$60=P$3)*(GMW!$LP$2:$LP$60=P$4)*(GMW!$LR$2:$LR$60=P$1),0),$C215-1966)</f>
        <v>580427</v>
      </c>
      <c r="Q215" s="4" cm="1">
        <f t="array" ref="Q215">INDEX(GMW!$A$2:$LR$60,MATCH(1,(GMW!$LQ$2:$LQ$60=Q$3)*(GMW!$LP$2:$LP$60=Q$4)*(GMW!$LR$2:$LR$60=Q$1),0),$C215-1966)</f>
        <v>581232.4</v>
      </c>
      <c r="R215" s="4" cm="1">
        <f t="array" ref="R215">INDEX(GMW!$A$2:$LR$60,MATCH(1,(GMW!$LQ$2:$LQ$60=R$3)*(GMW!$LP$2:$LP$60=R$4)*(GMW!$LR$2:$LR$60=R$1),0),$C215-1966)</f>
        <v>581444.9</v>
      </c>
      <c r="S215" s="4" cm="1">
        <f t="array" ref="S215">INDEX(GMW!$A$2:$LR$60,MATCH(1,(GMW!$LQ$2:$LQ$60=S$3)*(GMW!$LP$2:$LP$60=S$4)*(GMW!$LR$2:$LR$60=S$1),0),$C215-1966)</f>
        <v>580628.80000000005</v>
      </c>
      <c r="T215" s="4" cm="1">
        <f t="array" ref="T215">INDEX(GMW!$A$2:$LR$60,MATCH(1,(GMW!$LQ$2:$LQ$60=T$3)*(GMW!$LP$2:$LP$60=T$4)*(GMW!$LR$2:$LR$60=T$1),0),$C215-1966)</f>
        <v>580944.69999999995</v>
      </c>
      <c r="U215" s="4" cm="1">
        <f t="array" ref="U215">INDEX(GMW!$A$2:$LR$60,MATCH(1,(GMW!$LQ$2:$LQ$60=U$3)*(GMW!$LP$2:$LP$60=U$4)*(GMW!$LR$2:$LR$60=U$1),0),$C215-1966)</f>
        <v>707.8202</v>
      </c>
      <c r="V215" s="4" cm="1">
        <f t="array" ref="V215">INDEX(GMW!$A$2:$LR$60,MATCH(1,(GMW!$LQ$2:$LQ$60=V$3)*(GMW!$LP$2:$LP$60=V$4)*(GMW!$LR$2:$LR$60=V$1),0),$C215-1966)</f>
        <v>135.86340000000001</v>
      </c>
      <c r="W215" s="4" cm="1">
        <f t="array" ref="W215">INDEX(GMW!$A$2:$LR$60,MATCH(1,(GMW!$LQ$2:$LQ$60=W$3)*(GMW!$LP$2:$LP$60=W$4)*(GMW!$LR$2:$LR$60=W$1),0),$C215-1966)</f>
        <v>140.45320000000001</v>
      </c>
      <c r="X215" s="4" cm="1">
        <f t="array" ref="X215">INDEX(GMW!$A$2:$LR$60,MATCH(1,(GMW!$LQ$2:$LQ$60=X$3)*(GMW!$LP$2:$LP$60=X$4)*(GMW!$LR$2:$LR$60=X$1),0),$C215-1966)</f>
        <v>128.02340000000001</v>
      </c>
      <c r="Y215" s="4" cm="1">
        <f t="array" ref="Y215">INDEX(GMW!$A$2:$LR$60,MATCH(1,(GMW!$LQ$2:$LQ$60=Y$3)*(GMW!$LP$2:$LP$60=Y$4)*(GMW!$LR$2:$LR$60=Y$1),0),$C215-1966)</f>
        <v>178.49709999999999</v>
      </c>
      <c r="Z215" s="4" cm="1">
        <f t="array" ref="Z215">INDEX(GMW!$A$2:$LR$60,MATCH(1,(GMW!$LQ$2:$LQ$60=Z$3)*(GMW!$LP$2:$LP$60=Z$4)*(GMW!$LR$2:$LR$60=Z$1),0),$C215-1966)</f>
        <v>132.4468</v>
      </c>
      <c r="AA215" s="4" cm="1">
        <f t="array" ref="AA215">INDEX(GMW!$A$2:$LR$60,MATCH(1,(GMW!$LQ$2:$LQ$60=AA$3)*(GMW!$LP$2:$LP$60=AA$4)*(GMW!$LR$2:$LR$60=AA$1),0),$C215-1966)</f>
        <v>344410.3</v>
      </c>
      <c r="AB215" s="4" cm="1">
        <f t="array" ref="AB215">INDEX(GMW!$A$2:$LR$60,MATCH(1,(GMW!$LQ$2:$LQ$60=AB$3)*(GMW!$LP$2:$LP$60=AB$4)*(GMW!$LR$2:$LR$60=AB$1),0),$C215-1966)</f>
        <v>107959.6</v>
      </c>
      <c r="AC215" s="4" cm="1">
        <f t="array" ref="AC215">INDEX(GMW!$A$2:$LR$60,MATCH(1,(GMW!$LQ$2:$LQ$60=AC$3)*(GMW!$LP$2:$LP$60=AC$4)*(GMW!$LR$2:$LR$60=AC$1),0),$C215-1966)</f>
        <v>121696</v>
      </c>
      <c r="AD215" s="4" cm="1">
        <f t="array" ref="AD215">INDEX(GMW!$A$2:$LR$60,MATCH(1,(GMW!$LQ$2:$LQ$60=AD$3)*(GMW!$LP$2:$LP$60=AD$4)*(GMW!$LR$2:$LR$60=AD$1),0),$C215-1966)</f>
        <v>178822.1</v>
      </c>
      <c r="AE215" s="4" cm="1">
        <f t="array" ref="AE215">INDEX(GMW!$A$2:$LR$60,MATCH(1,(GMW!$LQ$2:$LQ$60=AE$3)*(GMW!$LP$2:$LP$60=AE$4)*(GMW!$LR$2:$LR$60=AE$1),0),$C215-1966)</f>
        <v>190178.7</v>
      </c>
      <c r="AF215" s="4" cm="1">
        <f t="array" ref="AF215">INDEX(GMW!$A$2:$LR$60,MATCH(1,(GMW!$LQ$2:$LQ$60=AF$3)*(GMW!$LP$2:$LP$60=AF$4)*(GMW!$LR$2:$LR$60=AF$1),0),$C215-1966)</f>
        <v>4.0338520000000004</v>
      </c>
      <c r="AG215" s="4" cm="1">
        <f t="array" ref="AG215">INDEX(GMW!$A$2:$LR$60,MATCH(1,(GMW!$LQ$2:$LQ$60=AG$3)*(GMW!$LP$2:$LP$60=AG$4)*(GMW!$LR$2:$LR$60=AG$1),0),$C215-1966)</f>
        <v>3.6993230000000001</v>
      </c>
    </row>
    <row r="216" spans="1:33" x14ac:dyDescent="0.25">
      <c r="B216" s="4">
        <f t="shared" si="7"/>
        <v>2025</v>
      </c>
      <c r="C216" s="4">
        <f t="shared" si="6"/>
        <v>2182</v>
      </c>
      <c r="D216" s="4" cm="1">
        <f t="array" ref="D216">INDEX(GMW!$A$2:$LR$60,MATCH(1,(GMW!$LQ$2:$LQ$60=D$3)*(GMW!$LP$2:$LP$60=D$4)*(GMW!$LR$2:$LR$60=D$1),0),$C216-1966)</f>
        <v>583280.6</v>
      </c>
      <c r="E216" s="4" cm="1">
        <f t="array" ref="E216">INDEX(GMW!$A$2:$LR$60,MATCH(1,(GMW!$LQ$2:$LQ$60=E$3)*(GMW!$LP$2:$LP$60=E$4)*(GMW!$LR$2:$LR$60=E$1),0),$C216-1966)</f>
        <v>580204.1</v>
      </c>
      <c r="F216" s="4" cm="1">
        <f t="array" ref="F216">INDEX(GMW!$A$2:$LR$60,MATCH(1,(GMW!$LQ$2:$LQ$60=F$3)*(GMW!$LP$2:$LP$60=F$4)*(GMW!$LR$2:$LR$60=F$1),0),$C216-1966)</f>
        <v>580409.5</v>
      </c>
      <c r="G216" s="4" cm="1">
        <f t="array" ref="G216">INDEX(GMW!$A$2:$LR$60,MATCH(1,(GMW!$LQ$2:$LQ$60=G$3)*(GMW!$LP$2:$LP$60=G$4)*(GMW!$LR$2:$LR$60=G$1),0),$C216-1966)</f>
        <v>580409.5</v>
      </c>
      <c r="H216" s="4" cm="1">
        <f t="array" ref="H216">INDEX(GMW!$A$2:$LR$60,MATCH(1,(GMW!$LQ$2:$LQ$60=H$3)*(GMW!$LP$2:$LP$60=H$4)*(GMW!$LR$2:$LR$60=H$1),0),$C216-1966)</f>
        <v>579397.69999999995</v>
      </c>
      <c r="I216" s="4" cm="1">
        <f t="array" ref="I216">INDEX(GMW!$A$2:$LR$60,MATCH(1,(GMW!$LQ$2:$LQ$60=I$3)*(GMW!$LP$2:$LP$60=I$4)*(GMW!$LR$2:$LR$60=I$1),0),$C216-1966)</f>
        <v>581479.30000000005</v>
      </c>
      <c r="J216" s="4" cm="1">
        <f t="array" ref="J216">INDEX(GMW!$A$2:$LR$60,MATCH(1,(GMW!$LQ$2:$LQ$60=J$3)*(GMW!$LP$2:$LP$60=J$4)*(GMW!$LR$2:$LR$60=J$1),0),$C216-1966)</f>
        <v>581476.80000000005</v>
      </c>
      <c r="K216" s="4" cm="1">
        <f t="array" ref="K216">INDEX(GMW!$A$2:$LR$60,MATCH(1,(GMW!$LQ$2:$LQ$60=K$3)*(GMW!$LP$2:$LP$60=K$4)*(GMW!$LR$2:$LR$60=K$1),0),$C216-1966)</f>
        <v>581314.9</v>
      </c>
      <c r="L216" s="4" cm="1">
        <f t="array" ref="L216">INDEX(GMW!$A$2:$LR$60,MATCH(1,(GMW!$LQ$2:$LQ$60=L$3)*(GMW!$LP$2:$LP$60=L$4)*(GMW!$LR$2:$LR$60=L$1),0),$C216-1966)</f>
        <v>581723.4</v>
      </c>
      <c r="M216" s="4" cm="1">
        <f t="array" ref="M216">INDEX(GMW!$A$2:$LR$60,MATCH(1,(GMW!$LQ$2:$LQ$60=M$3)*(GMW!$LP$2:$LP$60=M$4)*(GMW!$LR$2:$LR$60=M$1),0),$C216-1966)</f>
        <v>581723.4</v>
      </c>
      <c r="N216" s="4" cm="1">
        <f t="array" ref="N216">INDEX(GMW!$A$2:$LR$60,MATCH(1,(GMW!$LQ$2:$LQ$60=N$3)*(GMW!$LP$2:$LP$60=N$4)*(GMW!$LR$2:$LR$60=N$1),0),$C216-1966)</f>
        <v>583438.30000000005</v>
      </c>
      <c r="O216" s="4" cm="1">
        <f t="array" ref="O216">INDEX(GMW!$A$2:$LR$60,MATCH(1,(GMW!$LQ$2:$LQ$60=O$3)*(GMW!$LP$2:$LP$60=O$4)*(GMW!$LR$2:$LR$60=O$1),0),$C216-1966)</f>
        <v>583264.30000000005</v>
      </c>
      <c r="P216" s="4" cm="1">
        <f t="array" ref="P216">INDEX(GMW!$A$2:$LR$60,MATCH(1,(GMW!$LQ$2:$LQ$60=P$3)*(GMW!$LP$2:$LP$60=P$4)*(GMW!$LR$2:$LR$60=P$1),0),$C216-1966)</f>
        <v>583706.9</v>
      </c>
      <c r="Q216" s="4" cm="1">
        <f t="array" ref="Q216">INDEX(GMW!$A$2:$LR$60,MATCH(1,(GMW!$LQ$2:$LQ$60=Q$3)*(GMW!$LP$2:$LP$60=Q$4)*(GMW!$LR$2:$LR$60=Q$1),0),$C216-1966)</f>
        <v>584516.9</v>
      </c>
      <c r="R216" s="4" cm="1">
        <f t="array" ref="R216">INDEX(GMW!$A$2:$LR$60,MATCH(1,(GMW!$LQ$2:$LQ$60=R$3)*(GMW!$LP$2:$LP$60=R$4)*(GMW!$LR$2:$LR$60=R$1),0),$C216-1966)</f>
        <v>584730.6</v>
      </c>
      <c r="S216" s="4" cm="1">
        <f t="array" ref="S216">INDEX(GMW!$A$2:$LR$60,MATCH(1,(GMW!$LQ$2:$LQ$60=S$3)*(GMW!$LP$2:$LP$60=S$4)*(GMW!$LR$2:$LR$60=S$1),0),$C216-1966)</f>
        <v>583503.5</v>
      </c>
      <c r="T216" s="4" cm="1">
        <f t="array" ref="T216">INDEX(GMW!$A$2:$LR$60,MATCH(1,(GMW!$LQ$2:$LQ$60=T$3)*(GMW!$LP$2:$LP$60=T$4)*(GMW!$LR$2:$LR$60=T$1),0),$C216-1966)</f>
        <v>583820.9</v>
      </c>
      <c r="U216" s="4" cm="1">
        <f t="array" ref="U216">INDEX(GMW!$A$2:$LR$60,MATCH(1,(GMW!$LQ$2:$LQ$60=U$3)*(GMW!$LP$2:$LP$60=U$4)*(GMW!$LR$2:$LR$60=U$1),0),$C216-1966)</f>
        <v>712.70460000000003</v>
      </c>
      <c r="V216" s="4" cm="1">
        <f t="array" ref="V216">INDEX(GMW!$A$2:$LR$60,MATCH(1,(GMW!$LQ$2:$LQ$60=V$3)*(GMW!$LP$2:$LP$60=V$4)*(GMW!$LR$2:$LR$60=V$1),0),$C216-1966)</f>
        <v>137.16139999999999</v>
      </c>
      <c r="W216" s="4" cm="1">
        <f t="array" ref="W216">INDEX(GMW!$A$2:$LR$60,MATCH(1,(GMW!$LQ$2:$LQ$60=W$3)*(GMW!$LP$2:$LP$60=W$4)*(GMW!$LR$2:$LR$60=W$1),0),$C216-1966)</f>
        <v>140.97069999999999</v>
      </c>
      <c r="X216" s="4" cm="1">
        <f t="array" ref="X216">INDEX(GMW!$A$2:$LR$60,MATCH(1,(GMW!$LQ$2:$LQ$60=X$3)*(GMW!$LP$2:$LP$60=X$4)*(GMW!$LR$2:$LR$60=X$1),0),$C216-1966)</f>
        <v>127.3245</v>
      </c>
      <c r="Y216" s="4" cm="1">
        <f t="array" ref="Y216">INDEX(GMW!$A$2:$LR$60,MATCH(1,(GMW!$LQ$2:$LQ$60=Y$3)*(GMW!$LP$2:$LP$60=Y$4)*(GMW!$LR$2:$LR$60=Y$1),0),$C216-1966)</f>
        <v>177.72499999999999</v>
      </c>
      <c r="Z216" s="4" cm="1">
        <f t="array" ref="Z216">INDEX(GMW!$A$2:$LR$60,MATCH(1,(GMW!$LQ$2:$LQ$60=Z$3)*(GMW!$LP$2:$LP$60=Z$4)*(GMW!$LR$2:$LR$60=Z$1),0),$C216-1966)</f>
        <v>134.04650000000001</v>
      </c>
      <c r="AA216" s="4" cm="1">
        <f t="array" ref="AA216">INDEX(GMW!$A$2:$LR$60,MATCH(1,(GMW!$LQ$2:$LQ$60=AA$3)*(GMW!$LP$2:$LP$60=AA$4)*(GMW!$LR$2:$LR$60=AA$1),0),$C216-1966)</f>
        <v>346252.5</v>
      </c>
      <c r="AB216" s="4" cm="1">
        <f t="array" ref="AB216">INDEX(GMW!$A$2:$LR$60,MATCH(1,(GMW!$LQ$2:$LQ$60=AB$3)*(GMW!$LP$2:$LP$60=AB$4)*(GMW!$LR$2:$LR$60=AB$1),0),$C216-1966)</f>
        <v>108500.4</v>
      </c>
      <c r="AC216" s="4" cm="1">
        <f t="array" ref="AC216">INDEX(GMW!$A$2:$LR$60,MATCH(1,(GMW!$LQ$2:$LQ$60=AC$3)*(GMW!$LP$2:$LP$60=AC$4)*(GMW!$LR$2:$LR$60=AC$1),0),$C216-1966)</f>
        <v>122247.5</v>
      </c>
      <c r="AD216" s="4" cm="1">
        <f t="array" ref="AD216">INDEX(GMW!$A$2:$LR$60,MATCH(1,(GMW!$LQ$2:$LQ$60=AD$3)*(GMW!$LP$2:$LP$60=AD$4)*(GMW!$LR$2:$LR$60=AD$1),0),$C216-1966)</f>
        <v>179789.7</v>
      </c>
      <c r="AE216" s="4" cm="1">
        <f t="array" ref="AE216">INDEX(GMW!$A$2:$LR$60,MATCH(1,(GMW!$LQ$2:$LQ$60=AE$3)*(GMW!$LP$2:$LP$60=AE$4)*(GMW!$LR$2:$LR$60=AE$1),0),$C216-1966)</f>
        <v>191578.7</v>
      </c>
      <c r="AF216" s="4" cm="1">
        <f t="array" ref="AF216">INDEX(GMW!$A$2:$LR$60,MATCH(1,(GMW!$LQ$2:$LQ$60=AF$3)*(GMW!$LP$2:$LP$60=AF$4)*(GMW!$LR$2:$LR$60=AF$1),0),$C216-1966)</f>
        <v>3.9325000000000001</v>
      </c>
      <c r="AG216" s="4" cm="1">
        <f t="array" ref="AG216">INDEX(GMW!$A$2:$LR$60,MATCH(1,(GMW!$LQ$2:$LQ$60=AG$3)*(GMW!$LP$2:$LP$60=AG$4)*(GMW!$LR$2:$LR$60=AG$1),0),$C216-1966)</f>
        <v>3.6289920000000002</v>
      </c>
    </row>
    <row r="217" spans="1:33" x14ac:dyDescent="0.25">
      <c r="B217" s="4">
        <f t="shared" si="7"/>
        <v>2025</v>
      </c>
      <c r="C217" s="4">
        <f t="shared" si="6"/>
        <v>2183</v>
      </c>
      <c r="D217" s="4" cm="1">
        <f t="array" ref="D217">INDEX(GMW!$A$2:$LR$60,MATCH(1,(GMW!$LQ$2:$LQ$60=D$3)*(GMW!$LP$2:$LP$60=D$4)*(GMW!$LR$2:$LR$60=D$1),0),$C217-1966)</f>
        <v>585788.9</v>
      </c>
      <c r="E217" s="4" cm="1">
        <f t="array" ref="E217">INDEX(GMW!$A$2:$LR$60,MATCH(1,(GMW!$LQ$2:$LQ$60=E$3)*(GMW!$LP$2:$LP$60=E$4)*(GMW!$LR$2:$LR$60=E$1),0),$C217-1966)</f>
        <v>583250.19999999995</v>
      </c>
      <c r="F217" s="4" cm="1">
        <f t="array" ref="F217">INDEX(GMW!$A$2:$LR$60,MATCH(1,(GMW!$LQ$2:$LQ$60=F$3)*(GMW!$LP$2:$LP$60=F$4)*(GMW!$LR$2:$LR$60=F$1),0),$C217-1966)</f>
        <v>583456.69999999995</v>
      </c>
      <c r="G217" s="4" cm="1">
        <f t="array" ref="G217">INDEX(GMW!$A$2:$LR$60,MATCH(1,(GMW!$LQ$2:$LQ$60=G$3)*(GMW!$LP$2:$LP$60=G$4)*(GMW!$LR$2:$LR$60=G$1),0),$C217-1966)</f>
        <v>583456.69999999995</v>
      </c>
      <c r="H217" s="4" cm="1">
        <f t="array" ref="H217">INDEX(GMW!$A$2:$LR$60,MATCH(1,(GMW!$LQ$2:$LQ$60=H$3)*(GMW!$LP$2:$LP$60=H$4)*(GMW!$LR$2:$LR$60=H$1),0),$C217-1966)</f>
        <v>582671.4</v>
      </c>
      <c r="I217" s="4" cm="1">
        <f t="array" ref="I217">INDEX(GMW!$A$2:$LR$60,MATCH(1,(GMW!$LQ$2:$LQ$60=I$3)*(GMW!$LP$2:$LP$60=I$4)*(GMW!$LR$2:$LR$60=I$1),0),$C217-1966)</f>
        <v>584590.30000000005</v>
      </c>
      <c r="J217" s="4" cm="1">
        <f t="array" ref="J217">INDEX(GMW!$A$2:$LR$60,MATCH(1,(GMW!$LQ$2:$LQ$60=J$3)*(GMW!$LP$2:$LP$60=J$4)*(GMW!$LR$2:$LR$60=J$1),0),$C217-1966)</f>
        <v>584587.80000000005</v>
      </c>
      <c r="K217" s="4" cm="1">
        <f t="array" ref="K217">INDEX(GMW!$A$2:$LR$60,MATCH(1,(GMW!$LQ$2:$LQ$60=K$3)*(GMW!$LP$2:$LP$60=K$4)*(GMW!$LR$2:$LR$60=K$1),0),$C217-1966)</f>
        <v>584425.1</v>
      </c>
      <c r="L217" s="4" cm="1">
        <f t="array" ref="L217">INDEX(GMW!$A$2:$LR$60,MATCH(1,(GMW!$LQ$2:$LQ$60=L$3)*(GMW!$LP$2:$LP$60=L$4)*(GMW!$LR$2:$LR$60=L$1),0),$C217-1966)</f>
        <v>584835.80000000005</v>
      </c>
      <c r="M217" s="4" cm="1">
        <f t="array" ref="M217">INDEX(GMW!$A$2:$LR$60,MATCH(1,(GMW!$LQ$2:$LQ$60=M$3)*(GMW!$LP$2:$LP$60=M$4)*(GMW!$LR$2:$LR$60=M$1),0),$C217-1966)</f>
        <v>584835.80000000005</v>
      </c>
      <c r="N217" s="4" cm="1">
        <f t="array" ref="N217">INDEX(GMW!$A$2:$LR$60,MATCH(1,(GMW!$LQ$2:$LQ$60=N$3)*(GMW!$LP$2:$LP$60=N$4)*(GMW!$LR$2:$LR$60=N$1),0),$C217-1966)</f>
        <v>586559.9</v>
      </c>
      <c r="O217" s="4" cm="1">
        <f t="array" ref="O217">INDEX(GMW!$A$2:$LR$60,MATCH(1,(GMW!$LQ$2:$LQ$60=O$3)*(GMW!$LP$2:$LP$60=O$4)*(GMW!$LR$2:$LR$60=O$1),0),$C217-1966)</f>
        <v>586384.9</v>
      </c>
      <c r="P217" s="4" cm="1">
        <f t="array" ref="P217">INDEX(GMW!$A$2:$LR$60,MATCH(1,(GMW!$LQ$2:$LQ$60=P$3)*(GMW!$LP$2:$LP$60=P$4)*(GMW!$LR$2:$LR$60=P$1),0),$C217-1966)</f>
        <v>586771.6</v>
      </c>
      <c r="Q217" s="4" cm="1">
        <f t="array" ref="Q217">INDEX(GMW!$A$2:$LR$60,MATCH(1,(GMW!$LQ$2:$LQ$60=Q$3)*(GMW!$LP$2:$LP$60=Q$4)*(GMW!$LR$2:$LR$60=Q$1),0),$C217-1966)</f>
        <v>587585.80000000005</v>
      </c>
      <c r="R217" s="4" cm="1">
        <f t="array" ref="R217">INDEX(GMW!$A$2:$LR$60,MATCH(1,(GMW!$LQ$2:$LQ$60=R$3)*(GMW!$LP$2:$LP$60=R$4)*(GMW!$LR$2:$LR$60=R$1),0),$C217-1966)</f>
        <v>587800.6</v>
      </c>
      <c r="S217" s="4" cm="1">
        <f t="array" ref="S217">INDEX(GMW!$A$2:$LR$60,MATCH(1,(GMW!$LQ$2:$LQ$60=S$3)*(GMW!$LP$2:$LP$60=S$4)*(GMW!$LR$2:$LR$60=S$1),0),$C217-1966)</f>
        <v>586275.30000000005</v>
      </c>
      <c r="T217" s="4" cm="1">
        <f t="array" ref="T217">INDEX(GMW!$A$2:$LR$60,MATCH(1,(GMW!$LQ$2:$LQ$60=T$3)*(GMW!$LP$2:$LP$60=T$4)*(GMW!$LR$2:$LR$60=T$1),0),$C217-1966)</f>
        <v>586594.30000000005</v>
      </c>
      <c r="U217" s="4" cm="1">
        <f t="array" ref="U217">INDEX(GMW!$A$2:$LR$60,MATCH(1,(GMW!$LQ$2:$LQ$60=U$3)*(GMW!$LP$2:$LP$60=U$4)*(GMW!$LR$2:$LR$60=U$1),0),$C217-1966)</f>
        <v>717.62199999999996</v>
      </c>
      <c r="V217" s="4" cm="1">
        <f t="array" ref="V217">INDEX(GMW!$A$2:$LR$60,MATCH(1,(GMW!$LQ$2:$LQ$60=V$3)*(GMW!$LP$2:$LP$60=V$4)*(GMW!$LR$2:$LR$60=V$1),0),$C217-1966)</f>
        <v>137.8509</v>
      </c>
      <c r="W217" s="4" cm="1">
        <f t="array" ref="W217">INDEX(GMW!$A$2:$LR$60,MATCH(1,(GMW!$LQ$2:$LQ$60=W$3)*(GMW!$LP$2:$LP$60=W$4)*(GMW!$LR$2:$LR$60=W$1),0),$C217-1966)</f>
        <v>141.0155</v>
      </c>
      <c r="X217" s="4" cm="1">
        <f t="array" ref="X217">INDEX(GMW!$A$2:$LR$60,MATCH(1,(GMW!$LQ$2:$LQ$60=X$3)*(GMW!$LP$2:$LP$60=X$4)*(GMW!$LR$2:$LR$60=X$1),0),$C217-1966)</f>
        <v>126.7389</v>
      </c>
      <c r="Y217" s="4" cm="1">
        <f t="array" ref="Y217">INDEX(GMW!$A$2:$LR$60,MATCH(1,(GMW!$LQ$2:$LQ$60=Y$3)*(GMW!$LP$2:$LP$60=Y$4)*(GMW!$LR$2:$LR$60=Y$1),0),$C217-1966)</f>
        <v>176.98169999999999</v>
      </c>
      <c r="Z217" s="4" cm="1">
        <f t="array" ref="Z217">INDEX(GMW!$A$2:$LR$60,MATCH(1,(GMW!$LQ$2:$LQ$60=Z$3)*(GMW!$LP$2:$LP$60=Z$4)*(GMW!$LR$2:$LR$60=Z$1),0),$C217-1966)</f>
        <v>134.9616</v>
      </c>
      <c r="AA217" s="4" cm="1">
        <f t="array" ref="AA217">INDEX(GMW!$A$2:$LR$60,MATCH(1,(GMW!$LQ$2:$LQ$60=AA$3)*(GMW!$LP$2:$LP$60=AA$4)*(GMW!$LR$2:$LR$60=AA$1),0),$C217-1966)</f>
        <v>348105</v>
      </c>
      <c r="AB217" s="4" cm="1">
        <f t="array" ref="AB217">INDEX(GMW!$A$2:$LR$60,MATCH(1,(GMW!$LQ$2:$LQ$60=AB$3)*(GMW!$LP$2:$LP$60=AB$4)*(GMW!$LR$2:$LR$60=AB$1),0),$C217-1966)</f>
        <v>109119.1</v>
      </c>
      <c r="AC217" s="4" cm="1">
        <f t="array" ref="AC217">INDEX(GMW!$A$2:$LR$60,MATCH(1,(GMW!$LQ$2:$LQ$60=AC$3)*(GMW!$LP$2:$LP$60=AC$4)*(GMW!$LR$2:$LR$60=AC$1),0),$C217-1966)</f>
        <v>122695.2</v>
      </c>
      <c r="AD217" s="4" cm="1">
        <f t="array" ref="AD217">INDEX(GMW!$A$2:$LR$60,MATCH(1,(GMW!$LQ$2:$LQ$60=AD$3)*(GMW!$LP$2:$LP$60=AD$4)*(GMW!$LR$2:$LR$60=AD$1),0),$C217-1966)</f>
        <v>180739.3</v>
      </c>
      <c r="AE217" s="4" cm="1">
        <f t="array" ref="AE217">INDEX(GMW!$A$2:$LR$60,MATCH(1,(GMW!$LQ$2:$LQ$60=AE$3)*(GMW!$LP$2:$LP$60=AE$4)*(GMW!$LR$2:$LR$60=AE$1),0),$C217-1966)</f>
        <v>193001.2</v>
      </c>
      <c r="AF217" s="4" cm="1">
        <f t="array" ref="AF217">INDEX(GMW!$A$2:$LR$60,MATCH(1,(GMW!$LQ$2:$LQ$60=AF$3)*(GMW!$LP$2:$LP$60=AF$4)*(GMW!$LR$2:$LR$60=AF$1),0),$C217-1966)</f>
        <v>3.823537</v>
      </c>
      <c r="AG217" s="4" cm="1">
        <f t="array" ref="AG217">INDEX(GMW!$A$2:$LR$60,MATCH(1,(GMW!$LQ$2:$LQ$60=AG$3)*(GMW!$LP$2:$LP$60=AG$4)*(GMW!$LR$2:$LR$60=AG$1),0),$C217-1966)</f>
        <v>3.5824590000000001</v>
      </c>
    </row>
    <row r="218" spans="1:33" x14ac:dyDescent="0.25">
      <c r="B218" s="4">
        <f t="shared" si="7"/>
        <v>2025</v>
      </c>
      <c r="C218" s="4">
        <f t="shared" si="6"/>
        <v>2184</v>
      </c>
      <c r="D218" s="4" cm="1">
        <f t="array" ref="D218">INDEX(GMW!$A$2:$LR$60,MATCH(1,(GMW!$LQ$2:$LQ$60=D$3)*(GMW!$LP$2:$LP$60=D$4)*(GMW!$LR$2:$LR$60=D$1),0),$C218-1966)</f>
        <v>588395.1</v>
      </c>
      <c r="E218" s="4" cm="1">
        <f t="array" ref="E218">INDEX(GMW!$A$2:$LR$60,MATCH(1,(GMW!$LQ$2:$LQ$60=E$3)*(GMW!$LP$2:$LP$60=E$4)*(GMW!$LR$2:$LR$60=E$1),0),$C218-1966)</f>
        <v>586545.4</v>
      </c>
      <c r="F218" s="4" cm="1">
        <f t="array" ref="F218">INDEX(GMW!$A$2:$LR$60,MATCH(1,(GMW!$LQ$2:$LQ$60=F$3)*(GMW!$LP$2:$LP$60=F$4)*(GMW!$LR$2:$LR$60=F$1),0),$C218-1966)</f>
        <v>586753.1</v>
      </c>
      <c r="G218" s="4" cm="1">
        <f t="array" ref="G218">INDEX(GMW!$A$2:$LR$60,MATCH(1,(GMW!$LQ$2:$LQ$60=G$3)*(GMW!$LP$2:$LP$60=G$4)*(GMW!$LR$2:$LR$60=G$1),0),$C218-1966)</f>
        <v>586753.1</v>
      </c>
      <c r="H218" s="4" cm="1">
        <f t="array" ref="H218">INDEX(GMW!$A$2:$LR$60,MATCH(1,(GMW!$LQ$2:$LQ$60=H$3)*(GMW!$LP$2:$LP$60=H$4)*(GMW!$LR$2:$LR$60=H$1),0),$C218-1966)</f>
        <v>585963.30000000005</v>
      </c>
      <c r="I218" s="4" cm="1">
        <f t="array" ref="I218">INDEX(GMW!$A$2:$LR$60,MATCH(1,(GMW!$LQ$2:$LQ$60=I$3)*(GMW!$LP$2:$LP$60=I$4)*(GMW!$LR$2:$LR$60=I$1),0),$C218-1966)</f>
        <v>587776.1</v>
      </c>
      <c r="J218" s="4" cm="1">
        <f t="array" ref="J218">INDEX(GMW!$A$2:$LR$60,MATCH(1,(GMW!$LQ$2:$LQ$60=J$3)*(GMW!$LP$2:$LP$60=J$4)*(GMW!$LR$2:$LR$60=J$1),0),$C218-1966)</f>
        <v>587773.5</v>
      </c>
      <c r="K218" s="4" cm="1">
        <f t="array" ref="K218">INDEX(GMW!$A$2:$LR$60,MATCH(1,(GMW!$LQ$2:$LQ$60=K$3)*(GMW!$LP$2:$LP$60=K$4)*(GMW!$LR$2:$LR$60=K$1),0),$C218-1966)</f>
        <v>587609.9</v>
      </c>
      <c r="L218" s="4" cm="1">
        <f t="array" ref="L218">INDEX(GMW!$A$2:$LR$60,MATCH(1,(GMW!$LQ$2:$LQ$60=L$3)*(GMW!$LP$2:$LP$60=L$4)*(GMW!$LR$2:$LR$60=L$1),0),$C218-1966)</f>
        <v>588022.80000000005</v>
      </c>
      <c r="M218" s="4" cm="1">
        <f t="array" ref="M218">INDEX(GMW!$A$2:$LR$60,MATCH(1,(GMW!$LQ$2:$LQ$60=M$3)*(GMW!$LP$2:$LP$60=M$4)*(GMW!$LR$2:$LR$60=M$1),0),$C218-1966)</f>
        <v>588022.80000000005</v>
      </c>
      <c r="N218" s="4" cm="1">
        <f t="array" ref="N218">INDEX(GMW!$A$2:$LR$60,MATCH(1,(GMW!$LQ$2:$LQ$60=N$3)*(GMW!$LP$2:$LP$60=N$4)*(GMW!$LR$2:$LR$60=N$1),0),$C218-1966)</f>
        <v>589638.9</v>
      </c>
      <c r="O218" s="4" cm="1">
        <f t="array" ref="O218">INDEX(GMW!$A$2:$LR$60,MATCH(1,(GMW!$LQ$2:$LQ$60=O$3)*(GMW!$LP$2:$LP$60=O$4)*(GMW!$LR$2:$LR$60=O$1),0),$C218-1966)</f>
        <v>589463</v>
      </c>
      <c r="P218" s="4" cm="1">
        <f t="array" ref="P218">INDEX(GMW!$A$2:$LR$60,MATCH(1,(GMW!$LQ$2:$LQ$60=P$3)*(GMW!$LP$2:$LP$60=P$4)*(GMW!$LR$2:$LR$60=P$1),0),$C218-1966)</f>
        <v>589851.69999999995</v>
      </c>
      <c r="Q218" s="4" cm="1">
        <f t="array" ref="Q218">INDEX(GMW!$A$2:$LR$60,MATCH(1,(GMW!$LQ$2:$LQ$60=Q$3)*(GMW!$LP$2:$LP$60=Q$4)*(GMW!$LR$2:$LR$60=Q$1),0),$C218-1966)</f>
        <v>590670.19999999995</v>
      </c>
      <c r="R218" s="4" cm="1">
        <f t="array" ref="R218">INDEX(GMW!$A$2:$LR$60,MATCH(1,(GMW!$LQ$2:$LQ$60=R$3)*(GMW!$LP$2:$LP$60=R$4)*(GMW!$LR$2:$LR$60=R$1),0),$C218-1966)</f>
        <v>590886.1</v>
      </c>
      <c r="S218" s="4" cm="1">
        <f t="array" ref="S218">INDEX(GMW!$A$2:$LR$60,MATCH(1,(GMW!$LQ$2:$LQ$60=S$3)*(GMW!$LP$2:$LP$60=S$4)*(GMW!$LR$2:$LR$60=S$1),0),$C218-1966)</f>
        <v>589088.9</v>
      </c>
      <c r="T218" s="4" cm="1">
        <f t="array" ref="T218">INDEX(GMW!$A$2:$LR$60,MATCH(1,(GMW!$LQ$2:$LQ$60=T$3)*(GMW!$LP$2:$LP$60=T$4)*(GMW!$LR$2:$LR$60=T$1),0),$C218-1966)</f>
        <v>589409.4</v>
      </c>
      <c r="U218" s="4" cm="1">
        <f t="array" ref="U218">INDEX(GMW!$A$2:$LR$60,MATCH(1,(GMW!$LQ$2:$LQ$60=U$3)*(GMW!$LP$2:$LP$60=U$4)*(GMW!$LR$2:$LR$60=U$1),0),$C218-1966)</f>
        <v>722.60720000000003</v>
      </c>
      <c r="V218" s="4" cm="1">
        <f t="array" ref="V218">INDEX(GMW!$A$2:$LR$60,MATCH(1,(GMW!$LQ$2:$LQ$60=V$3)*(GMW!$LP$2:$LP$60=V$4)*(GMW!$LR$2:$LR$60=V$1),0),$C218-1966)</f>
        <v>138.71680000000001</v>
      </c>
      <c r="W218" s="4" cm="1">
        <f t="array" ref="W218">INDEX(GMW!$A$2:$LR$60,MATCH(1,(GMW!$LQ$2:$LQ$60=W$3)*(GMW!$LP$2:$LP$60=W$4)*(GMW!$LR$2:$LR$60=W$1),0),$C218-1966)</f>
        <v>142.01679999999999</v>
      </c>
      <c r="X218" s="4" cm="1">
        <f t="array" ref="X218">INDEX(GMW!$A$2:$LR$60,MATCH(1,(GMW!$LQ$2:$LQ$60=X$3)*(GMW!$LP$2:$LP$60=X$4)*(GMW!$LR$2:$LR$60=X$1),0),$C218-1966)</f>
        <v>126.4188</v>
      </c>
      <c r="Y218" s="4" cm="1">
        <f t="array" ref="Y218">INDEX(GMW!$A$2:$LR$60,MATCH(1,(GMW!$LQ$2:$LQ$60=Y$3)*(GMW!$LP$2:$LP$60=Y$4)*(GMW!$LR$2:$LR$60=Y$1),0),$C218-1966)</f>
        <v>176.2704</v>
      </c>
      <c r="Z218" s="4" cm="1">
        <f t="array" ref="Z218">INDEX(GMW!$A$2:$LR$60,MATCH(1,(GMW!$LQ$2:$LQ$60=Z$3)*(GMW!$LP$2:$LP$60=Z$4)*(GMW!$LR$2:$LR$60=Z$1),0),$C218-1966)</f>
        <v>135.9083</v>
      </c>
      <c r="AA218" s="4" cm="1">
        <f t="array" ref="AA218">INDEX(GMW!$A$2:$LR$60,MATCH(1,(GMW!$LQ$2:$LQ$60=AA$3)*(GMW!$LP$2:$LP$60=AA$4)*(GMW!$LR$2:$LR$60=AA$1),0),$C218-1966)</f>
        <v>350002.6</v>
      </c>
      <c r="AB218" s="4" cm="1">
        <f t="array" ref="AB218">INDEX(GMW!$A$2:$LR$60,MATCH(1,(GMW!$LQ$2:$LQ$60=AB$3)*(GMW!$LP$2:$LP$60=AB$4)*(GMW!$LR$2:$LR$60=AB$1),0),$C218-1966)</f>
        <v>109766.39999999999</v>
      </c>
      <c r="AC218" s="4" cm="1">
        <f t="array" ref="AC218">INDEX(GMW!$A$2:$LR$60,MATCH(1,(GMW!$LQ$2:$LQ$60=AC$3)*(GMW!$LP$2:$LP$60=AC$4)*(GMW!$LR$2:$LR$60=AC$1),0),$C218-1966)</f>
        <v>123149.5</v>
      </c>
      <c r="AD218" s="4" cm="1">
        <f t="array" ref="AD218">INDEX(GMW!$A$2:$LR$60,MATCH(1,(GMW!$LQ$2:$LQ$60=AD$3)*(GMW!$LP$2:$LP$60=AD$4)*(GMW!$LR$2:$LR$60=AD$1),0),$C218-1966)</f>
        <v>181662.4</v>
      </c>
      <c r="AE218" s="4" cm="1">
        <f t="array" ref="AE218">INDEX(GMW!$A$2:$LR$60,MATCH(1,(GMW!$LQ$2:$LQ$60=AE$3)*(GMW!$LP$2:$LP$60=AE$4)*(GMW!$LR$2:$LR$60=AE$1),0),$C218-1966)</f>
        <v>194399</v>
      </c>
      <c r="AF218" s="4" cm="1">
        <f t="array" ref="AF218">INDEX(GMW!$A$2:$LR$60,MATCH(1,(GMW!$LQ$2:$LQ$60=AF$3)*(GMW!$LP$2:$LP$60=AF$4)*(GMW!$LR$2:$LR$60=AF$1),0),$C218-1966)</f>
        <v>3.724316</v>
      </c>
      <c r="AG218" s="4" cm="1">
        <f t="array" ref="AG218">INDEX(GMW!$A$2:$LR$60,MATCH(1,(GMW!$LQ$2:$LQ$60=AG$3)*(GMW!$LP$2:$LP$60=AG$4)*(GMW!$LR$2:$LR$60=AG$1),0),$C218-1966)</f>
        <v>3.5396480000000001</v>
      </c>
    </row>
    <row r="219" spans="1:33" x14ac:dyDescent="0.25">
      <c r="A219" s="4">
        <v>2026</v>
      </c>
      <c r="B219" s="4">
        <f t="shared" si="7"/>
        <v>2026</v>
      </c>
      <c r="C219" s="4">
        <f t="shared" si="6"/>
        <v>2185</v>
      </c>
      <c r="D219" s="4" cm="1">
        <f t="array" ref="D219">INDEX(GMW!$A$2:$LR$60,MATCH(1,(GMW!$LQ$2:$LQ$60=D$3)*(GMW!$LP$2:$LP$60=D$4)*(GMW!$LR$2:$LR$60=D$1),0),$C219-1966)</f>
        <v>591043.1</v>
      </c>
      <c r="E219" s="4" cm="1">
        <f t="array" ref="E219">INDEX(GMW!$A$2:$LR$60,MATCH(1,(GMW!$LQ$2:$LQ$60=E$3)*(GMW!$LP$2:$LP$60=E$4)*(GMW!$LR$2:$LR$60=E$1),0),$C219-1966)</f>
        <v>589243.4</v>
      </c>
      <c r="F219" s="4" cm="1">
        <f t="array" ref="F219">INDEX(GMW!$A$2:$LR$60,MATCH(1,(GMW!$LQ$2:$LQ$60=F$3)*(GMW!$LP$2:$LP$60=F$4)*(GMW!$LR$2:$LR$60=F$1),0),$C219-1966)</f>
        <v>589452</v>
      </c>
      <c r="G219" s="4" cm="1">
        <f t="array" ref="G219">INDEX(GMW!$A$2:$LR$60,MATCH(1,(GMW!$LQ$2:$LQ$60=G$3)*(GMW!$LP$2:$LP$60=G$4)*(GMW!$LR$2:$LR$60=G$1),0),$C219-1966)</f>
        <v>589452</v>
      </c>
      <c r="H219" s="4" cm="1">
        <f t="array" ref="H219">INDEX(GMW!$A$2:$LR$60,MATCH(1,(GMW!$LQ$2:$LQ$60=H$3)*(GMW!$LP$2:$LP$60=H$4)*(GMW!$LR$2:$LR$60=H$1),0),$C219-1966)</f>
        <v>588893.1</v>
      </c>
      <c r="I219" s="4" cm="1">
        <f t="array" ref="I219">INDEX(GMW!$A$2:$LR$60,MATCH(1,(GMW!$LQ$2:$LQ$60=I$3)*(GMW!$LP$2:$LP$60=I$4)*(GMW!$LR$2:$LR$60=I$1),0),$C219-1966)</f>
        <v>590656.30000000005</v>
      </c>
      <c r="J219" s="4" cm="1">
        <f t="array" ref="J219">INDEX(GMW!$A$2:$LR$60,MATCH(1,(GMW!$LQ$2:$LQ$60=J$3)*(GMW!$LP$2:$LP$60=J$4)*(GMW!$LR$2:$LR$60=J$1),0),$C219-1966)</f>
        <v>590653.69999999995</v>
      </c>
      <c r="K219" s="4" cm="1">
        <f t="array" ref="K219">INDEX(GMW!$A$2:$LR$60,MATCH(1,(GMW!$LQ$2:$LQ$60=K$3)*(GMW!$LP$2:$LP$60=K$4)*(GMW!$LR$2:$LR$60=K$1),0),$C219-1966)</f>
        <v>590518.69999999995</v>
      </c>
      <c r="L219" s="4" cm="1">
        <f t="array" ref="L219">INDEX(GMW!$A$2:$LR$60,MATCH(1,(GMW!$LQ$2:$LQ$60=L$3)*(GMW!$LP$2:$LP$60=L$4)*(GMW!$LR$2:$LR$60=L$1),0),$C219-1966)</f>
        <v>590933.6</v>
      </c>
      <c r="M219" s="4" cm="1">
        <f t="array" ref="M219">INDEX(GMW!$A$2:$LR$60,MATCH(1,(GMW!$LQ$2:$LQ$60=M$3)*(GMW!$LP$2:$LP$60=M$4)*(GMW!$LR$2:$LR$60=M$1),0),$C219-1966)</f>
        <v>590933.6</v>
      </c>
      <c r="N219" s="4" cm="1">
        <f t="array" ref="N219">INDEX(GMW!$A$2:$LR$60,MATCH(1,(GMW!$LQ$2:$LQ$60=N$3)*(GMW!$LP$2:$LP$60=N$4)*(GMW!$LR$2:$LR$60=N$1),0),$C219-1966)</f>
        <v>592557.80000000005</v>
      </c>
      <c r="O219" s="4" cm="1">
        <f t="array" ref="O219">INDEX(GMW!$A$2:$LR$60,MATCH(1,(GMW!$LQ$2:$LQ$60=O$3)*(GMW!$LP$2:$LP$60=O$4)*(GMW!$LR$2:$LR$60=O$1),0),$C219-1966)</f>
        <v>592381</v>
      </c>
      <c r="P219" s="4" cm="1">
        <f t="array" ref="P219">INDEX(GMW!$A$2:$LR$60,MATCH(1,(GMW!$LQ$2:$LQ$60=P$3)*(GMW!$LP$2:$LP$60=P$4)*(GMW!$LR$2:$LR$60=P$1),0),$C219-1966)</f>
        <v>592771.6</v>
      </c>
      <c r="Q219" s="4" cm="1">
        <f t="array" ref="Q219">INDEX(GMW!$A$2:$LR$60,MATCH(1,(GMW!$LQ$2:$LQ$60=Q$3)*(GMW!$LP$2:$LP$60=Q$4)*(GMW!$LR$2:$LR$60=Q$1),0),$C219-1966)</f>
        <v>593594.1</v>
      </c>
      <c r="R219" s="4" cm="1">
        <f t="array" ref="R219">INDEX(GMW!$A$2:$LR$60,MATCH(1,(GMW!$LQ$2:$LQ$60=R$3)*(GMW!$LP$2:$LP$60=R$4)*(GMW!$LR$2:$LR$60=R$1),0),$C219-1966)</f>
        <v>593811.1</v>
      </c>
      <c r="S219" s="4" cm="1">
        <f t="array" ref="S219">INDEX(GMW!$A$2:$LR$60,MATCH(1,(GMW!$LQ$2:$LQ$60=S$3)*(GMW!$LP$2:$LP$60=S$4)*(GMW!$LR$2:$LR$60=S$1),0),$C219-1966)</f>
        <v>591916.69999999995</v>
      </c>
      <c r="T219" s="4" cm="1">
        <f t="array" ref="T219">INDEX(GMW!$A$2:$LR$60,MATCH(1,(GMW!$LQ$2:$LQ$60=T$3)*(GMW!$LP$2:$LP$60=T$4)*(GMW!$LR$2:$LR$60=T$1),0),$C219-1966)</f>
        <v>592179.80000000005</v>
      </c>
      <c r="U219" s="4" cm="1">
        <f t="array" ref="U219">INDEX(GMW!$A$2:$LR$60,MATCH(1,(GMW!$LQ$2:$LQ$60=U$3)*(GMW!$LP$2:$LP$60=U$4)*(GMW!$LR$2:$LR$60=U$1),0),$C219-1966)</f>
        <v>727.5444</v>
      </c>
      <c r="V219" s="4" cm="1">
        <f t="array" ref="V219">INDEX(GMW!$A$2:$LR$60,MATCH(1,(GMW!$LQ$2:$LQ$60=V$3)*(GMW!$LP$2:$LP$60=V$4)*(GMW!$LR$2:$LR$60=V$1),0),$C219-1966)</f>
        <v>138.94399999999999</v>
      </c>
      <c r="W219" s="4" cm="1">
        <f t="array" ref="W219">INDEX(GMW!$A$2:$LR$60,MATCH(1,(GMW!$LQ$2:$LQ$60=W$3)*(GMW!$LP$2:$LP$60=W$4)*(GMW!$LR$2:$LR$60=W$1),0),$C219-1966)</f>
        <v>143.59299999999999</v>
      </c>
      <c r="X219" s="4" cm="1">
        <f t="array" ref="X219">INDEX(GMW!$A$2:$LR$60,MATCH(1,(GMW!$LQ$2:$LQ$60=X$3)*(GMW!$LP$2:$LP$60=X$4)*(GMW!$LR$2:$LR$60=X$1),0),$C219-1966)</f>
        <v>126.25660000000001</v>
      </c>
      <c r="Y219" s="4" cm="1">
        <f t="array" ref="Y219">INDEX(GMW!$A$2:$LR$60,MATCH(1,(GMW!$LQ$2:$LQ$60=Y$3)*(GMW!$LP$2:$LP$60=Y$4)*(GMW!$LR$2:$LR$60=Y$1),0),$C219-1966)</f>
        <v>172.864</v>
      </c>
      <c r="Z219" s="4" cm="1">
        <f t="array" ref="Z219">INDEX(GMW!$A$2:$LR$60,MATCH(1,(GMW!$LQ$2:$LQ$60=Z$3)*(GMW!$LP$2:$LP$60=Z$4)*(GMW!$LR$2:$LR$60=Z$1),0),$C219-1966)</f>
        <v>136.0444</v>
      </c>
      <c r="AA219" s="4" cm="1">
        <f t="array" ref="AA219">INDEX(GMW!$A$2:$LR$60,MATCH(1,(GMW!$LQ$2:$LQ$60=AA$3)*(GMW!$LP$2:$LP$60=AA$4)*(GMW!$LR$2:$LR$60=AA$1),0),$C219-1966)</f>
        <v>351857.3</v>
      </c>
      <c r="AB219" s="4" cm="1">
        <f t="array" ref="AB219">INDEX(GMW!$A$2:$LR$60,MATCH(1,(GMW!$LQ$2:$LQ$60=AB$3)*(GMW!$LP$2:$LP$60=AB$4)*(GMW!$LR$2:$LR$60=AB$1),0),$C219-1966)</f>
        <v>110480.8</v>
      </c>
      <c r="AC219" s="4" cm="1">
        <f t="array" ref="AC219">INDEX(GMW!$A$2:$LR$60,MATCH(1,(GMW!$LQ$2:$LQ$60=AC$3)*(GMW!$LP$2:$LP$60=AC$4)*(GMW!$LR$2:$LR$60=AC$1),0),$C219-1966)</f>
        <v>123620.1</v>
      </c>
      <c r="AD219" s="4" cm="1">
        <f t="array" ref="AD219">INDEX(GMW!$A$2:$LR$60,MATCH(1,(GMW!$LQ$2:$LQ$60=AD$3)*(GMW!$LP$2:$LP$60=AD$4)*(GMW!$LR$2:$LR$60=AD$1),0),$C219-1966)</f>
        <v>182649.9</v>
      </c>
      <c r="AE219" s="4" cm="1">
        <f t="array" ref="AE219">INDEX(GMW!$A$2:$LR$60,MATCH(1,(GMW!$LQ$2:$LQ$60=AE$3)*(GMW!$LP$2:$LP$60=AE$4)*(GMW!$LR$2:$LR$60=AE$1),0),$C219-1966)</f>
        <v>195814.5</v>
      </c>
      <c r="AF219" s="4" cm="1">
        <f t="array" ref="AF219">INDEX(GMW!$A$2:$LR$60,MATCH(1,(GMW!$LQ$2:$LQ$60=AF$3)*(GMW!$LP$2:$LP$60=AF$4)*(GMW!$LR$2:$LR$60=AF$1),0),$C219-1966)</f>
        <v>3.5235690000000002</v>
      </c>
      <c r="AG219" s="4" cm="1">
        <f t="array" ref="AG219">INDEX(GMW!$A$2:$LR$60,MATCH(1,(GMW!$LQ$2:$LQ$60=AG$3)*(GMW!$LP$2:$LP$60=AG$4)*(GMW!$LR$2:$LR$60=AG$1),0),$C219-1966)</f>
        <v>3.4559359999999999</v>
      </c>
    </row>
    <row r="220" spans="1:33" x14ac:dyDescent="0.25">
      <c r="B220" s="4">
        <f t="shared" si="7"/>
        <v>2026</v>
      </c>
      <c r="C220" s="4">
        <f t="shared" si="6"/>
        <v>2186</v>
      </c>
      <c r="D220" s="4" cm="1">
        <f t="array" ref="D220">INDEX(GMW!$A$2:$LR$60,MATCH(1,(GMW!$LQ$2:$LQ$60=D$3)*(GMW!$LP$2:$LP$60=D$4)*(GMW!$LR$2:$LR$60=D$1),0),$C220-1966)</f>
        <v>593644.6</v>
      </c>
      <c r="E220" s="4" cm="1">
        <f t="array" ref="E220">INDEX(GMW!$A$2:$LR$60,MATCH(1,(GMW!$LQ$2:$LQ$60=E$3)*(GMW!$LP$2:$LP$60=E$4)*(GMW!$LR$2:$LR$60=E$1),0),$C220-1966)</f>
        <v>591777.80000000005</v>
      </c>
      <c r="F220" s="4" cm="1">
        <f t="array" ref="F220">INDEX(GMW!$A$2:$LR$60,MATCH(1,(GMW!$LQ$2:$LQ$60=F$3)*(GMW!$LP$2:$LP$60=F$4)*(GMW!$LR$2:$LR$60=F$1),0),$C220-1966)</f>
        <v>591987.30000000005</v>
      </c>
      <c r="G220" s="4" cm="1">
        <f t="array" ref="G220">INDEX(GMW!$A$2:$LR$60,MATCH(1,(GMW!$LQ$2:$LQ$60=G$3)*(GMW!$LP$2:$LP$60=G$4)*(GMW!$LR$2:$LR$60=G$1),0),$C220-1966)</f>
        <v>591987.30000000005</v>
      </c>
      <c r="H220" s="4" cm="1">
        <f t="array" ref="H220">INDEX(GMW!$A$2:$LR$60,MATCH(1,(GMW!$LQ$2:$LQ$60=H$3)*(GMW!$LP$2:$LP$60=H$4)*(GMW!$LR$2:$LR$60=H$1),0),$C220-1966)</f>
        <v>591426.19999999995</v>
      </c>
      <c r="I220" s="4" cm="1">
        <f t="array" ref="I220">INDEX(GMW!$A$2:$LR$60,MATCH(1,(GMW!$LQ$2:$LQ$60=I$3)*(GMW!$LP$2:$LP$60=I$4)*(GMW!$LR$2:$LR$60=I$1),0),$C220-1966)</f>
        <v>593256</v>
      </c>
      <c r="J220" s="4" cm="1">
        <f t="array" ref="J220">INDEX(GMW!$A$2:$LR$60,MATCH(1,(GMW!$LQ$2:$LQ$60=J$3)*(GMW!$LP$2:$LP$60=J$4)*(GMW!$LR$2:$LR$60=J$1),0),$C220-1966)</f>
        <v>593253.4</v>
      </c>
      <c r="K220" s="4" cm="1">
        <f t="array" ref="K220">INDEX(GMW!$A$2:$LR$60,MATCH(1,(GMW!$LQ$2:$LQ$60=K$3)*(GMW!$LP$2:$LP$60=K$4)*(GMW!$LR$2:$LR$60=K$1),0),$C220-1966)</f>
        <v>593117.80000000005</v>
      </c>
      <c r="L220" s="4" cm="1">
        <f t="array" ref="L220">INDEX(GMW!$A$2:$LR$60,MATCH(1,(GMW!$LQ$2:$LQ$60=L$3)*(GMW!$LP$2:$LP$60=L$4)*(GMW!$LR$2:$LR$60=L$1),0),$C220-1966)</f>
        <v>593534.6</v>
      </c>
      <c r="M220" s="4" cm="1">
        <f t="array" ref="M220">INDEX(GMW!$A$2:$LR$60,MATCH(1,(GMW!$LQ$2:$LQ$60=M$3)*(GMW!$LP$2:$LP$60=M$4)*(GMW!$LR$2:$LR$60=M$1),0),$C220-1966)</f>
        <v>593534.6</v>
      </c>
      <c r="N220" s="4" cm="1">
        <f t="array" ref="N220">INDEX(GMW!$A$2:$LR$60,MATCH(1,(GMW!$LQ$2:$LQ$60=N$3)*(GMW!$LP$2:$LP$60=N$4)*(GMW!$LR$2:$LR$60=N$1),0),$C220-1966)</f>
        <v>595165.9</v>
      </c>
      <c r="O220" s="4" cm="1">
        <f t="array" ref="O220">INDEX(GMW!$A$2:$LR$60,MATCH(1,(GMW!$LQ$2:$LQ$60=O$3)*(GMW!$LP$2:$LP$60=O$4)*(GMW!$LR$2:$LR$60=O$1),0),$C220-1966)</f>
        <v>594988.30000000005</v>
      </c>
      <c r="P220" s="4" cm="1">
        <f t="array" ref="P220">INDEX(GMW!$A$2:$LR$60,MATCH(1,(GMW!$LQ$2:$LQ$60=P$3)*(GMW!$LP$2:$LP$60=P$4)*(GMW!$LR$2:$LR$60=P$1),0),$C220-1966)</f>
        <v>595380.6</v>
      </c>
      <c r="Q220" s="4" cm="1">
        <f t="array" ref="Q220">INDEX(GMW!$A$2:$LR$60,MATCH(1,(GMW!$LQ$2:$LQ$60=Q$3)*(GMW!$LP$2:$LP$60=Q$4)*(GMW!$LR$2:$LR$60=Q$1),0),$C220-1966)</f>
        <v>596206.80000000005</v>
      </c>
      <c r="R220" s="4" cm="1">
        <f t="array" ref="R220">INDEX(GMW!$A$2:$LR$60,MATCH(1,(GMW!$LQ$2:$LQ$60=R$3)*(GMW!$LP$2:$LP$60=R$4)*(GMW!$LR$2:$LR$60=R$1),0),$C220-1966)</f>
        <v>596424.80000000005</v>
      </c>
      <c r="S220" s="4" cm="1">
        <f t="array" ref="S220">INDEX(GMW!$A$2:$LR$60,MATCH(1,(GMW!$LQ$2:$LQ$60=S$3)*(GMW!$LP$2:$LP$60=S$4)*(GMW!$LR$2:$LR$60=S$1),0),$C220-1966)</f>
        <v>594522.1</v>
      </c>
      <c r="T220" s="4" cm="1">
        <f t="array" ref="T220">INDEX(GMW!$A$2:$LR$60,MATCH(1,(GMW!$LQ$2:$LQ$60=T$3)*(GMW!$LP$2:$LP$60=T$4)*(GMW!$LR$2:$LR$60=T$1),0),$C220-1966)</f>
        <v>594786.30000000005</v>
      </c>
      <c r="U220" s="4" cm="1">
        <f t="array" ref="U220">INDEX(GMW!$A$2:$LR$60,MATCH(1,(GMW!$LQ$2:$LQ$60=U$3)*(GMW!$LP$2:$LP$60=U$4)*(GMW!$LR$2:$LR$60=U$1),0),$C220-1966)</f>
        <v>732.36789999999996</v>
      </c>
      <c r="V220" s="4" cm="1">
        <f t="array" ref="V220">INDEX(GMW!$A$2:$LR$60,MATCH(1,(GMW!$LQ$2:$LQ$60=V$3)*(GMW!$LP$2:$LP$60=V$4)*(GMW!$LR$2:$LR$60=V$1),0),$C220-1966)</f>
        <v>140.2252</v>
      </c>
      <c r="W220" s="4" cm="1">
        <f t="array" ref="W220">INDEX(GMW!$A$2:$LR$60,MATCH(1,(GMW!$LQ$2:$LQ$60=W$3)*(GMW!$LP$2:$LP$60=W$4)*(GMW!$LR$2:$LR$60=W$1),0),$C220-1966)</f>
        <v>144.12639999999999</v>
      </c>
      <c r="X220" s="4" cm="1">
        <f t="array" ref="X220">INDEX(GMW!$A$2:$LR$60,MATCH(1,(GMW!$LQ$2:$LQ$60=X$3)*(GMW!$LP$2:$LP$60=X$4)*(GMW!$LR$2:$LR$60=X$1),0),$C220-1966)</f>
        <v>126.1519</v>
      </c>
      <c r="Y220" s="4" cm="1">
        <f t="array" ref="Y220">INDEX(GMW!$A$2:$LR$60,MATCH(1,(GMW!$LQ$2:$LQ$60=Y$3)*(GMW!$LP$2:$LP$60=Y$4)*(GMW!$LR$2:$LR$60=Y$1),0),$C220-1966)</f>
        <v>170.59800000000001</v>
      </c>
      <c r="Z220" s="4" cm="1">
        <f t="array" ref="Z220">INDEX(GMW!$A$2:$LR$60,MATCH(1,(GMW!$LQ$2:$LQ$60=Z$3)*(GMW!$LP$2:$LP$60=Z$4)*(GMW!$LR$2:$LR$60=Z$1),0),$C220-1966)</f>
        <v>137.6592</v>
      </c>
      <c r="AA220" s="4" cm="1">
        <f t="array" ref="AA220">INDEX(GMW!$A$2:$LR$60,MATCH(1,(GMW!$LQ$2:$LQ$60=AA$3)*(GMW!$LP$2:$LP$60=AA$4)*(GMW!$LR$2:$LR$60=AA$1),0),$C220-1966)</f>
        <v>353440.9</v>
      </c>
      <c r="AB220" s="4" cm="1">
        <f t="array" ref="AB220">INDEX(GMW!$A$2:$LR$60,MATCH(1,(GMW!$LQ$2:$LQ$60=AB$3)*(GMW!$LP$2:$LP$60=AB$4)*(GMW!$LR$2:$LR$60=AB$1),0),$C220-1966)</f>
        <v>111254.5</v>
      </c>
      <c r="AC220" s="4" cm="1">
        <f t="array" ref="AC220">INDEX(GMW!$A$2:$LR$60,MATCH(1,(GMW!$LQ$2:$LQ$60=AC$3)*(GMW!$LP$2:$LP$60=AC$4)*(GMW!$LR$2:$LR$60=AC$1),0),$C220-1966)</f>
        <v>124133.4</v>
      </c>
      <c r="AD220" s="4" cm="1">
        <f t="array" ref="AD220">INDEX(GMW!$A$2:$LR$60,MATCH(1,(GMW!$LQ$2:$LQ$60=AD$3)*(GMW!$LP$2:$LP$60=AD$4)*(GMW!$LR$2:$LR$60=AD$1),0),$C220-1966)</f>
        <v>183549.3</v>
      </c>
      <c r="AE220" s="4" cm="1">
        <f t="array" ref="AE220">INDEX(GMW!$A$2:$LR$60,MATCH(1,(GMW!$LQ$2:$LQ$60=AE$3)*(GMW!$LP$2:$LP$60=AE$4)*(GMW!$LR$2:$LR$60=AE$1),0),$C220-1966)</f>
        <v>197020.6</v>
      </c>
      <c r="AF220" s="4" cm="1">
        <f t="array" ref="AF220">INDEX(GMW!$A$2:$LR$60,MATCH(1,(GMW!$LQ$2:$LQ$60=AF$3)*(GMW!$LP$2:$LP$60=AF$4)*(GMW!$LR$2:$LR$60=AF$1),0),$C220-1966)</f>
        <v>3.3126859999999998</v>
      </c>
      <c r="AG220" s="4" cm="1">
        <f t="array" ref="AG220">INDEX(GMW!$A$2:$LR$60,MATCH(1,(GMW!$LQ$2:$LQ$60=AG$3)*(GMW!$LP$2:$LP$60=AG$4)*(GMW!$LR$2:$LR$60=AG$1),0),$C220-1966)</f>
        <v>3.3452989999999998</v>
      </c>
    </row>
    <row r="221" spans="1:33" x14ac:dyDescent="0.25">
      <c r="B221" s="4">
        <f t="shared" si="7"/>
        <v>2026</v>
      </c>
      <c r="C221" s="4">
        <f t="shared" si="6"/>
        <v>2187</v>
      </c>
      <c r="D221" s="4" cm="1">
        <f t="array" ref="D221">INDEX(GMW!$A$2:$LR$60,MATCH(1,(GMW!$LQ$2:$LQ$60=D$3)*(GMW!$LP$2:$LP$60=D$4)*(GMW!$LR$2:$LR$60=D$1),0),$C221-1966)</f>
        <v>596078.6</v>
      </c>
      <c r="E221" s="4" cm="1">
        <f t="array" ref="E221">INDEX(GMW!$A$2:$LR$60,MATCH(1,(GMW!$LQ$2:$LQ$60=E$3)*(GMW!$LP$2:$LP$60=E$4)*(GMW!$LR$2:$LR$60=E$1),0),$C221-1966)</f>
        <v>594115.19999999995</v>
      </c>
      <c r="F221" s="4" cm="1">
        <f t="array" ref="F221">INDEX(GMW!$A$2:$LR$60,MATCH(1,(GMW!$LQ$2:$LQ$60=F$3)*(GMW!$LP$2:$LP$60=F$4)*(GMW!$LR$2:$LR$60=F$1),0),$C221-1966)</f>
        <v>594325.5</v>
      </c>
      <c r="G221" s="4" cm="1">
        <f t="array" ref="G221">INDEX(GMW!$A$2:$LR$60,MATCH(1,(GMW!$LQ$2:$LQ$60=G$3)*(GMW!$LP$2:$LP$60=G$4)*(GMW!$LR$2:$LR$60=G$1),0),$C221-1966)</f>
        <v>594325.5</v>
      </c>
      <c r="H221" s="4" cm="1">
        <f t="array" ref="H221">INDEX(GMW!$A$2:$LR$60,MATCH(1,(GMW!$LQ$2:$LQ$60=H$3)*(GMW!$LP$2:$LP$60=H$4)*(GMW!$LR$2:$LR$60=H$1),0),$C221-1966)</f>
        <v>593969.30000000005</v>
      </c>
      <c r="I221" s="4" cm="1">
        <f t="array" ref="I221">INDEX(GMW!$A$2:$LR$60,MATCH(1,(GMW!$LQ$2:$LQ$60=I$3)*(GMW!$LP$2:$LP$60=I$4)*(GMW!$LR$2:$LR$60=I$1),0),$C221-1966)</f>
        <v>595688.30000000005</v>
      </c>
      <c r="J221" s="4" cm="1">
        <f t="array" ref="J221">INDEX(GMW!$A$2:$LR$60,MATCH(1,(GMW!$LQ$2:$LQ$60=J$3)*(GMW!$LP$2:$LP$60=J$4)*(GMW!$LR$2:$LR$60=J$1),0),$C221-1966)</f>
        <v>595685.69999999995</v>
      </c>
      <c r="K221" s="4" cm="1">
        <f t="array" ref="K221">INDEX(GMW!$A$2:$LR$60,MATCH(1,(GMW!$LQ$2:$LQ$60=K$3)*(GMW!$LP$2:$LP$60=K$4)*(GMW!$LR$2:$LR$60=K$1),0),$C221-1966)</f>
        <v>595549.6</v>
      </c>
      <c r="L221" s="4" cm="1">
        <f t="array" ref="L221">INDEX(GMW!$A$2:$LR$60,MATCH(1,(GMW!$LQ$2:$LQ$60=L$3)*(GMW!$LP$2:$LP$60=L$4)*(GMW!$LR$2:$LR$60=L$1),0),$C221-1966)</f>
        <v>595938.4</v>
      </c>
      <c r="M221" s="4" cm="1">
        <f t="array" ref="M221">INDEX(GMW!$A$2:$LR$60,MATCH(1,(GMW!$LQ$2:$LQ$60=M$3)*(GMW!$LP$2:$LP$60=M$4)*(GMW!$LR$2:$LR$60=M$1),0),$C221-1966)</f>
        <v>595938.4</v>
      </c>
      <c r="N221" s="4" cm="1">
        <f t="array" ref="N221">INDEX(GMW!$A$2:$LR$60,MATCH(1,(GMW!$LQ$2:$LQ$60=N$3)*(GMW!$LP$2:$LP$60=N$4)*(GMW!$LR$2:$LR$60=N$1),0),$C221-1966)</f>
        <v>597606.1</v>
      </c>
      <c r="O221" s="4" cm="1">
        <f t="array" ref="O221">INDEX(GMW!$A$2:$LR$60,MATCH(1,(GMW!$LQ$2:$LQ$60=O$3)*(GMW!$LP$2:$LP$60=O$4)*(GMW!$LR$2:$LR$60=O$1),0),$C221-1966)</f>
        <v>597427.80000000005</v>
      </c>
      <c r="P221" s="4" cm="1">
        <f t="array" ref="P221">INDEX(GMW!$A$2:$LR$60,MATCH(1,(GMW!$LQ$2:$LQ$60=P$3)*(GMW!$LP$2:$LP$60=P$4)*(GMW!$LR$2:$LR$60=P$1),0),$C221-1966)</f>
        <v>597821.80000000005</v>
      </c>
      <c r="Q221" s="4" cm="1">
        <f t="array" ref="Q221">INDEX(GMW!$A$2:$LR$60,MATCH(1,(GMW!$LQ$2:$LQ$60=Q$3)*(GMW!$LP$2:$LP$60=Q$4)*(GMW!$LR$2:$LR$60=Q$1),0),$C221-1966)</f>
        <v>598651.4</v>
      </c>
      <c r="R221" s="4" cm="1">
        <f t="array" ref="R221">INDEX(GMW!$A$2:$LR$60,MATCH(1,(GMW!$LQ$2:$LQ$60=R$3)*(GMW!$LP$2:$LP$60=R$4)*(GMW!$LR$2:$LR$60=R$1),0),$C221-1966)</f>
        <v>598870.30000000005</v>
      </c>
      <c r="S221" s="4" cm="1">
        <f t="array" ref="S221">INDEX(GMW!$A$2:$LR$60,MATCH(1,(GMW!$LQ$2:$LQ$60=S$3)*(GMW!$LP$2:$LP$60=S$4)*(GMW!$LR$2:$LR$60=S$1),0),$C221-1966)</f>
        <v>596959.80000000005</v>
      </c>
      <c r="T221" s="4" cm="1">
        <f t="array" ref="T221">INDEX(GMW!$A$2:$LR$60,MATCH(1,(GMW!$LQ$2:$LQ$60=T$3)*(GMW!$LP$2:$LP$60=T$4)*(GMW!$LR$2:$LR$60=T$1),0),$C221-1966)</f>
        <v>597225.1</v>
      </c>
      <c r="U221" s="4" cm="1">
        <f t="array" ref="U221">INDEX(GMW!$A$2:$LR$60,MATCH(1,(GMW!$LQ$2:$LQ$60=U$3)*(GMW!$LP$2:$LP$60=U$4)*(GMW!$LR$2:$LR$60=U$1),0),$C221-1966)</f>
        <v>737.12009999999998</v>
      </c>
      <c r="V221" s="4" cm="1">
        <f t="array" ref="V221">INDEX(GMW!$A$2:$LR$60,MATCH(1,(GMW!$LQ$2:$LQ$60=V$3)*(GMW!$LP$2:$LP$60=V$4)*(GMW!$LR$2:$LR$60=V$1),0),$C221-1966)</f>
        <v>140.87790000000001</v>
      </c>
      <c r="W221" s="4" cm="1">
        <f t="array" ref="W221">INDEX(GMW!$A$2:$LR$60,MATCH(1,(GMW!$LQ$2:$LQ$60=W$3)*(GMW!$LP$2:$LP$60=W$4)*(GMW!$LR$2:$LR$60=W$1),0),$C221-1966)</f>
        <v>144.01660000000001</v>
      </c>
      <c r="X221" s="4" cm="1">
        <f t="array" ref="X221">INDEX(GMW!$A$2:$LR$60,MATCH(1,(GMW!$LQ$2:$LQ$60=X$3)*(GMW!$LP$2:$LP$60=X$4)*(GMW!$LR$2:$LR$60=X$1),0),$C221-1966)</f>
        <v>126.0654</v>
      </c>
      <c r="Y221" s="4" cm="1">
        <f t="array" ref="Y221">INDEX(GMW!$A$2:$LR$60,MATCH(1,(GMW!$LQ$2:$LQ$60=Y$3)*(GMW!$LP$2:$LP$60=Y$4)*(GMW!$LR$2:$LR$60=Y$1),0),$C221-1966)</f>
        <v>168.3434</v>
      </c>
      <c r="Z221" s="4" cm="1">
        <f t="array" ref="Z221">INDEX(GMW!$A$2:$LR$60,MATCH(1,(GMW!$LQ$2:$LQ$60=Z$3)*(GMW!$LP$2:$LP$60=Z$4)*(GMW!$LR$2:$LR$60=Z$1),0),$C221-1966)</f>
        <v>138.59989999999999</v>
      </c>
      <c r="AA221" s="4" cm="1">
        <f t="array" ref="AA221">INDEX(GMW!$A$2:$LR$60,MATCH(1,(GMW!$LQ$2:$LQ$60=AA$3)*(GMW!$LP$2:$LP$60=AA$4)*(GMW!$LR$2:$LR$60=AA$1),0),$C221-1966)</f>
        <v>354836.9</v>
      </c>
      <c r="AB221" s="4" cm="1">
        <f t="array" ref="AB221">INDEX(GMW!$A$2:$LR$60,MATCH(1,(GMW!$LQ$2:$LQ$60=AB$3)*(GMW!$LP$2:$LP$60=AB$4)*(GMW!$LR$2:$LR$60=AB$1),0),$C221-1966)</f>
        <v>111920.9</v>
      </c>
      <c r="AC221" s="4" cm="1">
        <f t="array" ref="AC221">INDEX(GMW!$A$2:$LR$60,MATCH(1,(GMW!$LQ$2:$LQ$60=AC$3)*(GMW!$LP$2:$LP$60=AC$4)*(GMW!$LR$2:$LR$60=AC$1),0),$C221-1966)</f>
        <v>124600.2</v>
      </c>
      <c r="AD221" s="4" cm="1">
        <f t="array" ref="AD221">INDEX(GMW!$A$2:$LR$60,MATCH(1,(GMW!$LQ$2:$LQ$60=AD$3)*(GMW!$LP$2:$LP$60=AD$4)*(GMW!$LR$2:$LR$60=AD$1),0),$C221-1966)</f>
        <v>184375.1</v>
      </c>
      <c r="AE221" s="4" cm="1">
        <f t="array" ref="AE221">INDEX(GMW!$A$2:$LR$60,MATCH(1,(GMW!$LQ$2:$LQ$60=AE$3)*(GMW!$LP$2:$LP$60=AE$4)*(GMW!$LR$2:$LR$60=AE$1),0),$C221-1966)</f>
        <v>198017</v>
      </c>
      <c r="AF221" s="4" cm="1">
        <f t="array" ref="AF221">INDEX(GMW!$A$2:$LR$60,MATCH(1,(GMW!$LQ$2:$LQ$60=AF$3)*(GMW!$LP$2:$LP$60=AF$4)*(GMW!$LR$2:$LR$60=AF$1),0),$C221-1966)</f>
        <v>3.089521</v>
      </c>
      <c r="AG221" s="4" cm="1">
        <f t="array" ref="AG221">INDEX(GMW!$A$2:$LR$60,MATCH(1,(GMW!$LQ$2:$LQ$60=AG$3)*(GMW!$LP$2:$LP$60=AG$4)*(GMW!$LR$2:$LR$60=AG$1),0),$C221-1966)</f>
        <v>3.169502</v>
      </c>
    </row>
    <row r="222" spans="1:33" x14ac:dyDescent="0.25">
      <c r="B222" s="4">
        <f t="shared" si="7"/>
        <v>2026</v>
      </c>
      <c r="C222" s="4">
        <f t="shared" si="6"/>
        <v>2188</v>
      </c>
      <c r="D222" s="4" cm="1">
        <f t="array" ref="D222">INDEX(GMW!$A$2:$LR$60,MATCH(1,(GMW!$LQ$2:$LQ$60=D$3)*(GMW!$LP$2:$LP$60=D$4)*(GMW!$LR$2:$LR$60=D$1),0),$C222-1966)</f>
        <v>598492.4</v>
      </c>
      <c r="E222" s="4" cm="1">
        <f t="array" ref="E222">INDEX(GMW!$A$2:$LR$60,MATCH(1,(GMW!$LQ$2:$LQ$60=E$3)*(GMW!$LP$2:$LP$60=E$4)*(GMW!$LR$2:$LR$60=E$1),0),$C222-1966)</f>
        <v>596253.4</v>
      </c>
      <c r="F222" s="4" cm="1">
        <f t="array" ref="F222">INDEX(GMW!$A$2:$LR$60,MATCH(1,(GMW!$LQ$2:$LQ$60=F$3)*(GMW!$LP$2:$LP$60=F$4)*(GMW!$LR$2:$LR$60=F$1),0),$C222-1966)</f>
        <v>596464.5</v>
      </c>
      <c r="G222" s="4" cm="1">
        <f t="array" ref="G222">INDEX(GMW!$A$2:$LR$60,MATCH(1,(GMW!$LQ$2:$LQ$60=G$3)*(GMW!$LP$2:$LP$60=G$4)*(GMW!$LR$2:$LR$60=G$1),0),$C222-1966)</f>
        <v>596464.5</v>
      </c>
      <c r="H222" s="4" cm="1">
        <f t="array" ref="H222">INDEX(GMW!$A$2:$LR$60,MATCH(1,(GMW!$LQ$2:$LQ$60=H$3)*(GMW!$LP$2:$LP$60=H$4)*(GMW!$LR$2:$LR$60=H$1),0),$C222-1966)</f>
        <v>596523.30000000005</v>
      </c>
      <c r="I222" s="4" cm="1">
        <f t="array" ref="I222">INDEX(GMW!$A$2:$LR$60,MATCH(1,(GMW!$LQ$2:$LQ$60=I$3)*(GMW!$LP$2:$LP$60=I$4)*(GMW!$LR$2:$LR$60=I$1),0),$C222-1966)</f>
        <v>598071</v>
      </c>
      <c r="J222" s="4" cm="1">
        <f t="array" ref="J222">INDEX(GMW!$A$2:$LR$60,MATCH(1,(GMW!$LQ$2:$LQ$60=J$3)*(GMW!$LP$2:$LP$60=J$4)*(GMW!$LR$2:$LR$60=J$1),0),$C222-1966)</f>
        <v>598068.4</v>
      </c>
      <c r="K222" s="4" cm="1">
        <f t="array" ref="K222">INDEX(GMW!$A$2:$LR$60,MATCH(1,(GMW!$LQ$2:$LQ$60=K$3)*(GMW!$LP$2:$LP$60=K$4)*(GMW!$LR$2:$LR$60=K$1),0),$C222-1966)</f>
        <v>597931.69999999995</v>
      </c>
      <c r="L222" s="4" cm="1">
        <f t="array" ref="L222">INDEX(GMW!$A$2:$LR$60,MATCH(1,(GMW!$LQ$2:$LQ$60=L$3)*(GMW!$LP$2:$LP$60=L$4)*(GMW!$LR$2:$LR$60=L$1),0),$C222-1966)</f>
        <v>598322.1</v>
      </c>
      <c r="M222" s="4" cm="1">
        <f t="array" ref="M222">INDEX(GMW!$A$2:$LR$60,MATCH(1,(GMW!$LQ$2:$LQ$60=M$3)*(GMW!$LP$2:$LP$60=M$4)*(GMW!$LR$2:$LR$60=M$1),0),$C222-1966)</f>
        <v>598322.1</v>
      </c>
      <c r="N222" s="4" cm="1">
        <f t="array" ref="N222">INDEX(GMW!$A$2:$LR$60,MATCH(1,(GMW!$LQ$2:$LQ$60=N$3)*(GMW!$LP$2:$LP$60=N$4)*(GMW!$LR$2:$LR$60=N$1),0),$C222-1966)</f>
        <v>600026.30000000005</v>
      </c>
      <c r="O222" s="4" cm="1">
        <f t="array" ref="O222">INDEX(GMW!$A$2:$LR$60,MATCH(1,(GMW!$LQ$2:$LQ$60=O$3)*(GMW!$LP$2:$LP$60=O$4)*(GMW!$LR$2:$LR$60=O$1),0),$C222-1966)</f>
        <v>599847.30000000005</v>
      </c>
      <c r="P222" s="4" cm="1">
        <f t="array" ref="P222">INDEX(GMW!$A$2:$LR$60,MATCH(1,(GMW!$LQ$2:$LQ$60=P$3)*(GMW!$LP$2:$LP$60=P$4)*(GMW!$LR$2:$LR$60=P$1),0),$C222-1966)</f>
        <v>600242.80000000005</v>
      </c>
      <c r="Q222" s="4" cm="1">
        <f t="array" ref="Q222">INDEX(GMW!$A$2:$LR$60,MATCH(1,(GMW!$LQ$2:$LQ$60=Q$3)*(GMW!$LP$2:$LP$60=Q$4)*(GMW!$LR$2:$LR$60=Q$1),0),$C222-1966)</f>
        <v>601075.69999999995</v>
      </c>
      <c r="R222" s="4" cm="1">
        <f t="array" ref="R222">INDEX(GMW!$A$2:$LR$60,MATCH(1,(GMW!$LQ$2:$LQ$60=R$3)*(GMW!$LP$2:$LP$60=R$4)*(GMW!$LR$2:$LR$60=R$1),0),$C222-1966)</f>
        <v>601295.4</v>
      </c>
      <c r="S222" s="4" cm="1">
        <f t="array" ref="S222">INDEX(GMW!$A$2:$LR$60,MATCH(1,(GMW!$LQ$2:$LQ$60=S$3)*(GMW!$LP$2:$LP$60=S$4)*(GMW!$LR$2:$LR$60=S$1),0),$C222-1966)</f>
        <v>599377.1</v>
      </c>
      <c r="T222" s="4" cm="1">
        <f t="array" ref="T222">INDEX(GMW!$A$2:$LR$60,MATCH(1,(GMW!$LQ$2:$LQ$60=T$3)*(GMW!$LP$2:$LP$60=T$4)*(GMW!$LR$2:$LR$60=T$1),0),$C222-1966)</f>
        <v>599643.4</v>
      </c>
      <c r="U222" s="4" cm="1">
        <f t="array" ref="U222">INDEX(GMW!$A$2:$LR$60,MATCH(1,(GMW!$LQ$2:$LQ$60=U$3)*(GMW!$LP$2:$LP$60=U$4)*(GMW!$LR$2:$LR$60=U$1),0),$C222-1966)</f>
        <v>741.74810000000002</v>
      </c>
      <c r="V222" s="4" cm="1">
        <f t="array" ref="V222">INDEX(GMW!$A$2:$LR$60,MATCH(1,(GMW!$LQ$2:$LQ$60=V$3)*(GMW!$LP$2:$LP$60=V$4)*(GMW!$LR$2:$LR$60=V$1),0),$C222-1966)</f>
        <v>141.63480000000001</v>
      </c>
      <c r="W222" s="4" cm="1">
        <f t="array" ref="W222">INDEX(GMW!$A$2:$LR$60,MATCH(1,(GMW!$LQ$2:$LQ$60=W$3)*(GMW!$LP$2:$LP$60=W$4)*(GMW!$LR$2:$LR$60=W$1),0),$C222-1966)</f>
        <v>144.66460000000001</v>
      </c>
      <c r="X222" s="4" cm="1">
        <f t="array" ref="X222">INDEX(GMW!$A$2:$LR$60,MATCH(1,(GMW!$LQ$2:$LQ$60=X$3)*(GMW!$LP$2:$LP$60=X$4)*(GMW!$LR$2:$LR$60=X$1),0),$C222-1966)</f>
        <v>125.9845</v>
      </c>
      <c r="Y222" s="4" cm="1">
        <f t="array" ref="Y222">INDEX(GMW!$A$2:$LR$60,MATCH(1,(GMW!$LQ$2:$LQ$60=Y$3)*(GMW!$LP$2:$LP$60=Y$4)*(GMW!$LR$2:$LR$60=Y$1),0),$C222-1966)</f>
        <v>166.09979999999999</v>
      </c>
      <c r="Z222" s="4" cm="1">
        <f t="array" ref="Z222">INDEX(GMW!$A$2:$LR$60,MATCH(1,(GMW!$LQ$2:$LQ$60=Z$3)*(GMW!$LP$2:$LP$60=Z$4)*(GMW!$LR$2:$LR$60=Z$1),0),$C222-1966)</f>
        <v>139.529</v>
      </c>
      <c r="AA222" s="4" cm="1">
        <f t="array" ref="AA222">INDEX(GMW!$A$2:$LR$60,MATCH(1,(GMW!$LQ$2:$LQ$60=AA$3)*(GMW!$LP$2:$LP$60=AA$4)*(GMW!$LR$2:$LR$60=AA$1),0),$C222-1966)</f>
        <v>356256.4</v>
      </c>
      <c r="AB222" s="4" cm="1">
        <f t="array" ref="AB222">INDEX(GMW!$A$2:$LR$60,MATCH(1,(GMW!$LQ$2:$LQ$60=AB$3)*(GMW!$LP$2:$LP$60=AB$4)*(GMW!$LR$2:$LR$60=AB$1),0),$C222-1966)</f>
        <v>112553.8</v>
      </c>
      <c r="AC222" s="4" cm="1">
        <f t="array" ref="AC222">INDEX(GMW!$A$2:$LR$60,MATCH(1,(GMW!$LQ$2:$LQ$60=AC$3)*(GMW!$LP$2:$LP$60=AC$4)*(GMW!$LR$2:$LR$60=AC$1),0),$C222-1966)</f>
        <v>125075.2</v>
      </c>
      <c r="AD222" s="4" cm="1">
        <f t="array" ref="AD222">INDEX(GMW!$A$2:$LR$60,MATCH(1,(GMW!$LQ$2:$LQ$60=AD$3)*(GMW!$LP$2:$LP$60=AD$4)*(GMW!$LR$2:$LR$60=AD$1),0),$C222-1966)</f>
        <v>185149.5</v>
      </c>
      <c r="AE222" s="4" cm="1">
        <f t="array" ref="AE222">INDEX(GMW!$A$2:$LR$60,MATCH(1,(GMW!$LQ$2:$LQ$60=AE$3)*(GMW!$LP$2:$LP$60=AE$4)*(GMW!$LR$2:$LR$60=AE$1),0),$C222-1966)</f>
        <v>198975.9</v>
      </c>
      <c r="AF222" s="4" cm="1">
        <f t="array" ref="AF222">INDEX(GMW!$A$2:$LR$60,MATCH(1,(GMW!$LQ$2:$LQ$60=AF$3)*(GMW!$LP$2:$LP$60=AF$4)*(GMW!$LR$2:$LR$60=AF$1),0),$C222-1966)</f>
        <v>2.870581</v>
      </c>
      <c r="AG222" s="4" cm="1">
        <f t="array" ref="AG222">INDEX(GMW!$A$2:$LR$60,MATCH(1,(GMW!$LQ$2:$LQ$60=AG$3)*(GMW!$LP$2:$LP$60=AG$4)*(GMW!$LR$2:$LR$60=AG$1),0),$C222-1966)</f>
        <v>2.990065</v>
      </c>
    </row>
    <row r="223" spans="1:33" x14ac:dyDescent="0.25">
      <c r="A223" s="4">
        <v>2027</v>
      </c>
      <c r="B223" s="4">
        <f t="shared" si="7"/>
        <v>2027</v>
      </c>
      <c r="C223" s="4">
        <f t="shared" si="6"/>
        <v>2189</v>
      </c>
      <c r="D223" s="4" cm="1">
        <f t="array" ref="D223">INDEX(GMW!$A$2:$LR$60,MATCH(1,(GMW!$LQ$2:$LQ$60=D$3)*(GMW!$LP$2:$LP$60=D$4)*(GMW!$LR$2:$LR$60=D$1),0),$C223-1966)</f>
        <v>600946.30000000005</v>
      </c>
      <c r="E223" s="4" cm="1">
        <f t="array" ref="E223">INDEX(GMW!$A$2:$LR$60,MATCH(1,(GMW!$LQ$2:$LQ$60=E$3)*(GMW!$LP$2:$LP$60=E$4)*(GMW!$LR$2:$LR$60=E$1),0),$C223-1966)</f>
        <v>598459.6</v>
      </c>
      <c r="F223" s="4" cm="1">
        <f t="array" ref="F223">INDEX(GMW!$A$2:$LR$60,MATCH(1,(GMW!$LQ$2:$LQ$60=F$3)*(GMW!$LP$2:$LP$60=F$4)*(GMW!$LR$2:$LR$60=F$1),0),$C223-1966)</f>
        <v>598701.30000000005</v>
      </c>
      <c r="G223" s="4" cm="1">
        <f t="array" ref="G223">INDEX(GMW!$A$2:$LR$60,MATCH(1,(GMW!$LQ$2:$LQ$60=G$3)*(GMW!$LP$2:$LP$60=G$4)*(GMW!$LR$2:$LR$60=G$1),0),$C223-1966)</f>
        <v>598701.30000000005</v>
      </c>
      <c r="H223" s="4" cm="1">
        <f t="array" ref="H223">INDEX(GMW!$A$2:$LR$60,MATCH(1,(GMW!$LQ$2:$LQ$60=H$3)*(GMW!$LP$2:$LP$60=H$4)*(GMW!$LR$2:$LR$60=H$1),0),$C223-1966)</f>
        <v>599088.4</v>
      </c>
      <c r="I223" s="4" cm="1">
        <f t="array" ref="I223">INDEX(GMW!$A$2:$LR$60,MATCH(1,(GMW!$LQ$2:$LQ$60=I$3)*(GMW!$LP$2:$LP$60=I$4)*(GMW!$LR$2:$LR$60=I$1),0),$C223-1966)</f>
        <v>600523.1</v>
      </c>
      <c r="J223" s="4" cm="1">
        <f t="array" ref="J223">INDEX(GMW!$A$2:$LR$60,MATCH(1,(GMW!$LQ$2:$LQ$60=J$3)*(GMW!$LP$2:$LP$60=J$4)*(GMW!$LR$2:$LR$60=J$1),0),$C223-1966)</f>
        <v>600520.4</v>
      </c>
      <c r="K223" s="4" cm="1">
        <f t="array" ref="K223">INDEX(GMW!$A$2:$LR$60,MATCH(1,(GMW!$LQ$2:$LQ$60=K$3)*(GMW!$LP$2:$LP$60=K$4)*(GMW!$LR$2:$LR$60=K$1),0),$C223-1966)</f>
        <v>600353.30000000005</v>
      </c>
      <c r="L223" s="4" cm="1">
        <f t="array" ref="L223">INDEX(GMW!$A$2:$LR$60,MATCH(1,(GMW!$LQ$2:$LQ$60=L$3)*(GMW!$LP$2:$LP$60=L$4)*(GMW!$LR$2:$LR$60=L$1),0),$C223-1966)</f>
        <v>600745.30000000005</v>
      </c>
      <c r="M223" s="4" cm="1">
        <f t="array" ref="M223">INDEX(GMW!$A$2:$LR$60,MATCH(1,(GMW!$LQ$2:$LQ$60=M$3)*(GMW!$LP$2:$LP$60=M$4)*(GMW!$LR$2:$LR$60=M$1),0),$C223-1966)</f>
        <v>600745.30000000005</v>
      </c>
      <c r="N223" s="4" cm="1">
        <f t="array" ref="N223">INDEX(GMW!$A$2:$LR$60,MATCH(1,(GMW!$LQ$2:$LQ$60=N$3)*(GMW!$LP$2:$LP$60=N$4)*(GMW!$LR$2:$LR$60=N$1),0),$C223-1966)</f>
        <v>602486.4</v>
      </c>
      <c r="O223" s="4" cm="1">
        <f t="array" ref="O223">INDEX(GMW!$A$2:$LR$60,MATCH(1,(GMW!$LQ$2:$LQ$60=O$3)*(GMW!$LP$2:$LP$60=O$4)*(GMW!$LR$2:$LR$60=O$1),0),$C223-1966)</f>
        <v>602306.6</v>
      </c>
      <c r="P223" s="4" cm="1">
        <f t="array" ref="P223">INDEX(GMW!$A$2:$LR$60,MATCH(1,(GMW!$LQ$2:$LQ$60=P$3)*(GMW!$LP$2:$LP$60=P$4)*(GMW!$LR$2:$LR$60=P$1),0),$C223-1966)</f>
        <v>602703.80000000005</v>
      </c>
      <c r="Q223" s="4" cm="1">
        <f t="array" ref="Q223">INDEX(GMW!$A$2:$LR$60,MATCH(1,(GMW!$LQ$2:$LQ$60=Q$3)*(GMW!$LP$2:$LP$60=Q$4)*(GMW!$LR$2:$LR$60=Q$1),0),$C223-1966)</f>
        <v>603540.1</v>
      </c>
      <c r="R223" s="4" cm="1">
        <f t="array" ref="R223">INDEX(GMW!$A$2:$LR$60,MATCH(1,(GMW!$LQ$2:$LQ$60=R$3)*(GMW!$LP$2:$LP$60=R$4)*(GMW!$LR$2:$LR$60=R$1),0),$C223-1966)</f>
        <v>603760.80000000005</v>
      </c>
      <c r="S223" s="4" cm="1">
        <f t="array" ref="S223">INDEX(GMW!$A$2:$LR$60,MATCH(1,(GMW!$LQ$2:$LQ$60=S$3)*(GMW!$LP$2:$LP$60=S$4)*(GMW!$LR$2:$LR$60=S$1),0),$C223-1966)</f>
        <v>601834.6</v>
      </c>
      <c r="T223" s="4" cm="1">
        <f t="array" ref="T223">INDEX(GMW!$A$2:$LR$60,MATCH(1,(GMW!$LQ$2:$LQ$60=T$3)*(GMW!$LP$2:$LP$60=T$4)*(GMW!$LR$2:$LR$60=T$1),0),$C223-1966)</f>
        <v>602102.1</v>
      </c>
      <c r="U223" s="4" cm="1">
        <f t="array" ref="U223">INDEX(GMW!$A$2:$LR$60,MATCH(1,(GMW!$LQ$2:$LQ$60=U$3)*(GMW!$LP$2:$LP$60=U$4)*(GMW!$LR$2:$LR$60=U$1),0),$C223-1966)</f>
        <v>746.6146</v>
      </c>
      <c r="V223" s="4" cm="1">
        <f t="array" ref="V223">INDEX(GMW!$A$2:$LR$60,MATCH(1,(GMW!$LQ$2:$LQ$60=V$3)*(GMW!$LP$2:$LP$60=V$4)*(GMW!$LR$2:$LR$60=V$1),0),$C223-1966)</f>
        <v>141.88990000000001</v>
      </c>
      <c r="W223" s="4" cm="1">
        <f t="array" ref="W223">INDEX(GMW!$A$2:$LR$60,MATCH(1,(GMW!$LQ$2:$LQ$60=W$3)*(GMW!$LP$2:$LP$60=W$4)*(GMW!$LR$2:$LR$60=W$1),0),$C223-1966)</f>
        <v>145.97669999999999</v>
      </c>
      <c r="X223" s="4" cm="1">
        <f t="array" ref="X223">INDEX(GMW!$A$2:$LR$60,MATCH(1,(GMW!$LQ$2:$LQ$60=X$3)*(GMW!$LP$2:$LP$60=X$4)*(GMW!$LR$2:$LR$60=X$1),0),$C223-1966)</f>
        <v>125.9055</v>
      </c>
      <c r="Y223" s="4" cm="1">
        <f t="array" ref="Y223">INDEX(GMW!$A$2:$LR$60,MATCH(1,(GMW!$LQ$2:$LQ$60=Y$3)*(GMW!$LP$2:$LP$60=Y$4)*(GMW!$LR$2:$LR$60=Y$1),0),$C223-1966)</f>
        <v>164.94450000000001</v>
      </c>
      <c r="Z223" s="4" cm="1">
        <f t="array" ref="Z223">INDEX(GMW!$A$2:$LR$60,MATCH(1,(GMW!$LQ$2:$LQ$60=Z$3)*(GMW!$LP$2:$LP$60=Z$4)*(GMW!$LR$2:$LR$60=Z$1),0),$C223-1966)</f>
        <v>139.6566</v>
      </c>
      <c r="AA223" s="4" cm="1">
        <f t="array" ref="AA223">INDEX(GMW!$A$2:$LR$60,MATCH(1,(GMW!$LQ$2:$LQ$60=AA$3)*(GMW!$LP$2:$LP$60=AA$4)*(GMW!$LR$2:$LR$60=AA$1),0),$C223-1966)</f>
        <v>357681.3</v>
      </c>
      <c r="AB223" s="4" cm="1">
        <f t="array" ref="AB223">INDEX(GMW!$A$2:$LR$60,MATCH(1,(GMW!$LQ$2:$LQ$60=AB$3)*(GMW!$LP$2:$LP$60=AB$4)*(GMW!$LR$2:$LR$60=AB$1),0),$C223-1966)</f>
        <v>113122</v>
      </c>
      <c r="AC223" s="4" cm="1">
        <f t="array" ref="AC223">INDEX(GMW!$A$2:$LR$60,MATCH(1,(GMW!$LQ$2:$LQ$60=AC$3)*(GMW!$LP$2:$LP$60=AC$4)*(GMW!$LR$2:$LR$60=AC$1),0),$C223-1966)</f>
        <v>125558.1</v>
      </c>
      <c r="AD223" s="4" cm="1">
        <f t="array" ref="AD223">INDEX(GMW!$A$2:$LR$60,MATCH(1,(GMW!$LQ$2:$LQ$60=AD$3)*(GMW!$LP$2:$LP$60=AD$4)*(GMW!$LR$2:$LR$60=AD$1),0),$C223-1966)</f>
        <v>185928.1</v>
      </c>
      <c r="AE223" s="4" cm="1">
        <f t="array" ref="AE223">INDEX(GMW!$A$2:$LR$60,MATCH(1,(GMW!$LQ$2:$LQ$60=AE$3)*(GMW!$LP$2:$LP$60=AE$4)*(GMW!$LR$2:$LR$60=AE$1),0),$C223-1966)</f>
        <v>199829.4</v>
      </c>
      <c r="AF223" s="4" cm="1">
        <f t="array" ref="AF223">INDEX(GMW!$A$2:$LR$60,MATCH(1,(GMW!$LQ$2:$LQ$60=AF$3)*(GMW!$LP$2:$LP$60=AF$4)*(GMW!$LR$2:$LR$60=AF$1),0),$C223-1966)</f>
        <v>2.638058</v>
      </c>
      <c r="AG223" s="4" cm="1">
        <f t="array" ref="AG223">INDEX(GMW!$A$2:$LR$60,MATCH(1,(GMW!$LQ$2:$LQ$60=AG$3)*(GMW!$LP$2:$LP$60=AG$4)*(GMW!$LR$2:$LR$60=AG$1),0),$C223-1966)</f>
        <v>2.8292999999999999</v>
      </c>
    </row>
    <row r="224" spans="1:33" x14ac:dyDescent="0.25">
      <c r="B224" s="4">
        <f t="shared" si="7"/>
        <v>2027</v>
      </c>
      <c r="C224" s="4">
        <f t="shared" si="6"/>
        <v>2190</v>
      </c>
      <c r="D224" s="4" cm="1">
        <f t="array" ref="D224">INDEX(GMW!$A$2:$LR$60,MATCH(1,(GMW!$LQ$2:$LQ$60=D$3)*(GMW!$LP$2:$LP$60=D$4)*(GMW!$LR$2:$LR$60=D$1),0),$C224-1966)</f>
        <v>603410.19999999995</v>
      </c>
      <c r="E224" s="4" cm="1">
        <f t="array" ref="E224">INDEX(GMW!$A$2:$LR$60,MATCH(1,(GMW!$LQ$2:$LQ$60=E$3)*(GMW!$LP$2:$LP$60=E$4)*(GMW!$LR$2:$LR$60=E$1),0),$C224-1966)</f>
        <v>600614.1</v>
      </c>
      <c r="F224" s="4" cm="1">
        <f t="array" ref="F224">INDEX(GMW!$A$2:$LR$60,MATCH(1,(GMW!$LQ$2:$LQ$60=F$3)*(GMW!$LP$2:$LP$60=F$4)*(GMW!$LR$2:$LR$60=F$1),0),$C224-1966)</f>
        <v>600856.6</v>
      </c>
      <c r="G224" s="4" cm="1">
        <f t="array" ref="G224">INDEX(GMW!$A$2:$LR$60,MATCH(1,(GMW!$LQ$2:$LQ$60=G$3)*(GMW!$LP$2:$LP$60=G$4)*(GMW!$LR$2:$LR$60=G$1),0),$C224-1966)</f>
        <v>600856.6</v>
      </c>
      <c r="H224" s="4" cm="1">
        <f t="array" ref="H224">INDEX(GMW!$A$2:$LR$60,MATCH(1,(GMW!$LQ$2:$LQ$60=H$3)*(GMW!$LP$2:$LP$60=H$4)*(GMW!$LR$2:$LR$60=H$1),0),$C224-1966)</f>
        <v>601664.4</v>
      </c>
      <c r="I224" s="4" cm="1">
        <f t="array" ref="I224">INDEX(GMW!$A$2:$LR$60,MATCH(1,(GMW!$LQ$2:$LQ$60=I$3)*(GMW!$LP$2:$LP$60=I$4)*(GMW!$LR$2:$LR$60=I$1),0),$C224-1966)</f>
        <v>602925.1</v>
      </c>
      <c r="J224" s="4" cm="1">
        <f t="array" ref="J224">INDEX(GMW!$A$2:$LR$60,MATCH(1,(GMW!$LQ$2:$LQ$60=J$3)*(GMW!$LP$2:$LP$60=J$4)*(GMW!$LR$2:$LR$60=J$1),0),$C224-1966)</f>
        <v>602922.4</v>
      </c>
      <c r="K224" s="4" cm="1">
        <f t="array" ref="K224">INDEX(GMW!$A$2:$LR$60,MATCH(1,(GMW!$LQ$2:$LQ$60=K$3)*(GMW!$LP$2:$LP$60=K$4)*(GMW!$LR$2:$LR$60=K$1),0),$C224-1966)</f>
        <v>602754.6</v>
      </c>
      <c r="L224" s="4" cm="1">
        <f t="array" ref="L224">INDEX(GMW!$A$2:$LR$60,MATCH(1,(GMW!$LQ$2:$LQ$60=L$3)*(GMW!$LP$2:$LP$60=L$4)*(GMW!$LR$2:$LR$60=L$1),0),$C224-1966)</f>
        <v>603148.1</v>
      </c>
      <c r="M224" s="4" cm="1">
        <f t="array" ref="M224">INDEX(GMW!$A$2:$LR$60,MATCH(1,(GMW!$LQ$2:$LQ$60=M$3)*(GMW!$LP$2:$LP$60=M$4)*(GMW!$LR$2:$LR$60=M$1),0),$C224-1966)</f>
        <v>603148.1</v>
      </c>
      <c r="N224" s="4" cm="1">
        <f t="array" ref="N224">INDEX(GMW!$A$2:$LR$60,MATCH(1,(GMW!$LQ$2:$LQ$60=N$3)*(GMW!$LP$2:$LP$60=N$4)*(GMW!$LR$2:$LR$60=N$1),0),$C224-1966)</f>
        <v>604896.30000000005</v>
      </c>
      <c r="O224" s="4" cm="1">
        <f t="array" ref="O224">INDEX(GMW!$A$2:$LR$60,MATCH(1,(GMW!$LQ$2:$LQ$60=O$3)*(GMW!$LP$2:$LP$60=O$4)*(GMW!$LR$2:$LR$60=O$1),0),$C224-1966)</f>
        <v>604715.80000000005</v>
      </c>
      <c r="P224" s="4" cm="1">
        <f t="array" ref="P224">INDEX(GMW!$A$2:$LR$60,MATCH(1,(GMW!$LQ$2:$LQ$60=P$3)*(GMW!$LP$2:$LP$60=P$4)*(GMW!$LR$2:$LR$60=P$1),0),$C224-1966)</f>
        <v>605114.6</v>
      </c>
      <c r="Q224" s="4" cm="1">
        <f t="array" ref="Q224">INDEX(GMW!$A$2:$LR$60,MATCH(1,(GMW!$LQ$2:$LQ$60=Q$3)*(GMW!$LP$2:$LP$60=Q$4)*(GMW!$LR$2:$LR$60=Q$1),0),$C224-1966)</f>
        <v>606014.6</v>
      </c>
      <c r="R224" s="4" cm="1">
        <f t="array" ref="R224">INDEX(GMW!$A$2:$LR$60,MATCH(1,(GMW!$LQ$2:$LQ$60=R$3)*(GMW!$LP$2:$LP$60=R$4)*(GMW!$LR$2:$LR$60=R$1),0),$C224-1966)</f>
        <v>606236.1</v>
      </c>
      <c r="S224" s="4" cm="1">
        <f t="array" ref="S224">INDEX(GMW!$A$2:$LR$60,MATCH(1,(GMW!$LQ$2:$LQ$60=S$3)*(GMW!$LP$2:$LP$60=S$4)*(GMW!$LR$2:$LR$60=S$1),0),$C224-1966)</f>
        <v>604302.1</v>
      </c>
      <c r="T224" s="4" cm="1">
        <f t="array" ref="T224">INDEX(GMW!$A$2:$LR$60,MATCH(1,(GMW!$LQ$2:$LQ$60=T$3)*(GMW!$LP$2:$LP$60=T$4)*(GMW!$LR$2:$LR$60=T$1),0),$C224-1966)</f>
        <v>604570.69999999995</v>
      </c>
      <c r="U224" s="4" cm="1">
        <f t="array" ref="U224">INDEX(GMW!$A$2:$LR$60,MATCH(1,(GMW!$LQ$2:$LQ$60=U$3)*(GMW!$LP$2:$LP$60=U$4)*(GMW!$LR$2:$LR$60=U$1),0),$C224-1966)</f>
        <v>751.63549999999998</v>
      </c>
      <c r="V224" s="4" cm="1">
        <f t="array" ref="V224">INDEX(GMW!$A$2:$LR$60,MATCH(1,(GMW!$LQ$2:$LQ$60=V$3)*(GMW!$LP$2:$LP$60=V$4)*(GMW!$LR$2:$LR$60=V$1),0),$C224-1966)</f>
        <v>143.14769999999999</v>
      </c>
      <c r="W224" s="4" cm="1">
        <f t="array" ref="W224">INDEX(GMW!$A$2:$LR$60,MATCH(1,(GMW!$LQ$2:$LQ$60=W$3)*(GMW!$LP$2:$LP$60=W$4)*(GMW!$LR$2:$LR$60=W$1),0),$C224-1966)</f>
        <v>146.2979</v>
      </c>
      <c r="X224" s="4" cm="1">
        <f t="array" ref="X224">INDEX(GMW!$A$2:$LR$60,MATCH(1,(GMW!$LQ$2:$LQ$60=X$3)*(GMW!$LP$2:$LP$60=X$4)*(GMW!$LR$2:$LR$60=X$1),0),$C224-1966)</f>
        <v>125.8274</v>
      </c>
      <c r="Y224" s="4" cm="1">
        <f t="array" ref="Y224">INDEX(GMW!$A$2:$LR$60,MATCH(1,(GMW!$LQ$2:$LQ$60=Y$3)*(GMW!$LP$2:$LP$60=Y$4)*(GMW!$LR$2:$LR$60=Y$1),0),$C224-1966)</f>
        <v>163.80009999999999</v>
      </c>
      <c r="Z224" s="4" cm="1">
        <f t="array" ref="Z224">INDEX(GMW!$A$2:$LR$60,MATCH(1,(GMW!$LQ$2:$LQ$60=Z$3)*(GMW!$LP$2:$LP$60=Z$4)*(GMW!$LR$2:$LR$60=Z$1),0),$C224-1966)</f>
        <v>141.2475</v>
      </c>
      <c r="AA224" s="4" cm="1">
        <f t="array" ref="AA224">INDEX(GMW!$A$2:$LR$60,MATCH(1,(GMW!$LQ$2:$LQ$60=AA$3)*(GMW!$LP$2:$LP$60=AA$4)*(GMW!$LR$2:$LR$60=AA$1),0),$C224-1966)</f>
        <v>359165.7</v>
      </c>
      <c r="AB224" s="4" cm="1">
        <f t="array" ref="AB224">INDEX(GMW!$A$2:$LR$60,MATCH(1,(GMW!$LQ$2:$LQ$60=AB$3)*(GMW!$LP$2:$LP$60=AB$4)*(GMW!$LR$2:$LR$60=AB$1),0),$C224-1966)</f>
        <v>113663</v>
      </c>
      <c r="AC224" s="4" cm="1">
        <f t="array" ref="AC224">INDEX(GMW!$A$2:$LR$60,MATCH(1,(GMW!$LQ$2:$LQ$60=AC$3)*(GMW!$LP$2:$LP$60=AC$4)*(GMW!$LR$2:$LR$60=AC$1),0),$C224-1966)</f>
        <v>126023.6</v>
      </c>
      <c r="AD224" s="4" cm="1">
        <f t="array" ref="AD224">INDEX(GMW!$A$2:$LR$60,MATCH(1,(GMW!$LQ$2:$LQ$60=AD$3)*(GMW!$LP$2:$LP$60=AD$4)*(GMW!$LR$2:$LR$60=AD$1),0),$C224-1966)</f>
        <v>186706.5</v>
      </c>
      <c r="AE224" s="4" cm="1">
        <f t="array" ref="AE224">INDEX(GMW!$A$2:$LR$60,MATCH(1,(GMW!$LQ$2:$LQ$60=AE$3)*(GMW!$LP$2:$LP$60=AE$4)*(GMW!$LR$2:$LR$60=AE$1),0),$C224-1966)</f>
        <v>200686.8</v>
      </c>
      <c r="AF224" s="4" cm="1">
        <f t="array" ref="AF224">INDEX(GMW!$A$2:$LR$60,MATCH(1,(GMW!$LQ$2:$LQ$60=AF$3)*(GMW!$LP$2:$LP$60=AF$4)*(GMW!$LR$2:$LR$60=AF$1),0),$C224-1966)</f>
        <v>2.4093619999999998</v>
      </c>
      <c r="AG224" s="4" cm="1">
        <f t="array" ref="AG224">INDEX(GMW!$A$2:$LR$60,MATCH(1,(GMW!$LQ$2:$LQ$60=AG$3)*(GMW!$LP$2:$LP$60=AG$4)*(GMW!$LR$2:$LR$60=AG$1),0),$C224-1966)</f>
        <v>2.6837909999999998</v>
      </c>
    </row>
    <row r="225" spans="1:33" x14ac:dyDescent="0.25">
      <c r="B225" s="4">
        <f t="shared" si="7"/>
        <v>2027</v>
      </c>
      <c r="C225" s="4">
        <f t="shared" si="6"/>
        <v>2191</v>
      </c>
      <c r="D225" s="4" cm="1">
        <f t="array" ref="D225">INDEX(GMW!$A$2:$LR$60,MATCH(1,(GMW!$LQ$2:$LQ$60=D$3)*(GMW!$LP$2:$LP$60=D$4)*(GMW!$LR$2:$LR$60=D$1),0),$C225-1966)</f>
        <v>605854.19999999995</v>
      </c>
      <c r="E225" s="4" cm="1">
        <f t="array" ref="E225">INDEX(GMW!$A$2:$LR$60,MATCH(1,(GMW!$LQ$2:$LQ$60=E$3)*(GMW!$LP$2:$LP$60=E$4)*(GMW!$LR$2:$LR$60=E$1),0),$C225-1966)</f>
        <v>602776.30000000005</v>
      </c>
      <c r="F225" s="4" cm="1">
        <f t="array" ref="F225">INDEX(GMW!$A$2:$LR$60,MATCH(1,(GMW!$LQ$2:$LQ$60=F$3)*(GMW!$LP$2:$LP$60=F$4)*(GMW!$LR$2:$LR$60=F$1),0),$C225-1966)</f>
        <v>603019.80000000005</v>
      </c>
      <c r="G225" s="4" cm="1">
        <f t="array" ref="G225">INDEX(GMW!$A$2:$LR$60,MATCH(1,(GMW!$LQ$2:$LQ$60=G$3)*(GMW!$LP$2:$LP$60=G$4)*(GMW!$LR$2:$LR$60=G$1),0),$C225-1966)</f>
        <v>603019.80000000005</v>
      </c>
      <c r="H225" s="4" cm="1">
        <f t="array" ref="H225">INDEX(GMW!$A$2:$LR$60,MATCH(1,(GMW!$LQ$2:$LQ$60=H$3)*(GMW!$LP$2:$LP$60=H$4)*(GMW!$LR$2:$LR$60=H$1),0),$C225-1966)</f>
        <v>604251.6</v>
      </c>
      <c r="I225" s="4" cm="1">
        <f t="array" ref="I225">INDEX(GMW!$A$2:$LR$60,MATCH(1,(GMW!$LQ$2:$LQ$60=I$3)*(GMW!$LP$2:$LP$60=I$4)*(GMW!$LR$2:$LR$60=I$1),0),$C225-1966)</f>
        <v>605336.9</v>
      </c>
      <c r="J225" s="4" cm="1">
        <f t="array" ref="J225">INDEX(GMW!$A$2:$LR$60,MATCH(1,(GMW!$LQ$2:$LQ$60=J$3)*(GMW!$LP$2:$LP$60=J$4)*(GMW!$LR$2:$LR$60=J$1),0),$C225-1966)</f>
        <v>605334.30000000005</v>
      </c>
      <c r="K225" s="4" cm="1">
        <f t="array" ref="K225">INDEX(GMW!$A$2:$LR$60,MATCH(1,(GMW!$LQ$2:$LQ$60=K$3)*(GMW!$LP$2:$LP$60=K$4)*(GMW!$LR$2:$LR$60=K$1),0),$C225-1966)</f>
        <v>605195.9</v>
      </c>
      <c r="L225" s="4" cm="1">
        <f t="array" ref="L225">INDEX(GMW!$A$2:$LR$60,MATCH(1,(GMW!$LQ$2:$LQ$60=L$3)*(GMW!$LP$2:$LP$60=L$4)*(GMW!$LR$2:$LR$60=L$1),0),$C225-1966)</f>
        <v>605591</v>
      </c>
      <c r="M225" s="4" cm="1">
        <f t="array" ref="M225">INDEX(GMW!$A$2:$LR$60,MATCH(1,(GMW!$LQ$2:$LQ$60=M$3)*(GMW!$LP$2:$LP$60=M$4)*(GMW!$LR$2:$LR$60=M$1),0),$C225-1966)</f>
        <v>605591</v>
      </c>
      <c r="N225" s="4" cm="1">
        <f t="array" ref="N225">INDEX(GMW!$A$2:$LR$60,MATCH(1,(GMW!$LQ$2:$LQ$60=N$3)*(GMW!$LP$2:$LP$60=N$4)*(GMW!$LR$2:$LR$60=N$1),0),$C225-1966)</f>
        <v>607346.30000000005</v>
      </c>
      <c r="O225" s="4" cm="1">
        <f t="array" ref="O225">INDEX(GMW!$A$2:$LR$60,MATCH(1,(GMW!$LQ$2:$LQ$60=O$3)*(GMW!$LP$2:$LP$60=O$4)*(GMW!$LR$2:$LR$60=O$1),0),$C225-1966)</f>
        <v>607165.1</v>
      </c>
      <c r="P225" s="4" cm="1">
        <f t="array" ref="P225">INDEX(GMW!$A$2:$LR$60,MATCH(1,(GMW!$LQ$2:$LQ$60=P$3)*(GMW!$LP$2:$LP$60=P$4)*(GMW!$LR$2:$LR$60=P$1),0),$C225-1966)</f>
        <v>607565.4</v>
      </c>
      <c r="Q225" s="4" cm="1">
        <f t="array" ref="Q225">INDEX(GMW!$A$2:$LR$60,MATCH(1,(GMW!$LQ$2:$LQ$60=Q$3)*(GMW!$LP$2:$LP$60=Q$4)*(GMW!$LR$2:$LR$60=Q$1),0),$C225-1966)</f>
        <v>608469.1</v>
      </c>
      <c r="R225" s="4" cm="1">
        <f t="array" ref="R225">INDEX(GMW!$A$2:$LR$60,MATCH(1,(GMW!$LQ$2:$LQ$60=R$3)*(GMW!$LP$2:$LP$60=R$4)*(GMW!$LR$2:$LR$60=R$1),0),$C225-1966)</f>
        <v>608691.6</v>
      </c>
      <c r="S225" s="4" cm="1">
        <f t="array" ref="S225">INDEX(GMW!$A$2:$LR$60,MATCH(1,(GMW!$LQ$2:$LQ$60=S$3)*(GMW!$LP$2:$LP$60=S$4)*(GMW!$LR$2:$LR$60=S$1),0),$C225-1966)</f>
        <v>606749.80000000005</v>
      </c>
      <c r="T225" s="4" cm="1">
        <f t="array" ref="T225">INDEX(GMW!$A$2:$LR$60,MATCH(1,(GMW!$LQ$2:$LQ$60=T$3)*(GMW!$LP$2:$LP$60=T$4)*(GMW!$LR$2:$LR$60=T$1),0),$C225-1966)</f>
        <v>607019.4</v>
      </c>
      <c r="U225" s="4" cm="1">
        <f t="array" ref="U225">INDEX(GMW!$A$2:$LR$60,MATCH(1,(GMW!$LQ$2:$LQ$60=U$3)*(GMW!$LP$2:$LP$60=U$4)*(GMW!$LR$2:$LR$60=U$1),0),$C225-1966)</f>
        <v>756.84609999999998</v>
      </c>
      <c r="V225" s="4" cm="1">
        <f t="array" ref="V225">INDEX(GMW!$A$2:$LR$60,MATCH(1,(GMW!$LQ$2:$LQ$60=V$3)*(GMW!$LP$2:$LP$60=V$4)*(GMW!$LR$2:$LR$60=V$1),0),$C225-1966)</f>
        <v>143.80350000000001</v>
      </c>
      <c r="W225" s="4" cm="1">
        <f t="array" ref="W225">INDEX(GMW!$A$2:$LR$60,MATCH(1,(GMW!$LQ$2:$LQ$60=W$3)*(GMW!$LP$2:$LP$60=W$4)*(GMW!$LR$2:$LR$60=W$1),0),$C225-1966)</f>
        <v>146.0839</v>
      </c>
      <c r="X225" s="4" cm="1">
        <f t="array" ref="X225">INDEX(GMW!$A$2:$LR$60,MATCH(1,(GMW!$LQ$2:$LQ$60=X$3)*(GMW!$LP$2:$LP$60=X$4)*(GMW!$LR$2:$LR$60=X$1),0),$C225-1966)</f>
        <v>125.75020000000001</v>
      </c>
      <c r="Y225" s="4" cm="1">
        <f t="array" ref="Y225">INDEX(GMW!$A$2:$LR$60,MATCH(1,(GMW!$LQ$2:$LQ$60=Y$3)*(GMW!$LP$2:$LP$60=Y$4)*(GMW!$LR$2:$LR$60=Y$1),0),$C225-1966)</f>
        <v>162.66730000000001</v>
      </c>
      <c r="Z225" s="4" cm="1">
        <f t="array" ref="Z225">INDEX(GMW!$A$2:$LR$60,MATCH(1,(GMW!$LQ$2:$LQ$60=Z$3)*(GMW!$LP$2:$LP$60=Z$4)*(GMW!$LR$2:$LR$60=Z$1),0),$C225-1966)</f>
        <v>142.1746</v>
      </c>
      <c r="AA225" s="4" cm="1">
        <f t="array" ref="AA225">INDEX(GMW!$A$2:$LR$60,MATCH(1,(GMW!$LQ$2:$LQ$60=AA$3)*(GMW!$LP$2:$LP$60=AA$4)*(GMW!$LR$2:$LR$60=AA$1),0),$C225-1966)</f>
        <v>360656</v>
      </c>
      <c r="AB225" s="4" cm="1">
        <f t="array" ref="AB225">INDEX(GMW!$A$2:$LR$60,MATCH(1,(GMW!$LQ$2:$LQ$60=AB$3)*(GMW!$LP$2:$LP$60=AB$4)*(GMW!$LR$2:$LR$60=AB$1),0),$C225-1966)</f>
        <v>114179.8</v>
      </c>
      <c r="AC225" s="4" cm="1">
        <f t="array" ref="AC225">INDEX(GMW!$A$2:$LR$60,MATCH(1,(GMW!$LQ$2:$LQ$60=AC$3)*(GMW!$LP$2:$LP$60=AC$4)*(GMW!$LR$2:$LR$60=AC$1),0),$C225-1966)</f>
        <v>126502.8</v>
      </c>
      <c r="AD225" s="4" cm="1">
        <f t="array" ref="AD225">INDEX(GMW!$A$2:$LR$60,MATCH(1,(GMW!$LQ$2:$LQ$60=AD$3)*(GMW!$LP$2:$LP$60=AD$4)*(GMW!$LR$2:$LR$60=AD$1),0),$C225-1966)</f>
        <v>187489.1</v>
      </c>
      <c r="AE225" s="4" cm="1">
        <f t="array" ref="AE225">INDEX(GMW!$A$2:$LR$60,MATCH(1,(GMW!$LQ$2:$LQ$60=AE$3)*(GMW!$LP$2:$LP$60=AE$4)*(GMW!$LR$2:$LR$60=AE$1),0),$C225-1966)</f>
        <v>201548.4</v>
      </c>
      <c r="AF225" s="4" cm="1">
        <f t="array" ref="AF225">INDEX(GMW!$A$2:$LR$60,MATCH(1,(GMW!$LQ$2:$LQ$60=AF$3)*(GMW!$LP$2:$LP$60=AF$4)*(GMW!$LR$2:$LR$60=AF$1),0),$C225-1966)</f>
        <v>2.1929280000000002</v>
      </c>
      <c r="AG225" s="4" cm="1">
        <f t="array" ref="AG225">INDEX(GMW!$A$2:$LR$60,MATCH(1,(GMW!$LQ$2:$LQ$60=AG$3)*(GMW!$LP$2:$LP$60=AG$4)*(GMW!$LR$2:$LR$60=AG$1),0),$C225-1966)</f>
        <v>2.5133549999999998</v>
      </c>
    </row>
    <row r="226" spans="1:33" x14ac:dyDescent="0.25">
      <c r="B226" s="4">
        <f t="shared" si="7"/>
        <v>2027</v>
      </c>
      <c r="C226" s="4">
        <f t="shared" si="6"/>
        <v>2192</v>
      </c>
      <c r="D226" s="4" cm="1">
        <f t="array" ref="D226">INDEX(GMW!$A$2:$LR$60,MATCH(1,(GMW!$LQ$2:$LQ$60=D$3)*(GMW!$LP$2:$LP$60=D$4)*(GMW!$LR$2:$LR$60=D$1),0),$C226-1966)</f>
        <v>608398.6</v>
      </c>
      <c r="E226" s="4" cm="1">
        <f t="array" ref="E226">INDEX(GMW!$A$2:$LR$60,MATCH(1,(GMW!$LQ$2:$LQ$60=E$3)*(GMW!$LP$2:$LP$60=E$4)*(GMW!$LR$2:$LR$60=E$1),0),$C226-1966)</f>
        <v>604916.1</v>
      </c>
      <c r="F226" s="4" cm="1">
        <f t="array" ref="F226">INDEX(GMW!$A$2:$LR$60,MATCH(1,(GMW!$LQ$2:$LQ$60=F$3)*(GMW!$LP$2:$LP$60=F$4)*(GMW!$LR$2:$LR$60=F$1),0),$C226-1966)</f>
        <v>605160.4</v>
      </c>
      <c r="G226" s="4" cm="1">
        <f t="array" ref="G226">INDEX(GMW!$A$2:$LR$60,MATCH(1,(GMW!$LQ$2:$LQ$60=G$3)*(GMW!$LP$2:$LP$60=G$4)*(GMW!$LR$2:$LR$60=G$1),0),$C226-1966)</f>
        <v>605160.4</v>
      </c>
      <c r="H226" s="4" cm="1">
        <f t="array" ref="H226">INDEX(GMW!$A$2:$LR$60,MATCH(1,(GMW!$LQ$2:$LQ$60=H$3)*(GMW!$LP$2:$LP$60=H$4)*(GMW!$LR$2:$LR$60=H$1),0),$C226-1966)</f>
        <v>606849.9</v>
      </c>
      <c r="I226" s="4" cm="1">
        <f t="array" ref="I226">INDEX(GMW!$A$2:$LR$60,MATCH(1,(GMW!$LQ$2:$LQ$60=I$3)*(GMW!$LP$2:$LP$60=I$4)*(GMW!$LR$2:$LR$60=I$1),0),$C226-1966)</f>
        <v>607818.80000000005</v>
      </c>
      <c r="J226" s="4" cm="1">
        <f t="array" ref="J226">INDEX(GMW!$A$2:$LR$60,MATCH(1,(GMW!$LQ$2:$LQ$60=J$3)*(GMW!$LP$2:$LP$60=J$4)*(GMW!$LR$2:$LR$60=J$1),0),$C226-1966)</f>
        <v>607816.1</v>
      </c>
      <c r="K226" s="4" cm="1">
        <f t="array" ref="K226">INDEX(GMW!$A$2:$LR$60,MATCH(1,(GMW!$LQ$2:$LQ$60=K$3)*(GMW!$LP$2:$LP$60=K$4)*(GMW!$LR$2:$LR$60=K$1),0),$C226-1966)</f>
        <v>607677.19999999995</v>
      </c>
      <c r="L226" s="4" cm="1">
        <f t="array" ref="L226">INDEX(GMW!$A$2:$LR$60,MATCH(1,(GMW!$LQ$2:$LQ$60=L$3)*(GMW!$LP$2:$LP$60=L$4)*(GMW!$LR$2:$LR$60=L$1),0),$C226-1966)</f>
        <v>608073.9</v>
      </c>
      <c r="M226" s="4" cm="1">
        <f t="array" ref="M226">INDEX(GMW!$A$2:$LR$60,MATCH(1,(GMW!$LQ$2:$LQ$60=M$3)*(GMW!$LP$2:$LP$60=M$4)*(GMW!$LR$2:$LR$60=M$1),0),$C226-1966)</f>
        <v>608073.9</v>
      </c>
      <c r="N226" s="4" cm="1">
        <f t="array" ref="N226">INDEX(GMW!$A$2:$LR$60,MATCH(1,(GMW!$LQ$2:$LQ$60=N$3)*(GMW!$LP$2:$LP$60=N$4)*(GMW!$LR$2:$LR$60=N$1),0),$C226-1966)</f>
        <v>609836.30000000005</v>
      </c>
      <c r="O226" s="4" cm="1">
        <f t="array" ref="O226">INDEX(GMW!$A$2:$LR$60,MATCH(1,(GMW!$LQ$2:$LQ$60=O$3)*(GMW!$LP$2:$LP$60=O$4)*(GMW!$LR$2:$LR$60=O$1),0),$C226-1966)</f>
        <v>609715.1</v>
      </c>
      <c r="P226" s="4" cm="1">
        <f t="array" ref="P226">INDEX(GMW!$A$2:$LR$60,MATCH(1,(GMW!$LQ$2:$LQ$60=P$3)*(GMW!$LP$2:$LP$60=P$4)*(GMW!$LR$2:$LR$60=P$1),0),$C226-1966)</f>
        <v>610117.1</v>
      </c>
      <c r="Q226" s="4" cm="1">
        <f t="array" ref="Q226">INDEX(GMW!$A$2:$LR$60,MATCH(1,(GMW!$LQ$2:$LQ$60=Q$3)*(GMW!$LP$2:$LP$60=Q$4)*(GMW!$LR$2:$LR$60=Q$1),0),$C226-1966)</f>
        <v>611024.6</v>
      </c>
      <c r="R226" s="4" cm="1">
        <f t="array" ref="R226">INDEX(GMW!$A$2:$LR$60,MATCH(1,(GMW!$LQ$2:$LQ$60=R$3)*(GMW!$LP$2:$LP$60=R$4)*(GMW!$LR$2:$LR$60=R$1),0),$C226-1966)</f>
        <v>611248</v>
      </c>
      <c r="S226" s="4" cm="1">
        <f t="array" ref="S226">INDEX(GMW!$A$2:$LR$60,MATCH(1,(GMW!$LQ$2:$LQ$60=S$3)*(GMW!$LP$2:$LP$60=S$4)*(GMW!$LR$2:$LR$60=S$1),0),$C226-1966)</f>
        <v>609297.9</v>
      </c>
      <c r="T226" s="4" cm="1">
        <f t="array" ref="T226">INDEX(GMW!$A$2:$LR$60,MATCH(1,(GMW!$LQ$2:$LQ$60=T$3)*(GMW!$LP$2:$LP$60=T$4)*(GMW!$LR$2:$LR$60=T$1),0),$C226-1966)</f>
        <v>609568.69999999995</v>
      </c>
      <c r="U226" s="4" cm="1">
        <f t="array" ref="U226">INDEX(GMW!$A$2:$LR$60,MATCH(1,(GMW!$LQ$2:$LQ$60=U$3)*(GMW!$LP$2:$LP$60=U$4)*(GMW!$LR$2:$LR$60=U$1),0),$C226-1966)</f>
        <v>762.18219999999997</v>
      </c>
      <c r="V226" s="4" cm="1">
        <f t="array" ref="V226">INDEX(GMW!$A$2:$LR$60,MATCH(1,(GMW!$LQ$2:$LQ$60=V$3)*(GMW!$LP$2:$LP$60=V$4)*(GMW!$LR$2:$LR$60=V$1),0),$C226-1966)</f>
        <v>144.5335</v>
      </c>
      <c r="W226" s="4" cm="1">
        <f t="array" ref="W226">INDEX(GMW!$A$2:$LR$60,MATCH(1,(GMW!$LQ$2:$LQ$60=W$3)*(GMW!$LP$2:$LP$60=W$4)*(GMW!$LR$2:$LR$60=W$1),0),$C226-1966)</f>
        <v>146.70359999999999</v>
      </c>
      <c r="X226" s="4" cm="1">
        <f t="array" ref="X226">INDEX(GMW!$A$2:$LR$60,MATCH(1,(GMW!$LQ$2:$LQ$60=X$3)*(GMW!$LP$2:$LP$60=X$4)*(GMW!$LR$2:$LR$60=X$1),0),$C226-1966)</f>
        <v>125.6738</v>
      </c>
      <c r="Y226" s="4" cm="1">
        <f t="array" ref="Y226">INDEX(GMW!$A$2:$LR$60,MATCH(1,(GMW!$LQ$2:$LQ$60=Y$3)*(GMW!$LP$2:$LP$60=Y$4)*(GMW!$LR$2:$LR$60=Y$1),0),$C226-1966)</f>
        <v>161.5463</v>
      </c>
      <c r="Z226" s="4" cm="1">
        <f t="array" ref="Z226">INDEX(GMW!$A$2:$LR$60,MATCH(1,(GMW!$LQ$2:$LQ$60=Z$3)*(GMW!$LP$2:$LP$60=Z$4)*(GMW!$LR$2:$LR$60=Z$1),0),$C226-1966)</f>
        <v>143.0376</v>
      </c>
      <c r="AA226" s="4" cm="1">
        <f t="array" ref="AA226">INDEX(GMW!$A$2:$LR$60,MATCH(1,(GMW!$LQ$2:$LQ$60=AA$3)*(GMW!$LP$2:$LP$60=AA$4)*(GMW!$LR$2:$LR$60=AA$1),0),$C226-1966)</f>
        <v>362225.2</v>
      </c>
      <c r="AB226" s="4" cm="1">
        <f t="array" ref="AB226">INDEX(GMW!$A$2:$LR$60,MATCH(1,(GMW!$LQ$2:$LQ$60=AB$3)*(GMW!$LP$2:$LP$60=AB$4)*(GMW!$LR$2:$LR$60=AB$1),0),$C226-1966)</f>
        <v>114682.8</v>
      </c>
      <c r="AC226" s="4" cm="1">
        <f t="array" ref="AC226">INDEX(GMW!$A$2:$LR$60,MATCH(1,(GMW!$LQ$2:$LQ$60=AC$3)*(GMW!$LP$2:$LP$60=AC$4)*(GMW!$LR$2:$LR$60=AC$1),0),$C226-1966)</f>
        <v>127005.3</v>
      </c>
      <c r="AD226" s="4" cm="1">
        <f t="array" ref="AD226">INDEX(GMW!$A$2:$LR$60,MATCH(1,(GMW!$LQ$2:$LQ$60=AD$3)*(GMW!$LP$2:$LP$60=AD$4)*(GMW!$LR$2:$LR$60=AD$1),0),$C226-1966)</f>
        <v>188275.4</v>
      </c>
      <c r="AE226" s="4" cm="1">
        <f t="array" ref="AE226">INDEX(GMW!$A$2:$LR$60,MATCH(1,(GMW!$LQ$2:$LQ$60=AE$3)*(GMW!$LP$2:$LP$60=AE$4)*(GMW!$LR$2:$LR$60=AE$1),0),$C226-1966)</f>
        <v>202413.7</v>
      </c>
      <c r="AF226" s="4" cm="1">
        <f t="array" ref="AF226">INDEX(GMW!$A$2:$LR$60,MATCH(1,(GMW!$LQ$2:$LQ$60=AF$3)*(GMW!$LP$2:$LP$60=AF$4)*(GMW!$LR$2:$LR$60=AF$1),0),$C226-1966)</f>
        <v>2.1064639999999999</v>
      </c>
      <c r="AG226" s="4" cm="1">
        <f t="array" ref="AG226">INDEX(GMW!$A$2:$LR$60,MATCH(1,(GMW!$LQ$2:$LQ$60=AG$3)*(GMW!$LP$2:$LP$60=AG$4)*(GMW!$LR$2:$LR$60=AG$1),0),$C226-1966)</f>
        <v>2.4334739999999999</v>
      </c>
    </row>
    <row r="227" spans="1:33" x14ac:dyDescent="0.25">
      <c r="A227" s="4">
        <v>2028</v>
      </c>
      <c r="B227" s="4">
        <f t="shared" si="7"/>
        <v>2028</v>
      </c>
      <c r="C227" s="4">
        <f t="shared" si="6"/>
        <v>2193</v>
      </c>
      <c r="D227" s="4" cm="1">
        <f t="array" ref="D227">INDEX(GMW!$A$2:$LR$60,MATCH(1,(GMW!$LQ$2:$LQ$60=D$3)*(GMW!$LP$2:$LP$60=D$4)*(GMW!$LR$2:$LR$60=D$1),0),$C227-1966)</f>
        <v>610893.1</v>
      </c>
      <c r="E227" s="4" cm="1">
        <f t="array" ref="E227">INDEX(GMW!$A$2:$LR$60,MATCH(1,(GMW!$LQ$2:$LQ$60=E$3)*(GMW!$LP$2:$LP$60=E$4)*(GMW!$LR$2:$LR$60=E$1),0),$C227-1966)</f>
        <v>607033.30000000005</v>
      </c>
      <c r="F227" s="4" cm="1">
        <f t="array" ref="F227">INDEX(GMW!$A$2:$LR$60,MATCH(1,(GMW!$LQ$2:$LQ$60=F$3)*(GMW!$LP$2:$LP$60=F$4)*(GMW!$LR$2:$LR$60=F$1),0),$C227-1966)</f>
        <v>607278.4</v>
      </c>
      <c r="G227" s="4" cm="1">
        <f t="array" ref="G227">INDEX(GMW!$A$2:$LR$60,MATCH(1,(GMW!$LQ$2:$LQ$60=G$3)*(GMW!$LP$2:$LP$60=G$4)*(GMW!$LR$2:$LR$60=G$1),0),$C227-1966)</f>
        <v>607278.4</v>
      </c>
      <c r="H227" s="4" cm="1">
        <f t="array" ref="H227">INDEX(GMW!$A$2:$LR$60,MATCH(1,(GMW!$LQ$2:$LQ$60=H$3)*(GMW!$LP$2:$LP$60=H$4)*(GMW!$LR$2:$LR$60=H$1),0),$C227-1966)</f>
        <v>609277.4</v>
      </c>
      <c r="I227" s="4" cm="1">
        <f t="array" ref="I227">INDEX(GMW!$A$2:$LR$60,MATCH(1,(GMW!$LQ$2:$LQ$60=I$3)*(GMW!$LP$2:$LP$60=I$4)*(GMW!$LR$2:$LR$60=I$1),0),$C227-1966)</f>
        <v>610250.1</v>
      </c>
      <c r="J227" s="4" cm="1">
        <f t="array" ref="J227">INDEX(GMW!$A$2:$LR$60,MATCH(1,(GMW!$LQ$2:$LQ$60=J$3)*(GMW!$LP$2:$LP$60=J$4)*(GMW!$LR$2:$LR$60=J$1),0),$C227-1966)</f>
        <v>610247.4</v>
      </c>
      <c r="K227" s="4" cm="1">
        <f t="array" ref="K227">INDEX(GMW!$A$2:$LR$60,MATCH(1,(GMW!$LQ$2:$LQ$60=K$3)*(GMW!$LP$2:$LP$60=K$4)*(GMW!$LR$2:$LR$60=K$1),0),$C227-1966)</f>
        <v>610107.9</v>
      </c>
      <c r="L227" s="4" cm="1">
        <f t="array" ref="L227">INDEX(GMW!$A$2:$LR$60,MATCH(1,(GMW!$LQ$2:$LQ$60=L$3)*(GMW!$LP$2:$LP$60=L$4)*(GMW!$LR$2:$LR$60=L$1),0),$C227-1966)</f>
        <v>610506.19999999995</v>
      </c>
      <c r="M227" s="4" cm="1">
        <f t="array" ref="M227">INDEX(GMW!$A$2:$LR$60,MATCH(1,(GMW!$LQ$2:$LQ$60=M$3)*(GMW!$LP$2:$LP$60=M$4)*(GMW!$LR$2:$LR$60=M$1),0),$C227-1966)</f>
        <v>610506.19999999995</v>
      </c>
      <c r="N227" s="4" cm="1">
        <f t="array" ref="N227">INDEX(GMW!$A$2:$LR$60,MATCH(1,(GMW!$LQ$2:$LQ$60=N$3)*(GMW!$LP$2:$LP$60=N$4)*(GMW!$LR$2:$LR$60=N$1),0),$C227-1966)</f>
        <v>612275.69999999995</v>
      </c>
      <c r="O227" s="4" cm="1">
        <f t="array" ref="O227">INDEX(GMW!$A$2:$LR$60,MATCH(1,(GMW!$LQ$2:$LQ$60=O$3)*(GMW!$LP$2:$LP$60=O$4)*(GMW!$LR$2:$LR$60=O$1),0),$C227-1966)</f>
        <v>612214.9</v>
      </c>
      <c r="P227" s="4" cm="1">
        <f t="array" ref="P227">INDEX(GMW!$A$2:$LR$60,MATCH(1,(GMW!$LQ$2:$LQ$60=P$3)*(GMW!$LP$2:$LP$60=P$4)*(GMW!$LR$2:$LR$60=P$1),0),$C227-1966)</f>
        <v>612618.6</v>
      </c>
      <c r="Q227" s="4" cm="1">
        <f t="array" ref="Q227">INDEX(GMW!$A$2:$LR$60,MATCH(1,(GMW!$LQ$2:$LQ$60=Q$3)*(GMW!$LP$2:$LP$60=Q$4)*(GMW!$LR$2:$LR$60=Q$1),0),$C227-1966)</f>
        <v>613590.9</v>
      </c>
      <c r="R227" s="4" cm="1">
        <f t="array" ref="R227">INDEX(GMW!$A$2:$LR$60,MATCH(1,(GMW!$LQ$2:$LQ$60=R$3)*(GMW!$LP$2:$LP$60=R$4)*(GMW!$LR$2:$LR$60=R$1),0),$C227-1966)</f>
        <v>613815.19999999995</v>
      </c>
      <c r="S227" s="4" cm="1">
        <f t="array" ref="S227">INDEX(GMW!$A$2:$LR$60,MATCH(1,(GMW!$LQ$2:$LQ$60=S$3)*(GMW!$LP$2:$LP$60=S$4)*(GMW!$LR$2:$LR$60=S$1),0),$C227-1966)</f>
        <v>611857</v>
      </c>
      <c r="T227" s="4" cm="1">
        <f t="array" ref="T227">INDEX(GMW!$A$2:$LR$60,MATCH(1,(GMW!$LQ$2:$LQ$60=T$3)*(GMW!$LP$2:$LP$60=T$4)*(GMW!$LR$2:$LR$60=T$1),0),$C227-1966)</f>
        <v>612067.9</v>
      </c>
      <c r="U227" s="4" cm="1">
        <f t="array" ref="U227">INDEX(GMW!$A$2:$LR$60,MATCH(1,(GMW!$LQ$2:$LQ$60=U$3)*(GMW!$LP$2:$LP$60=U$4)*(GMW!$LR$2:$LR$60=U$1),0),$C227-1966)</f>
        <v>767.51419999999996</v>
      </c>
      <c r="V227" s="4" cm="1">
        <f t="array" ref="V227">INDEX(GMW!$A$2:$LR$60,MATCH(1,(GMW!$LQ$2:$LQ$60=V$3)*(GMW!$LP$2:$LP$60=V$4)*(GMW!$LR$2:$LR$60=V$1),0),$C227-1966)</f>
        <v>144.8142</v>
      </c>
      <c r="W227" s="4" cm="1">
        <f t="array" ref="W227">INDEX(GMW!$A$2:$LR$60,MATCH(1,(GMW!$LQ$2:$LQ$60=W$3)*(GMW!$LP$2:$LP$60=W$4)*(GMW!$LR$2:$LR$60=W$1),0),$C227-1966)</f>
        <v>148.0223</v>
      </c>
      <c r="X227" s="4" cm="1">
        <f t="array" ref="X227">INDEX(GMW!$A$2:$LR$60,MATCH(1,(GMW!$LQ$2:$LQ$60=X$3)*(GMW!$LP$2:$LP$60=X$4)*(GMW!$LR$2:$LR$60=X$1),0),$C227-1966)</f>
        <v>125.59820000000001</v>
      </c>
      <c r="Y227" s="4" cm="1">
        <f t="array" ref="Y227">INDEX(GMW!$A$2:$LR$60,MATCH(1,(GMW!$LQ$2:$LQ$60=Y$3)*(GMW!$LP$2:$LP$60=Y$4)*(GMW!$LR$2:$LR$60=Y$1),0),$C227-1966)</f>
        <v>162.61240000000001</v>
      </c>
      <c r="Z227" s="4" cm="1">
        <f t="array" ref="Z227">INDEX(GMW!$A$2:$LR$60,MATCH(1,(GMW!$LQ$2:$LQ$60=Z$3)*(GMW!$LP$2:$LP$60=Z$4)*(GMW!$LR$2:$LR$60=Z$1),0),$C227-1966)</f>
        <v>143.0949</v>
      </c>
      <c r="AA227" s="4" cm="1">
        <f t="array" ref="AA227">INDEX(GMW!$A$2:$LR$60,MATCH(1,(GMW!$LQ$2:$LQ$60=AA$3)*(GMW!$LP$2:$LP$60=AA$4)*(GMW!$LR$2:$LR$60=AA$1),0),$C227-1966)</f>
        <v>363782.8</v>
      </c>
      <c r="AB227" s="4" cm="1">
        <f t="array" ref="AB227">INDEX(GMW!$A$2:$LR$60,MATCH(1,(GMW!$LQ$2:$LQ$60=AB$3)*(GMW!$LP$2:$LP$60=AB$4)*(GMW!$LR$2:$LR$60=AB$1),0),$C227-1966)</f>
        <v>115160.3</v>
      </c>
      <c r="AC227" s="4" cm="1">
        <f t="array" ref="AC227">INDEX(GMW!$A$2:$LR$60,MATCH(1,(GMW!$LQ$2:$LQ$60=AC$3)*(GMW!$LP$2:$LP$60=AC$4)*(GMW!$LR$2:$LR$60=AC$1),0),$C227-1966)</f>
        <v>127530.8</v>
      </c>
      <c r="AD227" s="4" cm="1">
        <f t="array" ref="AD227">INDEX(GMW!$A$2:$LR$60,MATCH(1,(GMW!$LQ$2:$LQ$60=AD$3)*(GMW!$LP$2:$LP$60=AD$4)*(GMW!$LR$2:$LR$60=AD$1),0),$C227-1966)</f>
        <v>189062.9</v>
      </c>
      <c r="AE227" s="4" cm="1">
        <f t="array" ref="AE227">INDEX(GMW!$A$2:$LR$60,MATCH(1,(GMW!$LQ$2:$LQ$60=AE$3)*(GMW!$LP$2:$LP$60=AE$4)*(GMW!$LR$2:$LR$60=AE$1),0),$C227-1966)</f>
        <v>203340.3</v>
      </c>
      <c r="AF227" s="4" cm="1">
        <f t="array" ref="AF227">INDEX(GMW!$A$2:$LR$60,MATCH(1,(GMW!$LQ$2:$LQ$60=AF$3)*(GMW!$LP$2:$LP$60=AF$4)*(GMW!$LR$2:$LR$60=AF$1),0),$C227-1966)</f>
        <v>2.1064639999999999</v>
      </c>
      <c r="AG227" s="4" cm="1">
        <f t="array" ref="AG227">INDEX(GMW!$A$2:$LR$60,MATCH(1,(GMW!$LQ$2:$LQ$60=AG$3)*(GMW!$LP$2:$LP$60=AG$4)*(GMW!$LR$2:$LR$60=AG$1),0),$C227-1966)</f>
        <v>2.4334739999999999</v>
      </c>
    </row>
    <row r="228" spans="1:33" x14ac:dyDescent="0.25">
      <c r="B228" s="4">
        <f t="shared" si="7"/>
        <v>2028</v>
      </c>
      <c r="C228" s="4">
        <f t="shared" si="6"/>
        <v>2194</v>
      </c>
      <c r="D228" s="4" cm="1">
        <f t="array" ref="D228">INDEX(GMW!$A$2:$LR$60,MATCH(1,(GMW!$LQ$2:$LQ$60=D$3)*(GMW!$LP$2:$LP$60=D$4)*(GMW!$LR$2:$LR$60=D$1),0),$C228-1966)</f>
        <v>613397.80000000005</v>
      </c>
      <c r="E228" s="4" cm="1">
        <f t="array" ref="E228">INDEX(GMW!$A$2:$LR$60,MATCH(1,(GMW!$LQ$2:$LQ$60=E$3)*(GMW!$LP$2:$LP$60=E$4)*(GMW!$LR$2:$LR$60=E$1),0),$C228-1966)</f>
        <v>609127.5</v>
      </c>
      <c r="F228" s="4" cm="1">
        <f t="array" ref="F228">INDEX(GMW!$A$2:$LR$60,MATCH(1,(GMW!$LQ$2:$LQ$60=F$3)*(GMW!$LP$2:$LP$60=F$4)*(GMW!$LR$2:$LR$60=F$1),0),$C228-1966)</f>
        <v>609373.6</v>
      </c>
      <c r="G228" s="4" cm="1">
        <f t="array" ref="G228">INDEX(GMW!$A$2:$LR$60,MATCH(1,(GMW!$LQ$2:$LQ$60=G$3)*(GMW!$LP$2:$LP$60=G$4)*(GMW!$LR$2:$LR$60=G$1),0),$C228-1966)</f>
        <v>609373.6</v>
      </c>
      <c r="H228" s="4" cm="1">
        <f t="array" ref="H228">INDEX(GMW!$A$2:$LR$60,MATCH(1,(GMW!$LQ$2:$LQ$60=H$3)*(GMW!$LP$2:$LP$60=H$4)*(GMW!$LR$2:$LR$60=H$1),0),$C228-1966)</f>
        <v>611714.4</v>
      </c>
      <c r="I228" s="4" cm="1">
        <f t="array" ref="I228">INDEX(GMW!$A$2:$LR$60,MATCH(1,(GMW!$LQ$2:$LQ$60=I$3)*(GMW!$LP$2:$LP$60=I$4)*(GMW!$LR$2:$LR$60=I$1),0),$C228-1966)</f>
        <v>612691.1</v>
      </c>
      <c r="J228" s="4" cm="1">
        <f t="array" ref="J228">INDEX(GMW!$A$2:$LR$60,MATCH(1,(GMW!$LQ$2:$LQ$60=J$3)*(GMW!$LP$2:$LP$60=J$4)*(GMW!$LR$2:$LR$60=J$1),0),$C228-1966)</f>
        <v>612688.4</v>
      </c>
      <c r="K228" s="4" cm="1">
        <f t="array" ref="K228">INDEX(GMW!$A$2:$LR$60,MATCH(1,(GMW!$LQ$2:$LQ$60=K$3)*(GMW!$LP$2:$LP$60=K$4)*(GMW!$LR$2:$LR$60=K$1),0),$C228-1966)</f>
        <v>612548.30000000005</v>
      </c>
      <c r="L228" s="4" cm="1">
        <f t="array" ref="L228">INDEX(GMW!$A$2:$LR$60,MATCH(1,(GMW!$LQ$2:$LQ$60=L$3)*(GMW!$LP$2:$LP$60=L$4)*(GMW!$LR$2:$LR$60=L$1),0),$C228-1966)</f>
        <v>612948.30000000005</v>
      </c>
      <c r="M228" s="4" cm="1">
        <f t="array" ref="M228">INDEX(GMW!$A$2:$LR$60,MATCH(1,(GMW!$LQ$2:$LQ$60=M$3)*(GMW!$LP$2:$LP$60=M$4)*(GMW!$LR$2:$LR$60=M$1),0),$C228-1966)</f>
        <v>612948.30000000005</v>
      </c>
      <c r="N228" s="4" cm="1">
        <f t="array" ref="N228">INDEX(GMW!$A$2:$LR$60,MATCH(1,(GMW!$LQ$2:$LQ$60=N$3)*(GMW!$LP$2:$LP$60=N$4)*(GMW!$LR$2:$LR$60=N$1),0),$C228-1966)</f>
        <v>614724.80000000005</v>
      </c>
      <c r="O228" s="4" cm="1">
        <f t="array" ref="O228">INDEX(GMW!$A$2:$LR$60,MATCH(1,(GMW!$LQ$2:$LQ$60=O$3)*(GMW!$LP$2:$LP$60=O$4)*(GMW!$LR$2:$LR$60=O$1),0),$C228-1966)</f>
        <v>614725</v>
      </c>
      <c r="P228" s="4" cm="1">
        <f t="array" ref="P228">INDEX(GMW!$A$2:$LR$60,MATCH(1,(GMW!$LQ$2:$LQ$60=P$3)*(GMW!$LP$2:$LP$60=P$4)*(GMW!$LR$2:$LR$60=P$1),0),$C228-1966)</f>
        <v>615130.4</v>
      </c>
      <c r="Q228" s="4" cm="1">
        <f t="array" ref="Q228">INDEX(GMW!$A$2:$LR$60,MATCH(1,(GMW!$LQ$2:$LQ$60=Q$3)*(GMW!$LP$2:$LP$60=Q$4)*(GMW!$LR$2:$LR$60=Q$1),0),$C228-1966)</f>
        <v>616168</v>
      </c>
      <c r="R228" s="4" cm="1">
        <f t="array" ref="R228">INDEX(GMW!$A$2:$LR$60,MATCH(1,(GMW!$LQ$2:$LQ$60=R$3)*(GMW!$LP$2:$LP$60=R$4)*(GMW!$LR$2:$LR$60=R$1),0),$C228-1966)</f>
        <v>616393.30000000005</v>
      </c>
      <c r="S228" s="4" cm="1">
        <f t="array" ref="S228">INDEX(GMW!$A$2:$LR$60,MATCH(1,(GMW!$LQ$2:$LQ$60=S$3)*(GMW!$LP$2:$LP$60=S$4)*(GMW!$LR$2:$LR$60=S$1),0),$C228-1966)</f>
        <v>614426.80000000005</v>
      </c>
      <c r="T228" s="4" cm="1">
        <f t="array" ref="T228">INDEX(GMW!$A$2:$LR$60,MATCH(1,(GMW!$LQ$2:$LQ$60=T$3)*(GMW!$LP$2:$LP$60=T$4)*(GMW!$LR$2:$LR$60=T$1),0),$C228-1966)</f>
        <v>614577.4</v>
      </c>
      <c r="U228" s="4" cm="1">
        <f t="array" ref="U228">INDEX(GMW!$A$2:$LR$60,MATCH(1,(GMW!$LQ$2:$LQ$60=U$3)*(GMW!$LP$2:$LP$60=U$4)*(GMW!$LR$2:$LR$60=U$1),0),$C228-1966)</f>
        <v>772.86659999999995</v>
      </c>
      <c r="V228" s="4" cm="1">
        <f t="array" ref="V228">INDEX(GMW!$A$2:$LR$60,MATCH(1,(GMW!$LQ$2:$LQ$60=V$3)*(GMW!$LP$2:$LP$60=V$4)*(GMW!$LR$2:$LR$60=V$1),0),$C228-1966)</f>
        <v>146.11410000000001</v>
      </c>
      <c r="W228" s="4" cm="1">
        <f t="array" ref="W228">INDEX(GMW!$A$2:$LR$60,MATCH(1,(GMW!$LQ$2:$LQ$60=W$3)*(GMW!$LP$2:$LP$60=W$4)*(GMW!$LR$2:$LR$60=W$1),0),$C228-1966)</f>
        <v>148.34620000000001</v>
      </c>
      <c r="X228" s="4" cm="1">
        <f t="array" ref="X228">INDEX(GMW!$A$2:$LR$60,MATCH(1,(GMW!$LQ$2:$LQ$60=X$3)*(GMW!$LP$2:$LP$60=X$4)*(GMW!$LR$2:$LR$60=X$1),0),$C228-1966)</f>
        <v>125.5235</v>
      </c>
      <c r="Y228" s="4" cm="1">
        <f t="array" ref="Y228">INDEX(GMW!$A$2:$LR$60,MATCH(1,(GMW!$LQ$2:$LQ$60=Y$3)*(GMW!$LP$2:$LP$60=Y$4)*(GMW!$LR$2:$LR$60=Y$1),0),$C228-1966)</f>
        <v>163.7193</v>
      </c>
      <c r="Z228" s="4" cm="1">
        <f t="array" ref="Z228">INDEX(GMW!$A$2:$LR$60,MATCH(1,(GMW!$LQ$2:$LQ$60=Z$3)*(GMW!$LP$2:$LP$60=Z$4)*(GMW!$LR$2:$LR$60=Z$1),0),$C228-1966)</f>
        <v>144.64279999999999</v>
      </c>
      <c r="AA228" s="4" cm="1">
        <f t="array" ref="AA228">INDEX(GMW!$A$2:$LR$60,MATCH(1,(GMW!$LQ$2:$LQ$60=AA$3)*(GMW!$LP$2:$LP$60=AA$4)*(GMW!$LR$2:$LR$60=AA$1),0),$C228-1966)</f>
        <v>365347</v>
      </c>
      <c r="AB228" s="4" cm="1">
        <f t="array" ref="AB228">INDEX(GMW!$A$2:$LR$60,MATCH(1,(GMW!$LQ$2:$LQ$60=AB$3)*(GMW!$LP$2:$LP$60=AB$4)*(GMW!$LR$2:$LR$60=AB$1),0),$C228-1966)</f>
        <v>115622.1</v>
      </c>
      <c r="AC228" s="4" cm="1">
        <f t="array" ref="AC228">INDEX(GMW!$A$2:$LR$60,MATCH(1,(GMW!$LQ$2:$LQ$60=AC$3)*(GMW!$LP$2:$LP$60=AC$4)*(GMW!$LR$2:$LR$60=AC$1),0),$C228-1966)</f>
        <v>128104.2</v>
      </c>
      <c r="AD228" s="4" cm="1">
        <f t="array" ref="AD228">INDEX(GMW!$A$2:$LR$60,MATCH(1,(GMW!$LQ$2:$LQ$60=AD$3)*(GMW!$LP$2:$LP$60=AD$4)*(GMW!$LR$2:$LR$60=AD$1),0),$C228-1966)</f>
        <v>189850.4</v>
      </c>
      <c r="AE228" s="4" cm="1">
        <f t="array" ref="AE228">INDEX(GMW!$A$2:$LR$60,MATCH(1,(GMW!$LQ$2:$LQ$60=AE$3)*(GMW!$LP$2:$LP$60=AE$4)*(GMW!$LR$2:$LR$60=AE$1),0),$C228-1966)</f>
        <v>204271</v>
      </c>
      <c r="AF228" s="4" cm="1">
        <f t="array" ref="AF228">INDEX(GMW!$A$2:$LR$60,MATCH(1,(GMW!$LQ$2:$LQ$60=AF$3)*(GMW!$LP$2:$LP$60=AF$4)*(GMW!$LR$2:$LR$60=AF$1),0),$C228-1966)</f>
        <v>2.1064639999999999</v>
      </c>
      <c r="AG228" s="4" cm="1">
        <f t="array" ref="AG228">INDEX(GMW!$A$2:$LR$60,MATCH(1,(GMW!$LQ$2:$LQ$60=AG$3)*(GMW!$LP$2:$LP$60=AG$4)*(GMW!$LR$2:$LR$60=AG$1),0),$C228-1966)</f>
        <v>2.4334739999999999</v>
      </c>
    </row>
    <row r="229" spans="1:33" x14ac:dyDescent="0.25">
      <c r="B229" s="4">
        <f t="shared" si="7"/>
        <v>2028</v>
      </c>
      <c r="C229" s="4">
        <f t="shared" si="6"/>
        <v>2195</v>
      </c>
      <c r="D229" s="4" cm="1">
        <f t="array" ref="D229">INDEX(GMW!$A$2:$LR$60,MATCH(1,(GMW!$LQ$2:$LQ$60=D$3)*(GMW!$LP$2:$LP$60=D$4)*(GMW!$LR$2:$LR$60=D$1),0),$C229-1966)</f>
        <v>615851.30000000005</v>
      </c>
      <c r="E229" s="4" cm="1">
        <f t="array" ref="E229">INDEX(GMW!$A$2:$LR$60,MATCH(1,(GMW!$LQ$2:$LQ$60=E$3)*(GMW!$LP$2:$LP$60=E$4)*(GMW!$LR$2:$LR$60=E$1),0),$C229-1966)</f>
        <v>611229</v>
      </c>
      <c r="F229" s="4" cm="1">
        <f t="array" ref="F229">INDEX(GMW!$A$2:$LR$60,MATCH(1,(GMW!$LQ$2:$LQ$60=F$3)*(GMW!$LP$2:$LP$60=F$4)*(GMW!$LR$2:$LR$60=F$1),0),$C229-1966)</f>
        <v>611475.9</v>
      </c>
      <c r="G229" s="4" cm="1">
        <f t="array" ref="G229">INDEX(GMW!$A$2:$LR$60,MATCH(1,(GMW!$LQ$2:$LQ$60=G$3)*(GMW!$LP$2:$LP$60=G$4)*(GMW!$LR$2:$LR$60=G$1),0),$C229-1966)</f>
        <v>611475.9</v>
      </c>
      <c r="H229" s="4" cm="1">
        <f t="array" ref="H229">INDEX(GMW!$A$2:$LR$60,MATCH(1,(GMW!$LQ$2:$LQ$60=H$3)*(GMW!$LP$2:$LP$60=H$4)*(GMW!$LR$2:$LR$60=H$1),0),$C229-1966)</f>
        <v>614161.30000000005</v>
      </c>
      <c r="I229" s="4" cm="1">
        <f t="array" ref="I229">INDEX(GMW!$A$2:$LR$60,MATCH(1,(GMW!$LQ$2:$LQ$60=I$3)*(GMW!$LP$2:$LP$60=I$4)*(GMW!$LR$2:$LR$60=I$1),0),$C229-1966)</f>
        <v>615080.6</v>
      </c>
      <c r="J229" s="4" cm="1">
        <f t="array" ref="J229">INDEX(GMW!$A$2:$LR$60,MATCH(1,(GMW!$LQ$2:$LQ$60=J$3)*(GMW!$LP$2:$LP$60=J$4)*(GMW!$LR$2:$LR$60=J$1),0),$C229-1966)</f>
        <v>615077.9</v>
      </c>
      <c r="K229" s="4" cm="1">
        <f t="array" ref="K229">INDEX(GMW!$A$2:$LR$60,MATCH(1,(GMW!$LQ$2:$LQ$60=K$3)*(GMW!$LP$2:$LP$60=K$4)*(GMW!$LR$2:$LR$60=K$1),0),$C229-1966)</f>
        <v>614937.30000000005</v>
      </c>
      <c r="L229" s="4" cm="1">
        <f t="array" ref="L229">INDEX(GMW!$A$2:$LR$60,MATCH(1,(GMW!$LQ$2:$LQ$60=L$3)*(GMW!$LP$2:$LP$60=L$4)*(GMW!$LR$2:$LR$60=L$1),0),$C229-1966)</f>
        <v>615338.80000000005</v>
      </c>
      <c r="M229" s="4" cm="1">
        <f t="array" ref="M229">INDEX(GMW!$A$2:$LR$60,MATCH(1,(GMW!$LQ$2:$LQ$60=M$3)*(GMW!$LP$2:$LP$60=M$4)*(GMW!$LR$2:$LR$60=M$1),0),$C229-1966)</f>
        <v>615338.80000000005</v>
      </c>
      <c r="N229" s="4" cm="1">
        <f t="array" ref="N229">INDEX(GMW!$A$2:$LR$60,MATCH(1,(GMW!$LQ$2:$LQ$60=N$3)*(GMW!$LP$2:$LP$60=N$4)*(GMW!$LR$2:$LR$60=N$1),0),$C229-1966)</f>
        <v>617122.19999999995</v>
      </c>
      <c r="O229" s="4" cm="1">
        <f t="array" ref="O229">INDEX(GMW!$A$2:$LR$60,MATCH(1,(GMW!$LQ$2:$LQ$60=O$3)*(GMW!$LP$2:$LP$60=O$4)*(GMW!$LR$2:$LR$60=O$1),0),$C229-1966)</f>
        <v>617183.9</v>
      </c>
      <c r="P229" s="4" cm="1">
        <f t="array" ref="P229">INDEX(GMW!$A$2:$LR$60,MATCH(1,(GMW!$LQ$2:$LQ$60=P$3)*(GMW!$LP$2:$LP$60=P$4)*(GMW!$LR$2:$LR$60=P$1),0),$C229-1966)</f>
        <v>617590.9</v>
      </c>
      <c r="Q229" s="4" cm="1">
        <f t="array" ref="Q229">INDEX(GMW!$A$2:$LR$60,MATCH(1,(GMW!$LQ$2:$LQ$60=Q$3)*(GMW!$LP$2:$LP$60=Q$4)*(GMW!$LR$2:$LR$60=Q$1),0),$C229-1966)</f>
        <v>618663.4</v>
      </c>
      <c r="R229" s="4" cm="1">
        <f t="array" ref="R229">INDEX(GMW!$A$2:$LR$60,MATCH(1,(GMW!$LQ$2:$LQ$60=R$3)*(GMW!$LP$2:$LP$60=R$4)*(GMW!$LR$2:$LR$60=R$1),0),$C229-1966)</f>
        <v>618889.6</v>
      </c>
      <c r="S229" s="4" cm="1">
        <f t="array" ref="S229">INDEX(GMW!$A$2:$LR$60,MATCH(1,(GMW!$LQ$2:$LQ$60=S$3)*(GMW!$LP$2:$LP$60=S$4)*(GMW!$LR$2:$LR$60=S$1),0),$C229-1966)</f>
        <v>616915.30000000005</v>
      </c>
      <c r="T229" s="4" cm="1">
        <f t="array" ref="T229">INDEX(GMW!$A$2:$LR$60,MATCH(1,(GMW!$LQ$2:$LQ$60=T$3)*(GMW!$LP$2:$LP$60=T$4)*(GMW!$LR$2:$LR$60=T$1),0),$C229-1966)</f>
        <v>617035.69999999995</v>
      </c>
      <c r="U229" s="4" cm="1">
        <f t="array" ref="U229">INDEX(GMW!$A$2:$LR$60,MATCH(1,(GMW!$LQ$2:$LQ$60=U$3)*(GMW!$LP$2:$LP$60=U$4)*(GMW!$LR$2:$LR$60=U$1),0),$C229-1966)</f>
        <v>778.23249999999996</v>
      </c>
      <c r="V229" s="4" cm="1">
        <f t="array" ref="V229">INDEX(GMW!$A$2:$LR$60,MATCH(1,(GMW!$LQ$2:$LQ$60=V$3)*(GMW!$LP$2:$LP$60=V$4)*(GMW!$LR$2:$LR$60=V$1),0),$C229-1966)</f>
        <v>146.81379999999999</v>
      </c>
      <c r="W229" s="4" cm="1">
        <f t="array" ref="W229">INDEX(GMW!$A$2:$LR$60,MATCH(1,(GMW!$LQ$2:$LQ$60=W$3)*(GMW!$LP$2:$LP$60=W$4)*(GMW!$LR$2:$LR$60=W$1),0),$C229-1966)</f>
        <v>148.13310000000001</v>
      </c>
      <c r="X229" s="4" cm="1">
        <f t="array" ref="X229">INDEX(GMW!$A$2:$LR$60,MATCH(1,(GMW!$LQ$2:$LQ$60=X$3)*(GMW!$LP$2:$LP$60=X$4)*(GMW!$LR$2:$LR$60=X$1),0),$C229-1966)</f>
        <v>125.46550000000001</v>
      </c>
      <c r="Y229" s="4" cm="1">
        <f t="array" ref="Y229">INDEX(GMW!$A$2:$LR$60,MATCH(1,(GMW!$LQ$2:$LQ$60=Y$3)*(GMW!$LP$2:$LP$60=Y$4)*(GMW!$LR$2:$LR$60=Y$1),0),$C229-1966)</f>
        <v>164.8681</v>
      </c>
      <c r="Z229" s="4" cm="1">
        <f t="array" ref="Z229">INDEX(GMW!$A$2:$LR$60,MATCH(1,(GMW!$LQ$2:$LQ$60=Z$3)*(GMW!$LP$2:$LP$60=Z$4)*(GMW!$LR$2:$LR$60=Z$1),0),$C229-1966)</f>
        <v>145.52510000000001</v>
      </c>
      <c r="AA229" s="4" cm="1">
        <f t="array" ref="AA229">INDEX(GMW!$A$2:$LR$60,MATCH(1,(GMW!$LQ$2:$LQ$60=AA$3)*(GMW!$LP$2:$LP$60=AA$4)*(GMW!$LR$2:$LR$60=AA$1),0),$C229-1966)</f>
        <v>366918</v>
      </c>
      <c r="AB229" s="4" cm="1">
        <f t="array" ref="AB229">INDEX(GMW!$A$2:$LR$60,MATCH(1,(GMW!$LQ$2:$LQ$60=AB$3)*(GMW!$LP$2:$LP$60=AB$4)*(GMW!$LR$2:$LR$60=AB$1),0),$C229-1966)</f>
        <v>116076.7</v>
      </c>
      <c r="AC229" s="4" cm="1">
        <f t="array" ref="AC229">INDEX(GMW!$A$2:$LR$60,MATCH(1,(GMW!$LQ$2:$LQ$60=AC$3)*(GMW!$LP$2:$LP$60=AC$4)*(GMW!$LR$2:$LR$60=AC$1),0),$C229-1966)</f>
        <v>128591.3</v>
      </c>
      <c r="AD229" s="4" cm="1">
        <f t="array" ref="AD229">INDEX(GMW!$A$2:$LR$60,MATCH(1,(GMW!$LQ$2:$LQ$60=AD$3)*(GMW!$LP$2:$LP$60=AD$4)*(GMW!$LR$2:$LR$60=AD$1),0),$C229-1966)</f>
        <v>190641.7</v>
      </c>
      <c r="AE229" s="4" cm="1">
        <f t="array" ref="AE229">INDEX(GMW!$A$2:$LR$60,MATCH(1,(GMW!$LQ$2:$LQ$60=AE$3)*(GMW!$LP$2:$LP$60=AE$4)*(GMW!$LR$2:$LR$60=AE$1),0),$C229-1966)</f>
        <v>205206.5</v>
      </c>
      <c r="AF229" s="4" cm="1">
        <f t="array" ref="AF229">INDEX(GMW!$A$2:$LR$60,MATCH(1,(GMW!$LQ$2:$LQ$60=AF$3)*(GMW!$LP$2:$LP$60=AF$4)*(GMW!$LR$2:$LR$60=AF$1),0),$C229-1966)</f>
        <v>2.1064639999999999</v>
      </c>
      <c r="AG229" s="4" cm="1">
        <f t="array" ref="AG229">INDEX(GMW!$A$2:$LR$60,MATCH(1,(GMW!$LQ$2:$LQ$60=AG$3)*(GMW!$LP$2:$LP$60=AG$4)*(GMW!$LR$2:$LR$60=AG$1),0),$C229-1966)</f>
        <v>2.4334739999999999</v>
      </c>
    </row>
    <row r="230" spans="1:33" x14ac:dyDescent="0.25">
      <c r="B230" s="4">
        <f t="shared" si="7"/>
        <v>2028</v>
      </c>
      <c r="C230" s="4">
        <f t="shared" si="6"/>
        <v>2196</v>
      </c>
      <c r="D230" s="4" cm="1">
        <f t="array" ref="D230">INDEX(GMW!$A$2:$LR$60,MATCH(1,(GMW!$LQ$2:$LQ$60=D$3)*(GMW!$LP$2:$LP$60=D$4)*(GMW!$LR$2:$LR$60=D$1),0),$C230-1966)</f>
        <v>618314.80000000005</v>
      </c>
      <c r="E230" s="4" cm="1">
        <f t="array" ref="E230">INDEX(GMW!$A$2:$LR$60,MATCH(1,(GMW!$LQ$2:$LQ$60=E$3)*(GMW!$LP$2:$LP$60=E$4)*(GMW!$LR$2:$LR$60=E$1),0),$C230-1966)</f>
        <v>613337.80000000005</v>
      </c>
      <c r="F230" s="4" cm="1">
        <f t="array" ref="F230">INDEX(GMW!$A$2:$LR$60,MATCH(1,(GMW!$LQ$2:$LQ$60=F$3)*(GMW!$LP$2:$LP$60=F$4)*(GMW!$LR$2:$LR$60=F$1),0),$C230-1966)</f>
        <v>613585.5</v>
      </c>
      <c r="G230" s="4" cm="1">
        <f t="array" ref="G230">INDEX(GMW!$A$2:$LR$60,MATCH(1,(GMW!$LQ$2:$LQ$60=G$3)*(GMW!$LP$2:$LP$60=G$4)*(GMW!$LR$2:$LR$60=G$1),0),$C230-1966)</f>
        <v>613585.5</v>
      </c>
      <c r="H230" s="4" cm="1">
        <f t="array" ref="H230">INDEX(GMW!$A$2:$LR$60,MATCH(1,(GMW!$LQ$2:$LQ$60=H$3)*(GMW!$LP$2:$LP$60=H$4)*(GMW!$LR$2:$LR$60=H$1),0),$C230-1966)</f>
        <v>616618</v>
      </c>
      <c r="I230" s="4" cm="1">
        <f t="array" ref="I230">INDEX(GMW!$A$2:$LR$60,MATCH(1,(GMW!$LQ$2:$LQ$60=I$3)*(GMW!$LP$2:$LP$60=I$4)*(GMW!$LR$2:$LR$60=I$1),0),$C230-1966)</f>
        <v>617479.4</v>
      </c>
      <c r="J230" s="4" cm="1">
        <f t="array" ref="J230">INDEX(GMW!$A$2:$LR$60,MATCH(1,(GMW!$LQ$2:$LQ$60=J$3)*(GMW!$LP$2:$LP$60=J$4)*(GMW!$LR$2:$LR$60=J$1),0),$C230-1966)</f>
        <v>617476.69999999995</v>
      </c>
      <c r="K230" s="4" cm="1">
        <f t="array" ref="K230">INDEX(GMW!$A$2:$LR$60,MATCH(1,(GMW!$LQ$2:$LQ$60=K$3)*(GMW!$LP$2:$LP$60=K$4)*(GMW!$LR$2:$LR$60=K$1),0),$C230-1966)</f>
        <v>617335.5</v>
      </c>
      <c r="L230" s="4" cm="1">
        <f t="array" ref="L230">INDEX(GMW!$A$2:$LR$60,MATCH(1,(GMW!$LQ$2:$LQ$60=L$3)*(GMW!$LP$2:$LP$60=L$4)*(GMW!$LR$2:$LR$60=L$1),0),$C230-1966)</f>
        <v>617738.6</v>
      </c>
      <c r="M230" s="4" cm="1">
        <f t="array" ref="M230">INDEX(GMW!$A$2:$LR$60,MATCH(1,(GMW!$LQ$2:$LQ$60=M$3)*(GMW!$LP$2:$LP$60=M$4)*(GMW!$LR$2:$LR$60=M$1),0),$C230-1966)</f>
        <v>617738.6</v>
      </c>
      <c r="N230" s="4" cm="1">
        <f t="array" ref="N230">INDEX(GMW!$A$2:$LR$60,MATCH(1,(GMW!$LQ$2:$LQ$60=N$3)*(GMW!$LP$2:$LP$60=N$4)*(GMW!$LR$2:$LR$60=N$1),0),$C230-1966)</f>
        <v>619529</v>
      </c>
      <c r="O230" s="4" cm="1">
        <f t="array" ref="O230">INDEX(GMW!$A$2:$LR$60,MATCH(1,(GMW!$LQ$2:$LQ$60=O$3)*(GMW!$LP$2:$LP$60=O$4)*(GMW!$LR$2:$LR$60=O$1),0),$C230-1966)</f>
        <v>619652.6</v>
      </c>
      <c r="P230" s="4" cm="1">
        <f t="array" ref="P230">INDEX(GMW!$A$2:$LR$60,MATCH(1,(GMW!$LQ$2:$LQ$60=P$3)*(GMW!$LP$2:$LP$60=P$4)*(GMW!$LR$2:$LR$60=P$1),0),$C230-1966)</f>
        <v>620061.30000000005</v>
      </c>
      <c r="Q230" s="4" cm="1">
        <f t="array" ref="Q230">INDEX(GMW!$A$2:$LR$60,MATCH(1,(GMW!$LQ$2:$LQ$60=Q$3)*(GMW!$LP$2:$LP$60=Q$4)*(GMW!$LR$2:$LR$60=Q$1),0),$C230-1966)</f>
        <v>621169.1</v>
      </c>
      <c r="R230" s="4" cm="1">
        <f t="array" ref="R230">INDEX(GMW!$A$2:$LR$60,MATCH(1,(GMW!$LQ$2:$LQ$60=R$3)*(GMW!$LP$2:$LP$60=R$4)*(GMW!$LR$2:$LR$60=R$1),0),$C230-1966)</f>
        <v>621396.1</v>
      </c>
      <c r="S230" s="4" cm="1">
        <f t="array" ref="S230">INDEX(GMW!$A$2:$LR$60,MATCH(1,(GMW!$LQ$2:$LQ$60=S$3)*(GMW!$LP$2:$LP$60=S$4)*(GMW!$LR$2:$LR$60=S$1),0),$C230-1966)</f>
        <v>619413.80000000005</v>
      </c>
      <c r="T230" s="4" cm="1">
        <f t="array" ref="T230">INDEX(GMW!$A$2:$LR$60,MATCH(1,(GMW!$LQ$2:$LQ$60=T$3)*(GMW!$LP$2:$LP$60=T$4)*(GMW!$LR$2:$LR$60=T$1),0),$C230-1966)</f>
        <v>619503.80000000005</v>
      </c>
      <c r="U230" s="4" cm="1">
        <f t="array" ref="U230">INDEX(GMW!$A$2:$LR$60,MATCH(1,(GMW!$LQ$2:$LQ$60=U$3)*(GMW!$LP$2:$LP$60=U$4)*(GMW!$LR$2:$LR$60=U$1),0),$C230-1966)</f>
        <v>783.57590000000005</v>
      </c>
      <c r="V230" s="4" cm="1">
        <f t="array" ref="V230">INDEX(GMW!$A$2:$LR$60,MATCH(1,(GMW!$LQ$2:$LQ$60=V$3)*(GMW!$LP$2:$LP$60=V$4)*(GMW!$LR$2:$LR$60=V$1),0),$C230-1966)</f>
        <v>147.56790000000001</v>
      </c>
      <c r="W230" s="4" cm="1">
        <f t="array" ref="W230">INDEX(GMW!$A$2:$LR$60,MATCH(1,(GMW!$LQ$2:$LQ$60=W$3)*(GMW!$LP$2:$LP$60=W$4)*(GMW!$LR$2:$LR$60=W$1),0),$C230-1966)</f>
        <v>148.7687</v>
      </c>
      <c r="X230" s="4" cm="1">
        <f t="array" ref="X230">INDEX(GMW!$A$2:$LR$60,MATCH(1,(GMW!$LQ$2:$LQ$60=X$3)*(GMW!$LP$2:$LP$60=X$4)*(GMW!$LR$2:$LR$60=X$1),0),$C230-1966)</f>
        <v>125.4161</v>
      </c>
      <c r="Y230" s="4" cm="1">
        <f t="array" ref="Y230">INDEX(GMW!$A$2:$LR$60,MATCH(1,(GMW!$LQ$2:$LQ$60=Y$3)*(GMW!$LP$2:$LP$60=Y$4)*(GMW!$LR$2:$LR$60=Y$1),0),$C230-1966)</f>
        <v>166.04060000000001</v>
      </c>
      <c r="Z230" s="4" cm="1">
        <f t="array" ref="Z230">INDEX(GMW!$A$2:$LR$60,MATCH(1,(GMW!$LQ$2:$LQ$60=Z$3)*(GMW!$LP$2:$LP$60=Z$4)*(GMW!$LR$2:$LR$60=Z$1),0),$C230-1966)</f>
        <v>146.31290000000001</v>
      </c>
      <c r="AA230" s="4" cm="1">
        <f t="array" ref="AA230">INDEX(GMW!$A$2:$LR$60,MATCH(1,(GMW!$LQ$2:$LQ$60=AA$3)*(GMW!$LP$2:$LP$60=AA$4)*(GMW!$LR$2:$LR$60=AA$1),0),$C230-1966)</f>
        <v>368495.8</v>
      </c>
      <c r="AB230" s="4" cm="1">
        <f t="array" ref="AB230">INDEX(GMW!$A$2:$LR$60,MATCH(1,(GMW!$LQ$2:$LQ$60=AB$3)*(GMW!$LP$2:$LP$60=AB$4)*(GMW!$LR$2:$LR$60=AB$1),0),$C230-1966)</f>
        <v>116523.9</v>
      </c>
      <c r="AC230" s="4" cm="1">
        <f t="array" ref="AC230">INDEX(GMW!$A$2:$LR$60,MATCH(1,(GMW!$LQ$2:$LQ$60=AC$3)*(GMW!$LP$2:$LP$60=AC$4)*(GMW!$LR$2:$LR$60=AC$1),0),$C230-1966)</f>
        <v>129102.1</v>
      </c>
      <c r="AD230" s="4" cm="1">
        <f t="array" ref="AD230">INDEX(GMW!$A$2:$LR$60,MATCH(1,(GMW!$LQ$2:$LQ$60=AD$3)*(GMW!$LP$2:$LP$60=AD$4)*(GMW!$LR$2:$LR$60=AD$1),0),$C230-1966)</f>
        <v>191444.6</v>
      </c>
      <c r="AE230" s="4" cm="1">
        <f t="array" ref="AE230">INDEX(GMW!$A$2:$LR$60,MATCH(1,(GMW!$LQ$2:$LQ$60=AE$3)*(GMW!$LP$2:$LP$60=AE$4)*(GMW!$LR$2:$LR$60=AE$1),0),$C230-1966)</f>
        <v>206146.6</v>
      </c>
      <c r="AF230" s="4" cm="1">
        <f t="array" ref="AF230">INDEX(GMW!$A$2:$LR$60,MATCH(1,(GMW!$LQ$2:$LQ$60=AF$3)*(GMW!$LP$2:$LP$60=AF$4)*(GMW!$LR$2:$LR$60=AF$1),0),$C230-1966)</f>
        <v>2.1064639999999999</v>
      </c>
      <c r="AG230" s="4" cm="1">
        <f t="array" ref="AG230">INDEX(GMW!$A$2:$LR$60,MATCH(1,(GMW!$LQ$2:$LQ$60=AG$3)*(GMW!$LP$2:$LP$60=AG$4)*(GMW!$LR$2:$LR$60=AG$1),0),$C230-1966)</f>
        <v>2.4334739999999999</v>
      </c>
    </row>
    <row r="231" spans="1:33" x14ac:dyDescent="0.25">
      <c r="A231" s="4">
        <v>2029</v>
      </c>
      <c r="B231" s="4">
        <f t="shared" si="7"/>
        <v>2029</v>
      </c>
      <c r="C231" s="4">
        <f t="shared" si="6"/>
        <v>2197</v>
      </c>
      <c r="D231" s="4" cm="1">
        <f t="array" ref="D231">INDEX(GMW!$A$2:$LR$60,MATCH(1,(GMW!$LQ$2:$LQ$60=D$3)*(GMW!$LP$2:$LP$60=D$4)*(GMW!$LR$2:$LR$60=D$1),0),$C231-1966)</f>
        <v>620757.1</v>
      </c>
      <c r="E231" s="4" cm="1">
        <f t="array" ref="E231">INDEX(GMW!$A$2:$LR$60,MATCH(1,(GMW!$LQ$2:$LQ$60=E$3)*(GMW!$LP$2:$LP$60=E$4)*(GMW!$LR$2:$LR$60=E$1),0),$C231-1966)</f>
        <v>615453.80000000005</v>
      </c>
      <c r="F231" s="4" cm="1">
        <f t="array" ref="F231">INDEX(GMW!$A$2:$LR$60,MATCH(1,(GMW!$LQ$2:$LQ$60=F$3)*(GMW!$LP$2:$LP$60=F$4)*(GMW!$LR$2:$LR$60=F$1),0),$C231-1966)</f>
        <v>615702.4</v>
      </c>
      <c r="G231" s="4" cm="1">
        <f t="array" ref="G231">INDEX(GMW!$A$2:$LR$60,MATCH(1,(GMW!$LQ$2:$LQ$60=G$3)*(GMW!$LP$2:$LP$60=G$4)*(GMW!$LR$2:$LR$60=G$1),0),$C231-1966)</f>
        <v>615702.4</v>
      </c>
      <c r="H231" s="4" cm="1">
        <f t="array" ref="H231">INDEX(GMW!$A$2:$LR$60,MATCH(1,(GMW!$LQ$2:$LQ$60=H$3)*(GMW!$LP$2:$LP$60=H$4)*(GMW!$LR$2:$LR$60=H$1),0),$C231-1966)</f>
        <v>619022.80000000005</v>
      </c>
      <c r="I231" s="4" cm="1">
        <f t="array" ref="I231">INDEX(GMW!$A$2:$LR$60,MATCH(1,(GMW!$LQ$2:$LQ$60=I$3)*(GMW!$LP$2:$LP$60=I$4)*(GMW!$LR$2:$LR$60=I$1),0),$C231-1966)</f>
        <v>619825.80000000005</v>
      </c>
      <c r="J231" s="4" cm="1">
        <f t="array" ref="J231">INDEX(GMW!$A$2:$LR$60,MATCH(1,(GMW!$LQ$2:$LQ$60=J$3)*(GMW!$LP$2:$LP$60=J$4)*(GMW!$LR$2:$LR$60=J$1),0),$C231-1966)</f>
        <v>619823.1</v>
      </c>
      <c r="K231" s="4" cm="1">
        <f t="array" ref="K231">INDEX(GMW!$A$2:$LR$60,MATCH(1,(GMW!$LQ$2:$LQ$60=K$3)*(GMW!$LP$2:$LP$60=K$4)*(GMW!$LR$2:$LR$60=K$1),0),$C231-1966)</f>
        <v>619681.4</v>
      </c>
      <c r="L231" s="4" cm="1">
        <f t="array" ref="L231">INDEX(GMW!$A$2:$LR$60,MATCH(1,(GMW!$LQ$2:$LQ$60=L$3)*(GMW!$LP$2:$LP$60=L$4)*(GMW!$LR$2:$LR$60=L$1),0),$C231-1966)</f>
        <v>620085.9</v>
      </c>
      <c r="M231" s="4" cm="1">
        <f t="array" ref="M231">INDEX(GMW!$A$2:$LR$60,MATCH(1,(GMW!$LQ$2:$LQ$60=M$3)*(GMW!$LP$2:$LP$60=M$4)*(GMW!$LR$2:$LR$60=M$1),0),$C231-1966)</f>
        <v>620085.9</v>
      </c>
      <c r="N231" s="4" cm="1">
        <f t="array" ref="N231">INDEX(GMW!$A$2:$LR$60,MATCH(1,(GMW!$LQ$2:$LQ$60=N$3)*(GMW!$LP$2:$LP$60=N$4)*(GMW!$LR$2:$LR$60=N$1),0),$C231-1966)</f>
        <v>621945.1</v>
      </c>
      <c r="O231" s="4" cm="1">
        <f t="array" ref="O231">INDEX(GMW!$A$2:$LR$60,MATCH(1,(GMW!$LQ$2:$LQ$60=O$3)*(GMW!$LP$2:$LP$60=O$4)*(GMW!$LR$2:$LR$60=O$1),0),$C231-1966)</f>
        <v>622069.30000000005</v>
      </c>
      <c r="P231" s="4" cm="1">
        <f t="array" ref="P231">INDEX(GMW!$A$2:$LR$60,MATCH(1,(GMW!$LQ$2:$LQ$60=P$3)*(GMW!$LP$2:$LP$60=P$4)*(GMW!$LR$2:$LR$60=P$1),0),$C231-1966)</f>
        <v>622479.5</v>
      </c>
      <c r="Q231" s="4" cm="1">
        <f t="array" ref="Q231">INDEX(GMW!$A$2:$LR$60,MATCH(1,(GMW!$LQ$2:$LQ$60=Q$3)*(GMW!$LP$2:$LP$60=Q$4)*(GMW!$LR$2:$LR$60=Q$1),0),$C231-1966)</f>
        <v>623622.69999999995</v>
      </c>
      <c r="R231" s="4" cm="1">
        <f t="array" ref="R231">INDEX(GMW!$A$2:$LR$60,MATCH(1,(GMW!$LQ$2:$LQ$60=R$3)*(GMW!$LP$2:$LP$60=R$4)*(GMW!$LR$2:$LR$60=R$1),0),$C231-1966)</f>
        <v>623850.6</v>
      </c>
      <c r="S231" s="4" cm="1">
        <f t="array" ref="S231">INDEX(GMW!$A$2:$LR$60,MATCH(1,(GMW!$LQ$2:$LQ$60=S$3)*(GMW!$LP$2:$LP$60=S$4)*(GMW!$LR$2:$LR$60=S$1),0),$C231-1966)</f>
        <v>621860.4</v>
      </c>
      <c r="T231" s="4" cm="1">
        <f t="array" ref="T231">INDEX(GMW!$A$2:$LR$60,MATCH(1,(GMW!$LQ$2:$LQ$60=T$3)*(GMW!$LP$2:$LP$60=T$4)*(GMW!$LR$2:$LR$60=T$1),0),$C231-1966)</f>
        <v>621950.9</v>
      </c>
      <c r="U231" s="4" cm="1">
        <f t="array" ref="U231">INDEX(GMW!$A$2:$LR$60,MATCH(1,(GMW!$LQ$2:$LQ$60=U$3)*(GMW!$LP$2:$LP$60=U$4)*(GMW!$LR$2:$LR$60=U$1),0),$C231-1966)</f>
        <v>788.93269999999995</v>
      </c>
      <c r="V231" s="4" cm="1">
        <f t="array" ref="V231">INDEX(GMW!$A$2:$LR$60,MATCH(1,(GMW!$LQ$2:$LQ$60=V$3)*(GMW!$LP$2:$LP$60=V$4)*(GMW!$LR$2:$LR$60=V$1),0),$C231-1966)</f>
        <v>147.80510000000001</v>
      </c>
      <c r="W231" s="4" cm="1">
        <f t="array" ref="W231">INDEX(GMW!$A$2:$LR$60,MATCH(1,(GMW!$LQ$2:$LQ$60=W$3)*(GMW!$LP$2:$LP$60=W$4)*(GMW!$LR$2:$LR$60=W$1),0),$C231-1966)</f>
        <v>150.1146</v>
      </c>
      <c r="X231" s="4" cm="1">
        <f t="array" ref="X231">INDEX(GMW!$A$2:$LR$60,MATCH(1,(GMW!$LQ$2:$LQ$60=X$3)*(GMW!$LP$2:$LP$60=X$4)*(GMW!$LR$2:$LR$60=X$1),0),$C231-1966)</f>
        <v>125.3673</v>
      </c>
      <c r="Y231" s="4" cm="1">
        <f t="array" ref="Y231">INDEX(GMW!$A$2:$LR$60,MATCH(1,(GMW!$LQ$2:$LQ$60=Y$3)*(GMW!$LP$2:$LP$60=Y$4)*(GMW!$LR$2:$LR$60=Y$1),0),$C231-1966)</f>
        <v>167.24590000000001</v>
      </c>
      <c r="Z231" s="4" cm="1">
        <f t="array" ref="Z231">INDEX(GMW!$A$2:$LR$60,MATCH(1,(GMW!$LQ$2:$LQ$60=Z$3)*(GMW!$LP$2:$LP$60=Z$4)*(GMW!$LR$2:$LR$60=Z$1),0),$C231-1966)</f>
        <v>146.30199999999999</v>
      </c>
      <c r="AA231" s="4" cm="1">
        <f t="array" ref="AA231">INDEX(GMW!$A$2:$LR$60,MATCH(1,(GMW!$LQ$2:$LQ$60=AA$3)*(GMW!$LP$2:$LP$60=AA$4)*(GMW!$LR$2:$LR$60=AA$1),0),$C231-1966)</f>
        <v>370043.4</v>
      </c>
      <c r="AB231" s="4" cm="1">
        <f t="array" ref="AB231">INDEX(GMW!$A$2:$LR$60,MATCH(1,(GMW!$LQ$2:$LQ$60=AB$3)*(GMW!$LP$2:$LP$60=AB$4)*(GMW!$LR$2:$LR$60=AB$1),0),$C231-1966)</f>
        <v>116962.6</v>
      </c>
      <c r="AC231" s="4" cm="1">
        <f t="array" ref="AC231">INDEX(GMW!$A$2:$LR$60,MATCH(1,(GMW!$LQ$2:$LQ$60=AC$3)*(GMW!$LP$2:$LP$60=AC$4)*(GMW!$LR$2:$LR$60=AC$1),0),$C231-1966)</f>
        <v>129636.4</v>
      </c>
      <c r="AD231" s="4" cm="1">
        <f t="array" ref="AD231">INDEX(GMW!$A$2:$LR$60,MATCH(1,(GMW!$LQ$2:$LQ$60=AD$3)*(GMW!$LP$2:$LP$60=AD$4)*(GMW!$LR$2:$LR$60=AD$1),0),$C231-1966)</f>
        <v>192266.8</v>
      </c>
      <c r="AE231" s="4" cm="1">
        <f t="array" ref="AE231">INDEX(GMW!$A$2:$LR$60,MATCH(1,(GMW!$LQ$2:$LQ$60=AE$3)*(GMW!$LP$2:$LP$60=AE$4)*(GMW!$LR$2:$LR$60=AE$1),0),$C231-1966)</f>
        <v>207091.3</v>
      </c>
      <c r="AF231" s="4" cm="1">
        <f t="array" ref="AF231">INDEX(GMW!$A$2:$LR$60,MATCH(1,(GMW!$LQ$2:$LQ$60=AF$3)*(GMW!$LP$2:$LP$60=AF$4)*(GMW!$LR$2:$LR$60=AF$1),0),$C231-1966)</f>
        <v>2.1064639999999999</v>
      </c>
      <c r="AG231" s="4" cm="1">
        <f t="array" ref="AG231">INDEX(GMW!$A$2:$LR$60,MATCH(1,(GMW!$LQ$2:$LQ$60=AG$3)*(GMW!$LP$2:$LP$60=AG$4)*(GMW!$LR$2:$LR$60=AG$1),0),$C231-1966)</f>
        <v>2.4334739999999999</v>
      </c>
    </row>
    <row r="232" spans="1:33" x14ac:dyDescent="0.25">
      <c r="B232" s="4">
        <f t="shared" si="7"/>
        <v>2029</v>
      </c>
      <c r="C232" s="4">
        <f t="shared" si="6"/>
        <v>2198</v>
      </c>
      <c r="D232" s="4" cm="1">
        <f t="array" ref="D232">INDEX(GMW!$A$2:$LR$60,MATCH(1,(GMW!$LQ$2:$LQ$60=D$3)*(GMW!$LP$2:$LP$60=D$4)*(GMW!$LR$2:$LR$60=D$1),0),$C232-1966)</f>
        <v>623178</v>
      </c>
      <c r="E232" s="4" cm="1">
        <f t="array" ref="E232">INDEX(GMW!$A$2:$LR$60,MATCH(1,(GMW!$LQ$2:$LQ$60=E$3)*(GMW!$LP$2:$LP$60=E$4)*(GMW!$LR$2:$LR$60=E$1),0),$C232-1966)</f>
        <v>617638.6</v>
      </c>
      <c r="F232" s="4" cm="1">
        <f t="array" ref="F232">INDEX(GMW!$A$2:$LR$60,MATCH(1,(GMW!$LQ$2:$LQ$60=F$3)*(GMW!$LP$2:$LP$60=F$4)*(GMW!$LR$2:$LR$60=F$1),0),$C232-1966)</f>
        <v>617888.1</v>
      </c>
      <c r="G232" s="4" cm="1">
        <f t="array" ref="G232">INDEX(GMW!$A$2:$LR$60,MATCH(1,(GMW!$LQ$2:$LQ$60=G$3)*(GMW!$LP$2:$LP$60=G$4)*(GMW!$LR$2:$LR$60=G$1),0),$C232-1966)</f>
        <v>617888.1</v>
      </c>
      <c r="H232" s="4" cm="1">
        <f t="array" ref="H232">INDEX(GMW!$A$2:$LR$60,MATCH(1,(GMW!$LQ$2:$LQ$60=H$3)*(GMW!$LP$2:$LP$60=H$4)*(GMW!$LR$2:$LR$60=H$1),0),$C232-1966)</f>
        <v>621375.1</v>
      </c>
      <c r="I232" s="4" cm="1">
        <f t="array" ref="I232">INDEX(GMW!$A$2:$LR$60,MATCH(1,(GMW!$LQ$2:$LQ$60=I$3)*(GMW!$LP$2:$LP$60=I$4)*(GMW!$LR$2:$LR$60=I$1),0),$C232-1966)</f>
        <v>622181.1</v>
      </c>
      <c r="J232" s="4" cm="1">
        <f t="array" ref="J232">INDEX(GMW!$A$2:$LR$60,MATCH(1,(GMW!$LQ$2:$LQ$60=J$3)*(GMW!$LP$2:$LP$60=J$4)*(GMW!$LR$2:$LR$60=J$1),0),$C232-1966)</f>
        <v>622178.4</v>
      </c>
      <c r="K232" s="4" cm="1">
        <f t="array" ref="K232">INDEX(GMW!$A$2:$LR$60,MATCH(1,(GMW!$LQ$2:$LQ$60=K$3)*(GMW!$LP$2:$LP$60=K$4)*(GMW!$LR$2:$LR$60=K$1),0),$C232-1966)</f>
        <v>622036.19999999995</v>
      </c>
      <c r="L232" s="4" cm="1">
        <f t="array" ref="L232">INDEX(GMW!$A$2:$LR$60,MATCH(1,(GMW!$LQ$2:$LQ$60=L$3)*(GMW!$LP$2:$LP$60=L$4)*(GMW!$LR$2:$LR$60=L$1),0),$C232-1966)</f>
        <v>622442.30000000005</v>
      </c>
      <c r="M232" s="4" cm="1">
        <f t="array" ref="M232">INDEX(GMW!$A$2:$LR$60,MATCH(1,(GMW!$LQ$2:$LQ$60=M$3)*(GMW!$LP$2:$LP$60=M$4)*(GMW!$LR$2:$LR$60=M$1),0),$C232-1966)</f>
        <v>622442.30000000005</v>
      </c>
      <c r="N232" s="4" cm="1">
        <f t="array" ref="N232">INDEX(GMW!$A$2:$LR$60,MATCH(1,(GMW!$LQ$2:$LQ$60=N$3)*(GMW!$LP$2:$LP$60=N$4)*(GMW!$LR$2:$LR$60=N$1),0),$C232-1966)</f>
        <v>624308.6</v>
      </c>
      <c r="O232" s="4" cm="1">
        <f t="array" ref="O232">INDEX(GMW!$A$2:$LR$60,MATCH(1,(GMW!$LQ$2:$LQ$60=O$3)*(GMW!$LP$2:$LP$60=O$4)*(GMW!$LR$2:$LR$60=O$1),0),$C232-1966)</f>
        <v>624433.1</v>
      </c>
      <c r="P232" s="4" cm="1">
        <f t="array" ref="P232">INDEX(GMW!$A$2:$LR$60,MATCH(1,(GMW!$LQ$2:$LQ$60=P$3)*(GMW!$LP$2:$LP$60=P$4)*(GMW!$LR$2:$LR$60=P$1),0),$C232-1966)</f>
        <v>624844.9</v>
      </c>
      <c r="Q232" s="4" cm="1">
        <f t="array" ref="Q232">INDEX(GMW!$A$2:$LR$60,MATCH(1,(GMW!$LQ$2:$LQ$60=Q$3)*(GMW!$LP$2:$LP$60=Q$4)*(GMW!$LR$2:$LR$60=Q$1),0),$C232-1966)</f>
        <v>626054.80000000005</v>
      </c>
      <c r="R232" s="4" cm="1">
        <f t="array" ref="R232">INDEX(GMW!$A$2:$LR$60,MATCH(1,(GMW!$LQ$2:$LQ$60=R$3)*(GMW!$LP$2:$LP$60=R$4)*(GMW!$LR$2:$LR$60=R$1),0),$C232-1966)</f>
        <v>626283.69999999995</v>
      </c>
      <c r="S232" s="4" cm="1">
        <f t="array" ref="S232">INDEX(GMW!$A$2:$LR$60,MATCH(1,(GMW!$LQ$2:$LQ$60=S$3)*(GMW!$LP$2:$LP$60=S$4)*(GMW!$LR$2:$LR$60=S$1),0),$C232-1966)</f>
        <v>624285.69999999995</v>
      </c>
      <c r="T232" s="4" cm="1">
        <f t="array" ref="T232">INDEX(GMW!$A$2:$LR$60,MATCH(1,(GMW!$LQ$2:$LQ$60=T$3)*(GMW!$LP$2:$LP$60=T$4)*(GMW!$LR$2:$LR$60=T$1),0),$C232-1966)</f>
        <v>624376.5</v>
      </c>
      <c r="U232" s="4" cm="1">
        <f t="array" ref="U232">INDEX(GMW!$A$2:$LR$60,MATCH(1,(GMW!$LQ$2:$LQ$60=U$3)*(GMW!$LP$2:$LP$60=U$4)*(GMW!$LR$2:$LR$60=U$1),0),$C232-1966)</f>
        <v>794.30259999999998</v>
      </c>
      <c r="V232" s="4" cm="1">
        <f t="array" ref="V232">INDEX(GMW!$A$2:$LR$60,MATCH(1,(GMW!$LQ$2:$LQ$60=V$3)*(GMW!$LP$2:$LP$60=V$4)*(GMW!$LR$2:$LR$60=V$1),0),$C232-1966)</f>
        <v>149.0986</v>
      </c>
      <c r="W232" s="4" cm="1">
        <f t="array" ref="W232">INDEX(GMW!$A$2:$LR$60,MATCH(1,(GMW!$LQ$2:$LQ$60=W$3)*(GMW!$LP$2:$LP$60=W$4)*(GMW!$LR$2:$LR$60=W$1),0),$C232-1966)</f>
        <v>150.45189999999999</v>
      </c>
      <c r="X232" s="4" cm="1">
        <f t="array" ref="X232">INDEX(GMW!$A$2:$LR$60,MATCH(1,(GMW!$LQ$2:$LQ$60=X$3)*(GMW!$LP$2:$LP$60=X$4)*(GMW!$LR$2:$LR$60=X$1),0),$C232-1966)</f>
        <v>125.3189</v>
      </c>
      <c r="Y232" s="4" cm="1">
        <f t="array" ref="Y232">INDEX(GMW!$A$2:$LR$60,MATCH(1,(GMW!$LQ$2:$LQ$60=Y$3)*(GMW!$LP$2:$LP$60=Y$4)*(GMW!$LR$2:$LR$60=Y$1),0),$C232-1966)</f>
        <v>168.50219999999999</v>
      </c>
      <c r="Z232" s="4" cm="1">
        <f t="array" ref="Z232">INDEX(GMW!$A$2:$LR$60,MATCH(1,(GMW!$LQ$2:$LQ$60=Z$3)*(GMW!$LP$2:$LP$60=Z$4)*(GMW!$LR$2:$LR$60=Z$1),0),$C232-1966)</f>
        <v>147.8338</v>
      </c>
      <c r="AA232" s="4" cm="1">
        <f t="array" ref="AA232">INDEX(GMW!$A$2:$LR$60,MATCH(1,(GMW!$LQ$2:$LQ$60=AA$3)*(GMW!$LP$2:$LP$60=AA$4)*(GMW!$LR$2:$LR$60=AA$1),0),$C232-1966)</f>
        <v>371486.6</v>
      </c>
      <c r="AB232" s="4" cm="1">
        <f t="array" ref="AB232">INDEX(GMW!$A$2:$LR$60,MATCH(1,(GMW!$LQ$2:$LQ$60=AB$3)*(GMW!$LP$2:$LP$60=AB$4)*(GMW!$LR$2:$LR$60=AB$1),0),$C232-1966)</f>
        <v>117475.3</v>
      </c>
      <c r="AC232" s="4" cm="1">
        <f t="array" ref="AC232">INDEX(GMW!$A$2:$LR$60,MATCH(1,(GMW!$LQ$2:$LQ$60=AC$3)*(GMW!$LP$2:$LP$60=AC$4)*(GMW!$LR$2:$LR$60=AC$1),0),$C232-1966)</f>
        <v>130154.9</v>
      </c>
      <c r="AD232" s="4" cm="1">
        <f t="array" ref="AD232">INDEX(GMW!$A$2:$LR$60,MATCH(1,(GMW!$LQ$2:$LQ$60=AD$3)*(GMW!$LP$2:$LP$60=AD$4)*(GMW!$LR$2:$LR$60=AD$1),0),$C232-1966)</f>
        <v>193093</v>
      </c>
      <c r="AE232" s="4" cm="1">
        <f t="array" ref="AE232">INDEX(GMW!$A$2:$LR$60,MATCH(1,(GMW!$LQ$2:$LQ$60=AE$3)*(GMW!$LP$2:$LP$60=AE$4)*(GMW!$LR$2:$LR$60=AE$1),0),$C232-1966)</f>
        <v>208040.2</v>
      </c>
      <c r="AF232" s="4" cm="1">
        <f t="array" ref="AF232">INDEX(GMW!$A$2:$LR$60,MATCH(1,(GMW!$LQ$2:$LQ$60=AF$3)*(GMW!$LP$2:$LP$60=AF$4)*(GMW!$LR$2:$LR$60=AF$1),0),$C232-1966)</f>
        <v>2.1064639999999999</v>
      </c>
      <c r="AG232" s="4" cm="1">
        <f t="array" ref="AG232">INDEX(GMW!$A$2:$LR$60,MATCH(1,(GMW!$LQ$2:$LQ$60=AG$3)*(GMW!$LP$2:$LP$60=AG$4)*(GMW!$LR$2:$LR$60=AG$1),0),$C232-1966)</f>
        <v>2.4334739999999999</v>
      </c>
    </row>
    <row r="233" spans="1:33" x14ac:dyDescent="0.25">
      <c r="B233" s="4">
        <f t="shared" si="7"/>
        <v>2029</v>
      </c>
      <c r="C233" s="4">
        <f t="shared" si="6"/>
        <v>2199</v>
      </c>
      <c r="D233" s="4" cm="1">
        <f t="array" ref="D233">INDEX(GMW!$A$2:$LR$60,MATCH(1,(GMW!$LQ$2:$LQ$60=D$3)*(GMW!$LP$2:$LP$60=D$4)*(GMW!$LR$2:$LR$60=D$1),0),$C233-1966)</f>
        <v>625546.1</v>
      </c>
      <c r="E233" s="4" cm="1">
        <f t="array" ref="E233">INDEX(GMW!$A$2:$LR$60,MATCH(1,(GMW!$LQ$2:$LQ$60=E$3)*(GMW!$LP$2:$LP$60=E$4)*(GMW!$LR$2:$LR$60=E$1),0),$C233-1966)</f>
        <v>619831.30000000005</v>
      </c>
      <c r="F233" s="4" cm="1">
        <f t="array" ref="F233">INDEX(GMW!$A$2:$LR$60,MATCH(1,(GMW!$LQ$2:$LQ$60=F$3)*(GMW!$LP$2:$LP$60=F$4)*(GMW!$LR$2:$LR$60=F$1),0),$C233-1966)</f>
        <v>620081.6</v>
      </c>
      <c r="G233" s="4" cm="1">
        <f t="array" ref="G233">INDEX(GMW!$A$2:$LR$60,MATCH(1,(GMW!$LQ$2:$LQ$60=G$3)*(GMW!$LP$2:$LP$60=G$4)*(GMW!$LR$2:$LR$60=G$1),0),$C233-1966)</f>
        <v>620081.6</v>
      </c>
      <c r="H233" s="4" cm="1">
        <f t="array" ref="H233">INDEX(GMW!$A$2:$LR$60,MATCH(1,(GMW!$LQ$2:$LQ$60=H$3)*(GMW!$LP$2:$LP$60=H$4)*(GMW!$LR$2:$LR$60=H$1),0),$C233-1966)</f>
        <v>623736.30000000005</v>
      </c>
      <c r="I233" s="4" cm="1">
        <f t="array" ref="I233">INDEX(GMW!$A$2:$LR$60,MATCH(1,(GMW!$LQ$2:$LQ$60=I$3)*(GMW!$LP$2:$LP$60=I$4)*(GMW!$LR$2:$LR$60=I$1),0),$C233-1966)</f>
        <v>624545.4</v>
      </c>
      <c r="J233" s="4" cm="1">
        <f t="array" ref="J233">INDEX(GMW!$A$2:$LR$60,MATCH(1,(GMW!$LQ$2:$LQ$60=J$3)*(GMW!$LP$2:$LP$60=J$4)*(GMW!$LR$2:$LR$60=J$1),0),$C233-1966)</f>
        <v>624542.69999999995</v>
      </c>
      <c r="K233" s="4" cm="1">
        <f t="array" ref="K233">INDEX(GMW!$A$2:$LR$60,MATCH(1,(GMW!$LQ$2:$LQ$60=K$3)*(GMW!$LP$2:$LP$60=K$4)*(GMW!$LR$2:$LR$60=K$1),0),$C233-1966)</f>
        <v>624399.9</v>
      </c>
      <c r="L233" s="4" cm="1">
        <f t="array" ref="L233">INDEX(GMW!$A$2:$LR$60,MATCH(1,(GMW!$LQ$2:$LQ$60=L$3)*(GMW!$LP$2:$LP$60=L$4)*(GMW!$LR$2:$LR$60=L$1),0),$C233-1966)</f>
        <v>624745.30000000005</v>
      </c>
      <c r="M233" s="4" cm="1">
        <f t="array" ref="M233">INDEX(GMW!$A$2:$LR$60,MATCH(1,(GMW!$LQ$2:$LQ$60=M$3)*(GMW!$LP$2:$LP$60=M$4)*(GMW!$LR$2:$LR$60=M$1),0),$C233-1966)</f>
        <v>624745.30000000005</v>
      </c>
      <c r="N233" s="4" cm="1">
        <f t="array" ref="N233">INDEX(GMW!$A$2:$LR$60,MATCH(1,(GMW!$LQ$2:$LQ$60=N$3)*(GMW!$LP$2:$LP$60=N$4)*(GMW!$LR$2:$LR$60=N$1),0),$C233-1966)</f>
        <v>626618.5</v>
      </c>
      <c r="O233" s="4" cm="1">
        <f t="array" ref="O233">INDEX(GMW!$A$2:$LR$60,MATCH(1,(GMW!$LQ$2:$LQ$60=O$3)*(GMW!$LP$2:$LP$60=O$4)*(GMW!$LR$2:$LR$60=O$1),0),$C233-1966)</f>
        <v>626743.6</v>
      </c>
      <c r="P233" s="4" cm="1">
        <f t="array" ref="P233">INDEX(GMW!$A$2:$LR$60,MATCH(1,(GMW!$LQ$2:$LQ$60=P$3)*(GMW!$LP$2:$LP$60=P$4)*(GMW!$LR$2:$LR$60=P$1),0),$C233-1966)</f>
        <v>627188.1</v>
      </c>
      <c r="Q233" s="4" cm="1">
        <f t="array" ref="Q233">INDEX(GMW!$A$2:$LR$60,MATCH(1,(GMW!$LQ$2:$LQ$60=Q$3)*(GMW!$LP$2:$LP$60=Q$4)*(GMW!$LR$2:$LR$60=Q$1),0),$C233-1966)</f>
        <v>628433.80000000005</v>
      </c>
      <c r="R233" s="4" cm="1">
        <f t="array" ref="R233">INDEX(GMW!$A$2:$LR$60,MATCH(1,(GMW!$LQ$2:$LQ$60=R$3)*(GMW!$LP$2:$LP$60=R$4)*(GMW!$LR$2:$LR$60=R$1),0),$C233-1966)</f>
        <v>628663.6</v>
      </c>
      <c r="S233" s="4" cm="1">
        <f t="array" ref="S233">INDEX(GMW!$A$2:$LR$60,MATCH(1,(GMW!$LQ$2:$LQ$60=S$3)*(GMW!$LP$2:$LP$60=S$4)*(GMW!$LR$2:$LR$60=S$1),0),$C233-1966)</f>
        <v>626689.19999999995</v>
      </c>
      <c r="T233" s="4" cm="1">
        <f t="array" ref="T233">INDEX(GMW!$A$2:$LR$60,MATCH(1,(GMW!$LQ$2:$LQ$60=T$3)*(GMW!$LP$2:$LP$60=T$4)*(GMW!$LR$2:$LR$60=T$1),0),$C233-1966)</f>
        <v>626749.1</v>
      </c>
      <c r="U233" s="4" cm="1">
        <f t="array" ref="U233">INDEX(GMW!$A$2:$LR$60,MATCH(1,(GMW!$LQ$2:$LQ$60=U$3)*(GMW!$LP$2:$LP$60=U$4)*(GMW!$LR$2:$LR$60=U$1),0),$C233-1966)</f>
        <v>799.70370000000003</v>
      </c>
      <c r="V233" s="4" cm="1">
        <f t="array" ref="V233">INDEX(GMW!$A$2:$LR$60,MATCH(1,(GMW!$LQ$2:$LQ$60=V$3)*(GMW!$LP$2:$LP$60=V$4)*(GMW!$LR$2:$LR$60=V$1),0),$C233-1966)</f>
        <v>149.7962</v>
      </c>
      <c r="W233" s="4" cm="1">
        <f t="array" ref="W233">INDEX(GMW!$A$2:$LR$60,MATCH(1,(GMW!$LQ$2:$LQ$60=W$3)*(GMW!$LP$2:$LP$60=W$4)*(GMW!$LR$2:$LR$60=W$1),0),$C233-1966)</f>
        <v>150.24420000000001</v>
      </c>
      <c r="X233" s="4" cm="1">
        <f t="array" ref="X233">INDEX(GMW!$A$2:$LR$60,MATCH(1,(GMW!$LQ$2:$LQ$60=X$3)*(GMW!$LP$2:$LP$60=X$4)*(GMW!$LR$2:$LR$60=X$1),0),$C233-1966)</f>
        <v>125.2734</v>
      </c>
      <c r="Y233" s="4" cm="1">
        <f t="array" ref="Y233">INDEX(GMW!$A$2:$LR$60,MATCH(1,(GMW!$LQ$2:$LQ$60=Y$3)*(GMW!$LP$2:$LP$60=Y$4)*(GMW!$LR$2:$LR$60=Y$1),0),$C233-1966)</f>
        <v>169.8004</v>
      </c>
      <c r="Z233" s="4" cm="1">
        <f t="array" ref="Z233">INDEX(GMW!$A$2:$LR$60,MATCH(1,(GMW!$LQ$2:$LQ$60=Z$3)*(GMW!$LP$2:$LP$60=Z$4)*(GMW!$LR$2:$LR$60=Z$1),0),$C233-1966)</f>
        <v>148.7071</v>
      </c>
      <c r="AA233" s="4" cm="1">
        <f t="array" ref="AA233">INDEX(GMW!$A$2:$LR$60,MATCH(1,(GMW!$LQ$2:$LQ$60=AA$3)*(GMW!$LP$2:$LP$60=AA$4)*(GMW!$LR$2:$LR$60=AA$1),0),$C233-1966)</f>
        <v>372879.7</v>
      </c>
      <c r="AB233" s="4" cm="1">
        <f t="array" ref="AB233">INDEX(GMW!$A$2:$LR$60,MATCH(1,(GMW!$LQ$2:$LQ$60=AB$3)*(GMW!$LP$2:$LP$60=AB$4)*(GMW!$LR$2:$LR$60=AB$1),0),$C233-1966)</f>
        <v>118011.2</v>
      </c>
      <c r="AC233" s="4" cm="1">
        <f t="array" ref="AC233">INDEX(GMW!$A$2:$LR$60,MATCH(1,(GMW!$LQ$2:$LQ$60=AC$3)*(GMW!$LP$2:$LP$60=AC$4)*(GMW!$LR$2:$LR$60=AC$1),0),$C233-1966)</f>
        <v>130662.5</v>
      </c>
      <c r="AD233" s="4" cm="1">
        <f t="array" ref="AD233">INDEX(GMW!$A$2:$LR$60,MATCH(1,(GMW!$LQ$2:$LQ$60=AD$3)*(GMW!$LP$2:$LP$60=AD$4)*(GMW!$LR$2:$LR$60=AD$1),0),$C233-1966)</f>
        <v>193931.1</v>
      </c>
      <c r="AE233" s="4" cm="1">
        <f t="array" ref="AE233">INDEX(GMW!$A$2:$LR$60,MATCH(1,(GMW!$LQ$2:$LQ$60=AE$3)*(GMW!$LP$2:$LP$60=AE$4)*(GMW!$LR$2:$LR$60=AE$1),0),$C233-1966)</f>
        <v>208994.5</v>
      </c>
      <c r="AF233" s="4" cm="1">
        <f t="array" ref="AF233">INDEX(GMW!$A$2:$LR$60,MATCH(1,(GMW!$LQ$2:$LQ$60=AF$3)*(GMW!$LP$2:$LP$60=AF$4)*(GMW!$LR$2:$LR$60=AF$1),0),$C233-1966)</f>
        <v>2.1064639999999999</v>
      </c>
      <c r="AG233" s="4" cm="1">
        <f t="array" ref="AG233">INDEX(GMW!$A$2:$LR$60,MATCH(1,(GMW!$LQ$2:$LQ$60=AG$3)*(GMW!$LP$2:$LP$60=AG$4)*(GMW!$LR$2:$LR$60=AG$1),0),$C233-1966)</f>
        <v>2.4334739999999999</v>
      </c>
    </row>
    <row r="234" spans="1:33" x14ac:dyDescent="0.25">
      <c r="B234" s="4">
        <f t="shared" si="7"/>
        <v>2029</v>
      </c>
      <c r="C234" s="4">
        <f t="shared" si="6"/>
        <v>2200</v>
      </c>
      <c r="D234" s="4" cm="1">
        <f t="array" ref="D234">INDEX(GMW!$A$2:$LR$60,MATCH(1,(GMW!$LQ$2:$LQ$60=D$3)*(GMW!$LP$2:$LP$60=D$4)*(GMW!$LR$2:$LR$60=D$1),0),$C234-1966)</f>
        <v>627923.19999999995</v>
      </c>
      <c r="E234" s="4" cm="1">
        <f t="array" ref="E234">INDEX(GMW!$A$2:$LR$60,MATCH(1,(GMW!$LQ$2:$LQ$60=E$3)*(GMW!$LP$2:$LP$60=E$4)*(GMW!$LR$2:$LR$60=E$1),0),$C234-1966)</f>
        <v>622031.6</v>
      </c>
      <c r="F234" s="4" cm="1">
        <f t="array" ref="F234">INDEX(GMW!$A$2:$LR$60,MATCH(1,(GMW!$LQ$2:$LQ$60=F$3)*(GMW!$LP$2:$LP$60=F$4)*(GMW!$LR$2:$LR$60=F$1),0),$C234-1966)</f>
        <v>622282.9</v>
      </c>
      <c r="G234" s="4" cm="1">
        <f t="array" ref="G234">INDEX(GMW!$A$2:$LR$60,MATCH(1,(GMW!$LQ$2:$LQ$60=G$3)*(GMW!$LP$2:$LP$60=G$4)*(GMW!$LR$2:$LR$60=G$1),0),$C234-1966)</f>
        <v>622282.9</v>
      </c>
      <c r="H234" s="4" cm="1">
        <f t="array" ref="H234">INDEX(GMW!$A$2:$LR$60,MATCH(1,(GMW!$LQ$2:$LQ$60=H$3)*(GMW!$LP$2:$LP$60=H$4)*(GMW!$LR$2:$LR$60=H$1),0),$C234-1966)</f>
        <v>626106.5</v>
      </c>
      <c r="I234" s="4" cm="1">
        <f t="array" ref="I234">INDEX(GMW!$A$2:$LR$60,MATCH(1,(GMW!$LQ$2:$LQ$60=I$3)*(GMW!$LP$2:$LP$60=I$4)*(GMW!$LR$2:$LR$60=I$1),0),$C234-1966)</f>
        <v>626949.9</v>
      </c>
      <c r="J234" s="4" cm="1">
        <f t="array" ref="J234">INDEX(GMW!$A$2:$LR$60,MATCH(1,(GMW!$LQ$2:$LQ$60=J$3)*(GMW!$LP$2:$LP$60=J$4)*(GMW!$LR$2:$LR$60=J$1),0),$C234-1966)</f>
        <v>626947.19999999995</v>
      </c>
      <c r="K234" s="4" cm="1">
        <f t="array" ref="K234">INDEX(GMW!$A$2:$LR$60,MATCH(1,(GMW!$LQ$2:$LQ$60=K$3)*(GMW!$LP$2:$LP$60=K$4)*(GMW!$LR$2:$LR$60=K$1),0),$C234-1966)</f>
        <v>626803.9</v>
      </c>
      <c r="L234" s="4" cm="1">
        <f t="array" ref="L234">INDEX(GMW!$A$2:$LR$60,MATCH(1,(GMW!$LQ$2:$LQ$60=L$3)*(GMW!$LP$2:$LP$60=L$4)*(GMW!$LR$2:$LR$60=L$1),0),$C234-1966)</f>
        <v>627088.1</v>
      </c>
      <c r="M234" s="4" cm="1">
        <f t="array" ref="M234">INDEX(GMW!$A$2:$LR$60,MATCH(1,(GMW!$LQ$2:$LQ$60=M$3)*(GMW!$LP$2:$LP$60=M$4)*(GMW!$LR$2:$LR$60=M$1),0),$C234-1966)</f>
        <v>627088.1</v>
      </c>
      <c r="N234" s="4" cm="1">
        <f t="array" ref="N234">INDEX(GMW!$A$2:$LR$60,MATCH(1,(GMW!$LQ$2:$LQ$60=N$3)*(GMW!$LP$2:$LP$60=N$4)*(GMW!$LR$2:$LR$60=N$1),0),$C234-1966)</f>
        <v>628968.30000000005</v>
      </c>
      <c r="O234" s="4" cm="1">
        <f t="array" ref="O234">INDEX(GMW!$A$2:$LR$60,MATCH(1,(GMW!$LQ$2:$LQ$60=O$3)*(GMW!$LP$2:$LP$60=O$4)*(GMW!$LR$2:$LR$60=O$1),0),$C234-1966)</f>
        <v>629093.80000000005</v>
      </c>
      <c r="P234" s="4" cm="1">
        <f t="array" ref="P234">INDEX(GMW!$A$2:$LR$60,MATCH(1,(GMW!$LQ$2:$LQ$60=P$3)*(GMW!$LP$2:$LP$60=P$4)*(GMW!$LR$2:$LR$60=P$1),0),$C234-1966)</f>
        <v>629540.1</v>
      </c>
      <c r="Q234" s="4" cm="1">
        <f t="array" ref="Q234">INDEX(GMW!$A$2:$LR$60,MATCH(1,(GMW!$LQ$2:$LQ$60=Q$3)*(GMW!$LP$2:$LP$60=Q$4)*(GMW!$LR$2:$LR$60=Q$1),0),$C234-1966)</f>
        <v>630821.9</v>
      </c>
      <c r="R234" s="4" cm="1">
        <f t="array" ref="R234">INDEX(GMW!$A$2:$LR$60,MATCH(1,(GMW!$LQ$2:$LQ$60=R$3)*(GMW!$LP$2:$LP$60=R$4)*(GMW!$LR$2:$LR$60=R$1),0),$C234-1966)</f>
        <v>631052.4</v>
      </c>
      <c r="S234" s="4" cm="1">
        <f t="array" ref="S234">INDEX(GMW!$A$2:$LR$60,MATCH(1,(GMW!$LQ$2:$LQ$60=S$3)*(GMW!$LP$2:$LP$60=S$4)*(GMW!$LR$2:$LR$60=S$1),0),$C234-1966)</f>
        <v>629070.6</v>
      </c>
      <c r="T234" s="4" cm="1">
        <f t="array" ref="T234">INDEX(GMW!$A$2:$LR$60,MATCH(1,(GMW!$LQ$2:$LQ$60=T$3)*(GMW!$LP$2:$LP$60=T$4)*(GMW!$LR$2:$LR$60=T$1),0),$C234-1966)</f>
        <v>629130.80000000005</v>
      </c>
      <c r="U234" s="4" cm="1">
        <f t="array" ref="U234">INDEX(GMW!$A$2:$LR$60,MATCH(1,(GMW!$LQ$2:$LQ$60=U$3)*(GMW!$LP$2:$LP$60=U$4)*(GMW!$LR$2:$LR$60=U$1),0),$C234-1966)</f>
        <v>805.13310000000001</v>
      </c>
      <c r="V234" s="4" cm="1">
        <f t="array" ref="V234">INDEX(GMW!$A$2:$LR$60,MATCH(1,(GMW!$LQ$2:$LQ$60=V$3)*(GMW!$LP$2:$LP$60=V$4)*(GMW!$LR$2:$LR$60=V$1),0),$C234-1966)</f>
        <v>150.53200000000001</v>
      </c>
      <c r="W234" s="4" cm="1">
        <f t="array" ref="W234">INDEX(GMW!$A$2:$LR$60,MATCH(1,(GMW!$LQ$2:$LQ$60=W$3)*(GMW!$LP$2:$LP$60=W$4)*(GMW!$LR$2:$LR$60=W$1),0),$C234-1966)</f>
        <v>150.89670000000001</v>
      </c>
      <c r="X234" s="4" cm="1">
        <f t="array" ref="X234">INDEX(GMW!$A$2:$LR$60,MATCH(1,(GMW!$LQ$2:$LQ$60=X$3)*(GMW!$LP$2:$LP$60=X$4)*(GMW!$LR$2:$LR$60=X$1),0),$C234-1966)</f>
        <v>125.24509999999999</v>
      </c>
      <c r="Y234" s="4" cm="1">
        <f t="array" ref="Y234">INDEX(GMW!$A$2:$LR$60,MATCH(1,(GMW!$LQ$2:$LQ$60=Y$3)*(GMW!$LP$2:$LP$60=Y$4)*(GMW!$LR$2:$LR$60=Y$1),0),$C234-1966)</f>
        <v>171.11369999999999</v>
      </c>
      <c r="Z234" s="4" cm="1">
        <f t="array" ref="Z234">INDEX(GMW!$A$2:$LR$60,MATCH(1,(GMW!$LQ$2:$LQ$60=Z$3)*(GMW!$LP$2:$LP$60=Z$4)*(GMW!$LR$2:$LR$60=Z$1),0),$C234-1966)</f>
        <v>149.46180000000001</v>
      </c>
      <c r="AA234" s="4" cm="1">
        <f t="array" ref="AA234">INDEX(GMW!$A$2:$LR$60,MATCH(1,(GMW!$LQ$2:$LQ$60=AA$3)*(GMW!$LP$2:$LP$60=AA$4)*(GMW!$LR$2:$LR$60=AA$1),0),$C234-1966)</f>
        <v>374259.3</v>
      </c>
      <c r="AB234" s="4" cm="1">
        <f t="array" ref="AB234">INDEX(GMW!$A$2:$LR$60,MATCH(1,(GMW!$LQ$2:$LQ$60=AB$3)*(GMW!$LP$2:$LP$60=AB$4)*(GMW!$LR$2:$LR$60=AB$1),0),$C234-1966)</f>
        <v>118582.5</v>
      </c>
      <c r="AC234" s="4" cm="1">
        <f t="array" ref="AC234">INDEX(GMW!$A$2:$LR$60,MATCH(1,(GMW!$LQ$2:$LQ$60=AC$3)*(GMW!$LP$2:$LP$60=AC$4)*(GMW!$LR$2:$LR$60=AC$1),0),$C234-1966)</f>
        <v>131159.1</v>
      </c>
      <c r="AD234" s="4" cm="1">
        <f t="array" ref="AD234">INDEX(GMW!$A$2:$LR$60,MATCH(1,(GMW!$LQ$2:$LQ$60=AD$3)*(GMW!$LP$2:$LP$60=AD$4)*(GMW!$LR$2:$LR$60=AD$1),0),$C234-1966)</f>
        <v>194781.1</v>
      </c>
      <c r="AE234" s="4" cm="1">
        <f t="array" ref="AE234">INDEX(GMW!$A$2:$LR$60,MATCH(1,(GMW!$LQ$2:$LQ$60=AE$3)*(GMW!$LP$2:$LP$60=AE$4)*(GMW!$LR$2:$LR$60=AE$1),0),$C234-1966)</f>
        <v>209952.9</v>
      </c>
      <c r="AF234" s="4" cm="1">
        <f t="array" ref="AF234">INDEX(GMW!$A$2:$LR$60,MATCH(1,(GMW!$LQ$2:$LQ$60=AF$3)*(GMW!$LP$2:$LP$60=AF$4)*(GMW!$LR$2:$LR$60=AF$1),0),$C234-1966)</f>
        <v>2.1064639999999999</v>
      </c>
      <c r="AG234" s="4" cm="1">
        <f t="array" ref="AG234">INDEX(GMW!$A$2:$LR$60,MATCH(1,(GMW!$LQ$2:$LQ$60=AG$3)*(GMW!$LP$2:$LP$60=AG$4)*(GMW!$LR$2:$LR$60=AG$1),0),$C234-1966)</f>
        <v>2.4334739999999999</v>
      </c>
    </row>
    <row r="235" spans="1:33" x14ac:dyDescent="0.25">
      <c r="A235" s="4">
        <v>2030</v>
      </c>
      <c r="B235" s="4">
        <f t="shared" si="7"/>
        <v>2030</v>
      </c>
      <c r="C235" s="4">
        <f t="shared" si="6"/>
        <v>2201</v>
      </c>
      <c r="D235" s="4" cm="1">
        <f t="array" ref="D235">INDEX(GMW!$A$2:$LR$60,MATCH(1,(GMW!$LQ$2:$LQ$60=D$3)*(GMW!$LP$2:$LP$60=D$4)*(GMW!$LR$2:$LR$60=D$1),0),$C235-1966)</f>
        <v>630309.30000000005</v>
      </c>
      <c r="E235" s="4" cm="1">
        <f t="array" ref="E235">INDEX(GMW!$A$2:$LR$60,MATCH(1,(GMW!$LQ$2:$LQ$60=E$3)*(GMW!$LP$2:$LP$60=E$4)*(GMW!$LR$2:$LR$60=E$1),0),$C235-1966)</f>
        <v>624208.80000000005</v>
      </c>
      <c r="F235" s="4" cm="1">
        <f t="array" ref="F235">INDEX(GMW!$A$2:$LR$60,MATCH(1,(GMW!$LQ$2:$LQ$60=F$3)*(GMW!$LP$2:$LP$60=F$4)*(GMW!$LR$2:$LR$60=F$1),0),$C235-1966)</f>
        <v>624460.9</v>
      </c>
      <c r="G235" s="4" cm="1">
        <f t="array" ref="G235">INDEX(GMW!$A$2:$LR$60,MATCH(1,(GMW!$LQ$2:$LQ$60=G$3)*(GMW!$LP$2:$LP$60=G$4)*(GMW!$LR$2:$LR$60=G$1),0),$C235-1966)</f>
        <v>624460.9</v>
      </c>
      <c r="H235" s="4" cm="1">
        <f t="array" ref="H235">INDEX(GMW!$A$2:$LR$60,MATCH(1,(GMW!$LQ$2:$LQ$60=H$3)*(GMW!$LP$2:$LP$60=H$4)*(GMW!$LR$2:$LR$60=H$1),0),$C235-1966)</f>
        <v>628485.69999999995</v>
      </c>
      <c r="I235" s="4" cm="1">
        <f t="array" ref="I235">INDEX(GMW!$A$2:$LR$60,MATCH(1,(GMW!$LQ$2:$LQ$60=I$3)*(GMW!$LP$2:$LP$60=I$4)*(GMW!$LR$2:$LR$60=I$1),0),$C235-1966)</f>
        <v>629332.30000000005</v>
      </c>
      <c r="J235" s="4" cm="1">
        <f t="array" ref="J235">INDEX(GMW!$A$2:$LR$60,MATCH(1,(GMW!$LQ$2:$LQ$60=J$3)*(GMW!$LP$2:$LP$60=J$4)*(GMW!$LR$2:$LR$60=J$1),0),$C235-1966)</f>
        <v>629329.6</v>
      </c>
      <c r="K235" s="4" cm="1">
        <f t="array" ref="K235">INDEX(GMW!$A$2:$LR$60,MATCH(1,(GMW!$LQ$2:$LQ$60=K$3)*(GMW!$LP$2:$LP$60=K$4)*(GMW!$LR$2:$LR$60=K$1),0),$C235-1966)</f>
        <v>629185.69999999995</v>
      </c>
      <c r="L235" s="4" cm="1">
        <f t="array" ref="L235">INDEX(GMW!$A$2:$LR$60,MATCH(1,(GMW!$LQ$2:$LQ$60=L$3)*(GMW!$LP$2:$LP$60=L$4)*(GMW!$LR$2:$LR$60=L$1),0),$C235-1966)</f>
        <v>629471.1</v>
      </c>
      <c r="M235" s="4" cm="1">
        <f t="array" ref="M235">INDEX(GMW!$A$2:$LR$60,MATCH(1,(GMW!$LQ$2:$LQ$60=M$3)*(GMW!$LP$2:$LP$60=M$4)*(GMW!$LR$2:$LR$60=M$1),0),$C235-1966)</f>
        <v>629471.1</v>
      </c>
      <c r="N235" s="4" cm="1">
        <f t="array" ref="N235">INDEX(GMW!$A$2:$LR$60,MATCH(1,(GMW!$LQ$2:$LQ$60=N$3)*(GMW!$LP$2:$LP$60=N$4)*(GMW!$LR$2:$LR$60=N$1),0),$C235-1966)</f>
        <v>631358.4</v>
      </c>
      <c r="O235" s="4" cm="1">
        <f t="array" ref="O235">INDEX(GMW!$A$2:$LR$60,MATCH(1,(GMW!$LQ$2:$LQ$60=O$3)*(GMW!$LP$2:$LP$60=O$4)*(GMW!$LR$2:$LR$60=O$1),0),$C235-1966)</f>
        <v>631484.4</v>
      </c>
      <c r="P235" s="4" cm="1">
        <f t="array" ref="P235">INDEX(GMW!$A$2:$LR$60,MATCH(1,(GMW!$LQ$2:$LQ$60=P$3)*(GMW!$LP$2:$LP$60=P$4)*(GMW!$LR$2:$LR$60=P$1),0),$C235-1966)</f>
        <v>631932.30000000005</v>
      </c>
      <c r="Q235" s="4" cm="1">
        <f t="array" ref="Q235">INDEX(GMW!$A$2:$LR$60,MATCH(1,(GMW!$LQ$2:$LQ$60=Q$3)*(GMW!$LP$2:$LP$60=Q$4)*(GMW!$LR$2:$LR$60=Q$1),0),$C235-1966)</f>
        <v>633219</v>
      </c>
      <c r="R235" s="4" cm="1">
        <f t="array" ref="R235">INDEX(GMW!$A$2:$LR$60,MATCH(1,(GMW!$LQ$2:$LQ$60=R$3)*(GMW!$LP$2:$LP$60=R$4)*(GMW!$LR$2:$LR$60=R$1),0),$C235-1966)</f>
        <v>633450.4</v>
      </c>
      <c r="S235" s="4" cm="1">
        <f t="array" ref="S235">INDEX(GMW!$A$2:$LR$60,MATCH(1,(GMW!$LQ$2:$LQ$60=S$3)*(GMW!$LP$2:$LP$60=S$4)*(GMW!$LR$2:$LR$60=S$1),0),$C235-1966)</f>
        <v>631461.1</v>
      </c>
      <c r="T235" s="4" cm="1">
        <f t="array" ref="T235">INDEX(GMW!$A$2:$LR$60,MATCH(1,(GMW!$LQ$2:$LQ$60=T$3)*(GMW!$LP$2:$LP$60=T$4)*(GMW!$LR$2:$LR$60=T$1),0),$C235-1966)</f>
        <v>631521.4</v>
      </c>
      <c r="U235" s="4" cm="1">
        <f t="array" ref="U235">INDEX(GMW!$A$2:$LR$60,MATCH(1,(GMW!$LQ$2:$LQ$60=U$3)*(GMW!$LP$2:$LP$60=U$4)*(GMW!$LR$2:$LR$60=U$1),0),$C235-1966)</f>
        <v>810.59699999999998</v>
      </c>
      <c r="V235" s="4" cm="1">
        <f t="array" ref="V235">INDEX(GMW!$A$2:$LR$60,MATCH(1,(GMW!$LQ$2:$LQ$60=V$3)*(GMW!$LP$2:$LP$60=V$4)*(GMW!$LR$2:$LR$60=V$1),0),$C235-1966)</f>
        <v>150.75899999999999</v>
      </c>
      <c r="W235" s="4" cm="1">
        <f t="array" ref="W235">INDEX(GMW!$A$2:$LR$60,MATCH(1,(GMW!$LQ$2:$LQ$60=W$3)*(GMW!$LP$2:$LP$60=W$4)*(GMW!$LR$2:$LR$60=W$1),0),$C235-1966)</f>
        <v>152.26939999999999</v>
      </c>
      <c r="X235" s="4" cm="1">
        <f t="array" ref="X235">INDEX(GMW!$A$2:$LR$60,MATCH(1,(GMW!$LQ$2:$LQ$60=X$3)*(GMW!$LP$2:$LP$60=X$4)*(GMW!$LR$2:$LR$60=X$1),0),$C235-1966)</f>
        <v>125.2274</v>
      </c>
      <c r="Y235" s="4" cm="1">
        <f t="array" ref="Y235">INDEX(GMW!$A$2:$LR$60,MATCH(1,(GMW!$LQ$2:$LQ$60=Y$3)*(GMW!$LP$2:$LP$60=Y$4)*(GMW!$LR$2:$LR$60=Y$1),0),$C235-1966)</f>
        <v>172.44110000000001</v>
      </c>
      <c r="Z235" s="4" cm="1">
        <f t="array" ref="Z235">INDEX(GMW!$A$2:$LR$60,MATCH(1,(GMW!$LQ$2:$LQ$60=Z$3)*(GMW!$LP$2:$LP$60=Z$4)*(GMW!$LR$2:$LR$60=Z$1),0),$C235-1966)</f>
        <v>149.4247</v>
      </c>
      <c r="AA235" s="4" cm="1">
        <f t="array" ref="AA235">INDEX(GMW!$A$2:$LR$60,MATCH(1,(GMW!$LQ$2:$LQ$60=AA$3)*(GMW!$LP$2:$LP$60=AA$4)*(GMW!$LR$2:$LR$60=AA$1),0),$C235-1966)</f>
        <v>375616</v>
      </c>
      <c r="AB235" s="4" cm="1">
        <f t="array" ref="AB235">INDEX(GMW!$A$2:$LR$60,MATCH(1,(GMW!$LQ$2:$LQ$60=AB$3)*(GMW!$LP$2:$LP$60=AB$4)*(GMW!$LR$2:$LR$60=AB$1),0),$C235-1966)</f>
        <v>119196.4</v>
      </c>
      <c r="AC235" s="4" cm="1">
        <f t="array" ref="AC235">INDEX(GMW!$A$2:$LR$60,MATCH(1,(GMW!$LQ$2:$LQ$60=AC$3)*(GMW!$LP$2:$LP$60=AC$4)*(GMW!$LR$2:$LR$60=AC$1),0),$C235-1966)</f>
        <v>131631.20000000001</v>
      </c>
      <c r="AD235" s="4" cm="1">
        <f t="array" ref="AD235">INDEX(GMW!$A$2:$LR$60,MATCH(1,(GMW!$LQ$2:$LQ$60=AD$3)*(GMW!$LP$2:$LP$60=AD$4)*(GMW!$LR$2:$LR$60=AD$1),0),$C235-1966)</f>
        <v>195643.3</v>
      </c>
      <c r="AE235" s="4" cm="1">
        <f t="array" ref="AE235">INDEX(GMW!$A$2:$LR$60,MATCH(1,(GMW!$LQ$2:$LQ$60=AE$3)*(GMW!$LP$2:$LP$60=AE$4)*(GMW!$LR$2:$LR$60=AE$1),0),$C235-1966)</f>
        <v>210941.7</v>
      </c>
      <c r="AF235" s="4" cm="1">
        <f t="array" ref="AF235">INDEX(GMW!$A$2:$LR$60,MATCH(1,(GMW!$LQ$2:$LQ$60=AF$3)*(GMW!$LP$2:$LP$60=AF$4)*(GMW!$LR$2:$LR$60=AF$1),0),$C235-1966)</f>
        <v>2.1064639999999999</v>
      </c>
      <c r="AG235" s="4" cm="1">
        <f t="array" ref="AG235">INDEX(GMW!$A$2:$LR$60,MATCH(1,(GMW!$LQ$2:$LQ$60=AG$3)*(GMW!$LP$2:$LP$60=AG$4)*(GMW!$LR$2:$LR$60=AG$1),0),$C235-1966)</f>
        <v>2.4334739999999999</v>
      </c>
    </row>
    <row r="236" spans="1:33" x14ac:dyDescent="0.25">
      <c r="B236" s="4">
        <f t="shared" si="7"/>
        <v>2030</v>
      </c>
      <c r="C236" s="4">
        <f t="shared" si="6"/>
        <v>2202</v>
      </c>
      <c r="D236" s="4" cm="1">
        <f t="array" ref="D236">INDEX(GMW!$A$2:$LR$60,MATCH(1,(GMW!$LQ$2:$LQ$60=D$3)*(GMW!$LP$2:$LP$60=D$4)*(GMW!$LR$2:$LR$60=D$1),0),$C236-1966)</f>
        <v>632672.9</v>
      </c>
      <c r="E236" s="4" cm="1">
        <f t="array" ref="E236">INDEX(GMW!$A$2:$LR$60,MATCH(1,(GMW!$LQ$2:$LQ$60=E$3)*(GMW!$LP$2:$LP$60=E$4)*(GMW!$LR$2:$LR$60=E$1),0),$C236-1966)</f>
        <v>626393.5</v>
      </c>
      <c r="F236" s="4" cm="1">
        <f t="array" ref="F236">INDEX(GMW!$A$2:$LR$60,MATCH(1,(GMW!$LQ$2:$LQ$60=F$3)*(GMW!$LP$2:$LP$60=F$4)*(GMW!$LR$2:$LR$60=F$1),0),$C236-1966)</f>
        <v>626646.5</v>
      </c>
      <c r="G236" s="4" cm="1">
        <f t="array" ref="G236">INDEX(GMW!$A$2:$LR$60,MATCH(1,(GMW!$LQ$2:$LQ$60=G$3)*(GMW!$LP$2:$LP$60=G$4)*(GMW!$LR$2:$LR$60=G$1),0),$C236-1966)</f>
        <v>626646.5</v>
      </c>
      <c r="H236" s="4" cm="1">
        <f t="array" ref="H236">INDEX(GMW!$A$2:$LR$60,MATCH(1,(GMW!$LQ$2:$LQ$60=H$3)*(GMW!$LP$2:$LP$60=H$4)*(GMW!$LR$2:$LR$60=H$1),0),$C236-1966)</f>
        <v>630873.9</v>
      </c>
      <c r="I236" s="4" cm="1">
        <f t="array" ref="I236">INDEX(GMW!$A$2:$LR$60,MATCH(1,(GMW!$LQ$2:$LQ$60=I$3)*(GMW!$LP$2:$LP$60=I$4)*(GMW!$LR$2:$LR$60=I$1),0),$C236-1966)</f>
        <v>631755.30000000005</v>
      </c>
      <c r="J236" s="4" cm="1">
        <f t="array" ref="J236">INDEX(GMW!$A$2:$LR$60,MATCH(1,(GMW!$LQ$2:$LQ$60=J$3)*(GMW!$LP$2:$LP$60=J$4)*(GMW!$LR$2:$LR$60=J$1),0),$C236-1966)</f>
        <v>631752.5</v>
      </c>
      <c r="K236" s="4" cm="1">
        <f t="array" ref="K236">INDEX(GMW!$A$2:$LR$60,MATCH(1,(GMW!$LQ$2:$LQ$60=K$3)*(GMW!$LP$2:$LP$60=K$4)*(GMW!$LR$2:$LR$60=K$1),0),$C236-1966)</f>
        <v>631608.1</v>
      </c>
      <c r="L236" s="4" cm="1">
        <f t="array" ref="L236">INDEX(GMW!$A$2:$LR$60,MATCH(1,(GMW!$LQ$2:$LQ$60=L$3)*(GMW!$LP$2:$LP$60=L$4)*(GMW!$LR$2:$LR$60=L$1),0),$C236-1966)</f>
        <v>631831.6</v>
      </c>
      <c r="M236" s="4" cm="1">
        <f t="array" ref="M236">INDEX(GMW!$A$2:$LR$60,MATCH(1,(GMW!$LQ$2:$LQ$60=M$3)*(GMW!$LP$2:$LP$60=M$4)*(GMW!$LR$2:$LR$60=M$1),0),$C236-1966)</f>
        <v>631831.6</v>
      </c>
      <c r="N236" s="4" cm="1">
        <f t="array" ref="N236">INDEX(GMW!$A$2:$LR$60,MATCH(1,(GMW!$LQ$2:$LQ$60=N$3)*(GMW!$LP$2:$LP$60=N$4)*(GMW!$LR$2:$LR$60=N$1),0),$C236-1966)</f>
        <v>633726</v>
      </c>
      <c r="O236" s="4" cm="1">
        <f t="array" ref="O236">INDEX(GMW!$A$2:$LR$60,MATCH(1,(GMW!$LQ$2:$LQ$60=O$3)*(GMW!$LP$2:$LP$60=O$4)*(GMW!$LR$2:$LR$60=O$1),0),$C236-1966)</f>
        <v>633852.4</v>
      </c>
      <c r="P236" s="4" cm="1">
        <f t="array" ref="P236">INDEX(GMW!$A$2:$LR$60,MATCH(1,(GMW!$LQ$2:$LQ$60=P$3)*(GMW!$LP$2:$LP$60=P$4)*(GMW!$LR$2:$LR$60=P$1),0),$C236-1966)</f>
        <v>634302.1</v>
      </c>
      <c r="Q236" s="4" cm="1">
        <f t="array" ref="Q236">INDEX(GMW!$A$2:$LR$60,MATCH(1,(GMW!$LQ$2:$LQ$60=Q$3)*(GMW!$LP$2:$LP$60=Q$4)*(GMW!$LR$2:$LR$60=Q$1),0),$C236-1966)</f>
        <v>635593.6</v>
      </c>
      <c r="R236" s="4" cm="1">
        <f t="array" ref="R236">INDEX(GMW!$A$2:$LR$60,MATCH(1,(GMW!$LQ$2:$LQ$60=R$3)*(GMW!$LP$2:$LP$60=R$4)*(GMW!$LR$2:$LR$60=R$1),0),$C236-1966)</f>
        <v>635825.9</v>
      </c>
      <c r="S236" s="4" cm="1">
        <f t="array" ref="S236">INDEX(GMW!$A$2:$LR$60,MATCH(1,(GMW!$LQ$2:$LQ$60=S$3)*(GMW!$LP$2:$LP$60=S$4)*(GMW!$LR$2:$LR$60=S$1),0),$C236-1966)</f>
        <v>633829.1</v>
      </c>
      <c r="T236" s="4" cm="1">
        <f t="array" ref="T236">INDEX(GMW!$A$2:$LR$60,MATCH(1,(GMW!$LQ$2:$LQ$60=T$3)*(GMW!$LP$2:$LP$60=T$4)*(GMW!$LR$2:$LR$60=T$1),0),$C236-1966)</f>
        <v>633889.6</v>
      </c>
      <c r="U236" s="4" cm="1">
        <f t="array" ref="U236">INDEX(GMW!$A$2:$LR$60,MATCH(1,(GMW!$LQ$2:$LQ$60=U$3)*(GMW!$LP$2:$LP$60=U$4)*(GMW!$LR$2:$LR$60=U$1),0),$C236-1966)</f>
        <v>816.13070000000005</v>
      </c>
      <c r="V236" s="4" cm="1">
        <f t="array" ref="V236">INDEX(GMW!$A$2:$LR$60,MATCH(1,(GMW!$LQ$2:$LQ$60=V$3)*(GMW!$LP$2:$LP$60=V$4)*(GMW!$LR$2:$LR$60=V$1),0),$C236-1966)</f>
        <v>152.07579999999999</v>
      </c>
      <c r="W236" s="4" cm="1">
        <f t="array" ref="W236">INDEX(GMW!$A$2:$LR$60,MATCH(1,(GMW!$LQ$2:$LQ$60=W$3)*(GMW!$LP$2:$LP$60=W$4)*(GMW!$LR$2:$LR$60=W$1),0),$C236-1966)</f>
        <v>152.6189</v>
      </c>
      <c r="X236" s="4" cm="1">
        <f t="array" ref="X236">INDEX(GMW!$A$2:$LR$60,MATCH(1,(GMW!$LQ$2:$LQ$60=X$3)*(GMW!$LP$2:$LP$60=X$4)*(GMW!$LR$2:$LR$60=X$1),0),$C236-1966)</f>
        <v>125.2114</v>
      </c>
      <c r="Y236" s="4" cm="1">
        <f t="array" ref="Y236">INDEX(GMW!$A$2:$LR$60,MATCH(1,(GMW!$LQ$2:$LQ$60=Y$3)*(GMW!$LP$2:$LP$60=Y$4)*(GMW!$LR$2:$LR$60=Y$1),0),$C236-1966)</f>
        <v>173.78319999999999</v>
      </c>
      <c r="Z236" s="4" cm="1">
        <f t="array" ref="Z236">INDEX(GMW!$A$2:$LR$60,MATCH(1,(GMW!$LQ$2:$LQ$60=Z$3)*(GMW!$LP$2:$LP$60=Z$4)*(GMW!$LR$2:$LR$60=Z$1),0),$C236-1966)</f>
        <v>150.98099999999999</v>
      </c>
      <c r="AA236" s="4" cm="1">
        <f t="array" ref="AA236">INDEX(GMW!$A$2:$LR$60,MATCH(1,(GMW!$LQ$2:$LQ$60=AA$3)*(GMW!$LP$2:$LP$60=AA$4)*(GMW!$LR$2:$LR$60=AA$1),0),$C236-1966)</f>
        <v>376977.6</v>
      </c>
      <c r="AB236" s="4" cm="1">
        <f t="array" ref="AB236">INDEX(GMW!$A$2:$LR$60,MATCH(1,(GMW!$LQ$2:$LQ$60=AB$3)*(GMW!$LP$2:$LP$60=AB$4)*(GMW!$LR$2:$LR$60=AB$1),0),$C236-1966)</f>
        <v>119821.8</v>
      </c>
      <c r="AC236" s="4" cm="1">
        <f t="array" ref="AC236">INDEX(GMW!$A$2:$LR$60,MATCH(1,(GMW!$LQ$2:$LQ$60=AC$3)*(GMW!$LP$2:$LP$60=AC$4)*(GMW!$LR$2:$LR$60=AC$1),0),$C236-1966)</f>
        <v>132105.1</v>
      </c>
      <c r="AD236" s="4" cm="1">
        <f t="array" ref="AD236">INDEX(GMW!$A$2:$LR$60,MATCH(1,(GMW!$LQ$2:$LQ$60=AD$3)*(GMW!$LP$2:$LP$60=AD$4)*(GMW!$LR$2:$LR$60=AD$1),0),$C236-1966)</f>
        <v>196525.4</v>
      </c>
      <c r="AE236" s="4" cm="1">
        <f t="array" ref="AE236">INDEX(GMW!$A$2:$LR$60,MATCH(1,(GMW!$LQ$2:$LQ$60=AE$3)*(GMW!$LP$2:$LP$60=AE$4)*(GMW!$LR$2:$LR$60=AE$1),0),$C236-1966)</f>
        <v>211955.3</v>
      </c>
      <c r="AF236" s="4" cm="1">
        <f t="array" ref="AF236">INDEX(GMW!$A$2:$LR$60,MATCH(1,(GMW!$LQ$2:$LQ$60=AF$3)*(GMW!$LP$2:$LP$60=AF$4)*(GMW!$LR$2:$LR$60=AF$1),0),$C236-1966)</f>
        <v>2.1064639999999999</v>
      </c>
      <c r="AG236" s="4" cm="1">
        <f t="array" ref="AG236">INDEX(GMW!$A$2:$LR$60,MATCH(1,(GMW!$LQ$2:$LQ$60=AG$3)*(GMW!$LP$2:$LP$60=AG$4)*(GMW!$LR$2:$LR$60=AG$1),0),$C236-1966)</f>
        <v>2.4334739999999999</v>
      </c>
    </row>
    <row r="237" spans="1:33" x14ac:dyDescent="0.25">
      <c r="B237" s="4">
        <f t="shared" si="7"/>
        <v>2030</v>
      </c>
      <c r="C237" s="4">
        <f t="shared" si="6"/>
        <v>2203</v>
      </c>
      <c r="D237" s="4" cm="1">
        <f t="array" ref="D237">INDEX(GMW!$A$2:$LR$60,MATCH(1,(GMW!$LQ$2:$LQ$60=D$3)*(GMW!$LP$2:$LP$60=D$4)*(GMW!$LR$2:$LR$60=D$1),0),$C237-1966)</f>
        <v>635045.4</v>
      </c>
      <c r="E237" s="4" cm="1">
        <f t="array" ref="E237">INDEX(GMW!$A$2:$LR$60,MATCH(1,(GMW!$LQ$2:$LQ$60=E$3)*(GMW!$LP$2:$LP$60=E$4)*(GMW!$LR$2:$LR$60=E$1),0),$C237-1966)</f>
        <v>628585.9</v>
      </c>
      <c r="F237" s="4" cm="1">
        <f t="array" ref="F237">INDEX(GMW!$A$2:$LR$60,MATCH(1,(GMW!$LQ$2:$LQ$60=F$3)*(GMW!$LP$2:$LP$60=F$4)*(GMW!$LR$2:$LR$60=F$1),0),$C237-1966)</f>
        <v>628839.80000000005</v>
      </c>
      <c r="G237" s="4" cm="1">
        <f t="array" ref="G237">INDEX(GMW!$A$2:$LR$60,MATCH(1,(GMW!$LQ$2:$LQ$60=G$3)*(GMW!$LP$2:$LP$60=G$4)*(GMW!$LR$2:$LR$60=G$1),0),$C237-1966)</f>
        <v>628839.80000000005</v>
      </c>
      <c r="H237" s="4" cm="1">
        <f t="array" ref="H237">INDEX(GMW!$A$2:$LR$60,MATCH(1,(GMW!$LQ$2:$LQ$60=H$3)*(GMW!$LP$2:$LP$60=H$4)*(GMW!$LR$2:$LR$60=H$1),0),$C237-1966)</f>
        <v>633271.30000000005</v>
      </c>
      <c r="I237" s="4" cm="1">
        <f t="array" ref="I237">INDEX(GMW!$A$2:$LR$60,MATCH(1,(GMW!$LQ$2:$LQ$60=I$3)*(GMW!$LP$2:$LP$60=I$4)*(GMW!$LR$2:$LR$60=I$1),0),$C237-1966)</f>
        <v>634155.9</v>
      </c>
      <c r="J237" s="4" cm="1">
        <f t="array" ref="J237">INDEX(GMW!$A$2:$LR$60,MATCH(1,(GMW!$LQ$2:$LQ$60=J$3)*(GMW!$LP$2:$LP$60=J$4)*(GMW!$LR$2:$LR$60=J$1),0),$C237-1966)</f>
        <v>634153.19999999995</v>
      </c>
      <c r="K237" s="4" cm="1">
        <f t="array" ref="K237">INDEX(GMW!$A$2:$LR$60,MATCH(1,(GMW!$LQ$2:$LQ$60=K$3)*(GMW!$LP$2:$LP$60=K$4)*(GMW!$LR$2:$LR$60=K$1),0),$C237-1966)</f>
        <v>634008.19999999995</v>
      </c>
      <c r="L237" s="4" cm="1">
        <f t="array" ref="L237">INDEX(GMW!$A$2:$LR$60,MATCH(1,(GMW!$LQ$2:$LQ$60=L$3)*(GMW!$LP$2:$LP$60=L$4)*(GMW!$LR$2:$LR$60=L$1),0),$C237-1966)</f>
        <v>634169.30000000005</v>
      </c>
      <c r="M237" s="4" cm="1">
        <f t="array" ref="M237">INDEX(GMW!$A$2:$LR$60,MATCH(1,(GMW!$LQ$2:$LQ$60=M$3)*(GMW!$LP$2:$LP$60=M$4)*(GMW!$LR$2:$LR$60=M$1),0),$C237-1966)</f>
        <v>634169.30000000005</v>
      </c>
      <c r="N237" s="4" cm="1">
        <f t="array" ref="N237">INDEX(GMW!$A$2:$LR$60,MATCH(1,(GMW!$LQ$2:$LQ$60=N$3)*(GMW!$LP$2:$LP$60=N$4)*(GMW!$LR$2:$LR$60=N$1),0),$C237-1966)</f>
        <v>636102.40000000002</v>
      </c>
      <c r="O237" s="4" cm="1">
        <f t="array" ref="O237">INDEX(GMW!$A$2:$LR$60,MATCH(1,(GMW!$LQ$2:$LQ$60=O$3)*(GMW!$LP$2:$LP$60=O$4)*(GMW!$LR$2:$LR$60=O$1),0),$C237-1966)</f>
        <v>636229.4</v>
      </c>
      <c r="P237" s="4" cm="1">
        <f t="array" ref="P237">INDEX(GMW!$A$2:$LR$60,MATCH(1,(GMW!$LQ$2:$LQ$60=P$3)*(GMW!$LP$2:$LP$60=P$4)*(GMW!$LR$2:$LR$60=P$1),0),$C237-1966)</f>
        <v>636680.69999999995</v>
      </c>
      <c r="Q237" s="4" cm="1">
        <f t="array" ref="Q237">INDEX(GMW!$A$2:$LR$60,MATCH(1,(GMW!$LQ$2:$LQ$60=Q$3)*(GMW!$LP$2:$LP$60=Q$4)*(GMW!$LR$2:$LR$60=Q$1),0),$C237-1966)</f>
        <v>637977</v>
      </c>
      <c r="R237" s="4" cm="1">
        <f t="array" ref="R237">INDEX(GMW!$A$2:$LR$60,MATCH(1,(GMW!$LQ$2:$LQ$60=R$3)*(GMW!$LP$2:$LP$60=R$4)*(GMW!$LR$2:$LR$60=R$1),0),$C237-1966)</f>
        <v>638210.30000000005</v>
      </c>
      <c r="S237" s="4" cm="1">
        <f t="array" ref="S237">INDEX(GMW!$A$2:$LR$60,MATCH(1,(GMW!$LQ$2:$LQ$60=S$3)*(GMW!$LP$2:$LP$60=S$4)*(GMW!$LR$2:$LR$60=S$1),0),$C237-1966)</f>
        <v>636205.9</v>
      </c>
      <c r="T237" s="4" cm="1">
        <f t="array" ref="T237">INDEX(GMW!$A$2:$LR$60,MATCH(1,(GMW!$LQ$2:$LQ$60=T$3)*(GMW!$LP$2:$LP$60=T$4)*(GMW!$LR$2:$LR$60=T$1),0),$C237-1966)</f>
        <v>636266.80000000005</v>
      </c>
      <c r="U237" s="4" cm="1">
        <f t="array" ref="U237">INDEX(GMW!$A$2:$LR$60,MATCH(1,(GMW!$LQ$2:$LQ$60=U$3)*(GMW!$LP$2:$LP$60=U$4)*(GMW!$LR$2:$LR$60=U$1),0),$C237-1966)</f>
        <v>821.75160000000005</v>
      </c>
      <c r="V237" s="4" cm="1">
        <f t="array" ref="V237">INDEX(GMW!$A$2:$LR$60,MATCH(1,(GMW!$LQ$2:$LQ$60=V$3)*(GMW!$LP$2:$LP$60=V$4)*(GMW!$LR$2:$LR$60=V$1),0),$C237-1966)</f>
        <v>152.79689999999999</v>
      </c>
      <c r="W237" s="4" cm="1">
        <f t="array" ref="W237">INDEX(GMW!$A$2:$LR$60,MATCH(1,(GMW!$LQ$2:$LQ$60=W$3)*(GMW!$LP$2:$LP$60=W$4)*(GMW!$LR$2:$LR$60=W$1),0),$C237-1966)</f>
        <v>152.41550000000001</v>
      </c>
      <c r="X237" s="4" cm="1">
        <f t="array" ref="X237">INDEX(GMW!$A$2:$LR$60,MATCH(1,(GMW!$LQ$2:$LQ$60=X$3)*(GMW!$LP$2:$LP$60=X$4)*(GMW!$LR$2:$LR$60=X$1),0),$C237-1966)</f>
        <v>125.1957</v>
      </c>
      <c r="Y237" s="4" cm="1">
        <f t="array" ref="Y237">INDEX(GMW!$A$2:$LR$60,MATCH(1,(GMW!$LQ$2:$LQ$60=Y$3)*(GMW!$LP$2:$LP$60=Y$4)*(GMW!$LR$2:$LR$60=Y$1),0),$C237-1966)</f>
        <v>175.14</v>
      </c>
      <c r="Z237" s="4" cm="1">
        <f t="array" ref="Z237">INDEX(GMW!$A$2:$LR$60,MATCH(1,(GMW!$LQ$2:$LQ$60=Z$3)*(GMW!$LP$2:$LP$60=Z$4)*(GMW!$LR$2:$LR$60=Z$1),0),$C237-1966)</f>
        <v>151.88159999999999</v>
      </c>
      <c r="AA237" s="4" cm="1">
        <f t="array" ref="AA237">INDEX(GMW!$A$2:$LR$60,MATCH(1,(GMW!$LQ$2:$LQ$60=AA$3)*(GMW!$LP$2:$LP$60=AA$4)*(GMW!$LR$2:$LR$60=AA$1),0),$C237-1966)</f>
        <v>378353.6</v>
      </c>
      <c r="AB237" s="4" cm="1">
        <f t="array" ref="AB237">INDEX(GMW!$A$2:$LR$60,MATCH(1,(GMW!$LQ$2:$LQ$60=AB$3)*(GMW!$LP$2:$LP$60=AB$4)*(GMW!$LR$2:$LR$60=AB$1),0),$C237-1966)</f>
        <v>120454.8</v>
      </c>
      <c r="AC237" s="4" cm="1">
        <f t="array" ref="AC237">INDEX(GMW!$A$2:$LR$60,MATCH(1,(GMW!$LQ$2:$LQ$60=AC$3)*(GMW!$LP$2:$LP$60=AC$4)*(GMW!$LR$2:$LR$60=AC$1),0),$C237-1966)</f>
        <v>132567.5</v>
      </c>
      <c r="AD237" s="4" cm="1">
        <f t="array" ref="AD237">INDEX(GMW!$A$2:$LR$60,MATCH(1,(GMW!$LQ$2:$LQ$60=AD$3)*(GMW!$LP$2:$LP$60=AD$4)*(GMW!$LR$2:$LR$60=AD$1),0),$C237-1966)</f>
        <v>197412</v>
      </c>
      <c r="AE237" s="4" cm="1">
        <f t="array" ref="AE237">INDEX(GMW!$A$2:$LR$60,MATCH(1,(GMW!$LQ$2:$LQ$60=AE$3)*(GMW!$LP$2:$LP$60=AE$4)*(GMW!$LR$2:$LR$60=AE$1),0),$C237-1966)</f>
        <v>212994.2</v>
      </c>
      <c r="AF237" s="4" cm="1">
        <f t="array" ref="AF237">INDEX(GMW!$A$2:$LR$60,MATCH(1,(GMW!$LQ$2:$LQ$60=AF$3)*(GMW!$LP$2:$LP$60=AF$4)*(GMW!$LR$2:$LR$60=AF$1),0),$C237-1966)</f>
        <v>2.1064639999999999</v>
      </c>
      <c r="AG237" s="4" cm="1">
        <f t="array" ref="AG237">INDEX(GMW!$A$2:$LR$60,MATCH(1,(GMW!$LQ$2:$LQ$60=AG$3)*(GMW!$LP$2:$LP$60=AG$4)*(GMW!$LR$2:$LR$60=AG$1),0),$C237-1966)</f>
        <v>2.4334739999999999</v>
      </c>
    </row>
    <row r="238" spans="1:33" x14ac:dyDescent="0.25">
      <c r="B238" s="4">
        <f t="shared" si="7"/>
        <v>2030</v>
      </c>
      <c r="C238" s="4">
        <f t="shared" si="6"/>
        <v>2204</v>
      </c>
      <c r="D238" s="4" cm="1">
        <f t="array" ref="D238">INDEX(GMW!$A$2:$LR$60,MATCH(1,(GMW!$LQ$2:$LQ$60=D$3)*(GMW!$LP$2:$LP$60=D$4)*(GMW!$LR$2:$LR$60=D$1),0),$C238-1966)</f>
        <v>637426.9</v>
      </c>
      <c r="E238" s="4" cm="1">
        <f t="array" ref="E238">INDEX(GMW!$A$2:$LR$60,MATCH(1,(GMW!$LQ$2:$LQ$60=E$3)*(GMW!$LP$2:$LP$60=E$4)*(GMW!$LR$2:$LR$60=E$1),0),$C238-1966)</f>
        <v>630785.9</v>
      </c>
      <c r="F238" s="4" cm="1">
        <f t="array" ref="F238">INDEX(GMW!$A$2:$LR$60,MATCH(1,(GMW!$LQ$2:$LQ$60=F$3)*(GMW!$LP$2:$LP$60=F$4)*(GMW!$LR$2:$LR$60=F$1),0),$C238-1966)</f>
        <v>631040.69999999995</v>
      </c>
      <c r="G238" s="4" cm="1">
        <f t="array" ref="G238">INDEX(GMW!$A$2:$LR$60,MATCH(1,(GMW!$LQ$2:$LQ$60=G$3)*(GMW!$LP$2:$LP$60=G$4)*(GMW!$LR$2:$LR$60=G$1),0),$C238-1966)</f>
        <v>631040.69999999995</v>
      </c>
      <c r="H238" s="4" cm="1">
        <f t="array" ref="H238">INDEX(GMW!$A$2:$LR$60,MATCH(1,(GMW!$LQ$2:$LQ$60=H$3)*(GMW!$LP$2:$LP$60=H$4)*(GMW!$LR$2:$LR$60=H$1),0),$C238-1966)</f>
        <v>635677.69999999995</v>
      </c>
      <c r="I238" s="4" cm="1">
        <f t="array" ref="I238">INDEX(GMW!$A$2:$LR$60,MATCH(1,(GMW!$LQ$2:$LQ$60=I$3)*(GMW!$LP$2:$LP$60=I$4)*(GMW!$LR$2:$LR$60=I$1),0),$C238-1966)</f>
        <v>636565.80000000005</v>
      </c>
      <c r="J238" s="4" cm="1">
        <f t="array" ref="J238">INDEX(GMW!$A$2:$LR$60,MATCH(1,(GMW!$LQ$2:$LQ$60=J$3)*(GMW!$LP$2:$LP$60=J$4)*(GMW!$LR$2:$LR$60=J$1),0),$C238-1966)</f>
        <v>636562.9</v>
      </c>
      <c r="K238" s="4" cm="1">
        <f t="array" ref="K238">INDEX(GMW!$A$2:$LR$60,MATCH(1,(GMW!$LQ$2:$LQ$60=K$3)*(GMW!$LP$2:$LP$60=K$4)*(GMW!$LR$2:$LR$60=K$1),0),$C238-1966)</f>
        <v>636417.4</v>
      </c>
      <c r="L238" s="4" cm="1">
        <f t="array" ref="L238">INDEX(GMW!$A$2:$LR$60,MATCH(1,(GMW!$LQ$2:$LQ$60=L$3)*(GMW!$LP$2:$LP$60=L$4)*(GMW!$LR$2:$LR$60=L$1),0),$C238-1966)</f>
        <v>636547.5</v>
      </c>
      <c r="M238" s="4" cm="1">
        <f t="array" ref="M238">INDEX(GMW!$A$2:$LR$60,MATCH(1,(GMW!$LQ$2:$LQ$60=M$3)*(GMW!$LP$2:$LP$60=M$4)*(GMW!$LR$2:$LR$60=M$1),0),$C238-1966)</f>
        <v>636547.5</v>
      </c>
      <c r="N238" s="4" cm="1">
        <f t="array" ref="N238">INDEX(GMW!$A$2:$LR$60,MATCH(1,(GMW!$LQ$2:$LQ$60=N$3)*(GMW!$LP$2:$LP$60=N$4)*(GMW!$LR$2:$LR$60=N$1),0),$C238-1966)</f>
        <v>638487.80000000005</v>
      </c>
      <c r="O238" s="4" cm="1">
        <f t="array" ref="O238">INDEX(GMW!$A$2:$LR$60,MATCH(1,(GMW!$LQ$2:$LQ$60=O$3)*(GMW!$LP$2:$LP$60=O$4)*(GMW!$LR$2:$LR$60=O$1),0),$C238-1966)</f>
        <v>638615.30000000005</v>
      </c>
      <c r="P238" s="4" cm="1">
        <f t="array" ref="P238">INDEX(GMW!$A$2:$LR$60,MATCH(1,(GMW!$LQ$2:$LQ$60=P$3)*(GMW!$LP$2:$LP$60=P$4)*(GMW!$LR$2:$LR$60=P$1),0),$C238-1966)</f>
        <v>639068.19999999995</v>
      </c>
      <c r="Q238" s="4" cm="1">
        <f t="array" ref="Q238">INDEX(GMW!$A$2:$LR$60,MATCH(1,(GMW!$LQ$2:$LQ$60=Q$3)*(GMW!$LP$2:$LP$60=Q$4)*(GMW!$LR$2:$LR$60=Q$1),0),$C238-1966)</f>
        <v>640369.4</v>
      </c>
      <c r="R238" s="4" cm="1">
        <f t="array" ref="R238">INDEX(GMW!$A$2:$LR$60,MATCH(1,(GMW!$LQ$2:$LQ$60=R$3)*(GMW!$LP$2:$LP$60=R$4)*(GMW!$LR$2:$LR$60=R$1),0),$C238-1966)</f>
        <v>640603.6</v>
      </c>
      <c r="S238" s="4" cm="1">
        <f t="array" ref="S238">INDEX(GMW!$A$2:$LR$60,MATCH(1,(GMW!$LQ$2:$LQ$60=S$3)*(GMW!$LP$2:$LP$60=S$4)*(GMW!$LR$2:$LR$60=S$1),0),$C238-1966)</f>
        <v>638591.69999999995</v>
      </c>
      <c r="T238" s="4" cm="1">
        <f t="array" ref="T238">INDEX(GMW!$A$2:$LR$60,MATCH(1,(GMW!$LQ$2:$LQ$60=T$3)*(GMW!$LP$2:$LP$60=T$4)*(GMW!$LR$2:$LR$60=T$1),0),$C238-1966)</f>
        <v>638652.80000000005</v>
      </c>
      <c r="U238" s="4" cm="1">
        <f t="array" ref="U238">INDEX(GMW!$A$2:$LR$60,MATCH(1,(GMW!$LQ$2:$LQ$60=U$3)*(GMW!$LP$2:$LP$60=U$4)*(GMW!$LR$2:$LR$60=U$1),0),$C238-1966)</f>
        <v>827.43489999999997</v>
      </c>
      <c r="V238" s="4" cm="1">
        <f t="array" ref="V238">INDEX(GMW!$A$2:$LR$60,MATCH(1,(GMW!$LQ$2:$LQ$60=V$3)*(GMW!$LP$2:$LP$60=V$4)*(GMW!$LR$2:$LR$60=V$1),0),$C238-1966)</f>
        <v>153.53370000000001</v>
      </c>
      <c r="W238" s="4" cm="1">
        <f t="array" ref="W238">INDEX(GMW!$A$2:$LR$60,MATCH(1,(GMW!$LQ$2:$LQ$60=W$3)*(GMW!$LP$2:$LP$60=W$4)*(GMW!$LR$2:$LR$60=W$1),0),$C238-1966)</f>
        <v>153.0847</v>
      </c>
      <c r="X238" s="4" cm="1">
        <f t="array" ref="X238">INDEX(GMW!$A$2:$LR$60,MATCH(1,(GMW!$LQ$2:$LQ$60=X$3)*(GMW!$LP$2:$LP$60=X$4)*(GMW!$LR$2:$LR$60=X$1),0),$C238-1966)</f>
        <v>125.18049999999999</v>
      </c>
      <c r="Y238" s="4" cm="1">
        <f t="array" ref="Y238">INDEX(GMW!$A$2:$LR$60,MATCH(1,(GMW!$LQ$2:$LQ$60=Y$3)*(GMW!$LP$2:$LP$60=Y$4)*(GMW!$LR$2:$LR$60=Y$1),0),$C238-1966)</f>
        <v>176.51159999999999</v>
      </c>
      <c r="Z238" s="4" cm="1">
        <f t="array" ref="Z238">INDEX(GMW!$A$2:$LR$60,MATCH(1,(GMW!$LQ$2:$LQ$60=Z$3)*(GMW!$LP$2:$LP$60=Z$4)*(GMW!$LR$2:$LR$60=Z$1),0),$C238-1966)</f>
        <v>152.6319</v>
      </c>
      <c r="AA238" s="4" cm="1">
        <f t="array" ref="AA238">INDEX(GMW!$A$2:$LR$60,MATCH(1,(GMW!$LQ$2:$LQ$60=AA$3)*(GMW!$LP$2:$LP$60=AA$4)*(GMW!$LR$2:$LR$60=AA$1),0),$C238-1966)</f>
        <v>379734.6</v>
      </c>
      <c r="AB238" s="4" cm="1">
        <f t="array" ref="AB238">INDEX(GMW!$A$2:$LR$60,MATCH(1,(GMW!$LQ$2:$LQ$60=AB$3)*(GMW!$LP$2:$LP$60=AB$4)*(GMW!$LR$2:$LR$60=AB$1),0),$C238-1966)</f>
        <v>121091.3</v>
      </c>
      <c r="AC238" s="4" cm="1">
        <f t="array" ref="AC238">INDEX(GMW!$A$2:$LR$60,MATCH(1,(GMW!$LQ$2:$LQ$60=AC$3)*(GMW!$LP$2:$LP$60=AC$4)*(GMW!$LR$2:$LR$60=AC$1),0),$C238-1966)</f>
        <v>133031.5</v>
      </c>
      <c r="AD238" s="4" cm="1">
        <f t="array" ref="AD238">INDEX(GMW!$A$2:$LR$60,MATCH(1,(GMW!$LQ$2:$LQ$60=AD$3)*(GMW!$LP$2:$LP$60=AD$4)*(GMW!$LR$2:$LR$60=AD$1),0),$C238-1966)</f>
        <v>198319</v>
      </c>
      <c r="AE238" s="4" cm="1">
        <f t="array" ref="AE238">INDEX(GMW!$A$2:$LR$60,MATCH(1,(GMW!$LQ$2:$LQ$60=AE$3)*(GMW!$LP$2:$LP$60=AE$4)*(GMW!$LR$2:$LR$60=AE$1),0),$C238-1966)</f>
        <v>214058.4</v>
      </c>
      <c r="AF238" s="4" cm="1">
        <f t="array" ref="AF238">INDEX(GMW!$A$2:$LR$60,MATCH(1,(GMW!$LQ$2:$LQ$60=AF$3)*(GMW!$LP$2:$LP$60=AF$4)*(GMW!$LR$2:$LR$60=AF$1),0),$C238-1966)</f>
        <v>2.1064639999999999</v>
      </c>
      <c r="AG238" s="4" cm="1">
        <f t="array" ref="AG238">INDEX(GMW!$A$2:$LR$60,MATCH(1,(GMW!$LQ$2:$LQ$60=AG$3)*(GMW!$LP$2:$LP$60=AG$4)*(GMW!$LR$2:$LR$60=AG$1),0),$C238-1966)</f>
        <v>2.4334739999999999</v>
      </c>
    </row>
    <row r="239" spans="1:33" x14ac:dyDescent="0.25">
      <c r="A239" s="4">
        <v>2031</v>
      </c>
      <c r="B239" s="4">
        <f t="shared" si="7"/>
        <v>2031</v>
      </c>
      <c r="C239" s="4">
        <f t="shared" si="6"/>
        <v>2205</v>
      </c>
      <c r="D239" s="4" cm="1">
        <f t="array" ref="D239">INDEX(GMW!$A$2:$LR$60,MATCH(1,(GMW!$LQ$2:$LQ$60=D$3)*(GMW!$LP$2:$LP$60=D$4)*(GMW!$LR$2:$LR$60=D$1),0),$C239-1966)</f>
        <v>639817.30000000005</v>
      </c>
      <c r="E239" s="4" cm="1">
        <f t="array" ref="E239">INDEX(GMW!$A$2:$LR$60,MATCH(1,(GMW!$LQ$2:$LQ$60=E$3)*(GMW!$LP$2:$LP$60=E$4)*(GMW!$LR$2:$LR$60=E$1),0),$C239-1966)</f>
        <v>633021.1</v>
      </c>
      <c r="F239" s="4" cm="1">
        <f t="array" ref="F239">INDEX(GMW!$A$2:$LR$60,MATCH(1,(GMW!$LQ$2:$LQ$60=F$3)*(GMW!$LP$2:$LP$60=F$4)*(GMW!$LR$2:$LR$60=F$1),0),$C239-1966)</f>
        <v>633276.5</v>
      </c>
      <c r="G239" s="4" cm="1">
        <f t="array" ref="G239">INDEX(GMW!$A$2:$LR$60,MATCH(1,(GMW!$LQ$2:$LQ$60=G$3)*(GMW!$LP$2:$LP$60=G$4)*(GMW!$LR$2:$LR$60=G$1),0),$C239-1966)</f>
        <v>633276.5</v>
      </c>
      <c r="H239" s="4" cm="1">
        <f t="array" ref="H239">INDEX(GMW!$A$2:$LR$60,MATCH(1,(GMW!$LQ$2:$LQ$60=H$3)*(GMW!$LP$2:$LP$60=H$4)*(GMW!$LR$2:$LR$60=H$1),0),$C239-1966)</f>
        <v>638093.30000000005</v>
      </c>
      <c r="I239" s="4" cm="1">
        <f t="array" ref="I239">INDEX(GMW!$A$2:$LR$60,MATCH(1,(GMW!$LQ$2:$LQ$60=I$3)*(GMW!$LP$2:$LP$60=I$4)*(GMW!$LR$2:$LR$60=I$1),0),$C239-1966)</f>
        <v>638984.69999999995</v>
      </c>
      <c r="J239" s="4" cm="1">
        <f t="array" ref="J239">INDEX(GMW!$A$2:$LR$60,MATCH(1,(GMW!$LQ$2:$LQ$60=J$3)*(GMW!$LP$2:$LP$60=J$4)*(GMW!$LR$2:$LR$60=J$1),0),$C239-1966)</f>
        <v>638981.9</v>
      </c>
      <c r="K239" s="4" cm="1">
        <f t="array" ref="K239">INDEX(GMW!$A$2:$LR$60,MATCH(1,(GMW!$LQ$2:$LQ$60=K$3)*(GMW!$LP$2:$LP$60=K$4)*(GMW!$LR$2:$LR$60=K$1),0),$C239-1966)</f>
        <v>638804</v>
      </c>
      <c r="L239" s="4" cm="1">
        <f t="array" ref="L239">INDEX(GMW!$A$2:$LR$60,MATCH(1,(GMW!$LQ$2:$LQ$60=L$3)*(GMW!$LP$2:$LP$60=L$4)*(GMW!$LR$2:$LR$60=L$1),0),$C239-1966)</f>
        <v>638934.5</v>
      </c>
      <c r="M239" s="4" cm="1">
        <f t="array" ref="M239">INDEX(GMW!$A$2:$LR$60,MATCH(1,(GMW!$LQ$2:$LQ$60=M$3)*(GMW!$LP$2:$LP$60=M$4)*(GMW!$LR$2:$LR$60=M$1),0),$C239-1966)</f>
        <v>638934.5</v>
      </c>
      <c r="N239" s="4" cm="1">
        <f t="array" ref="N239">INDEX(GMW!$A$2:$LR$60,MATCH(1,(GMW!$LQ$2:$LQ$60=N$3)*(GMW!$LP$2:$LP$60=N$4)*(GMW!$LR$2:$LR$60=N$1),0),$C239-1966)</f>
        <v>640882.1</v>
      </c>
      <c r="O239" s="4" cm="1">
        <f t="array" ref="O239">INDEX(GMW!$A$2:$LR$60,MATCH(1,(GMW!$LQ$2:$LQ$60=O$3)*(GMW!$LP$2:$LP$60=O$4)*(GMW!$LR$2:$LR$60=O$1),0),$C239-1966)</f>
        <v>641010.1</v>
      </c>
      <c r="P239" s="4" cm="1">
        <f t="array" ref="P239">INDEX(GMW!$A$2:$LR$60,MATCH(1,(GMW!$LQ$2:$LQ$60=P$3)*(GMW!$LP$2:$LP$60=P$4)*(GMW!$LR$2:$LR$60=P$1),0),$C239-1966)</f>
        <v>641464.80000000005</v>
      </c>
      <c r="Q239" s="4" cm="1">
        <f t="array" ref="Q239">INDEX(GMW!$A$2:$LR$60,MATCH(1,(GMW!$LQ$2:$LQ$60=Q$3)*(GMW!$LP$2:$LP$60=Q$4)*(GMW!$LR$2:$LR$60=Q$1),0),$C239-1966)</f>
        <v>642770.80000000005</v>
      </c>
      <c r="R239" s="4" cm="1">
        <f t="array" ref="R239">INDEX(GMW!$A$2:$LR$60,MATCH(1,(GMW!$LQ$2:$LQ$60=R$3)*(GMW!$LP$2:$LP$60=R$4)*(GMW!$LR$2:$LR$60=R$1),0),$C239-1966)</f>
        <v>643005.80000000005</v>
      </c>
      <c r="S239" s="4" cm="1">
        <f t="array" ref="S239">INDEX(GMW!$A$2:$LR$60,MATCH(1,(GMW!$LQ$2:$LQ$60=S$3)*(GMW!$LP$2:$LP$60=S$4)*(GMW!$LR$2:$LR$60=S$1),0),$C239-1966)</f>
        <v>640986.4</v>
      </c>
      <c r="T239" s="4" cm="1">
        <f t="array" ref="T239">INDEX(GMW!$A$2:$LR$60,MATCH(1,(GMW!$LQ$2:$LQ$60=T$3)*(GMW!$LP$2:$LP$60=T$4)*(GMW!$LR$2:$LR$60=T$1),0),$C239-1966)</f>
        <v>641047.69999999995</v>
      </c>
      <c r="U239" s="4" cm="1">
        <f t="array" ref="U239">INDEX(GMW!$A$2:$LR$60,MATCH(1,(GMW!$LQ$2:$LQ$60=U$3)*(GMW!$LP$2:$LP$60=U$4)*(GMW!$LR$2:$LR$60=U$1),0),$C239-1966)</f>
        <v>833.19870000000003</v>
      </c>
      <c r="V239" s="4" cm="1">
        <f t="array" ref="V239">INDEX(GMW!$A$2:$LR$60,MATCH(1,(GMW!$LQ$2:$LQ$60=V$3)*(GMW!$LP$2:$LP$60=V$4)*(GMW!$LR$2:$LR$60=V$1),0),$C239-1966)</f>
        <v>153.77420000000001</v>
      </c>
      <c r="W239" s="4" cm="1">
        <f t="array" ref="W239">INDEX(GMW!$A$2:$LR$60,MATCH(1,(GMW!$LQ$2:$LQ$60=W$3)*(GMW!$LP$2:$LP$60=W$4)*(GMW!$LR$2:$LR$60=W$1),0),$C239-1966)</f>
        <v>154.4845</v>
      </c>
      <c r="X239" s="4" cm="1">
        <f t="array" ref="X239">INDEX(GMW!$A$2:$LR$60,MATCH(1,(GMW!$LQ$2:$LQ$60=X$3)*(GMW!$LP$2:$LP$60=X$4)*(GMW!$LR$2:$LR$60=X$1),0),$C239-1966)</f>
        <v>125.1657</v>
      </c>
      <c r="Y239" s="4" cm="1">
        <f t="array" ref="Y239">INDEX(GMW!$A$2:$LR$60,MATCH(1,(GMW!$LQ$2:$LQ$60=Y$3)*(GMW!$LP$2:$LP$60=Y$4)*(GMW!$LR$2:$LR$60=Y$1),0),$C239-1966)</f>
        <v>177.89660000000001</v>
      </c>
      <c r="Z239" s="4" cm="1">
        <f t="array" ref="Z239">INDEX(GMW!$A$2:$LR$60,MATCH(1,(GMW!$LQ$2:$LQ$60=Z$3)*(GMW!$LP$2:$LP$60=Z$4)*(GMW!$LR$2:$LR$60=Z$1),0),$C239-1966)</f>
        <v>152.6037</v>
      </c>
      <c r="AA239" s="4" cm="1">
        <f t="array" ref="AA239">INDEX(GMW!$A$2:$LR$60,MATCH(1,(GMW!$LQ$2:$LQ$60=AA$3)*(GMW!$LP$2:$LP$60=AA$4)*(GMW!$LR$2:$LR$60=AA$1),0),$C239-1966)</f>
        <v>381139.6</v>
      </c>
      <c r="AB239" s="4" cm="1">
        <f t="array" ref="AB239">INDEX(GMW!$A$2:$LR$60,MATCH(1,(GMW!$LQ$2:$LQ$60=AB$3)*(GMW!$LP$2:$LP$60=AB$4)*(GMW!$LR$2:$LR$60=AB$1),0),$C239-1966)</f>
        <v>121731.2</v>
      </c>
      <c r="AC239" s="4" cm="1">
        <f t="array" ref="AC239">INDEX(GMW!$A$2:$LR$60,MATCH(1,(GMW!$LQ$2:$LQ$60=AC$3)*(GMW!$LP$2:$LP$60=AC$4)*(GMW!$LR$2:$LR$60=AC$1),0),$C239-1966)</f>
        <v>133510.39999999999</v>
      </c>
      <c r="AD239" s="4" cm="1">
        <f t="array" ref="AD239">INDEX(GMW!$A$2:$LR$60,MATCH(1,(GMW!$LQ$2:$LQ$60=AD$3)*(GMW!$LP$2:$LP$60=AD$4)*(GMW!$LR$2:$LR$60=AD$1),0),$C239-1966)</f>
        <v>199230.8</v>
      </c>
      <c r="AE239" s="4" cm="1">
        <f t="array" ref="AE239">INDEX(GMW!$A$2:$LR$60,MATCH(1,(GMW!$LQ$2:$LQ$60=AE$3)*(GMW!$LP$2:$LP$60=AE$4)*(GMW!$LR$2:$LR$60=AE$1),0),$C239-1966)</f>
        <v>215148.3</v>
      </c>
      <c r="AF239" s="4" cm="1">
        <f t="array" ref="AF239">INDEX(GMW!$A$2:$LR$60,MATCH(1,(GMW!$LQ$2:$LQ$60=AF$3)*(GMW!$LP$2:$LP$60=AF$4)*(GMW!$LR$2:$LR$60=AF$1),0),$C239-1966)</f>
        <v>2.1064639999999999</v>
      </c>
      <c r="AG239" s="4" cm="1">
        <f t="array" ref="AG239">INDEX(GMW!$A$2:$LR$60,MATCH(1,(GMW!$LQ$2:$LQ$60=AG$3)*(GMW!$LP$2:$LP$60=AG$4)*(GMW!$LR$2:$LR$60=AG$1),0),$C239-1966)</f>
        <v>2.4334739999999999</v>
      </c>
    </row>
    <row r="240" spans="1:33" x14ac:dyDescent="0.25">
      <c r="B240" s="4">
        <f t="shared" si="7"/>
        <v>2031</v>
      </c>
      <c r="C240" s="4">
        <f t="shared" si="6"/>
        <v>2206</v>
      </c>
      <c r="D240" s="4" cm="1">
        <f t="array" ref="D240">INDEX(GMW!$A$2:$LR$60,MATCH(1,(GMW!$LQ$2:$LQ$60=D$3)*(GMW!$LP$2:$LP$60=D$4)*(GMW!$LR$2:$LR$60=D$1),0),$C240-1966)</f>
        <v>642216.6</v>
      </c>
      <c r="E240" s="4" cm="1">
        <f t="array" ref="E240">INDEX(GMW!$A$2:$LR$60,MATCH(1,(GMW!$LQ$2:$LQ$60=E$3)*(GMW!$LP$2:$LP$60=E$4)*(GMW!$LR$2:$LR$60=E$1),0),$C240-1966)</f>
        <v>635268.6</v>
      </c>
      <c r="F240" s="4" cm="1">
        <f t="array" ref="F240">INDEX(GMW!$A$2:$LR$60,MATCH(1,(GMW!$LQ$2:$LQ$60=F$3)*(GMW!$LP$2:$LP$60=F$4)*(GMW!$LR$2:$LR$60=F$1),0),$C240-1966)</f>
        <v>635524.69999999995</v>
      </c>
      <c r="G240" s="4" cm="1">
        <f t="array" ref="G240">INDEX(GMW!$A$2:$LR$60,MATCH(1,(GMW!$LQ$2:$LQ$60=G$3)*(GMW!$LP$2:$LP$60=G$4)*(GMW!$LR$2:$LR$60=G$1),0),$C240-1966)</f>
        <v>635524.69999999995</v>
      </c>
      <c r="H240" s="4" cm="1">
        <f t="array" ref="H240">INDEX(GMW!$A$2:$LR$60,MATCH(1,(GMW!$LQ$2:$LQ$60=H$3)*(GMW!$LP$2:$LP$60=H$4)*(GMW!$LR$2:$LR$60=H$1),0),$C240-1966)</f>
        <v>640518</v>
      </c>
      <c r="I240" s="4" cm="1">
        <f t="array" ref="I240">INDEX(GMW!$A$2:$LR$60,MATCH(1,(GMW!$LQ$2:$LQ$60=I$3)*(GMW!$LP$2:$LP$60=I$4)*(GMW!$LR$2:$LR$60=I$1),0),$C240-1966)</f>
        <v>641412.80000000005</v>
      </c>
      <c r="J240" s="4" cm="1">
        <f t="array" ref="J240">INDEX(GMW!$A$2:$LR$60,MATCH(1,(GMW!$LQ$2:$LQ$60=J$3)*(GMW!$LP$2:$LP$60=J$4)*(GMW!$LR$2:$LR$60=J$1),0),$C240-1966)</f>
        <v>641410</v>
      </c>
      <c r="K240" s="4" cm="1">
        <f t="array" ref="K240">INDEX(GMW!$A$2:$LR$60,MATCH(1,(GMW!$LQ$2:$LQ$60=K$3)*(GMW!$LP$2:$LP$60=K$4)*(GMW!$LR$2:$LR$60=K$1),0),$C240-1966)</f>
        <v>641231.4</v>
      </c>
      <c r="L240" s="4" cm="1">
        <f t="array" ref="L240">INDEX(GMW!$A$2:$LR$60,MATCH(1,(GMW!$LQ$2:$LQ$60=L$3)*(GMW!$LP$2:$LP$60=L$4)*(GMW!$LR$2:$LR$60=L$1),0),$C240-1966)</f>
        <v>641362.5</v>
      </c>
      <c r="M240" s="4" cm="1">
        <f t="array" ref="M240">INDEX(GMW!$A$2:$LR$60,MATCH(1,(GMW!$LQ$2:$LQ$60=M$3)*(GMW!$LP$2:$LP$60=M$4)*(GMW!$LR$2:$LR$60=M$1),0),$C240-1966)</f>
        <v>641362.5</v>
      </c>
      <c r="N240" s="4" cm="1">
        <f t="array" ref="N240">INDEX(GMW!$A$2:$LR$60,MATCH(1,(GMW!$LQ$2:$LQ$60=N$3)*(GMW!$LP$2:$LP$60=N$4)*(GMW!$LR$2:$LR$60=N$1),0),$C240-1966)</f>
        <v>643317.5</v>
      </c>
      <c r="O240" s="4" cm="1">
        <f t="array" ref="O240">INDEX(GMW!$A$2:$LR$60,MATCH(1,(GMW!$LQ$2:$LQ$60=O$3)*(GMW!$LP$2:$LP$60=O$4)*(GMW!$LR$2:$LR$60=O$1),0),$C240-1966)</f>
        <v>643445.9</v>
      </c>
      <c r="P240" s="4" cm="1">
        <f t="array" ref="P240">INDEX(GMW!$A$2:$LR$60,MATCH(1,(GMW!$LQ$2:$LQ$60=P$3)*(GMW!$LP$2:$LP$60=P$4)*(GMW!$LR$2:$LR$60=P$1),0),$C240-1966)</f>
        <v>643902.30000000005</v>
      </c>
      <c r="Q240" s="4" cm="1">
        <f t="array" ref="Q240">INDEX(GMW!$A$2:$LR$60,MATCH(1,(GMW!$LQ$2:$LQ$60=Q$3)*(GMW!$LP$2:$LP$60=Q$4)*(GMW!$LR$2:$LR$60=Q$1),0),$C240-1966)</f>
        <v>645213.4</v>
      </c>
      <c r="R240" s="4" cm="1">
        <f t="array" ref="R240">INDEX(GMW!$A$2:$LR$60,MATCH(1,(GMW!$LQ$2:$LQ$60=R$3)*(GMW!$LP$2:$LP$60=R$4)*(GMW!$LR$2:$LR$60=R$1),0),$C240-1966)</f>
        <v>645449.30000000005</v>
      </c>
      <c r="S240" s="4" cm="1">
        <f t="array" ref="S240">INDEX(GMW!$A$2:$LR$60,MATCH(1,(GMW!$LQ$2:$LQ$60=S$3)*(GMW!$LP$2:$LP$60=S$4)*(GMW!$LR$2:$LR$60=S$1),0),$C240-1966)</f>
        <v>643422.19999999995</v>
      </c>
      <c r="T240" s="4" cm="1">
        <f t="array" ref="T240">INDEX(GMW!$A$2:$LR$60,MATCH(1,(GMW!$LQ$2:$LQ$60=T$3)*(GMW!$LP$2:$LP$60=T$4)*(GMW!$LR$2:$LR$60=T$1),0),$C240-1966)</f>
        <v>643451.6</v>
      </c>
      <c r="U240" s="4" cm="1">
        <f t="array" ref="U240">INDEX(GMW!$A$2:$LR$60,MATCH(1,(GMW!$LQ$2:$LQ$60=U$3)*(GMW!$LP$2:$LP$60=U$4)*(GMW!$LR$2:$LR$60=U$1),0),$C240-1966)</f>
        <v>839.0444</v>
      </c>
      <c r="V240" s="4" cm="1">
        <f t="array" ref="V240">INDEX(GMW!$A$2:$LR$60,MATCH(1,(GMW!$LQ$2:$LQ$60=V$3)*(GMW!$LP$2:$LP$60=V$4)*(GMW!$LR$2:$LR$60=V$1),0),$C240-1966)</f>
        <v>155.1174</v>
      </c>
      <c r="W240" s="4" cm="1">
        <f t="array" ref="W240">INDEX(GMW!$A$2:$LR$60,MATCH(1,(GMW!$LQ$2:$LQ$60=W$3)*(GMW!$LP$2:$LP$60=W$4)*(GMW!$LR$2:$LR$60=W$1),0),$C240-1966)</f>
        <v>154.84630000000001</v>
      </c>
      <c r="X240" s="4" cm="1">
        <f t="array" ref="X240">INDEX(GMW!$A$2:$LR$60,MATCH(1,(GMW!$LQ$2:$LQ$60=X$3)*(GMW!$LP$2:$LP$60=X$4)*(GMW!$LR$2:$LR$60=X$1),0),$C240-1966)</f>
        <v>125.1514</v>
      </c>
      <c r="Y240" s="4" cm="1">
        <f t="array" ref="Y240">INDEX(GMW!$A$2:$LR$60,MATCH(1,(GMW!$LQ$2:$LQ$60=Y$3)*(GMW!$LP$2:$LP$60=Y$4)*(GMW!$LR$2:$LR$60=Y$1),0),$C240-1966)</f>
        <v>179.29689999999999</v>
      </c>
      <c r="Z240" s="4" cm="1">
        <f t="array" ref="Z240">INDEX(GMW!$A$2:$LR$60,MATCH(1,(GMW!$LQ$2:$LQ$60=Z$3)*(GMW!$LP$2:$LP$60=Z$4)*(GMW!$LR$2:$LR$60=Z$1),0),$C240-1966)</f>
        <v>154.18879999999999</v>
      </c>
      <c r="AA240" s="4" cm="1">
        <f t="array" ref="AA240">INDEX(GMW!$A$2:$LR$60,MATCH(1,(GMW!$LQ$2:$LQ$60=AA$3)*(GMW!$LP$2:$LP$60=AA$4)*(GMW!$LR$2:$LR$60=AA$1),0),$C240-1966)</f>
        <v>382568.9</v>
      </c>
      <c r="AB240" s="4" cm="1">
        <f t="array" ref="AB240">INDEX(GMW!$A$2:$LR$60,MATCH(1,(GMW!$LQ$2:$LQ$60=AB$3)*(GMW!$LP$2:$LP$60=AB$4)*(GMW!$LR$2:$LR$60=AB$1),0),$C240-1966)</f>
        <v>122374.7</v>
      </c>
      <c r="AC240" s="4" cm="1">
        <f t="array" ref="AC240">INDEX(GMW!$A$2:$LR$60,MATCH(1,(GMW!$LQ$2:$LQ$60=AC$3)*(GMW!$LP$2:$LP$60=AC$4)*(GMW!$LR$2:$LR$60=AC$1),0),$C240-1966)</f>
        <v>133991</v>
      </c>
      <c r="AD240" s="4" cm="1">
        <f t="array" ref="AD240">INDEX(GMW!$A$2:$LR$60,MATCH(1,(GMW!$LQ$2:$LQ$60=AD$3)*(GMW!$LP$2:$LP$60=AD$4)*(GMW!$LR$2:$LR$60=AD$1),0),$C240-1966)</f>
        <v>200163.20000000001</v>
      </c>
      <c r="AE240" s="4" cm="1">
        <f t="array" ref="AE240">INDEX(GMW!$A$2:$LR$60,MATCH(1,(GMW!$LQ$2:$LQ$60=AE$3)*(GMW!$LP$2:$LP$60=AE$4)*(GMW!$LR$2:$LR$60=AE$1),0),$C240-1966)</f>
        <v>216256.3</v>
      </c>
      <c r="AF240" s="4" cm="1">
        <f t="array" ref="AF240">INDEX(GMW!$A$2:$LR$60,MATCH(1,(GMW!$LQ$2:$LQ$60=AF$3)*(GMW!$LP$2:$LP$60=AF$4)*(GMW!$LR$2:$LR$60=AF$1),0),$C240-1966)</f>
        <v>2.1064639999999999</v>
      </c>
      <c r="AG240" s="4" cm="1">
        <f t="array" ref="AG240">INDEX(GMW!$A$2:$LR$60,MATCH(1,(GMW!$LQ$2:$LQ$60=AG$3)*(GMW!$LP$2:$LP$60=AG$4)*(GMW!$LR$2:$LR$60=AG$1),0),$C240-1966)</f>
        <v>2.4334739999999999</v>
      </c>
    </row>
    <row r="241" spans="1:33" x14ac:dyDescent="0.25">
      <c r="B241" s="4">
        <f t="shared" si="7"/>
        <v>2031</v>
      </c>
      <c r="C241" s="4">
        <f t="shared" ref="C241:C304" si="8">+C240+1</f>
        <v>2207</v>
      </c>
      <c r="D241" s="4" cm="1">
        <f t="array" ref="D241">INDEX(GMW!$A$2:$LR$60,MATCH(1,(GMW!$LQ$2:$LQ$60=D$3)*(GMW!$LP$2:$LP$60=D$4)*(GMW!$LR$2:$LR$60=D$1),0),$C241-1966)</f>
        <v>644624.9</v>
      </c>
      <c r="E241" s="4" cm="1">
        <f t="array" ref="E241">INDEX(GMW!$A$2:$LR$60,MATCH(1,(GMW!$LQ$2:$LQ$60=E$3)*(GMW!$LP$2:$LP$60=E$4)*(GMW!$LR$2:$LR$60=E$1),0),$C241-1966)</f>
        <v>637528.30000000005</v>
      </c>
      <c r="F241" s="4" cm="1">
        <f t="array" ref="F241">INDEX(GMW!$A$2:$LR$60,MATCH(1,(GMW!$LQ$2:$LQ$60=F$3)*(GMW!$LP$2:$LP$60=F$4)*(GMW!$LR$2:$LR$60=F$1),0),$C241-1966)</f>
        <v>637785.1</v>
      </c>
      <c r="G241" s="4" cm="1">
        <f t="array" ref="G241">INDEX(GMW!$A$2:$LR$60,MATCH(1,(GMW!$LQ$2:$LQ$60=G$3)*(GMW!$LP$2:$LP$60=G$4)*(GMW!$LR$2:$LR$60=G$1),0),$C241-1966)</f>
        <v>637785.1</v>
      </c>
      <c r="H241" s="4" cm="1">
        <f t="array" ref="H241">INDEX(GMW!$A$2:$LR$60,MATCH(1,(GMW!$LQ$2:$LQ$60=H$3)*(GMW!$LP$2:$LP$60=H$4)*(GMW!$LR$2:$LR$60=H$1),0),$C241-1966)</f>
        <v>642952</v>
      </c>
      <c r="I241" s="4" cm="1">
        <f t="array" ref="I241">INDEX(GMW!$A$2:$LR$60,MATCH(1,(GMW!$LQ$2:$LQ$60=I$3)*(GMW!$LP$2:$LP$60=I$4)*(GMW!$LR$2:$LR$60=I$1),0),$C241-1966)</f>
        <v>643850.19999999995</v>
      </c>
      <c r="J241" s="4" cm="1">
        <f t="array" ref="J241">INDEX(GMW!$A$2:$LR$60,MATCH(1,(GMW!$LQ$2:$LQ$60=J$3)*(GMW!$LP$2:$LP$60=J$4)*(GMW!$LR$2:$LR$60=J$1),0),$C241-1966)</f>
        <v>643847.4</v>
      </c>
      <c r="K241" s="4" cm="1">
        <f t="array" ref="K241">INDEX(GMW!$A$2:$LR$60,MATCH(1,(GMW!$LQ$2:$LQ$60=K$3)*(GMW!$LP$2:$LP$60=K$4)*(GMW!$LR$2:$LR$60=K$1),0),$C241-1966)</f>
        <v>643668.1</v>
      </c>
      <c r="L241" s="4" cm="1">
        <f t="array" ref="L241">INDEX(GMW!$A$2:$LR$60,MATCH(1,(GMW!$LQ$2:$LQ$60=L$3)*(GMW!$LP$2:$LP$60=L$4)*(GMW!$LR$2:$LR$60=L$1),0),$C241-1966)</f>
        <v>643767.6</v>
      </c>
      <c r="M241" s="4" cm="1">
        <f t="array" ref="M241">INDEX(GMW!$A$2:$LR$60,MATCH(1,(GMW!$LQ$2:$LQ$60=M$3)*(GMW!$LP$2:$LP$60=M$4)*(GMW!$LR$2:$LR$60=M$1),0),$C241-1966)</f>
        <v>643767.6</v>
      </c>
      <c r="N241" s="4" cm="1">
        <f t="array" ref="N241">INDEX(GMW!$A$2:$LR$60,MATCH(1,(GMW!$LQ$2:$LQ$60=N$3)*(GMW!$LP$2:$LP$60=N$4)*(GMW!$LR$2:$LR$60=N$1),0),$C241-1966)</f>
        <v>645762.1</v>
      </c>
      <c r="O241" s="4" cm="1">
        <f t="array" ref="O241">INDEX(GMW!$A$2:$LR$60,MATCH(1,(GMW!$LQ$2:$LQ$60=O$3)*(GMW!$LP$2:$LP$60=O$4)*(GMW!$LR$2:$LR$60=O$1),0),$C241-1966)</f>
        <v>645891</v>
      </c>
      <c r="P241" s="4" cm="1">
        <f t="array" ref="P241">INDEX(GMW!$A$2:$LR$60,MATCH(1,(GMW!$LQ$2:$LQ$60=P$3)*(GMW!$LP$2:$LP$60=P$4)*(GMW!$LR$2:$LR$60=P$1),0),$C241-1966)</f>
        <v>646349.1</v>
      </c>
      <c r="Q241" s="4" cm="1">
        <f t="array" ref="Q241">INDEX(GMW!$A$2:$LR$60,MATCH(1,(GMW!$LQ$2:$LQ$60=Q$3)*(GMW!$LP$2:$LP$60=Q$4)*(GMW!$LR$2:$LR$60=Q$1),0),$C241-1966)</f>
        <v>647665.19999999995</v>
      </c>
      <c r="R241" s="4" cm="1">
        <f t="array" ref="R241">INDEX(GMW!$A$2:$LR$60,MATCH(1,(GMW!$LQ$2:$LQ$60=R$3)*(GMW!$LP$2:$LP$60=R$4)*(GMW!$LR$2:$LR$60=R$1),0),$C241-1966)</f>
        <v>647901.9</v>
      </c>
      <c r="S241" s="4" cm="1">
        <f t="array" ref="S241">INDEX(GMW!$A$2:$LR$60,MATCH(1,(GMW!$LQ$2:$LQ$60=S$3)*(GMW!$LP$2:$LP$60=S$4)*(GMW!$LR$2:$LR$60=S$1),0),$C241-1966)</f>
        <v>645867.19999999995</v>
      </c>
      <c r="T241" s="4" cm="1">
        <f t="array" ref="T241">INDEX(GMW!$A$2:$LR$60,MATCH(1,(GMW!$LQ$2:$LQ$60=T$3)*(GMW!$LP$2:$LP$60=T$4)*(GMW!$LR$2:$LR$60=T$1),0),$C241-1966)</f>
        <v>645864.6</v>
      </c>
      <c r="U241" s="4" cm="1">
        <f t="array" ref="U241">INDEX(GMW!$A$2:$LR$60,MATCH(1,(GMW!$LQ$2:$LQ$60=U$3)*(GMW!$LP$2:$LP$60=U$4)*(GMW!$LR$2:$LR$60=U$1),0),$C241-1966)</f>
        <v>844.97370000000001</v>
      </c>
      <c r="V241" s="4" cm="1">
        <f t="array" ref="V241">INDEX(GMW!$A$2:$LR$60,MATCH(1,(GMW!$LQ$2:$LQ$60=V$3)*(GMW!$LP$2:$LP$60=V$4)*(GMW!$LR$2:$LR$60=V$1),0),$C241-1966)</f>
        <v>155.8528</v>
      </c>
      <c r="W241" s="4" cm="1">
        <f t="array" ref="W241">INDEX(GMW!$A$2:$LR$60,MATCH(1,(GMW!$LQ$2:$LQ$60=W$3)*(GMW!$LP$2:$LP$60=W$4)*(GMW!$LR$2:$LR$60=W$1),0),$C241-1966)</f>
        <v>154.6472</v>
      </c>
      <c r="X241" s="4" cm="1">
        <f t="array" ref="X241">INDEX(GMW!$A$2:$LR$60,MATCH(1,(GMW!$LQ$2:$LQ$60=X$3)*(GMW!$LP$2:$LP$60=X$4)*(GMW!$LR$2:$LR$60=X$1),0),$C241-1966)</f>
        <v>125.1375</v>
      </c>
      <c r="Y241" s="4" cm="1">
        <f t="array" ref="Y241">INDEX(GMW!$A$2:$LR$60,MATCH(1,(GMW!$LQ$2:$LQ$60=Y$3)*(GMW!$LP$2:$LP$60=Y$4)*(GMW!$LR$2:$LR$60=Y$1),0),$C241-1966)</f>
        <v>180.71250000000001</v>
      </c>
      <c r="Z241" s="4" cm="1">
        <f t="array" ref="Z241">INDEX(GMW!$A$2:$LR$60,MATCH(1,(GMW!$LQ$2:$LQ$60=Z$3)*(GMW!$LP$2:$LP$60=Z$4)*(GMW!$LR$2:$LR$60=Z$1),0),$C241-1966)</f>
        <v>155.1063</v>
      </c>
      <c r="AA241" s="4" cm="1">
        <f t="array" ref="AA241">INDEX(GMW!$A$2:$LR$60,MATCH(1,(GMW!$LQ$2:$LQ$60=AA$3)*(GMW!$LP$2:$LP$60=AA$4)*(GMW!$LR$2:$LR$60=AA$1),0),$C241-1966)</f>
        <v>383984.4</v>
      </c>
      <c r="AB241" s="4" cm="1">
        <f t="array" ref="AB241">INDEX(GMW!$A$2:$LR$60,MATCH(1,(GMW!$LQ$2:$LQ$60=AB$3)*(GMW!$LP$2:$LP$60=AB$4)*(GMW!$LR$2:$LR$60=AB$1),0),$C241-1966)</f>
        <v>123021.7</v>
      </c>
      <c r="AC241" s="4" cm="1">
        <f t="array" ref="AC241">INDEX(GMW!$A$2:$LR$60,MATCH(1,(GMW!$LQ$2:$LQ$60=AC$3)*(GMW!$LP$2:$LP$60=AC$4)*(GMW!$LR$2:$LR$60=AC$1),0),$C241-1966)</f>
        <v>134473.4</v>
      </c>
      <c r="AD241" s="4" cm="1">
        <f t="array" ref="AD241">INDEX(GMW!$A$2:$LR$60,MATCH(1,(GMW!$LQ$2:$LQ$60=AD$3)*(GMW!$LP$2:$LP$60=AD$4)*(GMW!$LR$2:$LR$60=AD$1),0),$C241-1966)</f>
        <v>201108.5</v>
      </c>
      <c r="AE241" s="4" cm="1">
        <f t="array" ref="AE241">INDEX(GMW!$A$2:$LR$60,MATCH(1,(GMW!$LQ$2:$LQ$60=AE$3)*(GMW!$LP$2:$LP$60=AE$4)*(GMW!$LR$2:$LR$60=AE$1),0),$C241-1966)</f>
        <v>217382.3</v>
      </c>
      <c r="AF241" s="4" cm="1">
        <f t="array" ref="AF241">INDEX(GMW!$A$2:$LR$60,MATCH(1,(GMW!$LQ$2:$LQ$60=AF$3)*(GMW!$LP$2:$LP$60=AF$4)*(GMW!$LR$2:$LR$60=AF$1),0),$C241-1966)</f>
        <v>2.1064639999999999</v>
      </c>
      <c r="AG241" s="4" cm="1">
        <f t="array" ref="AG241">INDEX(GMW!$A$2:$LR$60,MATCH(1,(GMW!$LQ$2:$LQ$60=AG$3)*(GMW!$LP$2:$LP$60=AG$4)*(GMW!$LR$2:$LR$60=AG$1),0),$C241-1966)</f>
        <v>2.4334739999999999</v>
      </c>
    </row>
    <row r="242" spans="1:33" x14ac:dyDescent="0.25">
      <c r="B242" s="4">
        <f t="shared" si="7"/>
        <v>2031</v>
      </c>
      <c r="C242" s="4">
        <f t="shared" si="8"/>
        <v>2208</v>
      </c>
      <c r="D242" s="4" cm="1">
        <f t="array" ref="D242">INDEX(GMW!$A$2:$LR$60,MATCH(1,(GMW!$LQ$2:$LQ$60=D$3)*(GMW!$LP$2:$LP$60=D$4)*(GMW!$LR$2:$LR$60=D$1),0),$C242-1966)</f>
        <v>647042.19999999995</v>
      </c>
      <c r="E242" s="4" cm="1">
        <f t="array" ref="E242">INDEX(GMW!$A$2:$LR$60,MATCH(1,(GMW!$LQ$2:$LQ$60=E$3)*(GMW!$LP$2:$LP$60=E$4)*(GMW!$LR$2:$LR$60=E$1),0),$C242-1966)</f>
        <v>639800</v>
      </c>
      <c r="F242" s="4" cm="1">
        <f t="array" ref="F242">INDEX(GMW!$A$2:$LR$60,MATCH(1,(GMW!$LQ$2:$LQ$60=F$3)*(GMW!$LP$2:$LP$60=F$4)*(GMW!$LR$2:$LR$60=F$1),0),$C242-1966)</f>
        <v>640057.5</v>
      </c>
      <c r="G242" s="4" cm="1">
        <f t="array" ref="G242">INDEX(GMW!$A$2:$LR$60,MATCH(1,(GMW!$LQ$2:$LQ$60=G$3)*(GMW!$LP$2:$LP$60=G$4)*(GMW!$LR$2:$LR$60=G$1),0),$C242-1966)</f>
        <v>640057.5</v>
      </c>
      <c r="H242" s="4" cm="1">
        <f t="array" ref="H242">INDEX(GMW!$A$2:$LR$60,MATCH(1,(GMW!$LQ$2:$LQ$60=H$3)*(GMW!$LP$2:$LP$60=H$4)*(GMW!$LR$2:$LR$60=H$1),0),$C242-1966)</f>
        <v>645395.19999999995</v>
      </c>
      <c r="I242" s="4" cm="1">
        <f t="array" ref="I242">INDEX(GMW!$A$2:$LR$60,MATCH(1,(GMW!$LQ$2:$LQ$60=I$3)*(GMW!$LP$2:$LP$60=I$4)*(GMW!$LR$2:$LR$60=I$1),0),$C242-1966)</f>
        <v>646296.80000000005</v>
      </c>
      <c r="J242" s="4" cm="1">
        <f t="array" ref="J242">INDEX(GMW!$A$2:$LR$60,MATCH(1,(GMW!$LQ$2:$LQ$60=J$3)*(GMW!$LP$2:$LP$60=J$4)*(GMW!$LR$2:$LR$60=J$1),0),$C242-1966)</f>
        <v>646294</v>
      </c>
      <c r="K242" s="4" cm="1">
        <f t="array" ref="K242">INDEX(GMW!$A$2:$LR$60,MATCH(1,(GMW!$LQ$2:$LQ$60=K$3)*(GMW!$LP$2:$LP$60=K$4)*(GMW!$LR$2:$LR$60=K$1),0),$C242-1966)</f>
        <v>646114.1</v>
      </c>
      <c r="L242" s="4" cm="1">
        <f t="array" ref="L242">INDEX(GMW!$A$2:$LR$60,MATCH(1,(GMW!$LQ$2:$LQ$60=L$3)*(GMW!$LP$2:$LP$60=L$4)*(GMW!$LR$2:$LR$60=L$1),0),$C242-1966)</f>
        <v>646181.69999999995</v>
      </c>
      <c r="M242" s="4" cm="1">
        <f t="array" ref="M242">INDEX(GMW!$A$2:$LR$60,MATCH(1,(GMW!$LQ$2:$LQ$60=M$3)*(GMW!$LP$2:$LP$60=M$4)*(GMW!$LR$2:$LR$60=M$1),0),$C242-1966)</f>
        <v>646181.69999999995</v>
      </c>
      <c r="N242" s="4" cm="1">
        <f t="array" ref="N242">INDEX(GMW!$A$2:$LR$60,MATCH(1,(GMW!$LQ$2:$LQ$60=N$3)*(GMW!$LP$2:$LP$60=N$4)*(GMW!$LR$2:$LR$60=N$1),0),$C242-1966)</f>
        <v>648183.80000000005</v>
      </c>
      <c r="O242" s="4" cm="1">
        <f t="array" ref="O242">INDEX(GMW!$A$2:$LR$60,MATCH(1,(GMW!$LQ$2:$LQ$60=O$3)*(GMW!$LP$2:$LP$60=O$4)*(GMW!$LR$2:$LR$60=O$1),0),$C242-1966)</f>
        <v>648313.1</v>
      </c>
      <c r="P242" s="4" cm="1">
        <f t="array" ref="P242">INDEX(GMW!$A$2:$LR$60,MATCH(1,(GMW!$LQ$2:$LQ$60=P$3)*(GMW!$LP$2:$LP$60=P$4)*(GMW!$LR$2:$LR$60=P$1),0),$C242-1966)</f>
        <v>648772.9</v>
      </c>
      <c r="Q242" s="4" cm="1">
        <f t="array" ref="Q242">INDEX(GMW!$A$2:$LR$60,MATCH(1,(GMW!$LQ$2:$LQ$60=Q$3)*(GMW!$LP$2:$LP$60=Q$4)*(GMW!$LR$2:$LR$60=Q$1),0),$C242-1966)</f>
        <v>650093.9</v>
      </c>
      <c r="R242" s="4" cm="1">
        <f t="array" ref="R242">INDEX(GMW!$A$2:$LR$60,MATCH(1,(GMW!$LQ$2:$LQ$60=R$3)*(GMW!$LP$2:$LP$60=R$4)*(GMW!$LR$2:$LR$60=R$1),0),$C242-1966)</f>
        <v>650331.6</v>
      </c>
      <c r="S242" s="4" cm="1">
        <f t="array" ref="S242">INDEX(GMW!$A$2:$LR$60,MATCH(1,(GMW!$LQ$2:$LQ$60=S$3)*(GMW!$LP$2:$LP$60=S$4)*(GMW!$LR$2:$LR$60=S$1),0),$C242-1966)</f>
        <v>648289.19999999995</v>
      </c>
      <c r="T242" s="4" cm="1">
        <f t="array" ref="T242">INDEX(GMW!$A$2:$LR$60,MATCH(1,(GMW!$LQ$2:$LQ$60=T$3)*(GMW!$LP$2:$LP$60=T$4)*(GMW!$LR$2:$LR$60=T$1),0),$C242-1966)</f>
        <v>648286.6</v>
      </c>
      <c r="U242" s="4" cm="1">
        <f t="array" ref="U242">INDEX(GMW!$A$2:$LR$60,MATCH(1,(GMW!$LQ$2:$LQ$60=U$3)*(GMW!$LP$2:$LP$60=U$4)*(GMW!$LR$2:$LR$60=U$1),0),$C242-1966)</f>
        <v>850.98800000000006</v>
      </c>
      <c r="V242" s="4" cm="1">
        <f t="array" ref="V242">INDEX(GMW!$A$2:$LR$60,MATCH(1,(GMW!$LQ$2:$LQ$60=V$3)*(GMW!$LP$2:$LP$60=V$4)*(GMW!$LR$2:$LR$60=V$1),0),$C242-1966)</f>
        <v>156.6044</v>
      </c>
      <c r="W242" s="4" cm="1">
        <f t="array" ref="W242">INDEX(GMW!$A$2:$LR$60,MATCH(1,(GMW!$LQ$2:$LQ$60=W$3)*(GMW!$LP$2:$LP$60=W$4)*(GMW!$LR$2:$LR$60=W$1),0),$C242-1966)</f>
        <v>155.33330000000001</v>
      </c>
      <c r="X242" s="4" cm="1">
        <f t="array" ref="X242">INDEX(GMW!$A$2:$LR$60,MATCH(1,(GMW!$LQ$2:$LQ$60=X$3)*(GMW!$LP$2:$LP$60=X$4)*(GMW!$LR$2:$LR$60=X$1),0),$C242-1966)</f>
        <v>125.124</v>
      </c>
      <c r="Y242" s="4" cm="1">
        <f t="array" ref="Y242">INDEX(GMW!$A$2:$LR$60,MATCH(1,(GMW!$LQ$2:$LQ$60=Y$3)*(GMW!$LP$2:$LP$60=Y$4)*(GMW!$LR$2:$LR$60=Y$1),0),$C242-1966)</f>
        <v>182.14359999999999</v>
      </c>
      <c r="Z242" s="4" cm="1">
        <f t="array" ref="Z242">INDEX(GMW!$A$2:$LR$60,MATCH(1,(GMW!$LQ$2:$LQ$60=Z$3)*(GMW!$LP$2:$LP$60=Z$4)*(GMW!$LR$2:$LR$60=Z$1),0),$C242-1966)</f>
        <v>155.87119999999999</v>
      </c>
      <c r="AA242" s="4" cm="1">
        <f t="array" ref="AA242">INDEX(GMW!$A$2:$LR$60,MATCH(1,(GMW!$LQ$2:$LQ$60=AA$3)*(GMW!$LP$2:$LP$60=AA$4)*(GMW!$LR$2:$LR$60=AA$1),0),$C242-1966)</f>
        <v>385385.9</v>
      </c>
      <c r="AB242" s="4" cm="1">
        <f t="array" ref="AB242">INDEX(GMW!$A$2:$LR$60,MATCH(1,(GMW!$LQ$2:$LQ$60=AB$3)*(GMW!$LP$2:$LP$60=AB$4)*(GMW!$LR$2:$LR$60=AB$1),0),$C242-1966)</f>
        <v>123672.3</v>
      </c>
      <c r="AC242" s="4" cm="1">
        <f t="array" ref="AC242">INDEX(GMW!$A$2:$LR$60,MATCH(1,(GMW!$LQ$2:$LQ$60=AC$3)*(GMW!$LP$2:$LP$60=AC$4)*(GMW!$LR$2:$LR$60=AC$1),0),$C242-1966)</f>
        <v>134957.5</v>
      </c>
      <c r="AD242" s="4" cm="1">
        <f t="array" ref="AD242">INDEX(GMW!$A$2:$LR$60,MATCH(1,(GMW!$LQ$2:$LQ$60=AD$3)*(GMW!$LP$2:$LP$60=AD$4)*(GMW!$LR$2:$LR$60=AD$1),0),$C242-1966)</f>
        <v>202066.8</v>
      </c>
      <c r="AE242" s="4" cm="1">
        <f t="array" ref="AE242">INDEX(GMW!$A$2:$LR$60,MATCH(1,(GMW!$LQ$2:$LQ$60=AE$3)*(GMW!$LP$2:$LP$60=AE$4)*(GMW!$LR$2:$LR$60=AE$1),0),$C242-1966)</f>
        <v>218526.6</v>
      </c>
      <c r="AF242" s="4" cm="1">
        <f t="array" ref="AF242">INDEX(GMW!$A$2:$LR$60,MATCH(1,(GMW!$LQ$2:$LQ$60=AF$3)*(GMW!$LP$2:$LP$60=AF$4)*(GMW!$LR$2:$LR$60=AF$1),0),$C242-1966)</f>
        <v>2.1064639999999999</v>
      </c>
      <c r="AG242" s="4" cm="1">
        <f t="array" ref="AG242">INDEX(GMW!$A$2:$LR$60,MATCH(1,(GMW!$LQ$2:$LQ$60=AG$3)*(GMW!$LP$2:$LP$60=AG$4)*(GMW!$LR$2:$LR$60=AG$1),0),$C242-1966)</f>
        <v>2.4334739999999999</v>
      </c>
    </row>
    <row r="243" spans="1:33" x14ac:dyDescent="0.25">
      <c r="A243" s="4">
        <v>2032</v>
      </c>
      <c r="B243" s="4">
        <f t="shared" si="7"/>
        <v>2032</v>
      </c>
      <c r="C243" s="4">
        <f t="shared" si="8"/>
        <v>2209</v>
      </c>
      <c r="D243" s="4" cm="1">
        <f t="array" ref="D243">INDEX(GMW!$A$2:$LR$60,MATCH(1,(GMW!$LQ$2:$LQ$60=D$3)*(GMW!$LP$2:$LP$60=D$4)*(GMW!$LR$2:$LR$60=D$1),0),$C243-1966)</f>
        <v>649436.30000000005</v>
      </c>
      <c r="E243" s="4" cm="1">
        <f t="array" ref="E243">INDEX(GMW!$A$2:$LR$60,MATCH(1,(GMW!$LQ$2:$LQ$60=E$3)*(GMW!$LP$2:$LP$60=E$4)*(GMW!$LR$2:$LR$60=E$1),0),$C243-1966)</f>
        <v>642083.4</v>
      </c>
      <c r="F243" s="4" cm="1">
        <f t="array" ref="F243">INDEX(GMW!$A$2:$LR$60,MATCH(1,(GMW!$LQ$2:$LQ$60=F$3)*(GMW!$LP$2:$LP$60=F$4)*(GMW!$LR$2:$LR$60=F$1),0),$C243-1966)</f>
        <v>642341.6</v>
      </c>
      <c r="G243" s="4" cm="1">
        <f t="array" ref="G243">INDEX(GMW!$A$2:$LR$60,MATCH(1,(GMW!$LQ$2:$LQ$60=G$3)*(GMW!$LP$2:$LP$60=G$4)*(GMW!$LR$2:$LR$60=G$1),0),$C243-1966)</f>
        <v>642341.6</v>
      </c>
      <c r="H243" s="4" cm="1">
        <f t="array" ref="H243">INDEX(GMW!$A$2:$LR$60,MATCH(1,(GMW!$LQ$2:$LQ$60=H$3)*(GMW!$LP$2:$LP$60=H$4)*(GMW!$LR$2:$LR$60=H$1),0),$C243-1966)</f>
        <v>647847.69999999995</v>
      </c>
      <c r="I243" s="4" cm="1">
        <f t="array" ref="I243">INDEX(GMW!$A$2:$LR$60,MATCH(1,(GMW!$LQ$2:$LQ$60=I$3)*(GMW!$LP$2:$LP$60=I$4)*(GMW!$LR$2:$LR$60=I$1),0),$C243-1966)</f>
        <v>648720.4</v>
      </c>
      <c r="J243" s="4" cm="1">
        <f t="array" ref="J243">INDEX(GMW!$A$2:$LR$60,MATCH(1,(GMW!$LQ$2:$LQ$60=J$3)*(GMW!$LP$2:$LP$60=J$4)*(GMW!$LR$2:$LR$60=J$1),0),$C243-1966)</f>
        <v>648717.6</v>
      </c>
      <c r="K243" s="4" cm="1">
        <f t="array" ref="K243">INDEX(GMW!$A$2:$LR$60,MATCH(1,(GMW!$LQ$2:$LQ$60=K$3)*(GMW!$LP$2:$LP$60=K$4)*(GMW!$LR$2:$LR$60=K$1),0),$C243-1966)</f>
        <v>648537</v>
      </c>
      <c r="L243" s="4" cm="1">
        <f t="array" ref="L243">INDEX(GMW!$A$2:$LR$60,MATCH(1,(GMW!$LQ$2:$LQ$60=L$3)*(GMW!$LP$2:$LP$60=L$4)*(GMW!$LR$2:$LR$60=L$1),0),$C243-1966)</f>
        <v>648572.6</v>
      </c>
      <c r="M243" s="4" cm="1">
        <f t="array" ref="M243">INDEX(GMW!$A$2:$LR$60,MATCH(1,(GMW!$LQ$2:$LQ$60=M$3)*(GMW!$LP$2:$LP$60=M$4)*(GMW!$LR$2:$LR$60=M$1),0),$C243-1966)</f>
        <v>648572.6</v>
      </c>
      <c r="N243" s="4" cm="1">
        <f t="array" ref="N243">INDEX(GMW!$A$2:$LR$60,MATCH(1,(GMW!$LQ$2:$LQ$60=N$3)*(GMW!$LP$2:$LP$60=N$4)*(GMW!$LR$2:$LR$60=N$1),0),$C243-1966)</f>
        <v>650582</v>
      </c>
      <c r="O243" s="4" cm="1">
        <f t="array" ref="O243">INDEX(GMW!$A$2:$LR$60,MATCH(1,(GMW!$LQ$2:$LQ$60=O$3)*(GMW!$LP$2:$LP$60=O$4)*(GMW!$LR$2:$LR$60=O$1),0),$C243-1966)</f>
        <v>650711.80000000005</v>
      </c>
      <c r="P243" s="4" cm="1">
        <f t="array" ref="P243">INDEX(GMW!$A$2:$LR$60,MATCH(1,(GMW!$LQ$2:$LQ$60=P$3)*(GMW!$LP$2:$LP$60=P$4)*(GMW!$LR$2:$LR$60=P$1),0),$C243-1966)</f>
        <v>651173.4</v>
      </c>
      <c r="Q243" s="4" cm="1">
        <f t="array" ref="Q243">INDEX(GMW!$A$2:$LR$60,MATCH(1,(GMW!$LQ$2:$LQ$60=Q$3)*(GMW!$LP$2:$LP$60=Q$4)*(GMW!$LR$2:$LR$60=Q$1),0),$C243-1966)</f>
        <v>652499.30000000005</v>
      </c>
      <c r="R243" s="4" cm="1">
        <f t="array" ref="R243">INDEX(GMW!$A$2:$LR$60,MATCH(1,(GMW!$LQ$2:$LQ$60=R$3)*(GMW!$LP$2:$LP$60=R$4)*(GMW!$LR$2:$LR$60=R$1),0),$C243-1966)</f>
        <v>652737.80000000005</v>
      </c>
      <c r="S243" s="4" cm="1">
        <f t="array" ref="S243">INDEX(GMW!$A$2:$LR$60,MATCH(1,(GMW!$LQ$2:$LQ$60=S$3)*(GMW!$LP$2:$LP$60=S$4)*(GMW!$LR$2:$LR$60=S$1),0),$C243-1966)</f>
        <v>650687.80000000005</v>
      </c>
      <c r="T243" s="4" cm="1">
        <f t="array" ref="T243">INDEX(GMW!$A$2:$LR$60,MATCH(1,(GMW!$LQ$2:$LQ$60=T$3)*(GMW!$LP$2:$LP$60=T$4)*(GMW!$LR$2:$LR$60=T$1),0),$C243-1966)</f>
        <v>650685.19999999995</v>
      </c>
      <c r="U243" s="4" cm="1">
        <f t="array" ref="U243">INDEX(GMW!$A$2:$LR$60,MATCH(1,(GMW!$LQ$2:$LQ$60=U$3)*(GMW!$LP$2:$LP$60=U$4)*(GMW!$LR$2:$LR$60=U$1),0),$C243-1966)</f>
        <v>857.08749999999998</v>
      </c>
      <c r="V243" s="4" cm="1">
        <f t="array" ref="V243">INDEX(GMW!$A$2:$LR$60,MATCH(1,(GMW!$LQ$2:$LQ$60=V$3)*(GMW!$LP$2:$LP$60=V$4)*(GMW!$LR$2:$LR$60=V$1),0),$C243-1966)</f>
        <v>156.84970000000001</v>
      </c>
      <c r="W243" s="4" cm="1">
        <f t="array" ref="W243">INDEX(GMW!$A$2:$LR$60,MATCH(1,(GMW!$LQ$2:$LQ$60=W$3)*(GMW!$LP$2:$LP$60=W$4)*(GMW!$LR$2:$LR$60=W$1),0),$C243-1966)</f>
        <v>156.76079999999999</v>
      </c>
      <c r="X243" s="4" cm="1">
        <f t="array" ref="X243">INDEX(GMW!$A$2:$LR$60,MATCH(1,(GMW!$LQ$2:$LQ$60=X$3)*(GMW!$LP$2:$LP$60=X$4)*(GMW!$LR$2:$LR$60=X$1),0),$C243-1966)</f>
        <v>125.111</v>
      </c>
      <c r="Y243" s="4" cm="1">
        <f t="array" ref="Y243">INDEX(GMW!$A$2:$LR$60,MATCH(1,(GMW!$LQ$2:$LQ$60=Y$3)*(GMW!$LP$2:$LP$60=Y$4)*(GMW!$LR$2:$LR$60=Y$1),0),$C243-1966)</f>
        <v>183.58969999999999</v>
      </c>
      <c r="Z243" s="4" cm="1">
        <f t="array" ref="Z243">INDEX(GMW!$A$2:$LR$60,MATCH(1,(GMW!$LQ$2:$LQ$60=Z$3)*(GMW!$LP$2:$LP$60=Z$4)*(GMW!$LR$2:$LR$60=Z$1),0),$C243-1966)</f>
        <v>155.84010000000001</v>
      </c>
      <c r="AA243" s="4" cm="1">
        <f t="array" ref="AA243">INDEX(GMW!$A$2:$LR$60,MATCH(1,(GMW!$LQ$2:$LQ$60=AA$3)*(GMW!$LP$2:$LP$60=AA$4)*(GMW!$LR$2:$LR$60=AA$1),0),$C243-1966)</f>
        <v>386792.6</v>
      </c>
      <c r="AB243" s="4" cm="1">
        <f t="array" ref="AB243">INDEX(GMW!$A$2:$LR$60,MATCH(1,(GMW!$LQ$2:$LQ$60=AB$3)*(GMW!$LP$2:$LP$60=AB$4)*(GMW!$LR$2:$LR$60=AB$1),0),$C243-1966)</f>
        <v>124326.39999999999</v>
      </c>
      <c r="AC243" s="4" cm="1">
        <f t="array" ref="AC243">INDEX(GMW!$A$2:$LR$60,MATCH(1,(GMW!$LQ$2:$LQ$60=AC$3)*(GMW!$LP$2:$LP$60=AC$4)*(GMW!$LR$2:$LR$60=AC$1),0),$C243-1966)</f>
        <v>135443.29999999999</v>
      </c>
      <c r="AD243" s="4" cm="1">
        <f t="array" ref="AD243">INDEX(GMW!$A$2:$LR$60,MATCH(1,(GMW!$LQ$2:$LQ$60=AD$3)*(GMW!$LP$2:$LP$60=AD$4)*(GMW!$LR$2:$LR$60=AD$1),0),$C243-1966)</f>
        <v>203030.3</v>
      </c>
      <c r="AE243" s="4" cm="1">
        <f t="array" ref="AE243">INDEX(GMW!$A$2:$LR$60,MATCH(1,(GMW!$LQ$2:$LQ$60=AE$3)*(GMW!$LP$2:$LP$60=AE$4)*(GMW!$LR$2:$LR$60=AE$1),0),$C243-1966)</f>
        <v>219677.2</v>
      </c>
      <c r="AF243" s="4" cm="1">
        <f t="array" ref="AF243">INDEX(GMW!$A$2:$LR$60,MATCH(1,(GMW!$LQ$2:$LQ$60=AF$3)*(GMW!$LP$2:$LP$60=AF$4)*(GMW!$LR$2:$LR$60=AF$1),0),$C243-1966)</f>
        <v>2.1064639999999999</v>
      </c>
      <c r="AG243" s="4" cm="1">
        <f t="array" ref="AG243">INDEX(GMW!$A$2:$LR$60,MATCH(1,(GMW!$LQ$2:$LQ$60=AG$3)*(GMW!$LP$2:$LP$60=AG$4)*(GMW!$LR$2:$LR$60=AG$1),0),$C243-1966)</f>
        <v>2.4334739999999999</v>
      </c>
    </row>
    <row r="244" spans="1:33" x14ac:dyDescent="0.25">
      <c r="B244" s="4">
        <f t="shared" si="7"/>
        <v>2032</v>
      </c>
      <c r="C244" s="4">
        <f t="shared" si="8"/>
        <v>2210</v>
      </c>
      <c r="D244" s="4" cm="1">
        <f t="array" ref="D244">INDEX(GMW!$A$2:$LR$60,MATCH(1,(GMW!$LQ$2:$LQ$60=D$3)*(GMW!$LP$2:$LP$60=D$4)*(GMW!$LR$2:$LR$60=D$1),0),$C244-1966)</f>
        <v>651871.6</v>
      </c>
      <c r="E244" s="4" cm="1">
        <f t="array" ref="E244">INDEX(GMW!$A$2:$LR$60,MATCH(1,(GMW!$LQ$2:$LQ$60=E$3)*(GMW!$LP$2:$LP$60=E$4)*(GMW!$LR$2:$LR$60=E$1),0),$C244-1966)</f>
        <v>644378.80000000005</v>
      </c>
      <c r="F244" s="4" cm="1">
        <f t="array" ref="F244">INDEX(GMW!$A$2:$LR$60,MATCH(1,(GMW!$LQ$2:$LQ$60=F$3)*(GMW!$LP$2:$LP$60=F$4)*(GMW!$LR$2:$LR$60=F$1),0),$C244-1966)</f>
        <v>644637.69999999995</v>
      </c>
      <c r="G244" s="4" cm="1">
        <f t="array" ref="G244">INDEX(GMW!$A$2:$LR$60,MATCH(1,(GMW!$LQ$2:$LQ$60=G$3)*(GMW!$LP$2:$LP$60=G$4)*(GMW!$LR$2:$LR$60=G$1),0),$C244-1966)</f>
        <v>644637.69999999995</v>
      </c>
      <c r="H244" s="4" cm="1">
        <f t="array" ref="H244">INDEX(GMW!$A$2:$LR$60,MATCH(1,(GMW!$LQ$2:$LQ$60=H$3)*(GMW!$LP$2:$LP$60=H$4)*(GMW!$LR$2:$LR$60=H$1),0),$C244-1966)</f>
        <v>650309.5</v>
      </c>
      <c r="I244" s="4" cm="1">
        <f t="array" ref="I244">INDEX(GMW!$A$2:$LR$60,MATCH(1,(GMW!$LQ$2:$LQ$60=I$3)*(GMW!$LP$2:$LP$60=I$4)*(GMW!$LR$2:$LR$60=I$1),0),$C244-1966)</f>
        <v>651185.6</v>
      </c>
      <c r="J244" s="4" cm="1">
        <f t="array" ref="J244">INDEX(GMW!$A$2:$LR$60,MATCH(1,(GMW!$LQ$2:$LQ$60=J$3)*(GMW!$LP$2:$LP$60=J$4)*(GMW!$LR$2:$LR$60=J$1),0),$C244-1966)</f>
        <v>651182.80000000005</v>
      </c>
      <c r="K244" s="4" cm="1">
        <f t="array" ref="K244">INDEX(GMW!$A$2:$LR$60,MATCH(1,(GMW!$LQ$2:$LQ$60=K$3)*(GMW!$LP$2:$LP$60=K$4)*(GMW!$LR$2:$LR$60=K$1),0),$C244-1966)</f>
        <v>651001.4</v>
      </c>
      <c r="L244" s="4" cm="1">
        <f t="array" ref="L244">INDEX(GMW!$A$2:$LR$60,MATCH(1,(GMW!$LQ$2:$LQ$60=L$3)*(GMW!$LP$2:$LP$60=L$4)*(GMW!$LR$2:$LR$60=L$1),0),$C244-1966)</f>
        <v>651004.80000000005</v>
      </c>
      <c r="M244" s="4" cm="1">
        <f t="array" ref="M244">INDEX(GMW!$A$2:$LR$60,MATCH(1,(GMW!$LQ$2:$LQ$60=M$3)*(GMW!$LP$2:$LP$60=M$4)*(GMW!$LR$2:$LR$60=M$1),0),$C244-1966)</f>
        <v>651004.80000000005</v>
      </c>
      <c r="N244" s="4" cm="1">
        <f t="array" ref="N244">INDEX(GMW!$A$2:$LR$60,MATCH(1,(GMW!$LQ$2:$LQ$60=N$3)*(GMW!$LP$2:$LP$60=N$4)*(GMW!$LR$2:$LR$60=N$1),0),$C244-1966)</f>
        <v>653021.69999999995</v>
      </c>
      <c r="O244" s="4" cm="1">
        <f t="array" ref="O244">INDEX(GMW!$A$2:$LR$60,MATCH(1,(GMW!$LQ$2:$LQ$60=O$3)*(GMW!$LP$2:$LP$60=O$4)*(GMW!$LR$2:$LR$60=O$1),0),$C244-1966)</f>
        <v>653152</v>
      </c>
      <c r="P244" s="4" cm="1">
        <f t="array" ref="P244">INDEX(GMW!$A$2:$LR$60,MATCH(1,(GMW!$LQ$2:$LQ$60=P$3)*(GMW!$LP$2:$LP$60=P$4)*(GMW!$LR$2:$LR$60=P$1),0),$C244-1966)</f>
        <v>653615.30000000005</v>
      </c>
      <c r="Q244" s="4" cm="1">
        <f t="array" ref="Q244">INDEX(GMW!$A$2:$LR$60,MATCH(1,(GMW!$LQ$2:$LQ$60=Q$3)*(GMW!$LP$2:$LP$60=Q$4)*(GMW!$LR$2:$LR$60=Q$1),0),$C244-1966)</f>
        <v>654946.1</v>
      </c>
      <c r="R244" s="4" cm="1">
        <f t="array" ref="R244">INDEX(GMW!$A$2:$LR$60,MATCH(1,(GMW!$LQ$2:$LQ$60=R$3)*(GMW!$LP$2:$LP$60=R$4)*(GMW!$LR$2:$LR$60=R$1),0),$C244-1966)</f>
        <v>655185.6</v>
      </c>
      <c r="S244" s="4" cm="1">
        <f t="array" ref="S244">INDEX(GMW!$A$2:$LR$60,MATCH(1,(GMW!$LQ$2:$LQ$60=S$3)*(GMW!$LP$2:$LP$60=S$4)*(GMW!$LR$2:$LR$60=S$1),0),$C244-1966)</f>
        <v>653127.9</v>
      </c>
      <c r="T244" s="4" cm="1">
        <f t="array" ref="T244">INDEX(GMW!$A$2:$LR$60,MATCH(1,(GMW!$LQ$2:$LQ$60=T$3)*(GMW!$LP$2:$LP$60=T$4)*(GMW!$LR$2:$LR$60=T$1),0),$C244-1966)</f>
        <v>653125.30000000005</v>
      </c>
      <c r="U244" s="4" cm="1">
        <f t="array" ref="U244">INDEX(GMW!$A$2:$LR$60,MATCH(1,(GMW!$LQ$2:$LQ$60=U$3)*(GMW!$LP$2:$LP$60=U$4)*(GMW!$LR$2:$LR$60=U$1),0),$C244-1966)</f>
        <v>863.27359999999999</v>
      </c>
      <c r="V244" s="4" cm="1">
        <f t="array" ref="V244">INDEX(GMW!$A$2:$LR$60,MATCH(1,(GMW!$LQ$2:$LQ$60=V$3)*(GMW!$LP$2:$LP$60=V$4)*(GMW!$LR$2:$LR$60=V$1),0),$C244-1966)</f>
        <v>158.21969999999999</v>
      </c>
      <c r="W244" s="4" cm="1">
        <f t="array" ref="W244">INDEX(GMW!$A$2:$LR$60,MATCH(1,(GMW!$LQ$2:$LQ$60=W$3)*(GMW!$LP$2:$LP$60=W$4)*(GMW!$LR$2:$LR$60=W$1),0),$C244-1966)</f>
        <v>157.13460000000001</v>
      </c>
      <c r="X244" s="4" cm="1">
        <f t="array" ref="X244">INDEX(GMW!$A$2:$LR$60,MATCH(1,(GMW!$LQ$2:$LQ$60=X$3)*(GMW!$LP$2:$LP$60=X$4)*(GMW!$LR$2:$LR$60=X$1),0),$C244-1966)</f>
        <v>125.0984</v>
      </c>
      <c r="Y244" s="4" cm="1">
        <f t="array" ref="Y244">INDEX(GMW!$A$2:$LR$60,MATCH(1,(GMW!$LQ$2:$LQ$60=Y$3)*(GMW!$LP$2:$LP$60=Y$4)*(GMW!$LR$2:$LR$60=Y$1),0),$C244-1966)</f>
        <v>185.05170000000001</v>
      </c>
      <c r="Z244" s="4" cm="1">
        <f t="array" ref="Z244">INDEX(GMW!$A$2:$LR$60,MATCH(1,(GMW!$LQ$2:$LQ$60=Z$3)*(GMW!$LP$2:$LP$60=Z$4)*(GMW!$LR$2:$LR$60=Z$1),0),$C244-1966)</f>
        <v>157.45660000000001</v>
      </c>
      <c r="AA244" s="4" cm="1">
        <f t="array" ref="AA244">INDEX(GMW!$A$2:$LR$60,MATCH(1,(GMW!$LQ$2:$LQ$60=AA$3)*(GMW!$LP$2:$LP$60=AA$4)*(GMW!$LR$2:$LR$60=AA$1),0),$C244-1966)</f>
        <v>388204.4</v>
      </c>
      <c r="AB244" s="4" cm="1">
        <f t="array" ref="AB244">INDEX(GMW!$A$2:$LR$60,MATCH(1,(GMW!$LQ$2:$LQ$60=AB$3)*(GMW!$LP$2:$LP$60=AB$4)*(GMW!$LR$2:$LR$60=AB$1),0),$C244-1966)</f>
        <v>124984.1</v>
      </c>
      <c r="AC244" s="4" cm="1">
        <f t="array" ref="AC244">INDEX(GMW!$A$2:$LR$60,MATCH(1,(GMW!$LQ$2:$LQ$60=AC$3)*(GMW!$LP$2:$LP$60=AC$4)*(GMW!$LR$2:$LR$60=AC$1),0),$C244-1966)</f>
        <v>135930.9</v>
      </c>
      <c r="AD244" s="4" cm="1">
        <f t="array" ref="AD244">INDEX(GMW!$A$2:$LR$60,MATCH(1,(GMW!$LQ$2:$LQ$60=AD$3)*(GMW!$LP$2:$LP$60=AD$4)*(GMW!$LR$2:$LR$60=AD$1),0),$C244-1966)</f>
        <v>204006.9</v>
      </c>
      <c r="AE244" s="4" cm="1">
        <f t="array" ref="AE244">INDEX(GMW!$A$2:$LR$60,MATCH(1,(GMW!$LQ$2:$LQ$60=AE$3)*(GMW!$LP$2:$LP$60=AE$4)*(GMW!$LR$2:$LR$60=AE$1),0),$C244-1966)</f>
        <v>220846.5</v>
      </c>
      <c r="AF244" s="4" cm="1">
        <f t="array" ref="AF244">INDEX(GMW!$A$2:$LR$60,MATCH(1,(GMW!$LQ$2:$LQ$60=AF$3)*(GMW!$LP$2:$LP$60=AF$4)*(GMW!$LR$2:$LR$60=AF$1),0),$C244-1966)</f>
        <v>2.1064639999999999</v>
      </c>
      <c r="AG244" s="4" cm="1">
        <f t="array" ref="AG244">INDEX(GMW!$A$2:$LR$60,MATCH(1,(GMW!$LQ$2:$LQ$60=AG$3)*(GMW!$LP$2:$LP$60=AG$4)*(GMW!$LR$2:$LR$60=AG$1),0),$C244-1966)</f>
        <v>2.4334739999999999</v>
      </c>
    </row>
    <row r="245" spans="1:33" x14ac:dyDescent="0.25">
      <c r="B245" s="4">
        <f t="shared" si="7"/>
        <v>2032</v>
      </c>
      <c r="C245" s="4">
        <f t="shared" si="8"/>
        <v>2211</v>
      </c>
      <c r="D245" s="4" cm="1">
        <f t="array" ref="D245">INDEX(GMW!$A$2:$LR$60,MATCH(1,(GMW!$LQ$2:$LQ$60=D$3)*(GMW!$LP$2:$LP$60=D$4)*(GMW!$LR$2:$LR$60=D$1),0),$C245-1966)</f>
        <v>654251</v>
      </c>
      <c r="E245" s="4" cm="1">
        <f t="array" ref="E245">INDEX(GMW!$A$2:$LR$60,MATCH(1,(GMW!$LQ$2:$LQ$60=E$3)*(GMW!$LP$2:$LP$60=E$4)*(GMW!$LR$2:$LR$60=E$1),0),$C245-1966)</f>
        <v>646685.6</v>
      </c>
      <c r="F245" s="4" cm="1">
        <f t="array" ref="F245">INDEX(GMW!$A$2:$LR$60,MATCH(1,(GMW!$LQ$2:$LQ$60=F$3)*(GMW!$LP$2:$LP$60=F$4)*(GMW!$LR$2:$LR$60=F$1),0),$C245-1966)</f>
        <v>646945.1</v>
      </c>
      <c r="G245" s="4" cm="1">
        <f t="array" ref="G245">INDEX(GMW!$A$2:$LR$60,MATCH(1,(GMW!$LQ$2:$LQ$60=G$3)*(GMW!$LP$2:$LP$60=G$4)*(GMW!$LR$2:$LR$60=G$1),0),$C245-1966)</f>
        <v>646945.1</v>
      </c>
      <c r="H245" s="4" cm="1">
        <f t="array" ref="H245">INDEX(GMW!$A$2:$LR$60,MATCH(1,(GMW!$LQ$2:$LQ$60=H$3)*(GMW!$LP$2:$LP$60=H$4)*(GMW!$LR$2:$LR$60=H$1),0),$C245-1966)</f>
        <v>652715.69999999995</v>
      </c>
      <c r="I245" s="4" cm="1">
        <f t="array" ref="I245">INDEX(GMW!$A$2:$LR$60,MATCH(1,(GMW!$LQ$2:$LQ$60=I$3)*(GMW!$LP$2:$LP$60=I$4)*(GMW!$LR$2:$LR$60=I$1),0),$C245-1966)</f>
        <v>653594.9</v>
      </c>
      <c r="J245" s="4" cm="1">
        <f t="array" ref="J245">INDEX(GMW!$A$2:$LR$60,MATCH(1,(GMW!$LQ$2:$LQ$60=J$3)*(GMW!$LP$2:$LP$60=J$4)*(GMW!$LR$2:$LR$60=J$1),0),$C245-1966)</f>
        <v>653592.1</v>
      </c>
      <c r="K245" s="4" cm="1">
        <f t="array" ref="K245">INDEX(GMW!$A$2:$LR$60,MATCH(1,(GMW!$LQ$2:$LQ$60=K$3)*(GMW!$LP$2:$LP$60=K$4)*(GMW!$LR$2:$LR$60=K$1),0),$C245-1966)</f>
        <v>653410.1</v>
      </c>
      <c r="L245" s="4" cm="1">
        <f t="array" ref="L245">INDEX(GMW!$A$2:$LR$60,MATCH(1,(GMW!$LQ$2:$LQ$60=L$3)*(GMW!$LP$2:$LP$60=L$4)*(GMW!$LR$2:$LR$60=L$1),0),$C245-1966)</f>
        <v>653380.9</v>
      </c>
      <c r="M245" s="4" cm="1">
        <f t="array" ref="M245">INDEX(GMW!$A$2:$LR$60,MATCH(1,(GMW!$LQ$2:$LQ$60=M$3)*(GMW!$LP$2:$LP$60=M$4)*(GMW!$LR$2:$LR$60=M$1),0),$C245-1966)</f>
        <v>653380.9</v>
      </c>
      <c r="N245" s="4" cm="1">
        <f t="array" ref="N245">INDEX(GMW!$A$2:$LR$60,MATCH(1,(GMW!$LQ$2:$LQ$60=N$3)*(GMW!$LP$2:$LP$60=N$4)*(GMW!$LR$2:$LR$60=N$1),0),$C245-1966)</f>
        <v>655405.19999999995</v>
      </c>
      <c r="O245" s="4" cm="1">
        <f t="array" ref="O245">INDEX(GMW!$A$2:$LR$60,MATCH(1,(GMW!$LQ$2:$LQ$60=O$3)*(GMW!$LP$2:$LP$60=O$4)*(GMW!$LR$2:$LR$60=O$1),0),$C245-1966)</f>
        <v>655536</v>
      </c>
      <c r="P245" s="4" cm="1">
        <f t="array" ref="P245">INDEX(GMW!$A$2:$LR$60,MATCH(1,(GMW!$LQ$2:$LQ$60=P$3)*(GMW!$LP$2:$LP$60=P$4)*(GMW!$LR$2:$LR$60=P$1),0),$C245-1966)</f>
        <v>656001</v>
      </c>
      <c r="Q245" s="4" cm="1">
        <f t="array" ref="Q245">INDEX(GMW!$A$2:$LR$60,MATCH(1,(GMW!$LQ$2:$LQ$60=Q$3)*(GMW!$LP$2:$LP$60=Q$4)*(GMW!$LR$2:$LR$60=Q$1),0),$C245-1966)</f>
        <v>657336.69999999995</v>
      </c>
      <c r="R245" s="4" cm="1">
        <f t="array" ref="R245">INDEX(GMW!$A$2:$LR$60,MATCH(1,(GMW!$LQ$2:$LQ$60=R$3)*(GMW!$LP$2:$LP$60=R$4)*(GMW!$LR$2:$LR$60=R$1),0),$C245-1966)</f>
        <v>657577</v>
      </c>
      <c r="S245" s="4" cm="1">
        <f t="array" ref="S245">INDEX(GMW!$A$2:$LR$60,MATCH(1,(GMW!$LQ$2:$LQ$60=S$3)*(GMW!$LP$2:$LP$60=S$4)*(GMW!$LR$2:$LR$60=S$1),0),$C245-1966)</f>
        <v>655511.80000000005</v>
      </c>
      <c r="T245" s="4" cm="1">
        <f t="array" ref="T245">INDEX(GMW!$A$2:$LR$60,MATCH(1,(GMW!$LQ$2:$LQ$60=T$3)*(GMW!$LP$2:$LP$60=T$4)*(GMW!$LR$2:$LR$60=T$1),0),$C245-1966)</f>
        <v>655509.19999999995</v>
      </c>
      <c r="U245" s="4" cm="1">
        <f t="array" ref="U245">INDEX(GMW!$A$2:$LR$60,MATCH(1,(GMW!$LQ$2:$LQ$60=U$3)*(GMW!$LP$2:$LP$60=U$4)*(GMW!$LR$2:$LR$60=U$1),0),$C245-1966)</f>
        <v>869.54750000000001</v>
      </c>
      <c r="V245" s="4" cm="1">
        <f t="array" ref="V245">INDEX(GMW!$A$2:$LR$60,MATCH(1,(GMW!$LQ$2:$LQ$60=V$3)*(GMW!$LP$2:$LP$60=V$4)*(GMW!$LR$2:$LR$60=V$1),0),$C245-1966)</f>
        <v>158.9699</v>
      </c>
      <c r="W245" s="4" cm="1">
        <f t="array" ref="W245">INDEX(GMW!$A$2:$LR$60,MATCH(1,(GMW!$LQ$2:$LQ$60=W$3)*(GMW!$LP$2:$LP$60=W$4)*(GMW!$LR$2:$LR$60=W$1),0),$C245-1966)</f>
        <v>156.93809999999999</v>
      </c>
      <c r="X245" s="4" cm="1">
        <f t="array" ref="X245">INDEX(GMW!$A$2:$LR$60,MATCH(1,(GMW!$LQ$2:$LQ$60=X$3)*(GMW!$LP$2:$LP$60=X$4)*(GMW!$LR$2:$LR$60=X$1),0),$C245-1966)</f>
        <v>125.08620000000001</v>
      </c>
      <c r="Y245" s="4" cm="1">
        <f t="array" ref="Y245">INDEX(GMW!$A$2:$LR$60,MATCH(1,(GMW!$LQ$2:$LQ$60=Y$3)*(GMW!$LP$2:$LP$60=Y$4)*(GMW!$LR$2:$LR$60=Y$1),0),$C245-1966)</f>
        <v>186.52969999999999</v>
      </c>
      <c r="Z245" s="4" cm="1">
        <f t="array" ref="Z245">INDEX(GMW!$A$2:$LR$60,MATCH(1,(GMW!$LQ$2:$LQ$60=Z$3)*(GMW!$LP$2:$LP$60=Z$4)*(GMW!$LR$2:$LR$60=Z$1),0),$C245-1966)</f>
        <v>158.39169999999999</v>
      </c>
      <c r="AA245" s="4" cm="1">
        <f t="array" ref="AA245">INDEX(GMW!$A$2:$LR$60,MATCH(1,(GMW!$LQ$2:$LQ$60=AA$3)*(GMW!$LP$2:$LP$60=AA$4)*(GMW!$LR$2:$LR$60=AA$1),0),$C245-1966)</f>
        <v>389601.9</v>
      </c>
      <c r="AB245" s="4" cm="1">
        <f t="array" ref="AB245">INDEX(GMW!$A$2:$LR$60,MATCH(1,(GMW!$LQ$2:$LQ$60=AB$3)*(GMW!$LP$2:$LP$60=AB$4)*(GMW!$LR$2:$LR$60=AB$1),0),$C245-1966)</f>
        <v>125645.5</v>
      </c>
      <c r="AC245" s="4" cm="1">
        <f t="array" ref="AC245">INDEX(GMW!$A$2:$LR$60,MATCH(1,(GMW!$LQ$2:$LQ$60=AC$3)*(GMW!$LP$2:$LP$60=AC$4)*(GMW!$LR$2:$LR$60=AC$1),0),$C245-1966)</f>
        <v>136420.29999999999</v>
      </c>
      <c r="AD245" s="4" cm="1">
        <f t="array" ref="AD245">INDEX(GMW!$A$2:$LR$60,MATCH(1,(GMW!$LQ$2:$LQ$60=AD$3)*(GMW!$LP$2:$LP$60=AD$4)*(GMW!$LR$2:$LR$60=AD$1),0),$C245-1966)</f>
        <v>204988.79999999999</v>
      </c>
      <c r="AE245" s="4" cm="1">
        <f t="array" ref="AE245">INDEX(GMW!$A$2:$LR$60,MATCH(1,(GMW!$LQ$2:$LQ$60=AE$3)*(GMW!$LP$2:$LP$60=AE$4)*(GMW!$LR$2:$LR$60=AE$1),0),$C245-1966)</f>
        <v>222043.1</v>
      </c>
      <c r="AF245" s="4" cm="1">
        <f t="array" ref="AF245">INDEX(GMW!$A$2:$LR$60,MATCH(1,(GMW!$LQ$2:$LQ$60=AF$3)*(GMW!$LP$2:$LP$60=AF$4)*(GMW!$LR$2:$LR$60=AF$1),0),$C245-1966)</f>
        <v>2.1064639999999999</v>
      </c>
      <c r="AG245" s="4" cm="1">
        <f t="array" ref="AG245">INDEX(GMW!$A$2:$LR$60,MATCH(1,(GMW!$LQ$2:$LQ$60=AG$3)*(GMW!$LP$2:$LP$60=AG$4)*(GMW!$LR$2:$LR$60=AG$1),0),$C245-1966)</f>
        <v>2.4334739999999999</v>
      </c>
    </row>
    <row r="246" spans="1:33" x14ac:dyDescent="0.25">
      <c r="B246" s="4">
        <f t="shared" si="7"/>
        <v>2032</v>
      </c>
      <c r="C246" s="4">
        <f t="shared" si="8"/>
        <v>2212</v>
      </c>
      <c r="D246" s="4" cm="1">
        <f t="array" ref="D246">INDEX(GMW!$A$2:$LR$60,MATCH(1,(GMW!$LQ$2:$LQ$60=D$3)*(GMW!$LP$2:$LP$60=D$4)*(GMW!$LR$2:$LR$60=D$1),0),$C246-1966)</f>
        <v>656639</v>
      </c>
      <c r="E246" s="4" cm="1">
        <f t="array" ref="E246">INDEX(GMW!$A$2:$LR$60,MATCH(1,(GMW!$LQ$2:$LQ$60=E$3)*(GMW!$LP$2:$LP$60=E$4)*(GMW!$LR$2:$LR$60=E$1),0),$C246-1966)</f>
        <v>649003.80000000005</v>
      </c>
      <c r="F246" s="4" cm="1">
        <f t="array" ref="F246">INDEX(GMW!$A$2:$LR$60,MATCH(1,(GMW!$LQ$2:$LQ$60=F$3)*(GMW!$LP$2:$LP$60=F$4)*(GMW!$LR$2:$LR$60=F$1),0),$C246-1966)</f>
        <v>649264</v>
      </c>
      <c r="G246" s="4" cm="1">
        <f t="array" ref="G246">INDEX(GMW!$A$2:$LR$60,MATCH(1,(GMW!$LQ$2:$LQ$60=G$3)*(GMW!$LP$2:$LP$60=G$4)*(GMW!$LR$2:$LR$60=G$1),0),$C246-1966)</f>
        <v>649264</v>
      </c>
      <c r="H246" s="4" cm="1">
        <f t="array" ref="H246">INDEX(GMW!$A$2:$LR$60,MATCH(1,(GMW!$LQ$2:$LQ$60=H$3)*(GMW!$LP$2:$LP$60=H$4)*(GMW!$LR$2:$LR$60=H$1),0),$C246-1966)</f>
        <v>655065.4</v>
      </c>
      <c r="I246" s="4" cm="1">
        <f t="array" ref="I246">INDEX(GMW!$A$2:$LR$60,MATCH(1,(GMW!$LQ$2:$LQ$60=I$3)*(GMW!$LP$2:$LP$60=I$4)*(GMW!$LR$2:$LR$60=I$1),0),$C246-1966)</f>
        <v>655947.9</v>
      </c>
      <c r="J246" s="4" cm="1">
        <f t="array" ref="J246">INDEX(GMW!$A$2:$LR$60,MATCH(1,(GMW!$LQ$2:$LQ$60=J$3)*(GMW!$LP$2:$LP$60=J$4)*(GMW!$LR$2:$LR$60=J$1),0),$C246-1966)</f>
        <v>655945</v>
      </c>
      <c r="K246" s="4" cm="1">
        <f t="array" ref="K246">INDEX(GMW!$A$2:$LR$60,MATCH(1,(GMW!$LQ$2:$LQ$60=K$3)*(GMW!$LP$2:$LP$60=K$4)*(GMW!$LR$2:$LR$60=K$1),0),$C246-1966)</f>
        <v>655762.4</v>
      </c>
      <c r="L246" s="4" cm="1">
        <f t="array" ref="L246">INDEX(GMW!$A$2:$LR$60,MATCH(1,(GMW!$LQ$2:$LQ$60=L$3)*(GMW!$LP$2:$LP$60=L$4)*(GMW!$LR$2:$LR$60=L$1),0),$C246-1966)</f>
        <v>655733.1</v>
      </c>
      <c r="M246" s="4" cm="1">
        <f t="array" ref="M246">INDEX(GMW!$A$2:$LR$60,MATCH(1,(GMW!$LQ$2:$LQ$60=M$3)*(GMW!$LP$2:$LP$60=M$4)*(GMW!$LR$2:$LR$60=M$1),0),$C246-1966)</f>
        <v>655733.1</v>
      </c>
      <c r="N246" s="4" cm="1">
        <f t="array" ref="N246">INDEX(GMW!$A$2:$LR$60,MATCH(1,(GMW!$LQ$2:$LQ$60=N$3)*(GMW!$LP$2:$LP$60=N$4)*(GMW!$LR$2:$LR$60=N$1),0),$C246-1966)</f>
        <v>657797.4</v>
      </c>
      <c r="O246" s="4" cm="1">
        <f t="array" ref="O246">INDEX(GMW!$A$2:$LR$60,MATCH(1,(GMW!$LQ$2:$LQ$60=O$3)*(GMW!$LP$2:$LP$60=O$4)*(GMW!$LR$2:$LR$60=O$1),0),$C246-1966)</f>
        <v>657928.80000000005</v>
      </c>
      <c r="P246" s="4" cm="1">
        <f t="array" ref="P246">INDEX(GMW!$A$2:$LR$60,MATCH(1,(GMW!$LQ$2:$LQ$60=P$3)*(GMW!$LP$2:$LP$60=P$4)*(GMW!$LR$2:$LR$60=P$1),0),$C246-1966)</f>
        <v>658395.4</v>
      </c>
      <c r="Q246" s="4" cm="1">
        <f t="array" ref="Q246">INDEX(GMW!$A$2:$LR$60,MATCH(1,(GMW!$LQ$2:$LQ$60=Q$3)*(GMW!$LP$2:$LP$60=Q$4)*(GMW!$LR$2:$LR$60=Q$1),0),$C246-1966)</f>
        <v>659735.9</v>
      </c>
      <c r="R246" s="4" cm="1">
        <f t="array" ref="R246">INDEX(GMW!$A$2:$LR$60,MATCH(1,(GMW!$LQ$2:$LQ$60=R$3)*(GMW!$LP$2:$LP$60=R$4)*(GMW!$LR$2:$LR$60=R$1),0),$C246-1966)</f>
        <v>659977.1</v>
      </c>
      <c r="S246" s="4" cm="1">
        <f t="array" ref="S246">INDEX(GMW!$A$2:$LR$60,MATCH(1,(GMW!$LQ$2:$LQ$60=S$3)*(GMW!$LP$2:$LP$60=S$4)*(GMW!$LR$2:$LR$60=S$1),0),$C246-1966)</f>
        <v>657904.4</v>
      </c>
      <c r="T246" s="4" cm="1">
        <f t="array" ref="T246">INDEX(GMW!$A$2:$LR$60,MATCH(1,(GMW!$LQ$2:$LQ$60=T$3)*(GMW!$LP$2:$LP$60=T$4)*(GMW!$LR$2:$LR$60=T$1),0),$C246-1966)</f>
        <v>657901.80000000005</v>
      </c>
      <c r="U246" s="4" cm="1">
        <f t="array" ref="U246">INDEX(GMW!$A$2:$LR$60,MATCH(1,(GMW!$LQ$2:$LQ$60=U$3)*(GMW!$LP$2:$LP$60=U$4)*(GMW!$LR$2:$LR$60=U$1),0),$C246-1966)</f>
        <v>875.91039999999998</v>
      </c>
      <c r="V246" s="4" cm="1">
        <f t="array" ref="V246">INDEX(GMW!$A$2:$LR$60,MATCH(1,(GMW!$LQ$2:$LQ$60=V$3)*(GMW!$LP$2:$LP$60=V$4)*(GMW!$LR$2:$LR$60=V$1),0),$C246-1966)</f>
        <v>159.7364</v>
      </c>
      <c r="W246" s="4" cm="1">
        <f t="array" ref="W246">INDEX(GMW!$A$2:$LR$60,MATCH(1,(GMW!$LQ$2:$LQ$60=W$3)*(GMW!$LP$2:$LP$60=W$4)*(GMW!$LR$2:$LR$60=W$1),0),$C246-1966)</f>
        <v>157.6387</v>
      </c>
      <c r="X246" s="4" cm="1">
        <f t="array" ref="X246">INDEX(GMW!$A$2:$LR$60,MATCH(1,(GMW!$LQ$2:$LQ$60=X$3)*(GMW!$LP$2:$LP$60=X$4)*(GMW!$LR$2:$LR$60=X$1),0),$C246-1966)</f>
        <v>125.0745</v>
      </c>
      <c r="Y246" s="4" cm="1">
        <f t="array" ref="Y246">INDEX(GMW!$A$2:$LR$60,MATCH(1,(GMW!$LQ$2:$LQ$60=Y$3)*(GMW!$LP$2:$LP$60=Y$4)*(GMW!$LR$2:$LR$60=Y$1),0),$C246-1966)</f>
        <v>188.02379999999999</v>
      </c>
      <c r="Z246" s="4" cm="1">
        <f t="array" ref="Z246">INDEX(GMW!$A$2:$LR$60,MATCH(1,(GMW!$LQ$2:$LQ$60=Z$3)*(GMW!$LP$2:$LP$60=Z$4)*(GMW!$LR$2:$LR$60=Z$1),0),$C246-1966)</f>
        <v>159.17089999999999</v>
      </c>
      <c r="AA246" s="4" cm="1">
        <f t="array" ref="AA246">INDEX(GMW!$A$2:$LR$60,MATCH(1,(GMW!$LQ$2:$LQ$60=AA$3)*(GMW!$LP$2:$LP$60=AA$4)*(GMW!$LR$2:$LR$60=AA$1),0),$C246-1966)</f>
        <v>390994.8</v>
      </c>
      <c r="AB246" s="4" cm="1">
        <f t="array" ref="AB246">INDEX(GMW!$A$2:$LR$60,MATCH(1,(GMW!$LQ$2:$LQ$60=AB$3)*(GMW!$LP$2:$LP$60=AB$4)*(GMW!$LR$2:$LR$60=AB$1),0),$C246-1966)</f>
        <v>126309.7</v>
      </c>
      <c r="AC246" s="4" cm="1">
        <f t="array" ref="AC246">INDEX(GMW!$A$2:$LR$60,MATCH(1,(GMW!$LQ$2:$LQ$60=AC$3)*(GMW!$LP$2:$LP$60=AC$4)*(GMW!$LR$2:$LR$60=AC$1),0),$C246-1966)</f>
        <v>136911.4</v>
      </c>
      <c r="AD246" s="4" cm="1">
        <f t="array" ref="AD246">INDEX(GMW!$A$2:$LR$60,MATCH(1,(GMW!$LQ$2:$LQ$60=AD$3)*(GMW!$LP$2:$LP$60=AD$4)*(GMW!$LR$2:$LR$60=AD$1),0),$C246-1966)</f>
        <v>205976</v>
      </c>
      <c r="AE246" s="4" cm="1">
        <f t="array" ref="AE246">INDEX(GMW!$A$2:$LR$60,MATCH(1,(GMW!$LQ$2:$LQ$60=AE$3)*(GMW!$LP$2:$LP$60=AE$4)*(GMW!$LR$2:$LR$60=AE$1),0),$C246-1966)</f>
        <v>223246.6</v>
      </c>
      <c r="AF246" s="4" cm="1">
        <f t="array" ref="AF246">INDEX(GMW!$A$2:$LR$60,MATCH(1,(GMW!$LQ$2:$LQ$60=AF$3)*(GMW!$LP$2:$LP$60=AF$4)*(GMW!$LR$2:$LR$60=AF$1),0),$C246-1966)</f>
        <v>2.1064639999999999</v>
      </c>
      <c r="AG246" s="4" cm="1">
        <f t="array" ref="AG246">INDEX(GMW!$A$2:$LR$60,MATCH(1,(GMW!$LQ$2:$LQ$60=AG$3)*(GMW!$LP$2:$LP$60=AG$4)*(GMW!$LR$2:$LR$60=AG$1),0),$C246-1966)</f>
        <v>2.4334739999999999</v>
      </c>
    </row>
    <row r="247" spans="1:33" x14ac:dyDescent="0.25">
      <c r="A247" s="4">
        <v>2033</v>
      </c>
      <c r="B247" s="4">
        <f t="shared" si="7"/>
        <v>2033</v>
      </c>
      <c r="C247" s="4">
        <f t="shared" si="8"/>
        <v>2213</v>
      </c>
      <c r="D247" s="4" cm="1">
        <f t="array" ref="D247">INDEX(GMW!$A$2:$LR$60,MATCH(1,(GMW!$LQ$2:$LQ$60=D$3)*(GMW!$LP$2:$LP$60=D$4)*(GMW!$LR$2:$LR$60=D$1),0),$C247-1966)</f>
        <v>659179.1</v>
      </c>
      <c r="E247" s="4" cm="1">
        <f t="array" ref="E247">INDEX(GMW!$A$2:$LR$60,MATCH(1,(GMW!$LQ$2:$LQ$60=E$3)*(GMW!$LP$2:$LP$60=E$4)*(GMW!$LR$2:$LR$60=E$1),0),$C247-1966)</f>
        <v>651333.4</v>
      </c>
      <c r="F247" s="4" cm="1">
        <f t="array" ref="F247">INDEX(GMW!$A$2:$LR$60,MATCH(1,(GMW!$LQ$2:$LQ$60=F$3)*(GMW!$LP$2:$LP$60=F$4)*(GMW!$LR$2:$LR$60=F$1),0),$C247-1966)</f>
        <v>651594.30000000005</v>
      </c>
      <c r="G247" s="4" cm="1">
        <f t="array" ref="G247">INDEX(GMW!$A$2:$LR$60,MATCH(1,(GMW!$LQ$2:$LQ$60=G$3)*(GMW!$LP$2:$LP$60=G$4)*(GMW!$LR$2:$LR$60=G$1),0),$C247-1966)</f>
        <v>651594.30000000005</v>
      </c>
      <c r="H247" s="4" cm="1">
        <f t="array" ref="H247">INDEX(GMW!$A$2:$LR$60,MATCH(1,(GMW!$LQ$2:$LQ$60=H$3)*(GMW!$LP$2:$LP$60=H$4)*(GMW!$LR$2:$LR$60=H$1),0),$C247-1966)</f>
        <v>657450.9</v>
      </c>
      <c r="I247" s="4" cm="1">
        <f t="array" ref="I247">INDEX(GMW!$A$2:$LR$60,MATCH(1,(GMW!$LQ$2:$LQ$60=I$3)*(GMW!$LP$2:$LP$60=I$4)*(GMW!$LR$2:$LR$60=I$1),0),$C247-1966)</f>
        <v>658349.6</v>
      </c>
      <c r="J247" s="4" cm="1">
        <f t="array" ref="J247">INDEX(GMW!$A$2:$LR$60,MATCH(1,(GMW!$LQ$2:$LQ$60=J$3)*(GMW!$LP$2:$LP$60=J$4)*(GMW!$LR$2:$LR$60=J$1),0),$C247-1966)</f>
        <v>658355.30000000005</v>
      </c>
      <c r="K247" s="4" cm="1">
        <f t="array" ref="K247">INDEX(GMW!$A$2:$LR$60,MATCH(1,(GMW!$LQ$2:$LQ$60=K$3)*(GMW!$LP$2:$LP$60=K$4)*(GMW!$LR$2:$LR$60=K$1),0),$C247-1966)</f>
        <v>658179.69999999995</v>
      </c>
      <c r="L247" s="4" cm="1">
        <f t="array" ref="L247">INDEX(GMW!$A$2:$LR$60,MATCH(1,(GMW!$LQ$2:$LQ$60=L$3)*(GMW!$LP$2:$LP$60=L$4)*(GMW!$LR$2:$LR$60=L$1),0),$C247-1966)</f>
        <v>658155.30000000005</v>
      </c>
      <c r="M247" s="4" cm="1">
        <f t="array" ref="M247">INDEX(GMW!$A$2:$LR$60,MATCH(1,(GMW!$LQ$2:$LQ$60=M$3)*(GMW!$LP$2:$LP$60=M$4)*(GMW!$LR$2:$LR$60=M$1),0),$C247-1966)</f>
        <v>658155.30000000005</v>
      </c>
      <c r="N247" s="4" cm="1">
        <f t="array" ref="N247">INDEX(GMW!$A$2:$LR$60,MATCH(1,(GMW!$LQ$2:$LQ$60=N$3)*(GMW!$LP$2:$LP$60=N$4)*(GMW!$LR$2:$LR$60=N$1),0),$C247-1966)</f>
        <v>660243.9</v>
      </c>
      <c r="O247" s="4" cm="1">
        <f t="array" ref="O247">INDEX(GMW!$A$2:$LR$60,MATCH(1,(GMW!$LQ$2:$LQ$60=O$3)*(GMW!$LP$2:$LP$60=O$4)*(GMW!$LR$2:$LR$60=O$1),0),$C247-1966)</f>
        <v>660402.1</v>
      </c>
      <c r="P247" s="4" cm="1">
        <f t="array" ref="P247">INDEX(GMW!$A$2:$LR$60,MATCH(1,(GMW!$LQ$2:$LQ$60=P$3)*(GMW!$LP$2:$LP$60=P$4)*(GMW!$LR$2:$LR$60=P$1),0),$C247-1966)</f>
        <v>660794.6</v>
      </c>
      <c r="Q247" s="4" cm="1">
        <f t="array" ref="Q247">INDEX(GMW!$A$2:$LR$60,MATCH(1,(GMW!$LQ$2:$LQ$60=Q$3)*(GMW!$LP$2:$LP$60=Q$4)*(GMW!$LR$2:$LR$60=Q$1),0),$C247-1966)</f>
        <v>662209.6</v>
      </c>
      <c r="R247" s="4" cm="1">
        <f t="array" ref="R247">INDEX(GMW!$A$2:$LR$60,MATCH(1,(GMW!$LQ$2:$LQ$60=R$3)*(GMW!$LP$2:$LP$60=R$4)*(GMW!$LR$2:$LR$60=R$1),0),$C247-1966)</f>
        <v>662451.9</v>
      </c>
      <c r="S247" s="4" cm="1">
        <f t="array" ref="S247">INDEX(GMW!$A$2:$LR$60,MATCH(1,(GMW!$LQ$2:$LQ$60=S$3)*(GMW!$LP$2:$LP$60=S$4)*(GMW!$LR$2:$LR$60=S$1),0),$C247-1966)</f>
        <v>660363.30000000005</v>
      </c>
      <c r="T247" s="4" cm="1">
        <f t="array" ref="T247">INDEX(GMW!$A$2:$LR$60,MATCH(1,(GMW!$LQ$2:$LQ$60=T$3)*(GMW!$LP$2:$LP$60=T$4)*(GMW!$LR$2:$LR$60=T$1),0),$C247-1966)</f>
        <v>660446</v>
      </c>
      <c r="U247" s="4" cm="1">
        <f t="array" ref="U247">INDEX(GMW!$A$2:$LR$60,MATCH(1,(GMW!$LQ$2:$LQ$60=U$3)*(GMW!$LP$2:$LP$60=U$4)*(GMW!$LR$2:$LR$60=U$1),0),$C247-1966)</f>
        <v>882.36440000000005</v>
      </c>
      <c r="V247" s="4" cm="1">
        <f t="array" ref="V247">INDEX(GMW!$A$2:$LR$60,MATCH(1,(GMW!$LQ$2:$LQ$60=V$3)*(GMW!$LP$2:$LP$60=V$4)*(GMW!$LR$2:$LR$60=V$1),0),$C247-1966)</f>
        <v>159.98660000000001</v>
      </c>
      <c r="W247" s="4" cm="1">
        <f t="array" ref="W247">INDEX(GMW!$A$2:$LR$60,MATCH(1,(GMW!$LQ$2:$LQ$60=W$3)*(GMW!$LP$2:$LP$60=W$4)*(GMW!$LR$2:$LR$60=W$1),0),$C247-1966)</f>
        <v>159.0899</v>
      </c>
      <c r="X247" s="4" cm="1">
        <f t="array" ref="X247">INDEX(GMW!$A$2:$LR$60,MATCH(1,(GMW!$LQ$2:$LQ$60=X$3)*(GMW!$LP$2:$LP$60=X$4)*(GMW!$LR$2:$LR$60=X$1),0),$C247-1966)</f>
        <v>125.06310000000001</v>
      </c>
      <c r="Y247" s="4" cm="1">
        <f t="array" ref="Y247">INDEX(GMW!$A$2:$LR$60,MATCH(1,(GMW!$LQ$2:$LQ$60=Y$3)*(GMW!$LP$2:$LP$60=Y$4)*(GMW!$LR$2:$LR$60=Y$1),0),$C247-1966)</f>
        <v>189.5335</v>
      </c>
      <c r="Z247" s="4" cm="1">
        <f t="array" ref="Z247">INDEX(GMW!$A$2:$LR$60,MATCH(1,(GMW!$LQ$2:$LQ$60=Z$3)*(GMW!$LP$2:$LP$60=Z$4)*(GMW!$LR$2:$LR$60=Z$1),0),$C247-1966)</f>
        <v>159.1378</v>
      </c>
      <c r="AA247" s="4" cm="1">
        <f t="array" ref="AA247">INDEX(GMW!$A$2:$LR$60,MATCH(1,(GMW!$LQ$2:$LQ$60=AA$3)*(GMW!$LP$2:$LP$60=AA$4)*(GMW!$LR$2:$LR$60=AA$1),0),$C247-1966)</f>
        <v>392487.7</v>
      </c>
      <c r="AB247" s="4" cm="1">
        <f t="array" ref="AB247">INDEX(GMW!$A$2:$LR$60,MATCH(1,(GMW!$LQ$2:$LQ$60=AB$3)*(GMW!$LP$2:$LP$60=AB$4)*(GMW!$LR$2:$LR$60=AB$1),0),$C247-1966)</f>
        <v>127011</v>
      </c>
      <c r="AC247" s="4" cm="1">
        <f t="array" ref="AC247">INDEX(GMW!$A$2:$LR$60,MATCH(1,(GMW!$LQ$2:$LQ$60=AC$3)*(GMW!$LP$2:$LP$60=AC$4)*(GMW!$LR$2:$LR$60=AC$1),0),$C247-1966)</f>
        <v>137432.79999999999</v>
      </c>
      <c r="AD247" s="4" cm="1">
        <f t="array" ref="AD247">INDEX(GMW!$A$2:$LR$60,MATCH(1,(GMW!$LQ$2:$LQ$60=AD$3)*(GMW!$LP$2:$LP$60=AD$4)*(GMW!$LR$2:$LR$60=AD$1),0),$C247-1966)</f>
        <v>206931.3</v>
      </c>
      <c r="AE247" s="4" cm="1">
        <f t="array" ref="AE247">INDEX(GMW!$A$2:$LR$60,MATCH(1,(GMW!$LQ$2:$LQ$60=AE$3)*(GMW!$LP$2:$LP$60=AE$4)*(GMW!$LR$2:$LR$60=AE$1),0),$C247-1966)</f>
        <v>224437.4</v>
      </c>
      <c r="AF247" s="4" cm="1">
        <f t="array" ref="AF247">INDEX(GMW!$A$2:$LR$60,MATCH(1,(GMW!$LQ$2:$LQ$60=AF$3)*(GMW!$LP$2:$LP$60=AF$4)*(GMW!$LR$2:$LR$60=AF$1),0),$C247-1966)</f>
        <v>2.1064639999999999</v>
      </c>
      <c r="AG247" s="4" cm="1">
        <f t="array" ref="AG247">INDEX(GMW!$A$2:$LR$60,MATCH(1,(GMW!$LQ$2:$LQ$60=AG$3)*(GMW!$LP$2:$LP$60=AG$4)*(GMW!$LR$2:$LR$60=AG$1),0),$C247-1966)</f>
        <v>2.4334739999999999</v>
      </c>
    </row>
    <row r="248" spans="1:33" x14ac:dyDescent="0.25">
      <c r="B248" s="4">
        <f t="shared" si="7"/>
        <v>2033</v>
      </c>
      <c r="C248" s="4">
        <f t="shared" si="8"/>
        <v>2214</v>
      </c>
      <c r="D248" s="4" cm="1">
        <f t="array" ref="D248">INDEX(GMW!$A$2:$LR$60,MATCH(1,(GMW!$LQ$2:$LQ$60=D$3)*(GMW!$LP$2:$LP$60=D$4)*(GMW!$LR$2:$LR$60=D$1),0),$C248-1966)</f>
        <v>661688.6</v>
      </c>
      <c r="E248" s="4" cm="1">
        <f t="array" ref="E248">INDEX(GMW!$A$2:$LR$60,MATCH(1,(GMW!$LQ$2:$LQ$60=E$3)*(GMW!$LP$2:$LP$60=E$4)*(GMW!$LR$2:$LR$60=E$1),0),$C248-1966)</f>
        <v>653674.1</v>
      </c>
      <c r="F248" s="4" cm="1">
        <f t="array" ref="F248">INDEX(GMW!$A$2:$LR$60,MATCH(1,(GMW!$LQ$2:$LQ$60=F$3)*(GMW!$LP$2:$LP$60=F$4)*(GMW!$LR$2:$LR$60=F$1),0),$C248-1966)</f>
        <v>653935.6</v>
      </c>
      <c r="G248" s="4" cm="1">
        <f t="array" ref="G248">INDEX(GMW!$A$2:$LR$60,MATCH(1,(GMW!$LQ$2:$LQ$60=G$3)*(GMW!$LP$2:$LP$60=G$4)*(GMW!$LR$2:$LR$60=G$1),0),$C248-1966)</f>
        <v>653935.6</v>
      </c>
      <c r="H248" s="4" cm="1">
        <f t="array" ref="H248">INDEX(GMW!$A$2:$LR$60,MATCH(1,(GMW!$LQ$2:$LQ$60=H$3)*(GMW!$LP$2:$LP$60=H$4)*(GMW!$LR$2:$LR$60=H$1),0),$C248-1966)</f>
        <v>659812.30000000005</v>
      </c>
      <c r="I248" s="4" cm="1">
        <f t="array" ref="I248">INDEX(GMW!$A$2:$LR$60,MATCH(1,(GMW!$LQ$2:$LQ$60=I$3)*(GMW!$LP$2:$LP$60=I$4)*(GMW!$LR$2:$LR$60=I$1),0),$C248-1966)</f>
        <v>660699.4</v>
      </c>
      <c r="J248" s="4" cm="1">
        <f t="array" ref="J248">INDEX(GMW!$A$2:$LR$60,MATCH(1,(GMW!$LQ$2:$LQ$60=J$3)*(GMW!$LP$2:$LP$60=J$4)*(GMW!$LR$2:$LR$60=J$1),0),$C248-1966)</f>
        <v>660695.6</v>
      </c>
      <c r="K248" s="4" cm="1">
        <f t="array" ref="K248">INDEX(GMW!$A$2:$LR$60,MATCH(1,(GMW!$LQ$2:$LQ$60=K$3)*(GMW!$LP$2:$LP$60=K$4)*(GMW!$LR$2:$LR$60=K$1),0),$C248-1966)</f>
        <v>660558.5</v>
      </c>
      <c r="L248" s="4" cm="1">
        <f t="array" ref="L248">INDEX(GMW!$A$2:$LR$60,MATCH(1,(GMW!$LQ$2:$LQ$60=L$3)*(GMW!$LP$2:$LP$60=L$4)*(GMW!$LR$2:$LR$60=L$1),0),$C248-1966)</f>
        <v>660559.5</v>
      </c>
      <c r="M248" s="4" cm="1">
        <f t="array" ref="M248">INDEX(GMW!$A$2:$LR$60,MATCH(1,(GMW!$LQ$2:$LQ$60=M$3)*(GMW!$LP$2:$LP$60=M$4)*(GMW!$LR$2:$LR$60=M$1),0),$C248-1966)</f>
        <v>660559.5</v>
      </c>
      <c r="N248" s="4" cm="1">
        <f t="array" ref="N248">INDEX(GMW!$A$2:$LR$60,MATCH(1,(GMW!$LQ$2:$LQ$60=N$3)*(GMW!$LP$2:$LP$60=N$4)*(GMW!$LR$2:$LR$60=N$1),0),$C248-1966)</f>
        <v>662686.6</v>
      </c>
      <c r="O248" s="4" cm="1">
        <f t="array" ref="O248">INDEX(GMW!$A$2:$LR$60,MATCH(1,(GMW!$LQ$2:$LQ$60=O$3)*(GMW!$LP$2:$LP$60=O$4)*(GMW!$LR$2:$LR$60=O$1),0),$C248-1966)</f>
        <v>662816.1</v>
      </c>
      <c r="P248" s="4" cm="1">
        <f t="array" ref="P248">INDEX(GMW!$A$2:$LR$60,MATCH(1,(GMW!$LQ$2:$LQ$60=P$3)*(GMW!$LP$2:$LP$60=P$4)*(GMW!$LR$2:$LR$60=P$1),0),$C248-1966)</f>
        <v>663161.9</v>
      </c>
      <c r="Q248" s="4" cm="1">
        <f t="array" ref="Q248">INDEX(GMW!$A$2:$LR$60,MATCH(1,(GMW!$LQ$2:$LQ$60=Q$3)*(GMW!$LP$2:$LP$60=Q$4)*(GMW!$LR$2:$LR$60=Q$1),0),$C248-1966)</f>
        <v>664606.1</v>
      </c>
      <c r="R248" s="4" cm="1">
        <f t="array" ref="R248">INDEX(GMW!$A$2:$LR$60,MATCH(1,(GMW!$LQ$2:$LQ$60=R$3)*(GMW!$LP$2:$LP$60=R$4)*(GMW!$LR$2:$LR$60=R$1),0),$C248-1966)</f>
        <v>664838.19999999995</v>
      </c>
      <c r="S248" s="4" cm="1">
        <f t="array" ref="S248">INDEX(GMW!$A$2:$LR$60,MATCH(1,(GMW!$LQ$2:$LQ$60=S$3)*(GMW!$LP$2:$LP$60=S$4)*(GMW!$LR$2:$LR$60=S$1),0),$C248-1966)</f>
        <v>662726.19999999995</v>
      </c>
      <c r="T248" s="4" cm="1">
        <f t="array" ref="T248">INDEX(GMW!$A$2:$LR$60,MATCH(1,(GMW!$LQ$2:$LQ$60=T$3)*(GMW!$LP$2:$LP$60=T$4)*(GMW!$LR$2:$LR$60=T$1),0),$C248-1966)</f>
        <v>662959.6</v>
      </c>
      <c r="U248" s="4" cm="1">
        <f t="array" ref="U248">INDEX(GMW!$A$2:$LR$60,MATCH(1,(GMW!$LQ$2:$LQ$60=U$3)*(GMW!$LP$2:$LP$60=U$4)*(GMW!$LR$2:$LR$60=U$1),0),$C248-1966)</f>
        <v>888.90419999999995</v>
      </c>
      <c r="V248" s="4" cm="1">
        <f t="array" ref="V248">INDEX(GMW!$A$2:$LR$60,MATCH(1,(GMW!$LQ$2:$LQ$60=V$3)*(GMW!$LP$2:$LP$60=V$4)*(GMW!$LR$2:$LR$60=V$1),0),$C248-1966)</f>
        <v>161.38409999999999</v>
      </c>
      <c r="W248" s="4" cm="1">
        <f t="array" ref="W248">INDEX(GMW!$A$2:$LR$60,MATCH(1,(GMW!$LQ$2:$LQ$60=W$3)*(GMW!$LP$2:$LP$60=W$4)*(GMW!$LR$2:$LR$60=W$1),0),$C248-1966)</f>
        <v>159.47</v>
      </c>
      <c r="X248" s="4" cm="1">
        <f t="array" ref="X248">INDEX(GMW!$A$2:$LR$60,MATCH(1,(GMW!$LQ$2:$LQ$60=X$3)*(GMW!$LP$2:$LP$60=X$4)*(GMW!$LR$2:$LR$60=X$1),0),$C248-1966)</f>
        <v>125.0522</v>
      </c>
      <c r="Y248" s="4" cm="1">
        <f t="array" ref="Y248">INDEX(GMW!$A$2:$LR$60,MATCH(1,(GMW!$LQ$2:$LQ$60=Y$3)*(GMW!$LP$2:$LP$60=Y$4)*(GMW!$LR$2:$LR$60=Y$1),0),$C248-1966)</f>
        <v>191.0598</v>
      </c>
      <c r="Z248" s="4" cm="1">
        <f t="array" ref="Z248">INDEX(GMW!$A$2:$LR$60,MATCH(1,(GMW!$LQ$2:$LQ$60=Z$3)*(GMW!$LP$2:$LP$60=Z$4)*(GMW!$LR$2:$LR$60=Z$1),0),$C248-1966)</f>
        <v>160.7877</v>
      </c>
      <c r="AA248" s="4" cm="1">
        <f t="array" ref="AA248">INDEX(GMW!$A$2:$LR$60,MATCH(1,(GMW!$LQ$2:$LQ$60=AA$3)*(GMW!$LP$2:$LP$60=AA$4)*(GMW!$LR$2:$LR$60=AA$1),0),$C248-1966)</f>
        <v>393962.3</v>
      </c>
      <c r="AB248" s="4" cm="1">
        <f t="array" ref="AB248">INDEX(GMW!$A$2:$LR$60,MATCH(1,(GMW!$LQ$2:$LQ$60=AB$3)*(GMW!$LP$2:$LP$60=AB$4)*(GMW!$LR$2:$LR$60=AB$1),0),$C248-1966)</f>
        <v>127708.4</v>
      </c>
      <c r="AC248" s="4" cm="1">
        <f t="array" ref="AC248">INDEX(GMW!$A$2:$LR$60,MATCH(1,(GMW!$LQ$2:$LQ$60=AC$3)*(GMW!$LP$2:$LP$60=AC$4)*(GMW!$LR$2:$LR$60=AC$1),0),$C248-1966)</f>
        <v>137947.79999999999</v>
      </c>
      <c r="AD248" s="4" cm="1">
        <f t="array" ref="AD248">INDEX(GMW!$A$2:$LR$60,MATCH(1,(GMW!$LQ$2:$LQ$60=AD$3)*(GMW!$LP$2:$LP$60=AD$4)*(GMW!$LR$2:$LR$60=AD$1),0),$C248-1966)</f>
        <v>207879.1</v>
      </c>
      <c r="AE248" s="4" cm="1">
        <f t="array" ref="AE248">INDEX(GMW!$A$2:$LR$60,MATCH(1,(GMW!$LQ$2:$LQ$60=AE$3)*(GMW!$LP$2:$LP$60=AE$4)*(GMW!$LR$2:$LR$60=AE$1),0),$C248-1966)</f>
        <v>225621.9</v>
      </c>
      <c r="AF248" s="4" cm="1">
        <f t="array" ref="AF248">INDEX(GMW!$A$2:$LR$60,MATCH(1,(GMW!$LQ$2:$LQ$60=AF$3)*(GMW!$LP$2:$LP$60=AF$4)*(GMW!$LR$2:$LR$60=AF$1),0),$C248-1966)</f>
        <v>2.1064639999999999</v>
      </c>
      <c r="AG248" s="4" cm="1">
        <f t="array" ref="AG248">INDEX(GMW!$A$2:$LR$60,MATCH(1,(GMW!$LQ$2:$LQ$60=AG$3)*(GMW!$LP$2:$LP$60=AG$4)*(GMW!$LR$2:$LR$60=AG$1),0),$C248-1966)</f>
        <v>2.4334739999999999</v>
      </c>
    </row>
    <row r="249" spans="1:33" x14ac:dyDescent="0.25">
      <c r="B249" s="4">
        <f t="shared" si="7"/>
        <v>2033</v>
      </c>
      <c r="C249" s="4">
        <f t="shared" si="8"/>
        <v>2215</v>
      </c>
      <c r="D249" s="4" cm="1">
        <f t="array" ref="D249">INDEX(GMW!$A$2:$LR$60,MATCH(1,(GMW!$LQ$2:$LQ$60=D$3)*(GMW!$LP$2:$LP$60=D$4)*(GMW!$LR$2:$LR$60=D$1),0),$C249-1966)</f>
        <v>664138.30000000005</v>
      </c>
      <c r="E249" s="4" cm="1">
        <f t="array" ref="E249">INDEX(GMW!$A$2:$LR$60,MATCH(1,(GMW!$LQ$2:$LQ$60=E$3)*(GMW!$LP$2:$LP$60=E$4)*(GMW!$LR$2:$LR$60=E$1),0),$C249-1966)</f>
        <v>656025.80000000005</v>
      </c>
      <c r="F249" s="4" cm="1">
        <f t="array" ref="F249">INDEX(GMW!$A$2:$LR$60,MATCH(1,(GMW!$LQ$2:$LQ$60=F$3)*(GMW!$LP$2:$LP$60=F$4)*(GMW!$LR$2:$LR$60=F$1),0),$C249-1966)</f>
        <v>656288</v>
      </c>
      <c r="G249" s="4" cm="1">
        <f t="array" ref="G249">INDEX(GMW!$A$2:$LR$60,MATCH(1,(GMW!$LQ$2:$LQ$60=G$3)*(GMW!$LP$2:$LP$60=G$4)*(GMW!$LR$2:$LR$60=G$1),0),$C249-1966)</f>
        <v>656288</v>
      </c>
      <c r="H249" s="4" cm="1">
        <f t="array" ref="H249">INDEX(GMW!$A$2:$LR$60,MATCH(1,(GMW!$LQ$2:$LQ$60=H$3)*(GMW!$LP$2:$LP$60=H$4)*(GMW!$LR$2:$LR$60=H$1),0),$C249-1966)</f>
        <v>662144.69999999995</v>
      </c>
      <c r="I249" s="4" cm="1">
        <f t="array" ref="I249">INDEX(GMW!$A$2:$LR$60,MATCH(1,(GMW!$LQ$2:$LQ$60=I$3)*(GMW!$LP$2:$LP$60=I$4)*(GMW!$LR$2:$LR$60=I$1),0),$C249-1966)</f>
        <v>663036</v>
      </c>
      <c r="J249" s="4" cm="1">
        <f t="array" ref="J249">INDEX(GMW!$A$2:$LR$60,MATCH(1,(GMW!$LQ$2:$LQ$60=J$3)*(GMW!$LP$2:$LP$60=J$4)*(GMW!$LR$2:$LR$60=J$1),0),$C249-1966)</f>
        <v>663032.69999999995</v>
      </c>
      <c r="K249" s="4" cm="1">
        <f t="array" ref="K249">INDEX(GMW!$A$2:$LR$60,MATCH(1,(GMW!$LQ$2:$LQ$60=K$3)*(GMW!$LP$2:$LP$60=K$4)*(GMW!$LR$2:$LR$60=K$1),0),$C249-1966)</f>
        <v>662898.19999999995</v>
      </c>
      <c r="L249" s="4" cm="1">
        <f t="array" ref="L249">INDEX(GMW!$A$2:$LR$60,MATCH(1,(GMW!$LQ$2:$LQ$60=L$3)*(GMW!$LP$2:$LP$60=L$4)*(GMW!$LR$2:$LR$60=L$1),0),$C249-1966)</f>
        <v>662901.6</v>
      </c>
      <c r="M249" s="4" cm="1">
        <f t="array" ref="M249">INDEX(GMW!$A$2:$LR$60,MATCH(1,(GMW!$LQ$2:$LQ$60=M$3)*(GMW!$LP$2:$LP$60=M$4)*(GMW!$LR$2:$LR$60=M$1),0),$C249-1966)</f>
        <v>662901.6</v>
      </c>
      <c r="N249" s="4" cm="1">
        <f t="array" ref="N249">INDEX(GMW!$A$2:$LR$60,MATCH(1,(GMW!$LQ$2:$LQ$60=N$3)*(GMW!$LP$2:$LP$60=N$4)*(GMW!$LR$2:$LR$60=N$1),0),$C249-1966)</f>
        <v>665052.69999999995</v>
      </c>
      <c r="O249" s="4" cm="1">
        <f t="array" ref="O249">INDEX(GMW!$A$2:$LR$60,MATCH(1,(GMW!$LQ$2:$LQ$60=O$3)*(GMW!$LP$2:$LP$60=O$4)*(GMW!$LR$2:$LR$60=O$1),0),$C249-1966)</f>
        <v>665208.9</v>
      </c>
      <c r="P249" s="4" cm="1">
        <f t="array" ref="P249">INDEX(GMW!$A$2:$LR$60,MATCH(1,(GMW!$LQ$2:$LQ$60=P$3)*(GMW!$LP$2:$LP$60=P$4)*(GMW!$LR$2:$LR$60=P$1),0),$C249-1966)</f>
        <v>665521.4</v>
      </c>
      <c r="Q249" s="4" cm="1">
        <f t="array" ref="Q249">INDEX(GMW!$A$2:$LR$60,MATCH(1,(GMW!$LQ$2:$LQ$60=Q$3)*(GMW!$LP$2:$LP$60=Q$4)*(GMW!$LR$2:$LR$60=Q$1),0),$C249-1966)</f>
        <v>667004.9</v>
      </c>
      <c r="R249" s="4" cm="1">
        <f t="array" ref="R249">INDEX(GMW!$A$2:$LR$60,MATCH(1,(GMW!$LQ$2:$LQ$60=R$3)*(GMW!$LP$2:$LP$60=R$4)*(GMW!$LR$2:$LR$60=R$1),0),$C249-1966)</f>
        <v>667228.80000000005</v>
      </c>
      <c r="S249" s="4" cm="1">
        <f t="array" ref="S249">INDEX(GMW!$A$2:$LR$60,MATCH(1,(GMW!$LQ$2:$LQ$60=S$3)*(GMW!$LP$2:$LP$60=S$4)*(GMW!$LR$2:$LR$60=S$1),0),$C249-1966)</f>
        <v>665095.1</v>
      </c>
      <c r="T249" s="4" cm="1">
        <f t="array" ref="T249">INDEX(GMW!$A$2:$LR$60,MATCH(1,(GMW!$LQ$2:$LQ$60=T$3)*(GMW!$LP$2:$LP$60=T$4)*(GMW!$LR$2:$LR$60=T$1),0),$C249-1966)</f>
        <v>665413.19999999995</v>
      </c>
      <c r="U249" s="4" cm="1">
        <f t="array" ref="U249">INDEX(GMW!$A$2:$LR$60,MATCH(1,(GMW!$LQ$2:$LQ$60=U$3)*(GMW!$LP$2:$LP$60=U$4)*(GMW!$LR$2:$LR$60=U$1),0),$C249-1966)</f>
        <v>895.5326</v>
      </c>
      <c r="V249" s="4" cm="1">
        <f t="array" ref="V249">INDEX(GMW!$A$2:$LR$60,MATCH(1,(GMW!$LQ$2:$LQ$60=V$3)*(GMW!$LP$2:$LP$60=V$4)*(GMW!$LR$2:$LR$60=V$1),0),$C249-1966)</f>
        <v>162.14930000000001</v>
      </c>
      <c r="W249" s="4" cm="1">
        <f t="array" ref="W249">INDEX(GMW!$A$2:$LR$60,MATCH(1,(GMW!$LQ$2:$LQ$60=W$3)*(GMW!$LP$2:$LP$60=W$4)*(GMW!$LR$2:$LR$60=W$1),0),$C249-1966)</f>
        <v>159.27029999999999</v>
      </c>
      <c r="X249" s="4" cm="1">
        <f t="array" ref="X249">INDEX(GMW!$A$2:$LR$60,MATCH(1,(GMW!$LQ$2:$LQ$60=X$3)*(GMW!$LP$2:$LP$60=X$4)*(GMW!$LR$2:$LR$60=X$1),0),$C249-1966)</f>
        <v>125.04170000000001</v>
      </c>
      <c r="Y249" s="4" cm="1">
        <f t="array" ref="Y249">INDEX(GMW!$A$2:$LR$60,MATCH(1,(GMW!$LQ$2:$LQ$60=Y$3)*(GMW!$LP$2:$LP$60=Y$4)*(GMW!$LR$2:$LR$60=Y$1),0),$C249-1966)</f>
        <v>192.60290000000001</v>
      </c>
      <c r="Z249" s="4" cm="1">
        <f t="array" ref="Z249">INDEX(GMW!$A$2:$LR$60,MATCH(1,(GMW!$LQ$2:$LQ$60=Z$3)*(GMW!$LP$2:$LP$60=Z$4)*(GMW!$LR$2:$LR$60=Z$1),0),$C249-1966)</f>
        <v>161.74180000000001</v>
      </c>
      <c r="AA249" s="4" cm="1">
        <f t="array" ref="AA249">INDEX(GMW!$A$2:$LR$60,MATCH(1,(GMW!$LQ$2:$LQ$60=AA$3)*(GMW!$LP$2:$LP$60=AA$4)*(GMW!$LR$2:$LR$60=AA$1),0),$C249-1966)</f>
        <v>395401.1</v>
      </c>
      <c r="AB249" s="4" cm="1">
        <f t="array" ref="AB249">INDEX(GMW!$A$2:$LR$60,MATCH(1,(GMW!$LQ$2:$LQ$60=AB$3)*(GMW!$LP$2:$LP$60=AB$4)*(GMW!$LR$2:$LR$60=AB$1),0),$C249-1966)</f>
        <v>128396.5</v>
      </c>
      <c r="AC249" s="4" cm="1">
        <f t="array" ref="AC249">INDEX(GMW!$A$2:$LR$60,MATCH(1,(GMW!$LQ$2:$LQ$60=AC$3)*(GMW!$LP$2:$LP$60=AC$4)*(GMW!$LR$2:$LR$60=AC$1),0),$C249-1966)</f>
        <v>138450.20000000001</v>
      </c>
      <c r="AD249" s="4" cm="1">
        <f t="array" ref="AD249">INDEX(GMW!$A$2:$LR$60,MATCH(1,(GMW!$LQ$2:$LQ$60=AD$3)*(GMW!$LP$2:$LP$60=AD$4)*(GMW!$LR$2:$LR$60=AD$1),0),$C249-1966)</f>
        <v>208810.6</v>
      </c>
      <c r="AE249" s="4" cm="1">
        <f t="array" ref="AE249">INDEX(GMW!$A$2:$LR$60,MATCH(1,(GMW!$LQ$2:$LQ$60=AE$3)*(GMW!$LP$2:$LP$60=AE$4)*(GMW!$LR$2:$LR$60=AE$1),0),$C249-1966)</f>
        <v>226790.6</v>
      </c>
      <c r="AF249" s="4" cm="1">
        <f t="array" ref="AF249">INDEX(GMW!$A$2:$LR$60,MATCH(1,(GMW!$LQ$2:$LQ$60=AF$3)*(GMW!$LP$2:$LP$60=AF$4)*(GMW!$LR$2:$LR$60=AF$1),0),$C249-1966)</f>
        <v>2.1064639999999999</v>
      </c>
      <c r="AG249" s="4" cm="1">
        <f t="array" ref="AG249">INDEX(GMW!$A$2:$LR$60,MATCH(1,(GMW!$LQ$2:$LQ$60=AG$3)*(GMW!$LP$2:$LP$60=AG$4)*(GMW!$LR$2:$LR$60=AG$1),0),$C249-1966)</f>
        <v>2.4334739999999999</v>
      </c>
    </row>
    <row r="250" spans="1:33" x14ac:dyDescent="0.25">
      <c r="B250" s="4">
        <f t="shared" si="7"/>
        <v>2033</v>
      </c>
      <c r="C250" s="4">
        <f t="shared" si="8"/>
        <v>2216</v>
      </c>
      <c r="D250" s="4" cm="1">
        <f t="array" ref="D250">INDEX(GMW!$A$2:$LR$60,MATCH(1,(GMW!$LQ$2:$LQ$60=D$3)*(GMW!$LP$2:$LP$60=D$4)*(GMW!$LR$2:$LR$60=D$1),0),$C250-1966)</f>
        <v>666596.30000000005</v>
      </c>
      <c r="E250" s="4" cm="1">
        <f t="array" ref="E250">INDEX(GMW!$A$2:$LR$60,MATCH(1,(GMW!$LQ$2:$LQ$60=E$3)*(GMW!$LP$2:$LP$60=E$4)*(GMW!$LR$2:$LR$60=E$1),0),$C250-1966)</f>
        <v>658388.1</v>
      </c>
      <c r="F250" s="4" cm="1">
        <f t="array" ref="F250">INDEX(GMW!$A$2:$LR$60,MATCH(1,(GMW!$LQ$2:$LQ$60=F$3)*(GMW!$LP$2:$LP$60=F$4)*(GMW!$LR$2:$LR$60=F$1),0),$C250-1966)</f>
        <v>658651.1</v>
      </c>
      <c r="G250" s="4" cm="1">
        <f t="array" ref="G250">INDEX(GMW!$A$2:$LR$60,MATCH(1,(GMW!$LQ$2:$LQ$60=G$3)*(GMW!$LP$2:$LP$60=G$4)*(GMW!$LR$2:$LR$60=G$1),0),$C250-1966)</f>
        <v>658651.1</v>
      </c>
      <c r="H250" s="4" cm="1">
        <f t="array" ref="H250">INDEX(GMW!$A$2:$LR$60,MATCH(1,(GMW!$LQ$2:$LQ$60=H$3)*(GMW!$LP$2:$LP$60=H$4)*(GMW!$LR$2:$LR$60=H$1),0),$C250-1966)</f>
        <v>664492.9</v>
      </c>
      <c r="I250" s="4" cm="1">
        <f t="array" ref="I250">INDEX(GMW!$A$2:$LR$60,MATCH(1,(GMW!$LQ$2:$LQ$60=I$3)*(GMW!$LP$2:$LP$60=I$4)*(GMW!$LR$2:$LR$60=I$1),0),$C250-1966)</f>
        <v>665366.19999999995</v>
      </c>
      <c r="J250" s="4" cm="1">
        <f t="array" ref="J250">INDEX(GMW!$A$2:$LR$60,MATCH(1,(GMW!$LQ$2:$LQ$60=J$3)*(GMW!$LP$2:$LP$60=J$4)*(GMW!$LR$2:$LR$60=J$1),0),$C250-1966)</f>
        <v>665349.30000000005</v>
      </c>
      <c r="K250" s="4" cm="1">
        <f t="array" ref="K250">INDEX(GMW!$A$2:$LR$60,MATCH(1,(GMW!$LQ$2:$LQ$60=K$3)*(GMW!$LP$2:$LP$60=K$4)*(GMW!$LR$2:$LR$60=K$1),0),$C250-1966)</f>
        <v>665208.1</v>
      </c>
      <c r="L250" s="4" cm="1">
        <f t="array" ref="L250">INDEX(GMW!$A$2:$LR$60,MATCH(1,(GMW!$LQ$2:$LQ$60=L$3)*(GMW!$LP$2:$LP$60=L$4)*(GMW!$LR$2:$LR$60=L$1),0),$C250-1966)</f>
        <v>665207.6</v>
      </c>
      <c r="M250" s="4" cm="1">
        <f t="array" ref="M250">INDEX(GMW!$A$2:$LR$60,MATCH(1,(GMW!$LQ$2:$LQ$60=M$3)*(GMW!$LP$2:$LP$60=M$4)*(GMW!$LR$2:$LR$60=M$1),0),$C250-1966)</f>
        <v>665207.6</v>
      </c>
      <c r="N250" s="4" cm="1">
        <f t="array" ref="N250">INDEX(GMW!$A$2:$LR$60,MATCH(1,(GMW!$LQ$2:$LQ$60=N$3)*(GMW!$LP$2:$LP$60=N$4)*(GMW!$LR$2:$LR$60=N$1),0),$C250-1966)</f>
        <v>667379.69999999995</v>
      </c>
      <c r="O250" s="4" cm="1">
        <f t="array" ref="O250">INDEX(GMW!$A$2:$LR$60,MATCH(1,(GMW!$LQ$2:$LQ$60=O$3)*(GMW!$LP$2:$LP$60=O$4)*(GMW!$LR$2:$LR$60=O$1),0),$C250-1966)</f>
        <v>667559.6</v>
      </c>
      <c r="P250" s="4" cm="1">
        <f t="array" ref="P250">INDEX(GMW!$A$2:$LR$60,MATCH(1,(GMW!$LQ$2:$LQ$60=P$3)*(GMW!$LP$2:$LP$60=P$4)*(GMW!$LR$2:$LR$60=P$1),0),$C250-1966)</f>
        <v>667859.30000000005</v>
      </c>
      <c r="Q250" s="4" cm="1">
        <f t="array" ref="Q250">INDEX(GMW!$A$2:$LR$60,MATCH(1,(GMW!$LQ$2:$LQ$60=Q$3)*(GMW!$LP$2:$LP$60=Q$4)*(GMW!$LR$2:$LR$60=Q$1),0),$C250-1966)</f>
        <v>669399.80000000005</v>
      </c>
      <c r="R250" s="4" cm="1">
        <f t="array" ref="R250">INDEX(GMW!$A$2:$LR$60,MATCH(1,(GMW!$LQ$2:$LQ$60=R$3)*(GMW!$LP$2:$LP$60=R$4)*(GMW!$LR$2:$LR$60=R$1),0),$C250-1966)</f>
        <v>669619.69999999995</v>
      </c>
      <c r="S250" s="4" cm="1">
        <f t="array" ref="S250">INDEX(GMW!$A$2:$LR$60,MATCH(1,(GMW!$LQ$2:$LQ$60=S$3)*(GMW!$LP$2:$LP$60=S$4)*(GMW!$LR$2:$LR$60=S$1),0),$C250-1966)</f>
        <v>667467.1</v>
      </c>
      <c r="T250" s="4" cm="1">
        <f t="array" ref="T250">INDEX(GMW!$A$2:$LR$60,MATCH(1,(GMW!$LQ$2:$LQ$60=T$3)*(GMW!$LP$2:$LP$60=T$4)*(GMW!$LR$2:$LR$60=T$1),0),$C250-1966)</f>
        <v>667875.1</v>
      </c>
      <c r="U250" s="4" cm="1">
        <f t="array" ref="U250">INDEX(GMW!$A$2:$LR$60,MATCH(1,(GMW!$LQ$2:$LQ$60=U$3)*(GMW!$LP$2:$LP$60=U$4)*(GMW!$LR$2:$LR$60=U$1),0),$C250-1966)</f>
        <v>902.2319</v>
      </c>
      <c r="V250" s="4" cm="1">
        <f t="array" ref="V250">INDEX(GMW!$A$2:$LR$60,MATCH(1,(GMW!$LQ$2:$LQ$60=V$3)*(GMW!$LP$2:$LP$60=V$4)*(GMW!$LR$2:$LR$60=V$1),0),$C250-1966)</f>
        <v>162.93119999999999</v>
      </c>
      <c r="W250" s="4" cm="1">
        <f t="array" ref="W250">INDEX(GMW!$A$2:$LR$60,MATCH(1,(GMW!$LQ$2:$LQ$60=W$3)*(GMW!$LP$2:$LP$60=W$4)*(GMW!$LR$2:$LR$60=W$1),0),$C250-1966)</f>
        <v>159.98009999999999</v>
      </c>
      <c r="X250" s="4" cm="1">
        <f t="array" ref="X250">INDEX(GMW!$A$2:$LR$60,MATCH(1,(GMW!$LQ$2:$LQ$60=X$3)*(GMW!$LP$2:$LP$60=X$4)*(GMW!$LR$2:$LR$60=X$1),0),$C250-1966)</f>
        <v>125.048</v>
      </c>
      <c r="Y250" s="4" cm="1">
        <f t="array" ref="Y250">INDEX(GMW!$A$2:$LR$60,MATCH(1,(GMW!$LQ$2:$LQ$60=Y$3)*(GMW!$LP$2:$LP$60=Y$4)*(GMW!$LR$2:$LR$60=Y$1),0),$C250-1966)</f>
        <v>194.16399999999999</v>
      </c>
      <c r="Z250" s="4" cm="1">
        <f t="array" ref="Z250">INDEX(GMW!$A$2:$LR$60,MATCH(1,(GMW!$LQ$2:$LQ$60=Z$3)*(GMW!$LP$2:$LP$60=Z$4)*(GMW!$LR$2:$LR$60=Z$1),0),$C250-1966)</f>
        <v>162.536</v>
      </c>
      <c r="AA250" s="4" cm="1">
        <f t="array" ref="AA250">INDEX(GMW!$A$2:$LR$60,MATCH(1,(GMW!$LQ$2:$LQ$60=AA$3)*(GMW!$LP$2:$LP$60=AA$4)*(GMW!$LR$2:$LR$60=AA$1),0),$C250-1966)</f>
        <v>396844.7</v>
      </c>
      <c r="AB250" s="4" cm="1">
        <f t="array" ref="AB250">INDEX(GMW!$A$2:$LR$60,MATCH(1,(GMW!$LQ$2:$LQ$60=AB$3)*(GMW!$LP$2:$LP$60=AB$4)*(GMW!$LR$2:$LR$60=AB$1),0),$C250-1966)</f>
        <v>129088.2</v>
      </c>
      <c r="AC250" s="4" cm="1">
        <f t="array" ref="AC250">INDEX(GMW!$A$2:$LR$60,MATCH(1,(GMW!$LQ$2:$LQ$60=AC$3)*(GMW!$LP$2:$LP$60=AC$4)*(GMW!$LR$2:$LR$60=AC$1),0),$C250-1966)</f>
        <v>138954.29999999999</v>
      </c>
      <c r="AD250" s="4" cm="1">
        <f t="array" ref="AD250">INDEX(GMW!$A$2:$LR$60,MATCH(1,(GMW!$LQ$2:$LQ$60=AD$3)*(GMW!$LP$2:$LP$60=AD$4)*(GMW!$LR$2:$LR$60=AD$1),0),$C250-1966)</f>
        <v>209746.5</v>
      </c>
      <c r="AE250" s="4" cm="1">
        <f t="array" ref="AE250">INDEX(GMW!$A$2:$LR$60,MATCH(1,(GMW!$LQ$2:$LQ$60=AE$3)*(GMW!$LP$2:$LP$60=AE$4)*(GMW!$LR$2:$LR$60=AE$1),0),$C250-1966)</f>
        <v>227965.4</v>
      </c>
      <c r="AF250" s="4" cm="1">
        <f t="array" ref="AF250">INDEX(GMW!$A$2:$LR$60,MATCH(1,(GMW!$LQ$2:$LQ$60=AF$3)*(GMW!$LP$2:$LP$60=AF$4)*(GMW!$LR$2:$LR$60=AF$1),0),$C250-1966)</f>
        <v>2.1064639999999999</v>
      </c>
      <c r="AG250" s="4" cm="1">
        <f t="array" ref="AG250">INDEX(GMW!$A$2:$LR$60,MATCH(1,(GMW!$LQ$2:$LQ$60=AG$3)*(GMW!$LP$2:$LP$60=AG$4)*(GMW!$LR$2:$LR$60=AG$1),0),$C250-1966)</f>
        <v>2.4334739999999999</v>
      </c>
    </row>
    <row r="251" spans="1:33" x14ac:dyDescent="0.25">
      <c r="A251" s="4">
        <v>2034</v>
      </c>
      <c r="B251" s="4">
        <f t="shared" si="7"/>
        <v>2034</v>
      </c>
      <c r="C251" s="4">
        <f t="shared" si="8"/>
        <v>2217</v>
      </c>
      <c r="D251" s="4" cm="1">
        <f t="array" ref="D251">INDEX(GMW!$A$2:$LR$60,MATCH(1,(GMW!$LQ$2:$LQ$60=D$3)*(GMW!$LP$2:$LP$60=D$4)*(GMW!$LR$2:$LR$60=D$1),0),$C251-1966)</f>
        <v>669111.19999999995</v>
      </c>
      <c r="E251" s="4" cm="1">
        <f t="array" ref="E251">INDEX(GMW!$A$2:$LR$60,MATCH(1,(GMW!$LQ$2:$LQ$60=E$3)*(GMW!$LP$2:$LP$60=E$4)*(GMW!$LR$2:$LR$60=E$1),0),$C251-1966)</f>
        <v>660761.1</v>
      </c>
      <c r="F251" s="4" cm="1">
        <f t="array" ref="F251">INDEX(GMW!$A$2:$LR$60,MATCH(1,(GMW!$LQ$2:$LQ$60=F$3)*(GMW!$LP$2:$LP$60=F$4)*(GMW!$LR$2:$LR$60=F$1),0),$C251-1966)</f>
        <v>661024.69999999995</v>
      </c>
      <c r="G251" s="4" cm="1">
        <f t="array" ref="G251">INDEX(GMW!$A$2:$LR$60,MATCH(1,(GMW!$LQ$2:$LQ$60=G$3)*(GMW!$LP$2:$LP$60=G$4)*(GMW!$LR$2:$LR$60=G$1),0),$C251-1966)</f>
        <v>661024.69999999995</v>
      </c>
      <c r="H251" s="4" cm="1">
        <f t="array" ref="H251">INDEX(GMW!$A$2:$LR$60,MATCH(1,(GMW!$LQ$2:$LQ$60=H$3)*(GMW!$LP$2:$LP$60=H$4)*(GMW!$LR$2:$LR$60=H$1),0),$C251-1966)</f>
        <v>666886.80000000005</v>
      </c>
      <c r="I251" s="4" cm="1">
        <f t="array" ref="I251">INDEX(GMW!$A$2:$LR$60,MATCH(1,(GMW!$LQ$2:$LQ$60=I$3)*(GMW!$LP$2:$LP$60=I$4)*(GMW!$LR$2:$LR$60=I$1),0),$C251-1966)</f>
        <v>667767.30000000005</v>
      </c>
      <c r="J251" s="4" cm="1">
        <f t="array" ref="J251">INDEX(GMW!$A$2:$LR$60,MATCH(1,(GMW!$LQ$2:$LQ$60=J$3)*(GMW!$LP$2:$LP$60=J$4)*(GMW!$LR$2:$LR$60=J$1),0),$C251-1966)</f>
        <v>667752.9</v>
      </c>
      <c r="K251" s="4" cm="1">
        <f t="array" ref="K251">INDEX(GMW!$A$2:$LR$60,MATCH(1,(GMW!$LQ$2:$LQ$60=K$3)*(GMW!$LP$2:$LP$60=K$4)*(GMW!$LR$2:$LR$60=K$1),0),$C251-1966)</f>
        <v>667615.4</v>
      </c>
      <c r="L251" s="4" cm="1">
        <f t="array" ref="L251">INDEX(GMW!$A$2:$LR$60,MATCH(1,(GMW!$LQ$2:$LQ$60=L$3)*(GMW!$LP$2:$LP$60=L$4)*(GMW!$LR$2:$LR$60=L$1),0),$C251-1966)</f>
        <v>667618.1</v>
      </c>
      <c r="M251" s="4" cm="1">
        <f t="array" ref="M251">INDEX(GMW!$A$2:$LR$60,MATCH(1,(GMW!$LQ$2:$LQ$60=M$3)*(GMW!$LP$2:$LP$60=M$4)*(GMW!$LR$2:$LR$60=M$1),0),$C251-1966)</f>
        <v>667618.1</v>
      </c>
      <c r="N251" s="4" cm="1">
        <f t="array" ref="N251">INDEX(GMW!$A$2:$LR$60,MATCH(1,(GMW!$LQ$2:$LQ$60=N$3)*(GMW!$LP$2:$LP$60=N$4)*(GMW!$LR$2:$LR$60=N$1),0),$C251-1966)</f>
        <v>669816.4</v>
      </c>
      <c r="O251" s="4" cm="1">
        <f t="array" ref="O251">INDEX(GMW!$A$2:$LR$60,MATCH(1,(GMW!$LQ$2:$LQ$60=O$3)*(GMW!$LP$2:$LP$60=O$4)*(GMW!$LR$2:$LR$60=O$1),0),$C251-1966)</f>
        <v>670025.9</v>
      </c>
      <c r="P251" s="4" cm="1">
        <f t="array" ref="P251">INDEX(GMW!$A$2:$LR$60,MATCH(1,(GMW!$LQ$2:$LQ$60=P$3)*(GMW!$LP$2:$LP$60=P$4)*(GMW!$LR$2:$LR$60=P$1),0),$C251-1966)</f>
        <v>670292.4</v>
      </c>
      <c r="Q251" s="4" cm="1">
        <f t="array" ref="Q251">INDEX(GMW!$A$2:$LR$60,MATCH(1,(GMW!$LQ$2:$LQ$60=Q$3)*(GMW!$LP$2:$LP$60=Q$4)*(GMW!$LR$2:$LR$60=Q$1),0),$C251-1966)</f>
        <v>671864.7</v>
      </c>
      <c r="R251" s="4" cm="1">
        <f t="array" ref="R251">INDEX(GMW!$A$2:$LR$60,MATCH(1,(GMW!$LQ$2:$LQ$60=R$3)*(GMW!$LP$2:$LP$60=R$4)*(GMW!$LR$2:$LR$60=R$1),0),$C251-1966)</f>
        <v>672074.1</v>
      </c>
      <c r="S251" s="4" cm="1">
        <f t="array" ref="S251">INDEX(GMW!$A$2:$LR$60,MATCH(1,(GMW!$LQ$2:$LQ$60=S$3)*(GMW!$LP$2:$LP$60=S$4)*(GMW!$LR$2:$LR$60=S$1),0),$C251-1966)</f>
        <v>669898.4</v>
      </c>
      <c r="T251" s="4" cm="1">
        <f t="array" ref="T251">INDEX(GMW!$A$2:$LR$60,MATCH(1,(GMW!$LQ$2:$LQ$60=T$3)*(GMW!$LP$2:$LP$60=T$4)*(GMW!$LR$2:$LR$60=T$1),0),$C251-1966)</f>
        <v>670394</v>
      </c>
      <c r="U251" s="4" cm="1">
        <f t="array" ref="U251">INDEX(GMW!$A$2:$LR$60,MATCH(1,(GMW!$LQ$2:$LQ$60=U$3)*(GMW!$LP$2:$LP$60=U$4)*(GMW!$LR$2:$LR$60=U$1),0),$C251-1966)</f>
        <v>909.02030000000002</v>
      </c>
      <c r="V251" s="4" cm="1">
        <f t="array" ref="V251">INDEX(GMW!$A$2:$LR$60,MATCH(1,(GMW!$LQ$2:$LQ$60=V$3)*(GMW!$LP$2:$LP$60=V$4)*(GMW!$LR$2:$LR$60=V$1),0),$C251-1966)</f>
        <v>163.18639999999999</v>
      </c>
      <c r="W251" s="4" cm="1">
        <f t="array" ref="W251">INDEX(GMW!$A$2:$LR$60,MATCH(1,(GMW!$LQ$2:$LQ$60=W$3)*(GMW!$LP$2:$LP$60=W$4)*(GMW!$LR$2:$LR$60=W$1),0),$C251-1966)</f>
        <v>161.45160000000001</v>
      </c>
      <c r="X251" s="4" cm="1">
        <f t="array" ref="X251">INDEX(GMW!$A$2:$LR$60,MATCH(1,(GMW!$LQ$2:$LQ$60=X$3)*(GMW!$LP$2:$LP$60=X$4)*(GMW!$LR$2:$LR$60=X$1),0),$C251-1966)</f>
        <v>125.06270000000001</v>
      </c>
      <c r="Y251" s="4" cm="1">
        <f t="array" ref="Y251">INDEX(GMW!$A$2:$LR$60,MATCH(1,(GMW!$LQ$2:$LQ$60=Y$3)*(GMW!$LP$2:$LP$60=Y$4)*(GMW!$LR$2:$LR$60=Y$1),0),$C251-1966)</f>
        <v>195.75190000000001</v>
      </c>
      <c r="Z251" s="4" cm="1">
        <f t="array" ref="Z251">INDEX(GMW!$A$2:$LR$60,MATCH(1,(GMW!$LQ$2:$LQ$60=Z$3)*(GMW!$LP$2:$LP$60=Z$4)*(GMW!$LR$2:$LR$60=Z$1),0),$C251-1966)</f>
        <v>162.4999</v>
      </c>
      <c r="AA251" s="4" cm="1">
        <f t="array" ref="AA251">INDEX(GMW!$A$2:$LR$60,MATCH(1,(GMW!$LQ$2:$LQ$60=AA$3)*(GMW!$LP$2:$LP$60=AA$4)*(GMW!$LR$2:$LR$60=AA$1),0),$C251-1966)</f>
        <v>398322.1</v>
      </c>
      <c r="AB251" s="4" cm="1">
        <f t="array" ref="AB251">INDEX(GMW!$A$2:$LR$60,MATCH(1,(GMW!$LQ$2:$LQ$60=AB$3)*(GMW!$LP$2:$LP$60=AB$4)*(GMW!$LR$2:$LR$60=AB$1),0),$C251-1966)</f>
        <v>129793.1</v>
      </c>
      <c r="AC251" s="4" cm="1">
        <f t="array" ref="AC251">INDEX(GMW!$A$2:$LR$60,MATCH(1,(GMW!$LQ$2:$LQ$60=AC$3)*(GMW!$LP$2:$LP$60=AC$4)*(GMW!$LR$2:$LR$60=AC$1),0),$C251-1966)</f>
        <v>139470.20000000001</v>
      </c>
      <c r="AD251" s="4" cm="1">
        <f t="array" ref="AD251">INDEX(GMW!$A$2:$LR$60,MATCH(1,(GMW!$LQ$2:$LQ$60=AD$3)*(GMW!$LP$2:$LP$60=AD$4)*(GMW!$LR$2:$LR$60=AD$1),0),$C251-1966)</f>
        <v>210701.6</v>
      </c>
      <c r="AE251" s="4" cm="1">
        <f t="array" ref="AE251">INDEX(GMW!$A$2:$LR$60,MATCH(1,(GMW!$LQ$2:$LQ$60=AE$3)*(GMW!$LP$2:$LP$60=AE$4)*(GMW!$LR$2:$LR$60=AE$1),0),$C251-1966)</f>
        <v>229162</v>
      </c>
      <c r="AF251" s="4" cm="1">
        <f t="array" ref="AF251">INDEX(GMW!$A$2:$LR$60,MATCH(1,(GMW!$LQ$2:$LQ$60=AF$3)*(GMW!$LP$2:$LP$60=AF$4)*(GMW!$LR$2:$LR$60=AF$1),0),$C251-1966)</f>
        <v>2.1064639999999999</v>
      </c>
      <c r="AG251" s="4" cm="1">
        <f t="array" ref="AG251">INDEX(GMW!$A$2:$LR$60,MATCH(1,(GMW!$LQ$2:$LQ$60=AG$3)*(GMW!$LP$2:$LP$60=AG$4)*(GMW!$LR$2:$LR$60=AG$1),0),$C251-1966)</f>
        <v>2.4334739999999999</v>
      </c>
    </row>
    <row r="252" spans="1:33" x14ac:dyDescent="0.25">
      <c r="B252" s="4">
        <f t="shared" si="7"/>
        <v>2034</v>
      </c>
      <c r="C252" s="4">
        <f t="shared" si="8"/>
        <v>2218</v>
      </c>
      <c r="D252" s="4" cm="1">
        <f t="array" ref="D252">INDEX(GMW!$A$2:$LR$60,MATCH(1,(GMW!$LQ$2:$LQ$60=D$3)*(GMW!$LP$2:$LP$60=D$4)*(GMW!$LR$2:$LR$60=D$1),0),$C252-1966)</f>
        <v>671638.1</v>
      </c>
      <c r="E252" s="4" cm="1">
        <f t="array" ref="E252">INDEX(GMW!$A$2:$LR$60,MATCH(1,(GMW!$LQ$2:$LQ$60=E$3)*(GMW!$LP$2:$LP$60=E$4)*(GMW!$LR$2:$LR$60=E$1),0),$C252-1966)</f>
        <v>663144.6</v>
      </c>
      <c r="F252" s="4" cm="1">
        <f t="array" ref="F252">INDEX(GMW!$A$2:$LR$60,MATCH(1,(GMW!$LQ$2:$LQ$60=F$3)*(GMW!$LP$2:$LP$60=F$4)*(GMW!$LR$2:$LR$60=F$1),0),$C252-1966)</f>
        <v>663408.9</v>
      </c>
      <c r="G252" s="4" cm="1">
        <f t="array" ref="G252">INDEX(GMW!$A$2:$LR$60,MATCH(1,(GMW!$LQ$2:$LQ$60=G$3)*(GMW!$LP$2:$LP$60=G$4)*(GMW!$LR$2:$LR$60=G$1),0),$C252-1966)</f>
        <v>663408.9</v>
      </c>
      <c r="H252" s="4" cm="1">
        <f t="array" ref="H252">INDEX(GMW!$A$2:$LR$60,MATCH(1,(GMW!$LQ$2:$LQ$60=H$3)*(GMW!$LP$2:$LP$60=H$4)*(GMW!$LR$2:$LR$60=H$1),0),$C252-1966)</f>
        <v>669296.4</v>
      </c>
      <c r="I252" s="4" cm="1">
        <f t="array" ref="I252">INDEX(GMW!$A$2:$LR$60,MATCH(1,(GMW!$LQ$2:$LQ$60=I$3)*(GMW!$LP$2:$LP$60=I$4)*(GMW!$LR$2:$LR$60=I$1),0),$C252-1966)</f>
        <v>670184.30000000005</v>
      </c>
      <c r="J252" s="4" cm="1">
        <f t="array" ref="J252">INDEX(GMW!$A$2:$LR$60,MATCH(1,(GMW!$LQ$2:$LQ$60=J$3)*(GMW!$LP$2:$LP$60=J$4)*(GMW!$LR$2:$LR$60=J$1),0),$C252-1966)</f>
        <v>670172.30000000005</v>
      </c>
      <c r="K252" s="4" cm="1">
        <f t="array" ref="K252">INDEX(GMW!$A$2:$LR$60,MATCH(1,(GMW!$LQ$2:$LQ$60=K$3)*(GMW!$LP$2:$LP$60=K$4)*(GMW!$LR$2:$LR$60=K$1),0),$C252-1966)</f>
        <v>670038.5</v>
      </c>
      <c r="L252" s="4" cm="1">
        <f t="array" ref="L252">INDEX(GMW!$A$2:$LR$60,MATCH(1,(GMW!$LQ$2:$LQ$60=L$3)*(GMW!$LP$2:$LP$60=L$4)*(GMW!$LR$2:$LR$60=L$1),0),$C252-1966)</f>
        <v>670044.1</v>
      </c>
      <c r="M252" s="4" cm="1">
        <f t="array" ref="M252">INDEX(GMW!$A$2:$LR$60,MATCH(1,(GMW!$LQ$2:$LQ$60=M$3)*(GMW!$LP$2:$LP$60=M$4)*(GMW!$LR$2:$LR$60=M$1),0),$C252-1966)</f>
        <v>670044.1</v>
      </c>
      <c r="N252" s="4" cm="1">
        <f t="array" ref="N252">INDEX(GMW!$A$2:$LR$60,MATCH(1,(GMW!$LQ$2:$LQ$60=N$3)*(GMW!$LP$2:$LP$60=N$4)*(GMW!$LR$2:$LR$60=N$1),0),$C252-1966)</f>
        <v>672269.6</v>
      </c>
      <c r="O252" s="4" cm="1">
        <f t="array" ref="O252">INDEX(GMW!$A$2:$LR$60,MATCH(1,(GMW!$LQ$2:$LQ$60=O$3)*(GMW!$LP$2:$LP$60=O$4)*(GMW!$LR$2:$LR$60=O$1),0),$C252-1966)</f>
        <v>672510.3</v>
      </c>
      <c r="P252" s="4" cm="1">
        <f t="array" ref="P252">INDEX(GMW!$A$2:$LR$60,MATCH(1,(GMW!$LQ$2:$LQ$60=P$3)*(GMW!$LP$2:$LP$60=P$4)*(GMW!$LR$2:$LR$60=P$1),0),$C252-1966)</f>
        <v>672743.2</v>
      </c>
      <c r="Q252" s="4" cm="1">
        <f t="array" ref="Q252">INDEX(GMW!$A$2:$LR$60,MATCH(1,(GMW!$LQ$2:$LQ$60=Q$3)*(GMW!$LP$2:$LP$60=Q$4)*(GMW!$LR$2:$LR$60=Q$1),0),$C252-1966)</f>
        <v>674343.1</v>
      </c>
      <c r="R252" s="4" cm="1">
        <f t="array" ref="R252">INDEX(GMW!$A$2:$LR$60,MATCH(1,(GMW!$LQ$2:$LQ$60=R$3)*(GMW!$LP$2:$LP$60=R$4)*(GMW!$LR$2:$LR$60=R$1),0),$C252-1966)</f>
        <v>674540.4</v>
      </c>
      <c r="S252" s="4" cm="1">
        <f t="array" ref="S252">INDEX(GMW!$A$2:$LR$60,MATCH(1,(GMW!$LQ$2:$LQ$60=S$3)*(GMW!$LP$2:$LP$60=S$4)*(GMW!$LR$2:$LR$60=S$1),0),$C252-1966)</f>
        <v>672340.5</v>
      </c>
      <c r="T252" s="4" cm="1">
        <f t="array" ref="T252">INDEX(GMW!$A$2:$LR$60,MATCH(1,(GMW!$LQ$2:$LQ$60=T$3)*(GMW!$LP$2:$LP$60=T$4)*(GMW!$LR$2:$LR$60=T$1),0),$C252-1966)</f>
        <v>672924.9</v>
      </c>
      <c r="U252" s="4" cm="1">
        <f t="array" ref="U252">INDEX(GMW!$A$2:$LR$60,MATCH(1,(GMW!$LQ$2:$LQ$60=U$3)*(GMW!$LP$2:$LP$60=U$4)*(GMW!$LR$2:$LR$60=U$1),0),$C252-1966)</f>
        <v>915.88080000000002</v>
      </c>
      <c r="V252" s="4" cm="1">
        <f t="array" ref="V252">INDEX(GMW!$A$2:$LR$60,MATCH(1,(GMW!$LQ$2:$LQ$60=V$3)*(GMW!$LP$2:$LP$60=V$4)*(GMW!$LR$2:$LR$60=V$1),0),$C252-1966)</f>
        <v>164.61179999999999</v>
      </c>
      <c r="W252" s="4" cm="1">
        <f t="array" ref="W252">INDEX(GMW!$A$2:$LR$60,MATCH(1,(GMW!$LQ$2:$LQ$60=W$3)*(GMW!$LP$2:$LP$60=W$4)*(GMW!$LR$2:$LR$60=W$1),0),$C252-1966)</f>
        <v>161.8366</v>
      </c>
      <c r="X252" s="4" cm="1">
        <f t="array" ref="X252">INDEX(GMW!$A$2:$LR$60,MATCH(1,(GMW!$LQ$2:$LQ$60=X$3)*(GMW!$LP$2:$LP$60=X$4)*(GMW!$LR$2:$LR$60=X$1),0),$C252-1966)</f>
        <v>125.07769999999999</v>
      </c>
      <c r="Y252" s="4" cm="1">
        <f t="array" ref="Y252">INDEX(GMW!$A$2:$LR$60,MATCH(1,(GMW!$LQ$2:$LQ$60=Y$3)*(GMW!$LP$2:$LP$60=Y$4)*(GMW!$LR$2:$LR$60=Y$1),0),$C252-1966)</f>
        <v>197.37780000000001</v>
      </c>
      <c r="Z252" s="4" cm="1">
        <f t="array" ref="Z252">INDEX(GMW!$A$2:$LR$60,MATCH(1,(GMW!$LQ$2:$LQ$60=Z$3)*(GMW!$LP$2:$LP$60=Z$4)*(GMW!$LR$2:$LR$60=Z$1),0),$C252-1966)</f>
        <v>164.18119999999999</v>
      </c>
      <c r="AA252" s="4" cm="1">
        <f t="array" ref="AA252">INDEX(GMW!$A$2:$LR$60,MATCH(1,(GMW!$LQ$2:$LQ$60=AA$3)*(GMW!$LP$2:$LP$60=AA$4)*(GMW!$LR$2:$LR$60=AA$1),0),$C252-1966)</f>
        <v>399806.5</v>
      </c>
      <c r="AB252" s="4" cm="1">
        <f t="array" ref="AB252">INDEX(GMW!$A$2:$LR$60,MATCH(1,(GMW!$LQ$2:$LQ$60=AB$3)*(GMW!$LP$2:$LP$60=AB$4)*(GMW!$LR$2:$LR$60=AB$1),0),$C252-1966)</f>
        <v>130502.5</v>
      </c>
      <c r="AC252" s="4" cm="1">
        <f t="array" ref="AC252">INDEX(GMW!$A$2:$LR$60,MATCH(1,(GMW!$LQ$2:$LQ$60=AC$3)*(GMW!$LP$2:$LP$60=AC$4)*(GMW!$LR$2:$LR$60=AC$1),0),$C252-1966)</f>
        <v>139988.5</v>
      </c>
      <c r="AD252" s="4" cm="1">
        <f t="array" ref="AD252">INDEX(GMW!$A$2:$LR$60,MATCH(1,(GMW!$LQ$2:$LQ$60=AD$3)*(GMW!$LP$2:$LP$60=AD$4)*(GMW!$LR$2:$LR$60=AD$1),0),$C252-1966)</f>
        <v>211662.3</v>
      </c>
      <c r="AE252" s="4" cm="1">
        <f t="array" ref="AE252">INDEX(GMW!$A$2:$LR$60,MATCH(1,(GMW!$LQ$2:$LQ$60=AE$3)*(GMW!$LP$2:$LP$60=AE$4)*(GMW!$LR$2:$LR$60=AE$1),0),$C252-1966)</f>
        <v>230366</v>
      </c>
      <c r="AF252" s="4" cm="1">
        <f t="array" ref="AF252">INDEX(GMW!$A$2:$LR$60,MATCH(1,(GMW!$LQ$2:$LQ$60=AF$3)*(GMW!$LP$2:$LP$60=AF$4)*(GMW!$LR$2:$LR$60=AF$1),0),$C252-1966)</f>
        <v>2.1064639999999999</v>
      </c>
      <c r="AG252" s="4" cm="1">
        <f t="array" ref="AG252">INDEX(GMW!$A$2:$LR$60,MATCH(1,(GMW!$LQ$2:$LQ$60=AG$3)*(GMW!$LP$2:$LP$60=AG$4)*(GMW!$LR$2:$LR$60=AG$1),0),$C252-1966)</f>
        <v>2.4334739999999999</v>
      </c>
    </row>
    <row r="253" spans="1:33" x14ac:dyDescent="0.25">
      <c r="B253" s="4">
        <f t="shared" si="7"/>
        <v>2034</v>
      </c>
      <c r="C253" s="4">
        <f t="shared" si="8"/>
        <v>2219</v>
      </c>
      <c r="D253" s="4" cm="1">
        <f t="array" ref="D253">INDEX(GMW!$A$2:$LR$60,MATCH(1,(GMW!$LQ$2:$LQ$60=D$3)*(GMW!$LP$2:$LP$60=D$4)*(GMW!$LR$2:$LR$60=D$1),0),$C253-1966)</f>
        <v>674077.1</v>
      </c>
      <c r="E253" s="4" cm="1">
        <f t="array" ref="E253">INDEX(GMW!$A$2:$LR$60,MATCH(1,(GMW!$LQ$2:$LQ$60=E$3)*(GMW!$LP$2:$LP$60=E$4)*(GMW!$LR$2:$LR$60=E$1),0),$C253-1966)</f>
        <v>665538.6</v>
      </c>
      <c r="F253" s="4" cm="1">
        <f t="array" ref="F253">INDEX(GMW!$A$2:$LR$60,MATCH(1,(GMW!$LQ$2:$LQ$60=F$3)*(GMW!$LP$2:$LP$60=F$4)*(GMW!$LR$2:$LR$60=F$1),0),$C253-1966)</f>
        <v>665803.6</v>
      </c>
      <c r="G253" s="4" cm="1">
        <f t="array" ref="G253">INDEX(GMW!$A$2:$LR$60,MATCH(1,(GMW!$LQ$2:$LQ$60=G$3)*(GMW!$LP$2:$LP$60=G$4)*(GMW!$LR$2:$LR$60=G$1),0),$C253-1966)</f>
        <v>665803.6</v>
      </c>
      <c r="H253" s="4" cm="1">
        <f t="array" ref="H253">INDEX(GMW!$A$2:$LR$60,MATCH(1,(GMW!$LQ$2:$LQ$60=H$3)*(GMW!$LP$2:$LP$60=H$4)*(GMW!$LR$2:$LR$60=H$1),0),$C253-1966)</f>
        <v>671631.3</v>
      </c>
      <c r="I253" s="4" cm="1">
        <f t="array" ref="I253">INDEX(GMW!$A$2:$LR$60,MATCH(1,(GMW!$LQ$2:$LQ$60=I$3)*(GMW!$LP$2:$LP$60=I$4)*(GMW!$LR$2:$LR$60=I$1),0),$C253-1966)</f>
        <v>672514</v>
      </c>
      <c r="J253" s="4" cm="1">
        <f t="array" ref="J253">INDEX(GMW!$A$2:$LR$60,MATCH(1,(GMW!$LQ$2:$LQ$60=J$3)*(GMW!$LP$2:$LP$60=J$4)*(GMW!$LR$2:$LR$60=J$1),0),$C253-1966)</f>
        <v>672496.7</v>
      </c>
      <c r="K253" s="4" cm="1">
        <f t="array" ref="K253">INDEX(GMW!$A$2:$LR$60,MATCH(1,(GMW!$LQ$2:$LQ$60=K$3)*(GMW!$LP$2:$LP$60=K$4)*(GMW!$LR$2:$LR$60=K$1),0),$C253-1966)</f>
        <v>672361.4</v>
      </c>
      <c r="L253" s="4" cm="1">
        <f t="array" ref="L253">INDEX(GMW!$A$2:$LR$60,MATCH(1,(GMW!$LQ$2:$LQ$60=L$3)*(GMW!$LP$2:$LP$60=L$4)*(GMW!$LR$2:$LR$60=L$1),0),$C253-1966)</f>
        <v>672366.8</v>
      </c>
      <c r="M253" s="4" cm="1">
        <f t="array" ref="M253">INDEX(GMW!$A$2:$LR$60,MATCH(1,(GMW!$LQ$2:$LQ$60=M$3)*(GMW!$LP$2:$LP$60=M$4)*(GMW!$LR$2:$LR$60=M$1),0),$C253-1966)</f>
        <v>672366.8</v>
      </c>
      <c r="N253" s="4" cm="1">
        <f t="array" ref="N253">INDEX(GMW!$A$2:$LR$60,MATCH(1,(GMW!$LQ$2:$LQ$60=N$3)*(GMW!$LP$2:$LP$60=N$4)*(GMW!$LR$2:$LR$60=N$1),0),$C253-1966)</f>
        <v>674617.8</v>
      </c>
      <c r="O253" s="4" cm="1">
        <f t="array" ref="O253">INDEX(GMW!$A$2:$LR$60,MATCH(1,(GMW!$LQ$2:$LQ$60=O$3)*(GMW!$LP$2:$LP$60=O$4)*(GMW!$LR$2:$LR$60=O$1),0),$C253-1966)</f>
        <v>674888.3</v>
      </c>
      <c r="P253" s="4" cm="1">
        <f t="array" ref="P253">INDEX(GMW!$A$2:$LR$60,MATCH(1,(GMW!$LQ$2:$LQ$60=P$3)*(GMW!$LP$2:$LP$60=P$4)*(GMW!$LR$2:$LR$60=P$1),0),$C253-1966)</f>
        <v>675130.7</v>
      </c>
      <c r="Q253" s="4" cm="1">
        <f t="array" ref="Q253">INDEX(GMW!$A$2:$LR$60,MATCH(1,(GMW!$LQ$2:$LQ$60=Q$3)*(GMW!$LP$2:$LP$60=Q$4)*(GMW!$LR$2:$LR$60=Q$1),0),$C253-1966)</f>
        <v>676800.1</v>
      </c>
      <c r="R253" s="4" cm="1">
        <f t="array" ref="R253">INDEX(GMW!$A$2:$LR$60,MATCH(1,(GMW!$LQ$2:$LQ$60=R$3)*(GMW!$LP$2:$LP$60=R$4)*(GMW!$LR$2:$LR$60=R$1),0),$C253-1966)</f>
        <v>676996.3</v>
      </c>
      <c r="S253" s="4" cm="1">
        <f t="array" ref="S253">INDEX(GMW!$A$2:$LR$60,MATCH(1,(GMW!$LQ$2:$LQ$60=S$3)*(GMW!$LP$2:$LP$60=S$4)*(GMW!$LR$2:$LR$60=S$1),0),$C253-1966)</f>
        <v>674779.1</v>
      </c>
      <c r="T253" s="4" cm="1">
        <f t="array" ref="T253">INDEX(GMW!$A$2:$LR$60,MATCH(1,(GMW!$LQ$2:$LQ$60=T$3)*(GMW!$LP$2:$LP$60=T$4)*(GMW!$LR$2:$LR$60=T$1),0),$C253-1966)</f>
        <v>675367.6</v>
      </c>
      <c r="U253" s="4" cm="1">
        <f t="array" ref="U253">INDEX(GMW!$A$2:$LR$60,MATCH(1,(GMW!$LQ$2:$LQ$60=U$3)*(GMW!$LP$2:$LP$60=U$4)*(GMW!$LR$2:$LR$60=U$1),0),$C253-1966)</f>
        <v>922.82119999999998</v>
      </c>
      <c r="V253" s="4" cm="1">
        <f t="array" ref="V253">INDEX(GMW!$A$2:$LR$60,MATCH(1,(GMW!$LQ$2:$LQ$60=V$3)*(GMW!$LP$2:$LP$60=V$4)*(GMW!$LR$2:$LR$60=V$1),0),$C253-1966)</f>
        <v>165.39230000000001</v>
      </c>
      <c r="W253" s="4" cm="1">
        <f t="array" ref="W253">INDEX(GMW!$A$2:$LR$60,MATCH(1,(GMW!$LQ$2:$LQ$60=W$3)*(GMW!$LP$2:$LP$60=W$4)*(GMW!$LR$2:$LR$60=W$1),0),$C253-1966)</f>
        <v>161.6336</v>
      </c>
      <c r="X253" s="4" cm="1">
        <f t="array" ref="X253">INDEX(GMW!$A$2:$LR$60,MATCH(1,(GMW!$LQ$2:$LQ$60=X$3)*(GMW!$LP$2:$LP$60=X$4)*(GMW!$LR$2:$LR$60=X$1),0),$C253-1966)</f>
        <v>125.0929</v>
      </c>
      <c r="Y253" s="4" cm="1">
        <f t="array" ref="Y253">INDEX(GMW!$A$2:$LR$60,MATCH(1,(GMW!$LQ$2:$LQ$60=Y$3)*(GMW!$LP$2:$LP$60=Y$4)*(GMW!$LR$2:$LR$60=Y$1),0),$C253-1966)</f>
        <v>199.03149999999999</v>
      </c>
      <c r="Z253" s="4" cm="1">
        <f t="array" ref="Z253">INDEX(GMW!$A$2:$LR$60,MATCH(1,(GMW!$LQ$2:$LQ$60=Z$3)*(GMW!$LP$2:$LP$60=Z$4)*(GMW!$LR$2:$LR$60=Z$1),0),$C253-1966)</f>
        <v>165.1515</v>
      </c>
      <c r="AA253" s="4" cm="1">
        <f t="array" ref="AA253">INDEX(GMW!$A$2:$LR$60,MATCH(1,(GMW!$LQ$2:$LQ$60=AA$3)*(GMW!$LP$2:$LP$60=AA$4)*(GMW!$LR$2:$LR$60=AA$1),0),$C253-1966)</f>
        <v>401238.3</v>
      </c>
      <c r="AB253" s="4" cm="1">
        <f t="array" ref="AB253">INDEX(GMW!$A$2:$LR$60,MATCH(1,(GMW!$LQ$2:$LQ$60=AB$3)*(GMW!$LP$2:$LP$60=AB$4)*(GMW!$LR$2:$LR$60=AB$1),0),$C253-1966)</f>
        <v>131196.9</v>
      </c>
      <c r="AC253" s="4" cm="1">
        <f t="array" ref="AC253">INDEX(GMW!$A$2:$LR$60,MATCH(1,(GMW!$LQ$2:$LQ$60=AC$3)*(GMW!$LP$2:$LP$60=AC$4)*(GMW!$LR$2:$LR$60=AC$1),0),$C253-1966)</f>
        <v>140488.5</v>
      </c>
      <c r="AD253" s="4" cm="1">
        <f t="array" ref="AD253">INDEX(GMW!$A$2:$LR$60,MATCH(1,(GMW!$LQ$2:$LQ$60=AD$3)*(GMW!$LP$2:$LP$60=AD$4)*(GMW!$LR$2:$LR$60=AD$1),0),$C253-1966)</f>
        <v>212597.9</v>
      </c>
      <c r="AE253" s="4" cm="1">
        <f t="array" ref="AE253">INDEX(GMW!$A$2:$LR$60,MATCH(1,(GMW!$LQ$2:$LQ$60=AE$3)*(GMW!$LP$2:$LP$60=AE$4)*(GMW!$LR$2:$LR$60=AE$1),0),$C253-1966)</f>
        <v>231545</v>
      </c>
      <c r="AF253" s="4" cm="1">
        <f t="array" ref="AF253">INDEX(GMW!$A$2:$LR$60,MATCH(1,(GMW!$LQ$2:$LQ$60=AF$3)*(GMW!$LP$2:$LP$60=AF$4)*(GMW!$LR$2:$LR$60=AF$1),0),$C253-1966)</f>
        <v>2.1064639999999999</v>
      </c>
      <c r="AG253" s="4" cm="1">
        <f t="array" ref="AG253">INDEX(GMW!$A$2:$LR$60,MATCH(1,(GMW!$LQ$2:$LQ$60=AG$3)*(GMW!$LP$2:$LP$60=AG$4)*(GMW!$LR$2:$LR$60=AG$1),0),$C253-1966)</f>
        <v>2.4334739999999999</v>
      </c>
    </row>
    <row r="254" spans="1:33" x14ac:dyDescent="0.25">
      <c r="B254" s="4">
        <f t="shared" si="7"/>
        <v>2034</v>
      </c>
      <c r="C254" s="4">
        <f t="shared" si="8"/>
        <v>2220</v>
      </c>
      <c r="D254" s="4" cm="1">
        <f t="array" ref="D254">INDEX(GMW!$A$2:$LR$60,MATCH(1,(GMW!$LQ$2:$LQ$60=D$3)*(GMW!$LP$2:$LP$60=D$4)*(GMW!$LR$2:$LR$60=D$1),0),$C254-1966)</f>
        <v>676533.3</v>
      </c>
      <c r="E254" s="4" cm="1">
        <f t="array" ref="E254">INDEX(GMW!$A$2:$LR$60,MATCH(1,(GMW!$LQ$2:$LQ$60=E$3)*(GMW!$LP$2:$LP$60=E$4)*(GMW!$LR$2:$LR$60=E$1),0),$C254-1966)</f>
        <v>667942.80000000005</v>
      </c>
      <c r="F254" s="4" cm="1">
        <f t="array" ref="F254">INDEX(GMW!$A$2:$LR$60,MATCH(1,(GMW!$LQ$2:$LQ$60=F$3)*(GMW!$LP$2:$LP$60=F$4)*(GMW!$LR$2:$LR$60=F$1),0),$C254-1966)</f>
        <v>668208.5</v>
      </c>
      <c r="G254" s="4" cm="1">
        <f t="array" ref="G254">INDEX(GMW!$A$2:$LR$60,MATCH(1,(GMW!$LQ$2:$LQ$60=G$3)*(GMW!$LP$2:$LP$60=G$4)*(GMW!$LR$2:$LR$60=G$1),0),$C254-1966)</f>
        <v>668208.5</v>
      </c>
      <c r="H254" s="4" cm="1">
        <f t="array" ref="H254">INDEX(GMW!$A$2:$LR$60,MATCH(1,(GMW!$LQ$2:$LQ$60=H$3)*(GMW!$LP$2:$LP$60=H$4)*(GMW!$LR$2:$LR$60=H$1),0),$C254-1966)</f>
        <v>673967.3</v>
      </c>
      <c r="I254" s="4" cm="1">
        <f t="array" ref="I254">INDEX(GMW!$A$2:$LR$60,MATCH(1,(GMW!$LQ$2:$LQ$60=I$3)*(GMW!$LP$2:$LP$60=I$4)*(GMW!$LR$2:$LR$60=I$1),0),$C254-1966)</f>
        <v>674854</v>
      </c>
      <c r="J254" s="4" cm="1">
        <f t="array" ref="J254">INDEX(GMW!$A$2:$LR$60,MATCH(1,(GMW!$LQ$2:$LQ$60=J$3)*(GMW!$LP$2:$LP$60=J$4)*(GMW!$LR$2:$LR$60=J$1),0),$C254-1966)</f>
        <v>674830</v>
      </c>
      <c r="K254" s="4" cm="1">
        <f t="array" ref="K254">INDEX(GMW!$A$2:$LR$60,MATCH(1,(GMW!$LQ$2:$LQ$60=K$3)*(GMW!$LP$2:$LP$60=K$4)*(GMW!$LR$2:$LR$60=K$1),0),$C254-1966)</f>
        <v>674686.4</v>
      </c>
      <c r="L254" s="4" cm="1">
        <f t="array" ref="L254">INDEX(GMW!$A$2:$LR$60,MATCH(1,(GMW!$LQ$2:$LQ$60=L$3)*(GMW!$LP$2:$LP$60=L$4)*(GMW!$LR$2:$LR$60=L$1),0),$C254-1966)</f>
        <v>674709</v>
      </c>
      <c r="M254" s="4" cm="1">
        <f t="array" ref="M254">INDEX(GMW!$A$2:$LR$60,MATCH(1,(GMW!$LQ$2:$LQ$60=M$3)*(GMW!$LP$2:$LP$60=M$4)*(GMW!$LR$2:$LR$60=M$1),0),$C254-1966)</f>
        <v>674709</v>
      </c>
      <c r="N254" s="4" cm="1">
        <f t="array" ref="N254">INDEX(GMW!$A$2:$LR$60,MATCH(1,(GMW!$LQ$2:$LQ$60=N$3)*(GMW!$LP$2:$LP$60=N$4)*(GMW!$LR$2:$LR$60=N$1),0),$C254-1966)</f>
        <v>676981.2</v>
      </c>
      <c r="O254" s="4" cm="1">
        <f t="array" ref="O254">INDEX(GMW!$A$2:$LR$60,MATCH(1,(GMW!$LQ$2:$LQ$60=O$3)*(GMW!$LP$2:$LP$60=O$4)*(GMW!$LR$2:$LR$60=O$1),0),$C254-1966)</f>
        <v>677232.8</v>
      </c>
      <c r="P254" s="4" cm="1">
        <f t="array" ref="P254">INDEX(GMW!$A$2:$LR$60,MATCH(1,(GMW!$LQ$2:$LQ$60=P$3)*(GMW!$LP$2:$LP$60=P$4)*(GMW!$LR$2:$LR$60=P$1),0),$C254-1966)</f>
        <v>677517.4</v>
      </c>
      <c r="Q254" s="4" cm="1">
        <f t="array" ref="Q254">INDEX(GMW!$A$2:$LR$60,MATCH(1,(GMW!$LQ$2:$LQ$60=Q$3)*(GMW!$LP$2:$LP$60=Q$4)*(GMW!$LR$2:$LR$60=Q$1),0),$C254-1966)</f>
        <v>679254.1</v>
      </c>
      <c r="R254" s="4" cm="1">
        <f t="array" ref="R254">INDEX(GMW!$A$2:$LR$60,MATCH(1,(GMW!$LQ$2:$LQ$60=R$3)*(GMW!$LP$2:$LP$60=R$4)*(GMW!$LR$2:$LR$60=R$1),0),$C254-1966)</f>
        <v>679445.1</v>
      </c>
      <c r="S254" s="4" cm="1">
        <f t="array" ref="S254">INDEX(GMW!$A$2:$LR$60,MATCH(1,(GMW!$LQ$2:$LQ$60=S$3)*(GMW!$LP$2:$LP$60=S$4)*(GMW!$LR$2:$LR$60=S$1),0),$C254-1966)</f>
        <v>677201.1</v>
      </c>
      <c r="T254" s="4" cm="1">
        <f t="array" ref="T254">INDEX(GMW!$A$2:$LR$60,MATCH(1,(GMW!$LQ$2:$LQ$60=T$3)*(GMW!$LP$2:$LP$60=T$4)*(GMW!$LR$2:$LR$60=T$1),0),$C254-1966)</f>
        <v>677827.7</v>
      </c>
      <c r="U254" s="4" cm="1">
        <f t="array" ref="U254">INDEX(GMW!$A$2:$LR$60,MATCH(1,(GMW!$LQ$2:$LQ$60=U$3)*(GMW!$LP$2:$LP$60=U$4)*(GMW!$LR$2:$LR$60=U$1),0),$C254-1966)</f>
        <v>929.84079999999994</v>
      </c>
      <c r="V254" s="4" cm="1">
        <f t="array" ref="V254">INDEX(GMW!$A$2:$LR$60,MATCH(1,(GMW!$LQ$2:$LQ$60=V$3)*(GMW!$LP$2:$LP$60=V$4)*(GMW!$LR$2:$LR$60=V$1),0),$C254-1966)</f>
        <v>166.18979999999999</v>
      </c>
      <c r="W254" s="4" cm="1">
        <f t="array" ref="W254">INDEX(GMW!$A$2:$LR$60,MATCH(1,(GMW!$LQ$2:$LQ$60=W$3)*(GMW!$LP$2:$LP$60=W$4)*(GMW!$LR$2:$LR$60=W$1),0),$C254-1966)</f>
        <v>162.3544</v>
      </c>
      <c r="X254" s="4" cm="1">
        <f t="array" ref="X254">INDEX(GMW!$A$2:$LR$60,MATCH(1,(GMW!$LQ$2:$LQ$60=X$3)*(GMW!$LP$2:$LP$60=X$4)*(GMW!$LR$2:$LR$60=X$1),0),$C254-1966)</f>
        <v>125.1084</v>
      </c>
      <c r="Y254" s="4" cm="1">
        <f t="array" ref="Y254">INDEX(GMW!$A$2:$LR$60,MATCH(1,(GMW!$LQ$2:$LQ$60=Y$3)*(GMW!$LP$2:$LP$60=Y$4)*(GMW!$LR$2:$LR$60=Y$1),0),$C254-1966)</f>
        <v>200.703</v>
      </c>
      <c r="Z254" s="4" cm="1">
        <f t="array" ref="Z254">INDEX(GMW!$A$2:$LR$60,MATCH(1,(GMW!$LQ$2:$LQ$60=Z$3)*(GMW!$LP$2:$LP$60=Z$4)*(GMW!$LR$2:$LR$60=Z$1),0),$C254-1966)</f>
        <v>165.95930000000001</v>
      </c>
      <c r="AA254" s="4" cm="1">
        <f t="array" ref="AA254">INDEX(GMW!$A$2:$LR$60,MATCH(1,(GMW!$LQ$2:$LQ$60=AA$3)*(GMW!$LP$2:$LP$60=AA$4)*(GMW!$LR$2:$LR$60=AA$1),0),$C254-1966)</f>
        <v>402680.3</v>
      </c>
      <c r="AB254" s="4" cm="1">
        <f t="array" ref="AB254">INDEX(GMW!$A$2:$LR$60,MATCH(1,(GMW!$LQ$2:$LQ$60=AB$3)*(GMW!$LP$2:$LP$60=AB$4)*(GMW!$LR$2:$LR$60=AB$1),0),$C254-1966)</f>
        <v>131896.9</v>
      </c>
      <c r="AC254" s="4" cm="1">
        <f t="array" ref="AC254">INDEX(GMW!$A$2:$LR$60,MATCH(1,(GMW!$LQ$2:$LQ$60=AC$3)*(GMW!$LP$2:$LP$60=AC$4)*(GMW!$LR$2:$LR$60=AC$1),0),$C254-1966)</f>
        <v>140992</v>
      </c>
      <c r="AD254" s="4" cm="1">
        <f t="array" ref="AD254">INDEX(GMW!$A$2:$LR$60,MATCH(1,(GMW!$LQ$2:$LQ$60=AD$3)*(GMW!$LP$2:$LP$60=AD$4)*(GMW!$LR$2:$LR$60=AD$1),0),$C254-1966)</f>
        <v>213540.6</v>
      </c>
      <c r="AE254" s="4" cm="1">
        <f t="array" ref="AE254">INDEX(GMW!$A$2:$LR$60,MATCH(1,(GMW!$LQ$2:$LQ$60=AE$3)*(GMW!$LP$2:$LP$60=AE$4)*(GMW!$LR$2:$LR$60=AE$1),0),$C254-1966)</f>
        <v>232733.1</v>
      </c>
      <c r="AF254" s="4" cm="1">
        <f t="array" ref="AF254">INDEX(GMW!$A$2:$LR$60,MATCH(1,(GMW!$LQ$2:$LQ$60=AF$3)*(GMW!$LP$2:$LP$60=AF$4)*(GMW!$LR$2:$LR$60=AF$1),0),$C254-1966)</f>
        <v>2.1064639999999999</v>
      </c>
      <c r="AG254" s="4" cm="1">
        <f t="array" ref="AG254">INDEX(GMW!$A$2:$LR$60,MATCH(1,(GMW!$LQ$2:$LQ$60=AG$3)*(GMW!$LP$2:$LP$60=AG$4)*(GMW!$LR$2:$LR$60=AG$1),0),$C254-1966)</f>
        <v>2.4334739999999999</v>
      </c>
    </row>
    <row r="255" spans="1:33" x14ac:dyDescent="0.25">
      <c r="A255" s="4">
        <v>2035</v>
      </c>
      <c r="B255" s="4">
        <f t="shared" si="7"/>
        <v>2035</v>
      </c>
      <c r="C255" s="4">
        <f t="shared" si="8"/>
        <v>2221</v>
      </c>
      <c r="D255" s="4" cm="1">
        <f t="array" ref="D255">INDEX(GMW!$A$2:$LR$60,MATCH(1,(GMW!$LQ$2:$LQ$60=D$3)*(GMW!$LP$2:$LP$60=D$4)*(GMW!$LR$2:$LR$60=D$1),0),$C255-1966)</f>
        <v>679077</v>
      </c>
      <c r="E255" s="4" cm="1">
        <f t="array" ref="E255">INDEX(GMW!$A$2:$LR$60,MATCH(1,(GMW!$LQ$2:$LQ$60=E$3)*(GMW!$LP$2:$LP$60=E$4)*(GMW!$LR$2:$LR$60=E$1),0),$C255-1966)</f>
        <v>670472.30000000005</v>
      </c>
      <c r="F255" s="4" cm="1">
        <f t="array" ref="F255">INDEX(GMW!$A$2:$LR$60,MATCH(1,(GMW!$LQ$2:$LQ$60=F$3)*(GMW!$LP$2:$LP$60=F$4)*(GMW!$LR$2:$LR$60=F$1),0),$C255-1966)</f>
        <v>670738.6</v>
      </c>
      <c r="G255" s="4" cm="1">
        <f t="array" ref="G255">INDEX(GMW!$A$2:$LR$60,MATCH(1,(GMW!$LQ$2:$LQ$60=G$3)*(GMW!$LP$2:$LP$60=G$4)*(GMW!$LR$2:$LR$60=G$1),0),$C255-1966)</f>
        <v>670738.6</v>
      </c>
      <c r="H255" s="4" cm="1">
        <f t="array" ref="H255">INDEX(GMW!$A$2:$LR$60,MATCH(1,(GMW!$LQ$2:$LQ$60=H$3)*(GMW!$LP$2:$LP$60=H$4)*(GMW!$LR$2:$LR$60=H$1),0),$C255-1966)</f>
        <v>676390.40000000002</v>
      </c>
      <c r="I255" s="4" cm="1">
        <f t="array" ref="I255">INDEX(GMW!$A$2:$LR$60,MATCH(1,(GMW!$LQ$2:$LQ$60=I$3)*(GMW!$LP$2:$LP$60=I$4)*(GMW!$LR$2:$LR$60=I$1),0),$C255-1966)</f>
        <v>677286.9</v>
      </c>
      <c r="J255" s="4" cm="1">
        <f t="array" ref="J255">INDEX(GMW!$A$2:$LR$60,MATCH(1,(GMW!$LQ$2:$LQ$60=J$3)*(GMW!$LP$2:$LP$60=J$4)*(GMW!$LR$2:$LR$60=J$1),0),$C255-1966)</f>
        <v>677262.6</v>
      </c>
      <c r="K255" s="4" cm="1">
        <f t="array" ref="K255">INDEX(GMW!$A$2:$LR$60,MATCH(1,(GMW!$LQ$2:$LQ$60=K$3)*(GMW!$LP$2:$LP$60=K$4)*(GMW!$LR$2:$LR$60=K$1),0),$C255-1966)</f>
        <v>677121.1</v>
      </c>
      <c r="L255" s="4" cm="1">
        <f t="array" ref="L255">INDEX(GMW!$A$2:$LR$60,MATCH(1,(GMW!$LQ$2:$LQ$60=L$3)*(GMW!$LP$2:$LP$60=L$4)*(GMW!$LR$2:$LR$60=L$1),0),$C255-1966)</f>
        <v>677144.2</v>
      </c>
      <c r="M255" s="4" cm="1">
        <f t="array" ref="M255">INDEX(GMW!$A$2:$LR$60,MATCH(1,(GMW!$LQ$2:$LQ$60=M$3)*(GMW!$LP$2:$LP$60=M$4)*(GMW!$LR$2:$LR$60=M$1),0),$C255-1966)</f>
        <v>677144.2</v>
      </c>
      <c r="N255" s="4" cm="1">
        <f t="array" ref="N255">INDEX(GMW!$A$2:$LR$60,MATCH(1,(GMW!$LQ$2:$LQ$60=N$3)*(GMW!$LP$2:$LP$60=N$4)*(GMW!$LR$2:$LR$60=N$1),0),$C255-1966)</f>
        <v>679443.9</v>
      </c>
      <c r="O255" s="4" cm="1">
        <f t="array" ref="O255">INDEX(GMW!$A$2:$LR$60,MATCH(1,(GMW!$LQ$2:$LQ$60=O$3)*(GMW!$LP$2:$LP$60=O$4)*(GMW!$LR$2:$LR$60=O$1),0),$C255-1966)</f>
        <v>679718.40000000002</v>
      </c>
      <c r="P255" s="4" cm="1">
        <f t="array" ref="P255">INDEX(GMW!$A$2:$LR$60,MATCH(1,(GMW!$LQ$2:$LQ$60=P$3)*(GMW!$LP$2:$LP$60=P$4)*(GMW!$LR$2:$LR$60=P$1),0),$C255-1966)</f>
        <v>680002.2</v>
      </c>
      <c r="Q255" s="4" cm="1">
        <f t="array" ref="Q255">INDEX(GMW!$A$2:$LR$60,MATCH(1,(GMW!$LQ$2:$LQ$60=Q$3)*(GMW!$LP$2:$LP$60=Q$4)*(GMW!$LR$2:$LR$60=Q$1),0),$C255-1966)</f>
        <v>681800.9</v>
      </c>
      <c r="R255" s="4" cm="1">
        <f t="array" ref="R255">INDEX(GMW!$A$2:$LR$60,MATCH(1,(GMW!$LQ$2:$LQ$60=R$3)*(GMW!$LP$2:$LP$60=R$4)*(GMW!$LR$2:$LR$60=R$1),0),$C255-1966)</f>
        <v>682015.9</v>
      </c>
      <c r="S255" s="4" cm="1">
        <f t="array" ref="S255">INDEX(GMW!$A$2:$LR$60,MATCH(1,(GMW!$LQ$2:$LQ$60=S$3)*(GMW!$LP$2:$LP$60=S$4)*(GMW!$LR$2:$LR$60=S$1),0),$C255-1966)</f>
        <v>679755.9</v>
      </c>
      <c r="T255" s="4" cm="1">
        <f t="array" ref="T255">INDEX(GMW!$A$2:$LR$60,MATCH(1,(GMW!$LQ$2:$LQ$60=T$3)*(GMW!$LP$2:$LP$60=T$4)*(GMW!$LR$2:$LR$60=T$1),0),$C255-1966)</f>
        <v>680375.3</v>
      </c>
      <c r="U255" s="4" cm="1">
        <f t="array" ref="U255">INDEX(GMW!$A$2:$LR$60,MATCH(1,(GMW!$LQ$2:$LQ$60=U$3)*(GMW!$LP$2:$LP$60=U$4)*(GMW!$LR$2:$LR$60=U$1),0),$C255-1966)</f>
        <v>936.93700000000001</v>
      </c>
      <c r="V255" s="4" cm="1">
        <f t="array" ref="V255">INDEX(GMW!$A$2:$LR$60,MATCH(1,(GMW!$LQ$2:$LQ$60=V$3)*(GMW!$LP$2:$LP$60=V$4)*(GMW!$LR$2:$LR$60=V$1),0),$C255-1966)</f>
        <v>166.45009999999999</v>
      </c>
      <c r="W255" s="4" cm="1">
        <f t="array" ref="W255">INDEX(GMW!$A$2:$LR$60,MATCH(1,(GMW!$LQ$2:$LQ$60=W$3)*(GMW!$LP$2:$LP$60=W$4)*(GMW!$LR$2:$LR$60=W$1),0),$C255-1966)</f>
        <v>163.84909999999999</v>
      </c>
      <c r="X255" s="4" cm="1">
        <f t="array" ref="X255">INDEX(GMW!$A$2:$LR$60,MATCH(1,(GMW!$LQ$2:$LQ$60=X$3)*(GMW!$LP$2:$LP$60=X$4)*(GMW!$LR$2:$LR$60=X$1),0),$C255-1966)</f>
        <v>125.1472</v>
      </c>
      <c r="Y255" s="4" cm="1">
        <f t="array" ref="Y255">INDEX(GMW!$A$2:$LR$60,MATCH(1,(GMW!$LQ$2:$LQ$60=Y$3)*(GMW!$LP$2:$LP$60=Y$4)*(GMW!$LR$2:$LR$60=Y$1),0),$C255-1966)</f>
        <v>202.3931</v>
      </c>
      <c r="Z255" s="4" cm="1">
        <f t="array" ref="Z255">INDEX(GMW!$A$2:$LR$60,MATCH(1,(GMW!$LQ$2:$LQ$60=Z$3)*(GMW!$LP$2:$LP$60=Z$4)*(GMW!$LR$2:$LR$60=Z$1),0),$C255-1966)</f>
        <v>165.9188</v>
      </c>
      <c r="AA255" s="4" cm="1">
        <f t="array" ref="AA255">INDEX(GMW!$A$2:$LR$60,MATCH(1,(GMW!$LQ$2:$LQ$60=AA$3)*(GMW!$LP$2:$LP$60=AA$4)*(GMW!$LR$2:$LR$60=AA$1),0),$C255-1966)</f>
        <v>404174.2</v>
      </c>
      <c r="AB255" s="4" cm="1">
        <f t="array" ref="AB255">INDEX(GMW!$A$2:$LR$60,MATCH(1,(GMW!$LQ$2:$LQ$60=AB$3)*(GMW!$LP$2:$LP$60=AB$4)*(GMW!$LR$2:$LR$60=AB$1),0),$C255-1966)</f>
        <v>132616</v>
      </c>
      <c r="AC255" s="4" cm="1">
        <f t="array" ref="AC255">INDEX(GMW!$A$2:$LR$60,MATCH(1,(GMW!$LQ$2:$LQ$60=AC$3)*(GMW!$LP$2:$LP$60=AC$4)*(GMW!$LR$2:$LR$60=AC$1),0),$C255-1966)</f>
        <v>141513.60000000001</v>
      </c>
      <c r="AD255" s="4" cm="1">
        <f t="array" ref="AD255">INDEX(GMW!$A$2:$LR$60,MATCH(1,(GMW!$LQ$2:$LQ$60=AD$3)*(GMW!$LP$2:$LP$60=AD$4)*(GMW!$LR$2:$LR$60=AD$1),0),$C255-1966)</f>
        <v>214512.2</v>
      </c>
      <c r="AE255" s="4" cm="1">
        <f t="array" ref="AE255">INDEX(GMW!$A$2:$LR$60,MATCH(1,(GMW!$LQ$2:$LQ$60=AE$3)*(GMW!$LP$2:$LP$60=AE$4)*(GMW!$LR$2:$LR$60=AE$1),0),$C255-1966)</f>
        <v>233953</v>
      </c>
      <c r="AF255" s="4" cm="1">
        <f t="array" ref="AF255">INDEX(GMW!$A$2:$LR$60,MATCH(1,(GMW!$LQ$2:$LQ$60=AF$3)*(GMW!$LP$2:$LP$60=AF$4)*(GMW!$LR$2:$LR$60=AF$1),0),$C255-1966)</f>
        <v>2.1064639999999999</v>
      </c>
      <c r="AG255" s="4" cm="1">
        <f t="array" ref="AG255">INDEX(GMW!$A$2:$LR$60,MATCH(1,(GMW!$LQ$2:$LQ$60=AG$3)*(GMW!$LP$2:$LP$60=AG$4)*(GMW!$LR$2:$LR$60=AG$1),0),$C255-1966)</f>
        <v>2.4334739999999999</v>
      </c>
    </row>
    <row r="256" spans="1:33" x14ac:dyDescent="0.25">
      <c r="B256" s="4">
        <f t="shared" si="7"/>
        <v>2035</v>
      </c>
      <c r="C256" s="4">
        <f t="shared" si="8"/>
        <v>2222</v>
      </c>
      <c r="D256" s="4" cm="1">
        <f t="array" ref="D256">INDEX(GMW!$A$2:$LR$60,MATCH(1,(GMW!$LQ$2:$LQ$60=D$3)*(GMW!$LP$2:$LP$60=D$4)*(GMW!$LR$2:$LR$60=D$1),0),$C256-1966)</f>
        <v>681630.5</v>
      </c>
      <c r="E256" s="4" cm="1">
        <f t="array" ref="E256">INDEX(GMW!$A$2:$LR$60,MATCH(1,(GMW!$LQ$2:$LQ$60=E$3)*(GMW!$LP$2:$LP$60=E$4)*(GMW!$LR$2:$LR$60=E$1),0),$C256-1966)</f>
        <v>673013.5</v>
      </c>
      <c r="F256" s="4" cm="1">
        <f t="array" ref="F256">INDEX(GMW!$A$2:$LR$60,MATCH(1,(GMW!$LQ$2:$LQ$60=F$3)*(GMW!$LP$2:$LP$60=F$4)*(GMW!$LR$2:$LR$60=F$1),0),$C256-1966)</f>
        <v>673280.6</v>
      </c>
      <c r="G256" s="4" cm="1">
        <f t="array" ref="G256">INDEX(GMW!$A$2:$LR$60,MATCH(1,(GMW!$LQ$2:$LQ$60=G$3)*(GMW!$LP$2:$LP$60=G$4)*(GMW!$LR$2:$LR$60=G$1),0),$C256-1966)</f>
        <v>673280.6</v>
      </c>
      <c r="H256" s="4" cm="1">
        <f t="array" ref="H256">INDEX(GMW!$A$2:$LR$60,MATCH(1,(GMW!$LQ$2:$LQ$60=H$3)*(GMW!$LP$2:$LP$60=H$4)*(GMW!$LR$2:$LR$60=H$1),0),$C256-1966)</f>
        <v>678824.3</v>
      </c>
      <c r="I256" s="4" cm="1">
        <f t="array" ref="I256">INDEX(GMW!$A$2:$LR$60,MATCH(1,(GMW!$LQ$2:$LQ$60=I$3)*(GMW!$LP$2:$LP$60=I$4)*(GMW!$LR$2:$LR$60=I$1),0),$C256-1966)</f>
        <v>679729.7</v>
      </c>
      <c r="J256" s="4" cm="1">
        <f t="array" ref="J256">INDEX(GMW!$A$2:$LR$60,MATCH(1,(GMW!$LQ$2:$LQ$60=J$3)*(GMW!$LP$2:$LP$60=J$4)*(GMW!$LR$2:$LR$60=J$1),0),$C256-1966)</f>
        <v>679705.2</v>
      </c>
      <c r="K256" s="4" cm="1">
        <f t="array" ref="K256">INDEX(GMW!$A$2:$LR$60,MATCH(1,(GMW!$LQ$2:$LQ$60=K$3)*(GMW!$LP$2:$LP$60=K$4)*(GMW!$LR$2:$LR$60=K$1),0),$C256-1966)</f>
        <v>679565.7</v>
      </c>
      <c r="L256" s="4" cm="1">
        <f t="array" ref="L256">INDEX(GMW!$A$2:$LR$60,MATCH(1,(GMW!$LQ$2:$LQ$60=L$3)*(GMW!$LP$2:$LP$60=L$4)*(GMW!$LR$2:$LR$60=L$1),0),$C256-1966)</f>
        <v>679589.4</v>
      </c>
      <c r="M256" s="4" cm="1">
        <f t="array" ref="M256">INDEX(GMW!$A$2:$LR$60,MATCH(1,(GMW!$LQ$2:$LQ$60=M$3)*(GMW!$LP$2:$LP$60=M$4)*(GMW!$LR$2:$LR$60=M$1),0),$C256-1966)</f>
        <v>679589.4</v>
      </c>
      <c r="N256" s="4" cm="1">
        <f t="array" ref="N256">INDEX(GMW!$A$2:$LR$60,MATCH(1,(GMW!$LQ$2:$LQ$60=N$3)*(GMW!$LP$2:$LP$60=N$4)*(GMW!$LR$2:$LR$60=N$1),0),$C256-1966)</f>
        <v>681917.3</v>
      </c>
      <c r="O256" s="4" cm="1">
        <f t="array" ref="O256">INDEX(GMW!$A$2:$LR$60,MATCH(1,(GMW!$LQ$2:$LQ$60=O$3)*(GMW!$LP$2:$LP$60=O$4)*(GMW!$LR$2:$LR$60=O$1),0),$C256-1966)</f>
        <v>682215.2</v>
      </c>
      <c r="P256" s="4" cm="1">
        <f t="array" ref="P256">INDEX(GMW!$A$2:$LR$60,MATCH(1,(GMW!$LQ$2:$LQ$60=P$3)*(GMW!$LP$2:$LP$60=P$4)*(GMW!$LR$2:$LR$60=P$1),0),$C256-1966)</f>
        <v>682498.2</v>
      </c>
      <c r="Q256" s="4" cm="1">
        <f t="array" ref="Q256">INDEX(GMW!$A$2:$LR$60,MATCH(1,(GMW!$LQ$2:$LQ$60=Q$3)*(GMW!$LP$2:$LP$60=Q$4)*(GMW!$LR$2:$LR$60=Q$1),0),$C256-1966)</f>
        <v>684356.9</v>
      </c>
      <c r="R256" s="4" cm="1">
        <f t="array" ref="R256">INDEX(GMW!$A$2:$LR$60,MATCH(1,(GMW!$LQ$2:$LQ$60=R$3)*(GMW!$LP$2:$LP$60=R$4)*(GMW!$LR$2:$LR$60=R$1),0),$C256-1966)</f>
        <v>684596.3</v>
      </c>
      <c r="S256" s="4" cm="1">
        <f t="array" ref="S256">INDEX(GMW!$A$2:$LR$60,MATCH(1,(GMW!$LQ$2:$LQ$60=S$3)*(GMW!$LP$2:$LP$60=S$4)*(GMW!$LR$2:$LR$60=S$1),0),$C256-1966)</f>
        <v>682320.4</v>
      </c>
      <c r="T256" s="4" cm="1">
        <f t="array" ref="T256">INDEX(GMW!$A$2:$LR$60,MATCH(1,(GMW!$LQ$2:$LQ$60=T$3)*(GMW!$LP$2:$LP$60=T$4)*(GMW!$LR$2:$LR$60=T$1),0),$C256-1966)</f>
        <v>682932.6</v>
      </c>
      <c r="U256" s="4" cm="1">
        <f t="array" ref="U256">INDEX(GMW!$A$2:$LR$60,MATCH(1,(GMW!$LQ$2:$LQ$60=U$3)*(GMW!$LP$2:$LP$60=U$4)*(GMW!$LR$2:$LR$60=U$1),0),$C256-1966)</f>
        <v>944.11080000000004</v>
      </c>
      <c r="V256" s="4" cm="1">
        <f t="array" ref="V256">INDEX(GMW!$A$2:$LR$60,MATCH(1,(GMW!$LQ$2:$LQ$60=V$3)*(GMW!$LP$2:$LP$60=V$4)*(GMW!$LR$2:$LR$60=V$1),0),$C256-1966)</f>
        <v>167.904</v>
      </c>
      <c r="W256" s="4" cm="1">
        <f t="array" ref="W256">INDEX(GMW!$A$2:$LR$60,MATCH(1,(GMW!$LQ$2:$LQ$60=W$3)*(GMW!$LP$2:$LP$60=W$4)*(GMW!$LR$2:$LR$60=W$1),0),$C256-1966)</f>
        <v>164.2423</v>
      </c>
      <c r="X256" s="4" cm="1">
        <f t="array" ref="X256">INDEX(GMW!$A$2:$LR$60,MATCH(1,(GMW!$LQ$2:$LQ$60=X$3)*(GMW!$LP$2:$LP$60=X$4)*(GMW!$LR$2:$LR$60=X$1),0),$C256-1966)</f>
        <v>125.19750000000001</v>
      </c>
      <c r="Y256" s="4" cm="1">
        <f t="array" ref="Y256">INDEX(GMW!$A$2:$LR$60,MATCH(1,(GMW!$LQ$2:$LQ$60=Y$3)*(GMW!$LP$2:$LP$60=Y$4)*(GMW!$LR$2:$LR$60=Y$1),0),$C256-1966)</f>
        <v>204.11609999999999</v>
      </c>
      <c r="Z256" s="4" cm="1">
        <f t="array" ref="Z256">INDEX(GMW!$A$2:$LR$60,MATCH(1,(GMW!$LQ$2:$LQ$60=Z$3)*(GMW!$LP$2:$LP$60=Z$4)*(GMW!$LR$2:$LR$60=Z$1),0),$C256-1966)</f>
        <v>167.63120000000001</v>
      </c>
      <c r="AA256" s="4" cm="1">
        <f t="array" ref="AA256">INDEX(GMW!$A$2:$LR$60,MATCH(1,(GMW!$LQ$2:$LQ$60=AA$3)*(GMW!$LP$2:$LP$60=AA$4)*(GMW!$LR$2:$LR$60=AA$1),0),$C256-1966)</f>
        <v>405673.8</v>
      </c>
      <c r="AB256" s="4" cm="1">
        <f t="array" ref="AB256">INDEX(GMW!$A$2:$LR$60,MATCH(1,(GMW!$LQ$2:$LQ$60=AB$3)*(GMW!$LP$2:$LP$60=AB$4)*(GMW!$LR$2:$LR$60=AB$1),0),$C256-1966)</f>
        <v>133339.20000000001</v>
      </c>
      <c r="AC256" s="4" cm="1">
        <f t="array" ref="AC256">INDEX(GMW!$A$2:$LR$60,MATCH(1,(GMW!$LQ$2:$LQ$60=AC$3)*(GMW!$LP$2:$LP$60=AC$4)*(GMW!$LR$2:$LR$60=AC$1),0),$C256-1966)</f>
        <v>142037.29999999999</v>
      </c>
      <c r="AD256" s="4" cm="1">
        <f t="array" ref="AD256">INDEX(GMW!$A$2:$LR$60,MATCH(1,(GMW!$LQ$2:$LQ$60=AD$3)*(GMW!$LP$2:$LP$60=AD$4)*(GMW!$LR$2:$LR$60=AD$1),0),$C256-1966)</f>
        <v>215488.7</v>
      </c>
      <c r="AE256" s="4" cm="1">
        <f t="array" ref="AE256">INDEX(GMW!$A$2:$LR$60,MATCH(1,(GMW!$LQ$2:$LQ$60=AE$3)*(GMW!$LP$2:$LP$60=AE$4)*(GMW!$LR$2:$LR$60=AE$1),0),$C256-1966)</f>
        <v>235179.7</v>
      </c>
      <c r="AF256" s="4" cm="1">
        <f t="array" ref="AF256">INDEX(GMW!$A$2:$LR$60,MATCH(1,(GMW!$LQ$2:$LQ$60=AF$3)*(GMW!$LP$2:$LP$60=AF$4)*(GMW!$LR$2:$LR$60=AF$1),0),$C256-1966)</f>
        <v>2.1064639999999999</v>
      </c>
      <c r="AG256" s="4" cm="1">
        <f t="array" ref="AG256">INDEX(GMW!$A$2:$LR$60,MATCH(1,(GMW!$LQ$2:$LQ$60=AG$3)*(GMW!$LP$2:$LP$60=AG$4)*(GMW!$LR$2:$LR$60=AG$1),0),$C256-1966)</f>
        <v>2.4334739999999999</v>
      </c>
    </row>
    <row r="257" spans="1:33" x14ac:dyDescent="0.25">
      <c r="B257" s="4">
        <f t="shared" si="7"/>
        <v>2035</v>
      </c>
      <c r="C257" s="4">
        <f t="shared" si="8"/>
        <v>2223</v>
      </c>
      <c r="D257" s="4" cm="1">
        <f t="array" ref="D257">INDEX(GMW!$A$2:$LR$60,MATCH(1,(GMW!$LQ$2:$LQ$60=D$3)*(GMW!$LP$2:$LP$60=D$4)*(GMW!$LR$2:$LR$60=D$1),0),$C257-1966)</f>
        <v>684193.6</v>
      </c>
      <c r="E257" s="4" cm="1">
        <f t="array" ref="E257">INDEX(GMW!$A$2:$LR$60,MATCH(1,(GMW!$LQ$2:$LQ$60=E$3)*(GMW!$LP$2:$LP$60=E$4)*(GMW!$LR$2:$LR$60=E$1),0),$C257-1966)</f>
        <v>675566.5</v>
      </c>
      <c r="F257" s="4" cm="1">
        <f t="array" ref="F257">INDEX(GMW!$A$2:$LR$60,MATCH(1,(GMW!$LQ$2:$LQ$60=F$3)*(GMW!$LP$2:$LP$60=F$4)*(GMW!$LR$2:$LR$60=F$1),0),$C257-1966)</f>
        <v>675834.3</v>
      </c>
      <c r="G257" s="4" cm="1">
        <f t="array" ref="G257">INDEX(GMW!$A$2:$LR$60,MATCH(1,(GMW!$LQ$2:$LQ$60=G$3)*(GMW!$LP$2:$LP$60=G$4)*(GMW!$LR$2:$LR$60=G$1),0),$C257-1966)</f>
        <v>675834.3</v>
      </c>
      <c r="H257" s="4" cm="1">
        <f t="array" ref="H257">INDEX(GMW!$A$2:$LR$60,MATCH(1,(GMW!$LQ$2:$LQ$60=H$3)*(GMW!$LP$2:$LP$60=H$4)*(GMW!$LR$2:$LR$60=H$1),0),$C257-1966)</f>
        <v>681268.6</v>
      </c>
      <c r="I257" s="4" cm="1">
        <f t="array" ref="I257">INDEX(GMW!$A$2:$LR$60,MATCH(1,(GMW!$LQ$2:$LQ$60=I$3)*(GMW!$LP$2:$LP$60=I$4)*(GMW!$LR$2:$LR$60=I$1),0),$C257-1966)</f>
        <v>682182.2</v>
      </c>
      <c r="J257" s="4" cm="1">
        <f t="array" ref="J257">INDEX(GMW!$A$2:$LR$60,MATCH(1,(GMW!$LQ$2:$LQ$60=J$3)*(GMW!$LP$2:$LP$60=J$4)*(GMW!$LR$2:$LR$60=J$1),0),$C257-1966)</f>
        <v>682157.4</v>
      </c>
      <c r="K257" s="4" cm="1">
        <f t="array" ref="K257">INDEX(GMW!$A$2:$LR$60,MATCH(1,(GMW!$LQ$2:$LQ$60=K$3)*(GMW!$LP$2:$LP$60=K$4)*(GMW!$LR$2:$LR$60=K$1),0),$C257-1966)</f>
        <v>682019.9</v>
      </c>
      <c r="L257" s="4" cm="1">
        <f t="array" ref="L257">INDEX(GMW!$A$2:$LR$60,MATCH(1,(GMW!$LQ$2:$LQ$60=L$3)*(GMW!$LP$2:$LP$60=L$4)*(GMW!$LR$2:$LR$60=L$1),0),$C257-1966)</f>
        <v>682044.2</v>
      </c>
      <c r="M257" s="4" cm="1">
        <f t="array" ref="M257">INDEX(GMW!$A$2:$LR$60,MATCH(1,(GMW!$LQ$2:$LQ$60=M$3)*(GMW!$LP$2:$LP$60=M$4)*(GMW!$LR$2:$LR$60=M$1),0),$C257-1966)</f>
        <v>682044.2</v>
      </c>
      <c r="N257" s="4" cm="1">
        <f t="array" ref="N257">INDEX(GMW!$A$2:$LR$60,MATCH(1,(GMW!$LQ$2:$LQ$60=N$3)*(GMW!$LP$2:$LP$60=N$4)*(GMW!$LR$2:$LR$60=N$1),0),$C257-1966)</f>
        <v>684401.1</v>
      </c>
      <c r="O257" s="4" cm="1">
        <f t="array" ref="O257">INDEX(GMW!$A$2:$LR$60,MATCH(1,(GMW!$LQ$2:$LQ$60=O$3)*(GMW!$LP$2:$LP$60=O$4)*(GMW!$LR$2:$LR$60=O$1),0),$C257-1966)</f>
        <v>684722.9</v>
      </c>
      <c r="P257" s="4" cm="1">
        <f t="array" ref="P257">INDEX(GMW!$A$2:$LR$60,MATCH(1,(GMW!$LQ$2:$LQ$60=P$3)*(GMW!$LP$2:$LP$60=P$4)*(GMW!$LR$2:$LR$60=P$1),0),$C257-1966)</f>
        <v>685005.1</v>
      </c>
      <c r="Q257" s="4" cm="1">
        <f t="array" ref="Q257">INDEX(GMW!$A$2:$LR$60,MATCH(1,(GMW!$LQ$2:$LQ$60=Q$3)*(GMW!$LP$2:$LP$60=Q$4)*(GMW!$LR$2:$LR$60=Q$1),0),$C257-1966)</f>
        <v>686921.9</v>
      </c>
      <c r="R257" s="4" cm="1">
        <f t="array" ref="R257">INDEX(GMW!$A$2:$LR$60,MATCH(1,(GMW!$LQ$2:$LQ$60=R$3)*(GMW!$LP$2:$LP$60=R$4)*(GMW!$LR$2:$LR$60=R$1),0),$C257-1966)</f>
        <v>687186.3</v>
      </c>
      <c r="S257" s="4" cm="1">
        <f t="array" ref="S257">INDEX(GMW!$A$2:$LR$60,MATCH(1,(GMW!$LQ$2:$LQ$60=S$3)*(GMW!$LP$2:$LP$60=S$4)*(GMW!$LR$2:$LR$60=S$1),0),$C257-1966)</f>
        <v>684894.4</v>
      </c>
      <c r="T257" s="4" cm="1">
        <f t="array" ref="T257">INDEX(GMW!$A$2:$LR$60,MATCH(1,(GMW!$LQ$2:$LQ$60=T$3)*(GMW!$LP$2:$LP$60=T$4)*(GMW!$LR$2:$LR$60=T$1),0),$C257-1966)</f>
        <v>685499.6</v>
      </c>
      <c r="U257" s="4" cm="1">
        <f t="array" ref="U257">INDEX(GMW!$A$2:$LR$60,MATCH(1,(GMW!$LQ$2:$LQ$60=U$3)*(GMW!$LP$2:$LP$60=U$4)*(GMW!$LR$2:$LR$60=U$1),0),$C257-1966)</f>
        <v>951.35860000000002</v>
      </c>
      <c r="V257" s="4" cm="1">
        <f t="array" ref="V257">INDEX(GMW!$A$2:$LR$60,MATCH(1,(GMW!$LQ$2:$LQ$60=V$3)*(GMW!$LP$2:$LP$60=V$4)*(GMW!$LR$2:$LR$60=V$1),0),$C257-1966)</f>
        <v>168.70009999999999</v>
      </c>
      <c r="W257" s="4" cm="1">
        <f t="array" ref="W257">INDEX(GMW!$A$2:$LR$60,MATCH(1,(GMW!$LQ$2:$LQ$60=W$3)*(GMW!$LP$2:$LP$60=W$4)*(GMW!$LR$2:$LR$60=W$1),0),$C257-1966)</f>
        <v>164.04050000000001</v>
      </c>
      <c r="X257" s="4" cm="1">
        <f t="array" ref="X257">INDEX(GMW!$A$2:$LR$60,MATCH(1,(GMW!$LQ$2:$LQ$60=X$3)*(GMW!$LP$2:$LP$60=X$4)*(GMW!$LR$2:$LR$60=X$1),0),$C257-1966)</f>
        <v>125.248</v>
      </c>
      <c r="Y257" s="4" cm="1">
        <f t="array" ref="Y257">INDEX(GMW!$A$2:$LR$60,MATCH(1,(GMW!$LQ$2:$LQ$60=Y$3)*(GMW!$LP$2:$LP$60=Y$4)*(GMW!$LR$2:$LR$60=Y$1),0),$C257-1966)</f>
        <v>205.8869</v>
      </c>
      <c r="Z257" s="4" cm="1">
        <f t="array" ref="Z257">INDEX(GMW!$A$2:$LR$60,MATCH(1,(GMW!$LQ$2:$LQ$60=Z$3)*(GMW!$LP$2:$LP$60=Z$4)*(GMW!$LR$2:$LR$60=Z$1),0),$C257-1966)</f>
        <v>168.61660000000001</v>
      </c>
      <c r="AA257" s="4" cm="1">
        <f t="array" ref="AA257">INDEX(GMW!$A$2:$LR$60,MATCH(1,(GMW!$LQ$2:$LQ$60=AA$3)*(GMW!$LP$2:$LP$60=AA$4)*(GMW!$LR$2:$LR$60=AA$1),0),$C257-1966)</f>
        <v>407178.9</v>
      </c>
      <c r="AB257" s="4" cm="1">
        <f t="array" ref="AB257">INDEX(GMW!$A$2:$LR$60,MATCH(1,(GMW!$LQ$2:$LQ$60=AB$3)*(GMW!$LP$2:$LP$60=AB$4)*(GMW!$LR$2:$LR$60=AB$1),0),$C257-1966)</f>
        <v>134066.5</v>
      </c>
      <c r="AC257" s="4" cm="1">
        <f t="array" ref="AC257">INDEX(GMW!$A$2:$LR$60,MATCH(1,(GMW!$LQ$2:$LQ$60=AC$3)*(GMW!$LP$2:$LP$60=AC$4)*(GMW!$LR$2:$LR$60=AC$1),0),$C257-1966)</f>
        <v>142562.79999999999</v>
      </c>
      <c r="AD257" s="4" cm="1">
        <f t="array" ref="AD257">INDEX(GMW!$A$2:$LR$60,MATCH(1,(GMW!$LQ$2:$LQ$60=AD$3)*(GMW!$LP$2:$LP$60=AD$4)*(GMW!$LR$2:$LR$60=AD$1),0),$C257-1966)</f>
        <v>216470.1</v>
      </c>
      <c r="AE257" s="4" cm="1">
        <f t="array" ref="AE257">INDEX(GMW!$A$2:$LR$60,MATCH(1,(GMW!$LQ$2:$LQ$60=AE$3)*(GMW!$LP$2:$LP$60=AE$4)*(GMW!$LR$2:$LR$60=AE$1),0),$C257-1966)</f>
        <v>236413.1</v>
      </c>
      <c r="AF257" s="4" cm="1">
        <f t="array" ref="AF257">INDEX(GMW!$A$2:$LR$60,MATCH(1,(GMW!$LQ$2:$LQ$60=AF$3)*(GMW!$LP$2:$LP$60=AF$4)*(GMW!$LR$2:$LR$60=AF$1),0),$C257-1966)</f>
        <v>2.1064639999999999</v>
      </c>
      <c r="AG257" s="4" cm="1">
        <f t="array" ref="AG257">INDEX(GMW!$A$2:$LR$60,MATCH(1,(GMW!$LQ$2:$LQ$60=AG$3)*(GMW!$LP$2:$LP$60=AG$4)*(GMW!$LR$2:$LR$60=AG$1),0),$C257-1966)</f>
        <v>2.4334739999999999</v>
      </c>
    </row>
    <row r="258" spans="1:33" x14ac:dyDescent="0.25">
      <c r="B258" s="4">
        <f t="shared" si="7"/>
        <v>2035</v>
      </c>
      <c r="C258" s="4">
        <f t="shared" si="8"/>
        <v>2224</v>
      </c>
      <c r="D258" s="4" cm="1">
        <f t="array" ref="D258">INDEX(GMW!$A$2:$LR$60,MATCH(1,(GMW!$LQ$2:$LQ$60=D$3)*(GMW!$LP$2:$LP$60=D$4)*(GMW!$LR$2:$LR$60=D$1),0),$C258-1966)</f>
        <v>686765.9</v>
      </c>
      <c r="E258" s="4" cm="1">
        <f t="array" ref="E258">INDEX(GMW!$A$2:$LR$60,MATCH(1,(GMW!$LQ$2:$LQ$60=E$3)*(GMW!$LP$2:$LP$60=E$4)*(GMW!$LR$2:$LR$60=E$1),0),$C258-1966)</f>
        <v>678131</v>
      </c>
      <c r="F258" s="4" cm="1">
        <f t="array" ref="F258">INDEX(GMW!$A$2:$LR$60,MATCH(1,(GMW!$LQ$2:$LQ$60=F$3)*(GMW!$LP$2:$LP$60=F$4)*(GMW!$LR$2:$LR$60=F$1),0),$C258-1966)</f>
        <v>678399.5</v>
      </c>
      <c r="G258" s="4" cm="1">
        <f t="array" ref="G258">INDEX(GMW!$A$2:$LR$60,MATCH(1,(GMW!$LQ$2:$LQ$60=G$3)*(GMW!$LP$2:$LP$60=G$4)*(GMW!$LR$2:$LR$60=G$1),0),$C258-1966)</f>
        <v>678399.5</v>
      </c>
      <c r="H258" s="4" cm="1">
        <f t="array" ref="H258">INDEX(GMW!$A$2:$LR$60,MATCH(1,(GMW!$LQ$2:$LQ$60=H$3)*(GMW!$LP$2:$LP$60=H$4)*(GMW!$LR$2:$LR$60=H$1),0),$C258-1966)</f>
        <v>683723.3</v>
      </c>
      <c r="I258" s="4" cm="1">
        <f t="array" ref="I258">INDEX(GMW!$A$2:$LR$60,MATCH(1,(GMW!$LQ$2:$LQ$60=I$3)*(GMW!$LP$2:$LP$60=I$4)*(GMW!$LR$2:$LR$60=I$1),0),$C258-1966)</f>
        <v>684644.4</v>
      </c>
      <c r="J258" s="4" cm="1">
        <f t="array" ref="J258">INDEX(GMW!$A$2:$LR$60,MATCH(1,(GMW!$LQ$2:$LQ$60=J$3)*(GMW!$LP$2:$LP$60=J$4)*(GMW!$LR$2:$LR$60=J$1),0),$C258-1966)</f>
        <v>684619.3</v>
      </c>
      <c r="K258" s="4" cm="1">
        <f t="array" ref="K258">INDEX(GMW!$A$2:$LR$60,MATCH(1,(GMW!$LQ$2:$LQ$60=K$3)*(GMW!$LP$2:$LP$60=K$4)*(GMW!$LR$2:$LR$60=K$1),0),$C258-1966)</f>
        <v>684483.8</v>
      </c>
      <c r="L258" s="4" cm="1">
        <f t="array" ref="L258">INDEX(GMW!$A$2:$LR$60,MATCH(1,(GMW!$LQ$2:$LQ$60=L$3)*(GMW!$LP$2:$LP$60=L$4)*(GMW!$LR$2:$LR$60=L$1),0),$C258-1966)</f>
        <v>684508.5</v>
      </c>
      <c r="M258" s="4" cm="1">
        <f t="array" ref="M258">INDEX(GMW!$A$2:$LR$60,MATCH(1,(GMW!$LQ$2:$LQ$60=M$3)*(GMW!$LP$2:$LP$60=M$4)*(GMW!$LR$2:$LR$60=M$1),0),$C258-1966)</f>
        <v>684508.5</v>
      </c>
      <c r="N258" s="4" cm="1">
        <f t="array" ref="N258">INDEX(GMW!$A$2:$LR$60,MATCH(1,(GMW!$LQ$2:$LQ$60=N$3)*(GMW!$LP$2:$LP$60=N$4)*(GMW!$LR$2:$LR$60=N$1),0),$C258-1966)</f>
        <v>686895.1</v>
      </c>
      <c r="O258" s="4" cm="1">
        <f t="array" ref="O258">INDEX(GMW!$A$2:$LR$60,MATCH(1,(GMW!$LQ$2:$LQ$60=O$3)*(GMW!$LP$2:$LP$60=O$4)*(GMW!$LR$2:$LR$60=O$1),0),$C258-1966)</f>
        <v>687241</v>
      </c>
      <c r="P258" s="4" cm="1">
        <f t="array" ref="P258">INDEX(GMW!$A$2:$LR$60,MATCH(1,(GMW!$LQ$2:$LQ$60=P$3)*(GMW!$LP$2:$LP$60=P$4)*(GMW!$LR$2:$LR$60=P$1),0),$C258-1966)</f>
        <v>687522.4</v>
      </c>
      <c r="Q258" s="4" cm="1">
        <f t="array" ref="Q258">INDEX(GMW!$A$2:$LR$60,MATCH(1,(GMW!$LQ$2:$LQ$60=Q$3)*(GMW!$LP$2:$LP$60=Q$4)*(GMW!$LR$2:$LR$60=Q$1),0),$C258-1966)</f>
        <v>689495.6</v>
      </c>
      <c r="R258" s="4" cm="1">
        <f t="array" ref="R258">INDEX(GMW!$A$2:$LR$60,MATCH(1,(GMW!$LQ$2:$LQ$60=R$3)*(GMW!$LP$2:$LP$60=R$4)*(GMW!$LR$2:$LR$60=R$1),0),$C258-1966)</f>
        <v>689785.2</v>
      </c>
      <c r="S258" s="4" cm="1">
        <f t="array" ref="S258">INDEX(GMW!$A$2:$LR$60,MATCH(1,(GMW!$LQ$2:$LQ$60=S$3)*(GMW!$LP$2:$LP$60=S$4)*(GMW!$LR$2:$LR$60=S$1),0),$C258-1966)</f>
        <v>687477.6</v>
      </c>
      <c r="T258" s="4" cm="1">
        <f t="array" ref="T258">INDEX(GMW!$A$2:$LR$60,MATCH(1,(GMW!$LQ$2:$LQ$60=T$3)*(GMW!$LP$2:$LP$60=T$4)*(GMW!$LR$2:$LR$60=T$1),0),$C258-1966)</f>
        <v>688075.9</v>
      </c>
      <c r="U258" s="4" cm="1">
        <f t="array" ref="U258">INDEX(GMW!$A$2:$LR$60,MATCH(1,(GMW!$LQ$2:$LQ$60=U$3)*(GMW!$LP$2:$LP$60=U$4)*(GMW!$LR$2:$LR$60=U$1),0),$C258-1966)</f>
        <v>958.67759999999998</v>
      </c>
      <c r="V258" s="4" cm="1">
        <f t="array" ref="V258">INDEX(GMW!$A$2:$LR$60,MATCH(1,(GMW!$LQ$2:$LQ$60=V$3)*(GMW!$LP$2:$LP$60=V$4)*(GMW!$LR$2:$LR$60=V$1),0),$C258-1966)</f>
        <v>169.5136</v>
      </c>
      <c r="W258" s="4" cm="1">
        <f t="array" ref="W258">INDEX(GMW!$A$2:$LR$60,MATCH(1,(GMW!$LQ$2:$LQ$60=W$3)*(GMW!$LP$2:$LP$60=W$4)*(GMW!$LR$2:$LR$60=W$1),0),$C258-1966)</f>
        <v>164.7774</v>
      </c>
      <c r="X258" s="4" cm="1">
        <f t="array" ref="X258">INDEX(GMW!$A$2:$LR$60,MATCH(1,(GMW!$LQ$2:$LQ$60=X$3)*(GMW!$LP$2:$LP$60=X$4)*(GMW!$LR$2:$LR$60=X$1),0),$C258-1966)</f>
        <v>125.2985</v>
      </c>
      <c r="Y258" s="4" cm="1">
        <f t="array" ref="Y258">INDEX(GMW!$A$2:$LR$60,MATCH(1,(GMW!$LQ$2:$LQ$60=Y$3)*(GMW!$LP$2:$LP$60=Y$4)*(GMW!$LR$2:$LR$60=Y$1),0),$C258-1966)</f>
        <v>207.69059999999999</v>
      </c>
      <c r="Z258" s="4" cm="1">
        <f t="array" ref="Z258">INDEX(GMW!$A$2:$LR$60,MATCH(1,(GMW!$LQ$2:$LQ$60=Z$3)*(GMW!$LP$2:$LP$60=Z$4)*(GMW!$LR$2:$LR$60=Z$1),0),$C258-1966)</f>
        <v>169.43530000000001</v>
      </c>
      <c r="AA258" s="4" cm="1">
        <f t="array" ref="AA258">INDEX(GMW!$A$2:$LR$60,MATCH(1,(GMW!$LQ$2:$LQ$60=AA$3)*(GMW!$LP$2:$LP$60=AA$4)*(GMW!$LR$2:$LR$60=AA$1),0),$C258-1966)</f>
        <v>408689.4</v>
      </c>
      <c r="AB258" s="4" cm="1">
        <f t="array" ref="AB258">INDEX(GMW!$A$2:$LR$60,MATCH(1,(GMW!$LQ$2:$LQ$60=AB$3)*(GMW!$LP$2:$LP$60=AB$4)*(GMW!$LR$2:$LR$60=AB$1),0),$C258-1966)</f>
        <v>134797.79999999999</v>
      </c>
      <c r="AC258" s="4" cm="1">
        <f t="array" ref="AC258">INDEX(GMW!$A$2:$LR$60,MATCH(1,(GMW!$LQ$2:$LQ$60=AC$3)*(GMW!$LP$2:$LP$60=AC$4)*(GMW!$LR$2:$LR$60=AC$1),0),$C258-1966)</f>
        <v>143090.29999999999</v>
      </c>
      <c r="AD258" s="4" cm="1">
        <f t="array" ref="AD258">INDEX(GMW!$A$2:$LR$60,MATCH(1,(GMW!$LQ$2:$LQ$60=AD$3)*(GMW!$LP$2:$LP$60=AD$4)*(GMW!$LR$2:$LR$60=AD$1),0),$C258-1966)</f>
        <v>217456.2</v>
      </c>
      <c r="AE258" s="4" cm="1">
        <f t="array" ref="AE258">INDEX(GMW!$A$2:$LR$60,MATCH(1,(GMW!$LQ$2:$LQ$60=AE$3)*(GMW!$LP$2:$LP$60=AE$4)*(GMW!$LR$2:$LR$60=AE$1),0),$C258-1966)</f>
        <v>237653.2</v>
      </c>
      <c r="AF258" s="4" cm="1">
        <f t="array" ref="AF258">INDEX(GMW!$A$2:$LR$60,MATCH(1,(GMW!$LQ$2:$LQ$60=AF$3)*(GMW!$LP$2:$LP$60=AF$4)*(GMW!$LR$2:$LR$60=AF$1),0),$C258-1966)</f>
        <v>2.1064639999999999</v>
      </c>
      <c r="AG258" s="4" cm="1">
        <f t="array" ref="AG258">INDEX(GMW!$A$2:$LR$60,MATCH(1,(GMW!$LQ$2:$LQ$60=AG$3)*(GMW!$LP$2:$LP$60=AG$4)*(GMW!$LR$2:$LR$60=AG$1),0),$C258-1966)</f>
        <v>2.4334739999999999</v>
      </c>
    </row>
    <row r="259" spans="1:33" x14ac:dyDescent="0.25">
      <c r="A259" s="4">
        <v>2036</v>
      </c>
      <c r="B259" s="4">
        <f t="shared" si="7"/>
        <v>2036</v>
      </c>
      <c r="C259" s="4">
        <f t="shared" si="8"/>
        <v>2225</v>
      </c>
      <c r="D259" s="4" cm="1">
        <f t="array" ref="D259">INDEX(GMW!$A$2:$LR$60,MATCH(1,(GMW!$LQ$2:$LQ$60=D$3)*(GMW!$LP$2:$LP$60=D$4)*(GMW!$LR$2:$LR$60=D$1),0),$C259-1966)</f>
        <v>689409.9</v>
      </c>
      <c r="E259" s="4" cm="1">
        <f t="array" ref="E259">INDEX(GMW!$A$2:$LR$60,MATCH(1,(GMW!$LQ$2:$LQ$60=E$3)*(GMW!$LP$2:$LP$60=E$4)*(GMW!$LR$2:$LR$60=E$1),0),$C259-1966)</f>
        <v>680709.1</v>
      </c>
      <c r="F259" s="4" cm="1">
        <f t="array" ref="F259">INDEX(GMW!$A$2:$LR$60,MATCH(1,(GMW!$LQ$2:$LQ$60=F$3)*(GMW!$LP$2:$LP$60=F$4)*(GMW!$LR$2:$LR$60=F$1),0),$C259-1966)</f>
        <v>680978.3</v>
      </c>
      <c r="G259" s="4" cm="1">
        <f t="array" ref="G259">INDEX(GMW!$A$2:$LR$60,MATCH(1,(GMW!$LQ$2:$LQ$60=G$3)*(GMW!$LP$2:$LP$60=G$4)*(GMW!$LR$2:$LR$60=G$1),0),$C259-1966)</f>
        <v>680978.3</v>
      </c>
      <c r="H259" s="4" cm="1">
        <f t="array" ref="H259">INDEX(GMW!$A$2:$LR$60,MATCH(1,(GMW!$LQ$2:$LQ$60=H$3)*(GMW!$LP$2:$LP$60=H$4)*(GMW!$LR$2:$LR$60=H$1),0),$C259-1966)</f>
        <v>686249.7</v>
      </c>
      <c r="I259" s="4" cm="1">
        <f t="array" ref="I259">INDEX(GMW!$A$2:$LR$60,MATCH(1,(GMW!$LQ$2:$LQ$60=I$3)*(GMW!$LP$2:$LP$60=I$4)*(GMW!$LR$2:$LR$60=I$1),0),$C259-1966)</f>
        <v>687177.5</v>
      </c>
      <c r="J259" s="4" cm="1">
        <f t="array" ref="J259">INDEX(GMW!$A$2:$LR$60,MATCH(1,(GMW!$LQ$2:$LQ$60=J$3)*(GMW!$LP$2:$LP$60=J$4)*(GMW!$LR$2:$LR$60=J$1),0),$C259-1966)</f>
        <v>687152.3</v>
      </c>
      <c r="K259" s="4" cm="1">
        <f t="array" ref="K259">INDEX(GMW!$A$2:$LR$60,MATCH(1,(GMW!$LQ$2:$LQ$60=K$3)*(GMW!$LP$2:$LP$60=K$4)*(GMW!$LR$2:$LR$60=K$1),0),$C259-1966)</f>
        <v>687018.8</v>
      </c>
      <c r="L259" s="4" cm="1">
        <f t="array" ref="L259">INDEX(GMW!$A$2:$LR$60,MATCH(1,(GMW!$LQ$2:$LQ$60=L$3)*(GMW!$LP$2:$LP$60=L$4)*(GMW!$LR$2:$LR$60=L$1),0),$C259-1966)</f>
        <v>687044.1</v>
      </c>
      <c r="M259" s="4" cm="1">
        <f t="array" ref="M259">INDEX(GMW!$A$2:$LR$60,MATCH(1,(GMW!$LQ$2:$LQ$60=M$3)*(GMW!$LP$2:$LP$60=M$4)*(GMW!$LR$2:$LR$60=M$1),0),$C259-1966)</f>
        <v>687044.1</v>
      </c>
      <c r="N259" s="4" cm="1">
        <f t="array" ref="N259">INDEX(GMW!$A$2:$LR$60,MATCH(1,(GMW!$LQ$2:$LQ$60=N$3)*(GMW!$LP$2:$LP$60=N$4)*(GMW!$LR$2:$LR$60=N$1),0),$C259-1966)</f>
        <v>689461.4</v>
      </c>
      <c r="O259" s="4" cm="1">
        <f t="array" ref="O259">INDEX(GMW!$A$2:$LR$60,MATCH(1,(GMW!$LQ$2:$LQ$60=O$3)*(GMW!$LP$2:$LP$60=O$4)*(GMW!$LR$2:$LR$60=O$1),0),$C259-1966)</f>
        <v>689831.7</v>
      </c>
      <c r="P259" s="4" cm="1">
        <f t="array" ref="P259">INDEX(GMW!$A$2:$LR$60,MATCH(1,(GMW!$LQ$2:$LQ$60=P$3)*(GMW!$LP$2:$LP$60=P$4)*(GMW!$LR$2:$LR$60=P$1),0),$C259-1966)</f>
        <v>690112.3</v>
      </c>
      <c r="Q259" s="4" cm="1">
        <f t="array" ref="Q259">INDEX(GMW!$A$2:$LR$60,MATCH(1,(GMW!$LQ$2:$LQ$60=Q$3)*(GMW!$LP$2:$LP$60=Q$4)*(GMW!$LR$2:$LR$60=Q$1),0),$C259-1966)</f>
        <v>692140.6</v>
      </c>
      <c r="R259" s="4" cm="1">
        <f t="array" ref="R259">INDEX(GMW!$A$2:$LR$60,MATCH(1,(GMW!$LQ$2:$LQ$60=R$3)*(GMW!$LP$2:$LP$60=R$4)*(GMW!$LR$2:$LR$60=R$1),0),$C259-1966)</f>
        <v>692455.8</v>
      </c>
      <c r="S259" s="4" cm="1">
        <f t="array" ref="S259">INDEX(GMW!$A$2:$LR$60,MATCH(1,(GMW!$LQ$2:$LQ$60=S$3)*(GMW!$LP$2:$LP$60=S$4)*(GMW!$LR$2:$LR$60=S$1),0),$C259-1966)</f>
        <v>690132.4</v>
      </c>
      <c r="T259" s="4" cm="1">
        <f t="array" ref="T259">INDEX(GMW!$A$2:$LR$60,MATCH(1,(GMW!$LQ$2:$LQ$60=T$3)*(GMW!$LP$2:$LP$60=T$4)*(GMW!$LR$2:$LR$60=T$1),0),$C259-1966)</f>
        <v>690723.9</v>
      </c>
      <c r="U259" s="4" cm="1">
        <f t="array" ref="U259">INDEX(GMW!$A$2:$LR$60,MATCH(1,(GMW!$LQ$2:$LQ$60=U$3)*(GMW!$LP$2:$LP$60=U$4)*(GMW!$LR$2:$LR$60=U$1),0),$C259-1966)</f>
        <v>966.07590000000005</v>
      </c>
      <c r="V259" s="4" cm="1">
        <f t="array" ref="V259">INDEX(GMW!$A$2:$LR$60,MATCH(1,(GMW!$LQ$2:$LQ$60=V$3)*(GMW!$LP$2:$LP$60=V$4)*(GMW!$LR$2:$LR$60=V$1),0),$C259-1966)</f>
        <v>169.7791</v>
      </c>
      <c r="W259" s="4" cm="1">
        <f t="array" ref="W259">INDEX(GMW!$A$2:$LR$60,MATCH(1,(GMW!$LQ$2:$LQ$60=W$3)*(GMW!$LP$2:$LP$60=W$4)*(GMW!$LR$2:$LR$60=W$1),0),$C259-1966)</f>
        <v>166.2944</v>
      </c>
      <c r="X259" s="4" cm="1">
        <f t="array" ref="X259">INDEX(GMW!$A$2:$LR$60,MATCH(1,(GMW!$LQ$2:$LQ$60=X$3)*(GMW!$LP$2:$LP$60=X$4)*(GMW!$LR$2:$LR$60=X$1),0),$C259-1966)</f>
        <v>125.3373</v>
      </c>
      <c r="Y259" s="4" cm="1">
        <f t="array" ref="Y259">INDEX(GMW!$A$2:$LR$60,MATCH(1,(GMW!$LQ$2:$LQ$60=Y$3)*(GMW!$LP$2:$LP$60=Y$4)*(GMW!$LR$2:$LR$60=Y$1),0),$C259-1966)</f>
        <v>209.43960000000001</v>
      </c>
      <c r="Z259" s="4" cm="1">
        <f t="array" ref="Z259">INDEX(GMW!$A$2:$LR$60,MATCH(1,(GMW!$LQ$2:$LQ$60=Z$3)*(GMW!$LP$2:$LP$60=Z$4)*(GMW!$LR$2:$LR$60=Z$1),0),$C259-1966)</f>
        <v>169.3938</v>
      </c>
      <c r="AA259" s="4" cm="1">
        <f t="array" ref="AA259">INDEX(GMW!$A$2:$LR$60,MATCH(1,(GMW!$LQ$2:$LQ$60=AA$3)*(GMW!$LP$2:$LP$60=AA$4)*(GMW!$LR$2:$LR$60=AA$1),0),$C259-1966)</f>
        <v>410242.4</v>
      </c>
      <c r="AB259" s="4" cm="1">
        <f t="array" ref="AB259">INDEX(GMW!$A$2:$LR$60,MATCH(1,(GMW!$LQ$2:$LQ$60=AB$3)*(GMW!$LP$2:$LP$60=AB$4)*(GMW!$LR$2:$LR$60=AB$1),0),$C259-1966)</f>
        <v>135545.4</v>
      </c>
      <c r="AC259" s="4" cm="1">
        <f t="array" ref="AC259">INDEX(GMW!$A$2:$LR$60,MATCH(1,(GMW!$LQ$2:$LQ$60=AC$3)*(GMW!$LP$2:$LP$60=AC$4)*(GMW!$LR$2:$LR$60=AC$1),0),$C259-1966)</f>
        <v>143632.6</v>
      </c>
      <c r="AD259" s="4" cm="1">
        <f t="array" ref="AD259">INDEX(GMW!$A$2:$LR$60,MATCH(1,(GMW!$LQ$2:$LQ$60=AD$3)*(GMW!$LP$2:$LP$60=AD$4)*(GMW!$LR$2:$LR$60=AD$1),0),$C259-1966)</f>
        <v>218466.5</v>
      </c>
      <c r="AE259" s="4" cm="1">
        <f t="array" ref="AE259">INDEX(GMW!$A$2:$LR$60,MATCH(1,(GMW!$LQ$2:$LQ$60=AE$3)*(GMW!$LP$2:$LP$60=AE$4)*(GMW!$LR$2:$LR$60=AE$1),0),$C259-1966)</f>
        <v>238920.3</v>
      </c>
      <c r="AF259" s="4" cm="1">
        <f t="array" ref="AF259">INDEX(GMW!$A$2:$LR$60,MATCH(1,(GMW!$LQ$2:$LQ$60=AF$3)*(GMW!$LP$2:$LP$60=AF$4)*(GMW!$LR$2:$LR$60=AF$1),0),$C259-1966)</f>
        <v>2.1064639999999999</v>
      </c>
      <c r="AG259" s="4" cm="1">
        <f t="array" ref="AG259">INDEX(GMW!$A$2:$LR$60,MATCH(1,(GMW!$LQ$2:$LQ$60=AG$3)*(GMW!$LP$2:$LP$60=AG$4)*(GMW!$LR$2:$LR$60=AG$1),0),$C259-1966)</f>
        <v>2.4334739999999999</v>
      </c>
    </row>
    <row r="260" spans="1:33" x14ac:dyDescent="0.25">
      <c r="B260" s="4">
        <f t="shared" si="7"/>
        <v>2036</v>
      </c>
      <c r="C260" s="4">
        <f t="shared" si="8"/>
        <v>2226</v>
      </c>
      <c r="D260" s="4" cm="1">
        <f t="array" ref="D260">INDEX(GMW!$A$2:$LR$60,MATCH(1,(GMW!$LQ$2:$LQ$60=D$3)*(GMW!$LP$2:$LP$60=D$4)*(GMW!$LR$2:$LR$60=D$1),0),$C260-1966)</f>
        <v>692066.5</v>
      </c>
      <c r="E260" s="4" cm="1">
        <f t="array" ref="E260">INDEX(GMW!$A$2:$LR$60,MATCH(1,(GMW!$LQ$2:$LQ$60=E$3)*(GMW!$LP$2:$LP$60=E$4)*(GMW!$LR$2:$LR$60=E$1),0),$C260-1966)</f>
        <v>683300.9</v>
      </c>
      <c r="F260" s="4" cm="1">
        <f t="array" ref="F260">INDEX(GMW!$A$2:$LR$60,MATCH(1,(GMW!$LQ$2:$LQ$60=F$3)*(GMW!$LP$2:$LP$60=F$4)*(GMW!$LR$2:$LR$60=F$1),0),$C260-1966)</f>
        <v>683570.8</v>
      </c>
      <c r="G260" s="4" cm="1">
        <f t="array" ref="G260">INDEX(GMW!$A$2:$LR$60,MATCH(1,(GMW!$LQ$2:$LQ$60=G$3)*(GMW!$LP$2:$LP$60=G$4)*(GMW!$LR$2:$LR$60=G$1),0),$C260-1966)</f>
        <v>683570.8</v>
      </c>
      <c r="H260" s="4" cm="1">
        <f t="array" ref="H260">INDEX(GMW!$A$2:$LR$60,MATCH(1,(GMW!$LQ$2:$LQ$60=H$3)*(GMW!$LP$2:$LP$60=H$4)*(GMW!$LR$2:$LR$60=H$1),0),$C260-1966)</f>
        <v>688789.5</v>
      </c>
      <c r="I260" s="4" cm="1">
        <f t="array" ref="I260">INDEX(GMW!$A$2:$LR$60,MATCH(1,(GMW!$LQ$2:$LQ$60=I$3)*(GMW!$LP$2:$LP$60=I$4)*(GMW!$LR$2:$LR$60=I$1),0),$C260-1966)</f>
        <v>689723.4</v>
      </c>
      <c r="J260" s="4" cm="1">
        <f t="array" ref="J260">INDEX(GMW!$A$2:$LR$60,MATCH(1,(GMW!$LQ$2:$LQ$60=J$3)*(GMW!$LP$2:$LP$60=J$4)*(GMW!$LR$2:$LR$60=J$1),0),$C260-1966)</f>
        <v>689697.9</v>
      </c>
      <c r="K260" s="4" cm="1">
        <f t="array" ref="K260">INDEX(GMW!$A$2:$LR$60,MATCH(1,(GMW!$LQ$2:$LQ$60=K$3)*(GMW!$LP$2:$LP$60=K$4)*(GMW!$LR$2:$LR$60=K$1),0),$C260-1966)</f>
        <v>689566.4</v>
      </c>
      <c r="L260" s="4" cm="1">
        <f t="array" ref="L260">INDEX(GMW!$A$2:$LR$60,MATCH(1,(GMW!$LQ$2:$LQ$60=L$3)*(GMW!$LP$2:$LP$60=L$4)*(GMW!$LR$2:$LR$60=L$1),0),$C260-1966)</f>
        <v>689592.2</v>
      </c>
      <c r="M260" s="4" cm="1">
        <f t="array" ref="M260">INDEX(GMW!$A$2:$LR$60,MATCH(1,(GMW!$LQ$2:$LQ$60=M$3)*(GMW!$LP$2:$LP$60=M$4)*(GMW!$LR$2:$LR$60=M$1),0),$C260-1966)</f>
        <v>689592.2</v>
      </c>
      <c r="N260" s="4" cm="1">
        <f t="array" ref="N260">INDEX(GMW!$A$2:$LR$60,MATCH(1,(GMW!$LQ$2:$LQ$60=N$3)*(GMW!$LP$2:$LP$60=N$4)*(GMW!$LR$2:$LR$60=N$1),0),$C260-1966)</f>
        <v>692041.1</v>
      </c>
      <c r="O260" s="4" cm="1">
        <f t="array" ref="O260">INDEX(GMW!$A$2:$LR$60,MATCH(1,(GMW!$LQ$2:$LQ$60=O$3)*(GMW!$LP$2:$LP$60=O$4)*(GMW!$LR$2:$LR$60=O$1),0),$C260-1966)</f>
        <v>692436.1</v>
      </c>
      <c r="P260" s="4" cm="1">
        <f t="array" ref="P260">INDEX(GMW!$A$2:$LR$60,MATCH(1,(GMW!$LQ$2:$LQ$60=P$3)*(GMW!$LP$2:$LP$60=P$4)*(GMW!$LR$2:$LR$60=P$1),0),$C260-1966)</f>
        <v>692716.1</v>
      </c>
      <c r="Q260" s="4" cm="1">
        <f t="array" ref="Q260">INDEX(GMW!$A$2:$LR$60,MATCH(1,(GMW!$LQ$2:$LQ$60=Q$3)*(GMW!$LP$2:$LP$60=Q$4)*(GMW!$LR$2:$LR$60=Q$1),0),$C260-1966)</f>
        <v>694797.6</v>
      </c>
      <c r="R260" s="4" cm="1">
        <f t="array" ref="R260">INDEX(GMW!$A$2:$LR$60,MATCH(1,(GMW!$LQ$2:$LQ$60=R$3)*(GMW!$LP$2:$LP$60=R$4)*(GMW!$LR$2:$LR$60=R$1),0),$C260-1966)</f>
        <v>695138.8</v>
      </c>
      <c r="S260" s="4" cm="1">
        <f t="array" ref="S260">INDEX(GMW!$A$2:$LR$60,MATCH(1,(GMW!$LQ$2:$LQ$60=S$3)*(GMW!$LP$2:$LP$60=S$4)*(GMW!$LR$2:$LR$60=S$1),0),$C260-1966)</f>
        <v>692799.7</v>
      </c>
      <c r="T260" s="4" cm="1">
        <f t="array" ref="T260">INDEX(GMW!$A$2:$LR$60,MATCH(1,(GMW!$LQ$2:$LQ$60=T$3)*(GMW!$LP$2:$LP$60=T$4)*(GMW!$LR$2:$LR$60=T$1),0),$C260-1966)</f>
        <v>693384.4</v>
      </c>
      <c r="U260" s="4" cm="1">
        <f t="array" ref="U260">INDEX(GMW!$A$2:$LR$60,MATCH(1,(GMW!$LQ$2:$LQ$60=U$3)*(GMW!$LP$2:$LP$60=U$4)*(GMW!$LR$2:$LR$60=U$1),0),$C260-1966)</f>
        <v>973.55349999999999</v>
      </c>
      <c r="V260" s="4" cm="1">
        <f t="array" ref="V260">INDEX(GMW!$A$2:$LR$60,MATCH(1,(GMW!$LQ$2:$LQ$60=V$3)*(GMW!$LP$2:$LP$60=V$4)*(GMW!$LR$2:$LR$60=V$1),0),$C260-1966)</f>
        <v>171.2621</v>
      </c>
      <c r="W260" s="4" cm="1">
        <f t="array" ref="W260">INDEX(GMW!$A$2:$LR$60,MATCH(1,(GMW!$LQ$2:$LQ$60=W$3)*(GMW!$LP$2:$LP$60=W$4)*(GMW!$LR$2:$LR$60=W$1),0),$C260-1966)</f>
        <v>166.6935</v>
      </c>
      <c r="X260" s="4" cm="1">
        <f t="array" ref="X260">INDEX(GMW!$A$2:$LR$60,MATCH(1,(GMW!$LQ$2:$LQ$60=X$3)*(GMW!$LP$2:$LP$60=X$4)*(GMW!$LR$2:$LR$60=X$1),0),$C260-1966)</f>
        <v>125.3877</v>
      </c>
      <c r="Y260" s="4" cm="1">
        <f t="array" ref="Y260">INDEX(GMW!$A$2:$LR$60,MATCH(1,(GMW!$LQ$2:$LQ$60=Y$3)*(GMW!$LP$2:$LP$60=Y$4)*(GMW!$LR$2:$LR$60=Y$1),0),$C260-1966)</f>
        <v>211.2226</v>
      </c>
      <c r="Z260" s="4" cm="1">
        <f t="array" ref="Z260">INDEX(GMW!$A$2:$LR$60,MATCH(1,(GMW!$LQ$2:$LQ$60=Z$3)*(GMW!$LP$2:$LP$60=Z$4)*(GMW!$LR$2:$LR$60=Z$1),0),$C260-1966)</f>
        <v>171.1422</v>
      </c>
      <c r="AA260" s="4" cm="1">
        <f t="array" ref="AA260">INDEX(GMW!$A$2:$LR$60,MATCH(1,(GMW!$LQ$2:$LQ$60=AA$3)*(GMW!$LP$2:$LP$60=AA$4)*(GMW!$LR$2:$LR$60=AA$1),0),$C260-1966)</f>
        <v>411802.7</v>
      </c>
      <c r="AB260" s="4" cm="1">
        <f t="array" ref="AB260">INDEX(GMW!$A$2:$LR$60,MATCH(1,(GMW!$LQ$2:$LQ$60=AB$3)*(GMW!$LP$2:$LP$60=AB$4)*(GMW!$LR$2:$LR$60=AB$1),0),$C260-1966)</f>
        <v>136297.79999999999</v>
      </c>
      <c r="AC260" s="4" cm="1">
        <f t="array" ref="AC260">INDEX(GMW!$A$2:$LR$60,MATCH(1,(GMW!$LQ$2:$LQ$60=AC$3)*(GMW!$LP$2:$LP$60=AC$4)*(GMW!$LR$2:$LR$60=AC$1),0),$C260-1966)</f>
        <v>144177.4</v>
      </c>
      <c r="AD260" s="4" cm="1">
        <f t="array" ref="AD260">INDEX(GMW!$A$2:$LR$60,MATCH(1,(GMW!$LQ$2:$LQ$60=AD$3)*(GMW!$LP$2:$LP$60=AD$4)*(GMW!$LR$2:$LR$60=AD$1),0),$C260-1966)</f>
        <v>219482.8</v>
      </c>
      <c r="AE260" s="4" cm="1">
        <f t="array" ref="AE260">INDEX(GMW!$A$2:$LR$60,MATCH(1,(GMW!$LQ$2:$LQ$60=AE$3)*(GMW!$LP$2:$LP$60=AE$4)*(GMW!$LR$2:$LR$60=AE$1),0),$C260-1966)</f>
        <v>240195.3</v>
      </c>
      <c r="AF260" s="4" cm="1">
        <f t="array" ref="AF260">INDEX(GMW!$A$2:$LR$60,MATCH(1,(GMW!$LQ$2:$LQ$60=AF$3)*(GMW!$LP$2:$LP$60=AF$4)*(GMW!$LR$2:$LR$60=AF$1),0),$C260-1966)</f>
        <v>2.1064639999999999</v>
      </c>
      <c r="AG260" s="4" cm="1">
        <f t="array" ref="AG260">INDEX(GMW!$A$2:$LR$60,MATCH(1,(GMW!$LQ$2:$LQ$60=AG$3)*(GMW!$LP$2:$LP$60=AG$4)*(GMW!$LR$2:$LR$60=AG$1),0),$C260-1966)</f>
        <v>2.4334739999999999</v>
      </c>
    </row>
    <row r="261" spans="1:33" x14ac:dyDescent="0.25">
      <c r="B261" s="4">
        <f t="shared" si="7"/>
        <v>2036</v>
      </c>
      <c r="C261" s="4">
        <f t="shared" si="8"/>
        <v>2227</v>
      </c>
      <c r="D261" s="4" cm="1">
        <f t="array" ref="D261">INDEX(GMW!$A$2:$LR$60,MATCH(1,(GMW!$LQ$2:$LQ$60=D$3)*(GMW!$LP$2:$LP$60=D$4)*(GMW!$LR$2:$LR$60=D$1),0),$C261-1966)</f>
        <v>694735.8</v>
      </c>
      <c r="E261" s="4" cm="1">
        <f t="array" ref="E261">INDEX(GMW!$A$2:$LR$60,MATCH(1,(GMW!$LQ$2:$LQ$60=E$3)*(GMW!$LP$2:$LP$60=E$4)*(GMW!$LR$2:$LR$60=E$1),0),$C261-1966)</f>
        <v>685906.3</v>
      </c>
      <c r="F261" s="4" cm="1">
        <f t="array" ref="F261">INDEX(GMW!$A$2:$LR$60,MATCH(1,(GMW!$LQ$2:$LQ$60=F$3)*(GMW!$LP$2:$LP$60=F$4)*(GMW!$LR$2:$LR$60=F$1),0),$C261-1966)</f>
        <v>686176.9</v>
      </c>
      <c r="G261" s="4" cm="1">
        <f t="array" ref="G261">INDEX(GMW!$A$2:$LR$60,MATCH(1,(GMW!$LQ$2:$LQ$60=G$3)*(GMW!$LP$2:$LP$60=G$4)*(GMW!$LR$2:$LR$60=G$1),0),$C261-1966)</f>
        <v>686176.9</v>
      </c>
      <c r="H261" s="4" cm="1">
        <f t="array" ref="H261">INDEX(GMW!$A$2:$LR$60,MATCH(1,(GMW!$LQ$2:$LQ$60=H$3)*(GMW!$LP$2:$LP$60=H$4)*(GMW!$LR$2:$LR$60=H$1),0),$C261-1966)</f>
        <v>691343</v>
      </c>
      <c r="I261" s="4" cm="1">
        <f t="array" ref="I261">INDEX(GMW!$A$2:$LR$60,MATCH(1,(GMW!$LQ$2:$LQ$60=I$3)*(GMW!$LP$2:$LP$60=I$4)*(GMW!$LR$2:$LR$60=I$1),0),$C261-1966)</f>
        <v>692282.2</v>
      </c>
      <c r="J261" s="4" cm="1">
        <f t="array" ref="J261">INDEX(GMW!$A$2:$LR$60,MATCH(1,(GMW!$LQ$2:$LQ$60=J$3)*(GMW!$LP$2:$LP$60=J$4)*(GMW!$LR$2:$LR$60=J$1),0),$C261-1966)</f>
        <v>692256.4</v>
      </c>
      <c r="K261" s="4" cm="1">
        <f t="array" ref="K261">INDEX(GMW!$A$2:$LR$60,MATCH(1,(GMW!$LQ$2:$LQ$60=K$3)*(GMW!$LP$2:$LP$60=K$4)*(GMW!$LR$2:$LR$60=K$1),0),$C261-1966)</f>
        <v>692126.8</v>
      </c>
      <c r="L261" s="4" cm="1">
        <f t="array" ref="L261">INDEX(GMW!$A$2:$LR$60,MATCH(1,(GMW!$LQ$2:$LQ$60=L$3)*(GMW!$LP$2:$LP$60=L$4)*(GMW!$LR$2:$LR$60=L$1),0),$C261-1966)</f>
        <v>692153.1</v>
      </c>
      <c r="M261" s="4" cm="1">
        <f t="array" ref="M261">INDEX(GMW!$A$2:$LR$60,MATCH(1,(GMW!$LQ$2:$LQ$60=M$3)*(GMW!$LP$2:$LP$60=M$4)*(GMW!$LR$2:$LR$60=M$1),0),$C261-1966)</f>
        <v>692153.1</v>
      </c>
      <c r="N261" s="4" cm="1">
        <f t="array" ref="N261">INDEX(GMW!$A$2:$LR$60,MATCH(1,(GMW!$LQ$2:$LQ$60=N$3)*(GMW!$LP$2:$LP$60=N$4)*(GMW!$LR$2:$LR$60=N$1),0),$C261-1966)</f>
        <v>694634.3</v>
      </c>
      <c r="O261" s="4" cm="1">
        <f t="array" ref="O261">INDEX(GMW!$A$2:$LR$60,MATCH(1,(GMW!$LQ$2:$LQ$60=O$3)*(GMW!$LP$2:$LP$60=O$4)*(GMW!$LR$2:$LR$60=O$1),0),$C261-1966)</f>
        <v>695054.6</v>
      </c>
      <c r="P261" s="4" cm="1">
        <f t="array" ref="P261">INDEX(GMW!$A$2:$LR$60,MATCH(1,(GMW!$LQ$2:$LQ$60=P$3)*(GMW!$LP$2:$LP$60=P$4)*(GMW!$LR$2:$LR$60=P$1),0),$C261-1966)</f>
        <v>695333.8</v>
      </c>
      <c r="Q261" s="4" cm="1">
        <f t="array" ref="Q261">INDEX(GMW!$A$2:$LR$60,MATCH(1,(GMW!$LQ$2:$LQ$60=Q$3)*(GMW!$LP$2:$LP$60=Q$4)*(GMW!$LR$2:$LR$60=Q$1),0),$C261-1966)</f>
        <v>697466.9</v>
      </c>
      <c r="R261" s="4" cm="1">
        <f t="array" ref="R261">INDEX(GMW!$A$2:$LR$60,MATCH(1,(GMW!$LQ$2:$LQ$60=R$3)*(GMW!$LP$2:$LP$60=R$4)*(GMW!$LR$2:$LR$60=R$1),0),$C261-1966)</f>
        <v>697834.4</v>
      </c>
      <c r="S261" s="4" cm="1">
        <f t="array" ref="S261">INDEX(GMW!$A$2:$LR$60,MATCH(1,(GMW!$LQ$2:$LQ$60=S$3)*(GMW!$LP$2:$LP$60=S$4)*(GMW!$LR$2:$LR$60=S$1),0),$C261-1966)</f>
        <v>695479.6</v>
      </c>
      <c r="T261" s="4" cm="1">
        <f t="array" ref="T261">INDEX(GMW!$A$2:$LR$60,MATCH(1,(GMW!$LQ$2:$LQ$60=T$3)*(GMW!$LP$2:$LP$60=T$4)*(GMW!$LR$2:$LR$60=T$1),0),$C261-1966)</f>
        <v>696057.6</v>
      </c>
      <c r="U261" s="4" cm="1">
        <f t="array" ref="U261">INDEX(GMW!$A$2:$LR$60,MATCH(1,(GMW!$LQ$2:$LQ$60=U$3)*(GMW!$LP$2:$LP$60=U$4)*(GMW!$LR$2:$LR$60=U$1),0),$C261-1966)</f>
        <v>981.11440000000005</v>
      </c>
      <c r="V261" s="4" cm="1">
        <f t="array" ref="V261">INDEX(GMW!$A$2:$LR$60,MATCH(1,(GMW!$LQ$2:$LQ$60=V$3)*(GMW!$LP$2:$LP$60=V$4)*(GMW!$LR$2:$LR$60=V$1),0),$C261-1966)</f>
        <v>172.07409999999999</v>
      </c>
      <c r="W261" s="4" cm="1">
        <f t="array" ref="W261">INDEX(GMW!$A$2:$LR$60,MATCH(1,(GMW!$LQ$2:$LQ$60=W$3)*(GMW!$LP$2:$LP$60=W$4)*(GMW!$LR$2:$LR$60=W$1),0),$C261-1966)</f>
        <v>166.48859999999999</v>
      </c>
      <c r="X261" s="4" cm="1">
        <f t="array" ref="X261">INDEX(GMW!$A$2:$LR$60,MATCH(1,(GMW!$LQ$2:$LQ$60=X$3)*(GMW!$LP$2:$LP$60=X$4)*(GMW!$LR$2:$LR$60=X$1),0),$C261-1966)</f>
        <v>125.4383</v>
      </c>
      <c r="Y261" s="4" cm="1">
        <f t="array" ref="Y261">INDEX(GMW!$A$2:$LR$60,MATCH(1,(GMW!$LQ$2:$LQ$60=Y$3)*(GMW!$LP$2:$LP$60=Y$4)*(GMW!$LR$2:$LR$60=Y$1),0),$C261-1966)</f>
        <v>213.05500000000001</v>
      </c>
      <c r="Z261" s="4" cm="1">
        <f t="array" ref="Z261">INDEX(GMW!$A$2:$LR$60,MATCH(1,(GMW!$LQ$2:$LQ$60=Z$3)*(GMW!$LP$2:$LP$60=Z$4)*(GMW!$LR$2:$LR$60=Z$1),0),$C261-1966)</f>
        <v>172.1482</v>
      </c>
      <c r="AA261" s="4" cm="1">
        <f t="array" ref="AA261">INDEX(GMW!$A$2:$LR$60,MATCH(1,(GMW!$LQ$2:$LQ$60=AA$3)*(GMW!$LP$2:$LP$60=AA$4)*(GMW!$LR$2:$LR$60=AA$1),0),$C261-1966)</f>
        <v>413370.4</v>
      </c>
      <c r="AB261" s="4" cm="1">
        <f t="array" ref="AB261">INDEX(GMW!$A$2:$LR$60,MATCH(1,(GMW!$LQ$2:$LQ$60=AB$3)*(GMW!$LP$2:$LP$60=AB$4)*(GMW!$LR$2:$LR$60=AB$1),0),$C261-1966)</f>
        <v>137055</v>
      </c>
      <c r="AC261" s="4" cm="1">
        <f t="array" ref="AC261">INDEX(GMW!$A$2:$LR$60,MATCH(1,(GMW!$LQ$2:$LQ$60=AC$3)*(GMW!$LP$2:$LP$60=AC$4)*(GMW!$LR$2:$LR$60=AC$1),0),$C261-1966)</f>
        <v>144724.9</v>
      </c>
      <c r="AD261" s="4" cm="1">
        <f t="array" ref="AD261">INDEX(GMW!$A$2:$LR$60,MATCH(1,(GMW!$LQ$2:$LQ$60=AD$3)*(GMW!$LP$2:$LP$60=AD$4)*(GMW!$LR$2:$LR$60=AD$1),0),$C261-1966)</f>
        <v>220504.8</v>
      </c>
      <c r="AE261" s="4" cm="1">
        <f t="array" ref="AE261">INDEX(GMW!$A$2:$LR$60,MATCH(1,(GMW!$LQ$2:$LQ$60=AE$3)*(GMW!$LP$2:$LP$60=AE$4)*(GMW!$LR$2:$LR$60=AE$1),0),$C261-1966)</f>
        <v>241478.1</v>
      </c>
      <c r="AF261" s="4" cm="1">
        <f t="array" ref="AF261">INDEX(GMW!$A$2:$LR$60,MATCH(1,(GMW!$LQ$2:$LQ$60=AF$3)*(GMW!$LP$2:$LP$60=AF$4)*(GMW!$LR$2:$LR$60=AF$1),0),$C261-1966)</f>
        <v>2.1064639999999999</v>
      </c>
      <c r="AG261" s="4" cm="1">
        <f t="array" ref="AG261">INDEX(GMW!$A$2:$LR$60,MATCH(1,(GMW!$LQ$2:$LQ$60=AG$3)*(GMW!$LP$2:$LP$60=AG$4)*(GMW!$LR$2:$LR$60=AG$1),0),$C261-1966)</f>
        <v>2.4334739999999999</v>
      </c>
    </row>
    <row r="262" spans="1:33" x14ac:dyDescent="0.25">
      <c r="B262" s="4">
        <f t="shared" si="7"/>
        <v>2036</v>
      </c>
      <c r="C262" s="4">
        <f t="shared" si="8"/>
        <v>2228</v>
      </c>
      <c r="D262" s="4" cm="1">
        <f t="array" ref="D262">INDEX(GMW!$A$2:$LR$60,MATCH(1,(GMW!$LQ$2:$LQ$60=D$3)*(GMW!$LP$2:$LP$60=D$4)*(GMW!$LR$2:$LR$60=D$1),0),$C262-1966)</f>
        <v>697417.4</v>
      </c>
      <c r="E262" s="4" cm="1">
        <f t="array" ref="E262">INDEX(GMW!$A$2:$LR$60,MATCH(1,(GMW!$LQ$2:$LQ$60=E$3)*(GMW!$LP$2:$LP$60=E$4)*(GMW!$LR$2:$LR$60=E$1),0),$C262-1966)</f>
        <v>688525.3</v>
      </c>
      <c r="F262" s="4" cm="1">
        <f t="array" ref="F262">INDEX(GMW!$A$2:$LR$60,MATCH(1,(GMW!$LQ$2:$LQ$60=F$3)*(GMW!$LP$2:$LP$60=F$4)*(GMW!$LR$2:$LR$60=F$1),0),$C262-1966)</f>
        <v>688796.6</v>
      </c>
      <c r="G262" s="4" cm="1">
        <f t="array" ref="G262">INDEX(GMW!$A$2:$LR$60,MATCH(1,(GMW!$LQ$2:$LQ$60=G$3)*(GMW!$LP$2:$LP$60=G$4)*(GMW!$LR$2:$LR$60=G$1),0),$C262-1966)</f>
        <v>688796.6</v>
      </c>
      <c r="H262" s="4" cm="1">
        <f t="array" ref="H262">INDEX(GMW!$A$2:$LR$60,MATCH(1,(GMW!$LQ$2:$LQ$60=H$3)*(GMW!$LP$2:$LP$60=H$4)*(GMW!$LR$2:$LR$60=H$1),0),$C262-1966)</f>
        <v>693909.7</v>
      </c>
      <c r="I262" s="4" cm="1">
        <f t="array" ref="I262">INDEX(GMW!$A$2:$LR$60,MATCH(1,(GMW!$LQ$2:$LQ$60=I$3)*(GMW!$LP$2:$LP$60=I$4)*(GMW!$LR$2:$LR$60=I$1),0),$C262-1966)</f>
        <v>694853.5</v>
      </c>
      <c r="J262" s="4" cm="1">
        <f t="array" ref="J262">INDEX(GMW!$A$2:$LR$60,MATCH(1,(GMW!$LQ$2:$LQ$60=J$3)*(GMW!$LP$2:$LP$60=J$4)*(GMW!$LR$2:$LR$60=J$1),0),$C262-1966)</f>
        <v>694827.4</v>
      </c>
      <c r="K262" s="4" cm="1">
        <f t="array" ref="K262">INDEX(GMW!$A$2:$LR$60,MATCH(1,(GMW!$LQ$2:$LQ$60=K$3)*(GMW!$LP$2:$LP$60=K$4)*(GMW!$LR$2:$LR$60=K$1),0),$C262-1966)</f>
        <v>694699.8</v>
      </c>
      <c r="L262" s="4" cm="1">
        <f t="array" ref="L262">INDEX(GMW!$A$2:$LR$60,MATCH(1,(GMW!$LQ$2:$LQ$60=L$3)*(GMW!$LP$2:$LP$60=L$4)*(GMW!$LR$2:$LR$60=L$1),0),$C262-1966)</f>
        <v>694726.7</v>
      </c>
      <c r="M262" s="4" cm="1">
        <f t="array" ref="M262">INDEX(GMW!$A$2:$LR$60,MATCH(1,(GMW!$LQ$2:$LQ$60=M$3)*(GMW!$LP$2:$LP$60=M$4)*(GMW!$LR$2:$LR$60=M$1),0),$C262-1966)</f>
        <v>694726.7</v>
      </c>
      <c r="N262" s="4" cm="1">
        <f t="array" ref="N262">INDEX(GMW!$A$2:$LR$60,MATCH(1,(GMW!$LQ$2:$LQ$60=N$3)*(GMW!$LP$2:$LP$60=N$4)*(GMW!$LR$2:$LR$60=N$1),0),$C262-1966)</f>
        <v>697240.8</v>
      </c>
      <c r="O262" s="4" cm="1">
        <f t="array" ref="O262">INDEX(GMW!$A$2:$LR$60,MATCH(1,(GMW!$LQ$2:$LQ$60=O$3)*(GMW!$LP$2:$LP$60=O$4)*(GMW!$LR$2:$LR$60=O$1),0),$C262-1966)</f>
        <v>697686.7</v>
      </c>
      <c r="P262" s="4" cm="1">
        <f t="array" ref="P262">INDEX(GMW!$A$2:$LR$60,MATCH(1,(GMW!$LQ$2:$LQ$60=P$3)*(GMW!$LP$2:$LP$60=P$4)*(GMW!$LR$2:$LR$60=P$1),0),$C262-1966)</f>
        <v>697965.2</v>
      </c>
      <c r="Q262" s="4" cm="1">
        <f t="array" ref="Q262">INDEX(GMW!$A$2:$LR$60,MATCH(1,(GMW!$LQ$2:$LQ$60=Q$3)*(GMW!$LP$2:$LP$60=Q$4)*(GMW!$LR$2:$LR$60=Q$1),0),$C262-1966)</f>
        <v>700148</v>
      </c>
      <c r="R262" s="4" cm="1">
        <f t="array" ref="R262">INDEX(GMW!$A$2:$LR$60,MATCH(1,(GMW!$LQ$2:$LQ$60=R$3)*(GMW!$LP$2:$LP$60=R$4)*(GMW!$LR$2:$LR$60=R$1),0),$C262-1966)</f>
        <v>700542.3</v>
      </c>
      <c r="S262" s="4" cm="1">
        <f t="array" ref="S262">INDEX(GMW!$A$2:$LR$60,MATCH(1,(GMW!$LQ$2:$LQ$60=S$3)*(GMW!$LP$2:$LP$60=S$4)*(GMW!$LR$2:$LR$60=S$1),0),$C262-1966)</f>
        <v>698171.9</v>
      </c>
      <c r="T262" s="4" cm="1">
        <f t="array" ref="T262">INDEX(GMW!$A$2:$LR$60,MATCH(1,(GMW!$LQ$2:$LQ$60=T$3)*(GMW!$LP$2:$LP$60=T$4)*(GMW!$LR$2:$LR$60=T$1),0),$C262-1966)</f>
        <v>698743.3</v>
      </c>
      <c r="U262" s="4" cm="1">
        <f t="array" ref="U262">INDEX(GMW!$A$2:$LR$60,MATCH(1,(GMW!$LQ$2:$LQ$60=U$3)*(GMW!$LP$2:$LP$60=U$4)*(GMW!$LR$2:$LR$60=U$1),0),$C262-1966)</f>
        <v>988.75840000000005</v>
      </c>
      <c r="V262" s="4" cm="1">
        <f t="array" ref="V262">INDEX(GMW!$A$2:$LR$60,MATCH(1,(GMW!$LQ$2:$LQ$60=V$3)*(GMW!$LP$2:$LP$60=V$4)*(GMW!$LR$2:$LR$60=V$1),0),$C262-1966)</f>
        <v>172.90389999999999</v>
      </c>
      <c r="W262" s="4" cm="1">
        <f t="array" ref="W262">INDEX(GMW!$A$2:$LR$60,MATCH(1,(GMW!$LQ$2:$LQ$60=W$3)*(GMW!$LP$2:$LP$60=W$4)*(GMW!$LR$2:$LR$60=W$1),0),$C262-1966)</f>
        <v>167.23660000000001</v>
      </c>
      <c r="X262" s="4" cm="1">
        <f t="array" ref="X262">INDEX(GMW!$A$2:$LR$60,MATCH(1,(GMW!$LQ$2:$LQ$60=X$3)*(GMW!$LP$2:$LP$60=X$4)*(GMW!$LR$2:$LR$60=X$1),0),$C262-1966)</f>
        <v>125.4889</v>
      </c>
      <c r="Y262" s="4" cm="1">
        <f t="array" ref="Y262">INDEX(GMW!$A$2:$LR$60,MATCH(1,(GMW!$LQ$2:$LQ$60=Y$3)*(GMW!$LP$2:$LP$60=Y$4)*(GMW!$LR$2:$LR$60=Y$1),0),$C262-1966)</f>
        <v>214.92160000000001</v>
      </c>
      <c r="Z262" s="4" cm="1">
        <f t="array" ref="Z262">INDEX(GMW!$A$2:$LR$60,MATCH(1,(GMW!$LQ$2:$LQ$60=Z$3)*(GMW!$LP$2:$LP$60=Z$4)*(GMW!$LR$2:$LR$60=Z$1),0),$C262-1966)</f>
        <v>172.98400000000001</v>
      </c>
      <c r="AA262" s="4" cm="1">
        <f t="array" ref="AA262">INDEX(GMW!$A$2:$LR$60,MATCH(1,(GMW!$LQ$2:$LQ$60=AA$3)*(GMW!$LP$2:$LP$60=AA$4)*(GMW!$LR$2:$LR$60=AA$1),0),$C262-1966)</f>
        <v>414945.4</v>
      </c>
      <c r="AB262" s="4" cm="1">
        <f t="array" ref="AB262">INDEX(GMW!$A$2:$LR$60,MATCH(1,(GMW!$LQ$2:$LQ$60=AB$3)*(GMW!$LP$2:$LP$60=AB$4)*(GMW!$LR$2:$LR$60=AB$1),0),$C262-1966)</f>
        <v>137817</v>
      </c>
      <c r="AC262" s="4" cm="1">
        <f t="array" ref="AC262">INDEX(GMW!$A$2:$LR$60,MATCH(1,(GMW!$LQ$2:$LQ$60=AC$3)*(GMW!$LP$2:$LP$60=AC$4)*(GMW!$LR$2:$LR$60=AC$1),0),$C262-1966)</f>
        <v>145274.79999999999</v>
      </c>
      <c r="AD262" s="4" cm="1">
        <f t="array" ref="AD262">INDEX(GMW!$A$2:$LR$60,MATCH(1,(GMW!$LQ$2:$LQ$60=AD$3)*(GMW!$LP$2:$LP$60=AD$4)*(GMW!$LR$2:$LR$60=AD$1),0),$C262-1966)</f>
        <v>221532.79999999999</v>
      </c>
      <c r="AE262" s="4" cm="1">
        <f t="array" ref="AE262">INDEX(GMW!$A$2:$LR$60,MATCH(1,(GMW!$LQ$2:$LQ$60=AE$3)*(GMW!$LP$2:$LP$60=AE$4)*(GMW!$LR$2:$LR$60=AE$1),0),$C262-1966)</f>
        <v>242768.9</v>
      </c>
      <c r="AF262" s="4" cm="1">
        <f t="array" ref="AF262">INDEX(GMW!$A$2:$LR$60,MATCH(1,(GMW!$LQ$2:$LQ$60=AF$3)*(GMW!$LP$2:$LP$60=AF$4)*(GMW!$LR$2:$LR$60=AF$1),0),$C262-1966)</f>
        <v>2.1064639999999999</v>
      </c>
      <c r="AG262" s="4" cm="1">
        <f t="array" ref="AG262">INDEX(GMW!$A$2:$LR$60,MATCH(1,(GMW!$LQ$2:$LQ$60=AG$3)*(GMW!$LP$2:$LP$60=AG$4)*(GMW!$LR$2:$LR$60=AG$1),0),$C262-1966)</f>
        <v>2.4334739999999999</v>
      </c>
    </row>
    <row r="263" spans="1:33" x14ac:dyDescent="0.25">
      <c r="A263" s="4">
        <v>2037</v>
      </c>
      <c r="B263" s="4">
        <f t="shared" si="7"/>
        <v>2037</v>
      </c>
      <c r="C263" s="4">
        <f t="shared" si="8"/>
        <v>2229</v>
      </c>
      <c r="D263" s="4" cm="1">
        <f t="array" ref="D263">INDEX(GMW!$A$2:$LR$60,MATCH(1,(GMW!$LQ$2:$LQ$60=D$3)*(GMW!$LP$2:$LP$60=D$4)*(GMW!$LR$2:$LR$60=D$1),0),$C263-1966)</f>
        <v>700111.9</v>
      </c>
      <c r="E263" s="4" cm="1">
        <f t="array" ref="E263">INDEX(GMW!$A$2:$LR$60,MATCH(1,(GMW!$LQ$2:$LQ$60=E$3)*(GMW!$LP$2:$LP$60=E$4)*(GMW!$LR$2:$LR$60=E$1),0),$C263-1966)</f>
        <v>691158.1</v>
      </c>
      <c r="F263" s="4" cm="1">
        <f t="array" ref="F263">INDEX(GMW!$A$2:$LR$60,MATCH(1,(GMW!$LQ$2:$LQ$60=F$3)*(GMW!$LP$2:$LP$60=F$4)*(GMW!$LR$2:$LR$60=F$1),0),$C263-1966)</f>
        <v>691430.1</v>
      </c>
      <c r="G263" s="4" cm="1">
        <f t="array" ref="G263">INDEX(GMW!$A$2:$LR$60,MATCH(1,(GMW!$LQ$2:$LQ$60=G$3)*(GMW!$LP$2:$LP$60=G$4)*(GMW!$LR$2:$LR$60=G$1),0),$C263-1966)</f>
        <v>691430.1</v>
      </c>
      <c r="H263" s="4" cm="1">
        <f t="array" ref="H263">INDEX(GMW!$A$2:$LR$60,MATCH(1,(GMW!$LQ$2:$LQ$60=H$3)*(GMW!$LP$2:$LP$60=H$4)*(GMW!$LR$2:$LR$60=H$1),0),$C263-1966)</f>
        <v>696489.8</v>
      </c>
      <c r="I263" s="4" cm="1">
        <f t="array" ref="I263">INDEX(GMW!$A$2:$LR$60,MATCH(1,(GMW!$LQ$2:$LQ$60=I$3)*(GMW!$LP$2:$LP$60=I$4)*(GMW!$LR$2:$LR$60=I$1),0),$C263-1966)</f>
        <v>697437.4</v>
      </c>
      <c r="J263" s="4" cm="1">
        <f t="array" ref="J263">INDEX(GMW!$A$2:$LR$60,MATCH(1,(GMW!$LQ$2:$LQ$60=J$3)*(GMW!$LP$2:$LP$60=J$4)*(GMW!$LR$2:$LR$60=J$1),0),$C263-1966)</f>
        <v>697411.1</v>
      </c>
      <c r="K263" s="4" cm="1">
        <f t="array" ref="K263">INDEX(GMW!$A$2:$LR$60,MATCH(1,(GMW!$LQ$2:$LQ$60=K$3)*(GMW!$LP$2:$LP$60=K$4)*(GMW!$LR$2:$LR$60=K$1),0),$C263-1966)</f>
        <v>697285.6</v>
      </c>
      <c r="L263" s="4" cm="1">
        <f t="array" ref="L263">INDEX(GMW!$A$2:$LR$60,MATCH(1,(GMW!$LQ$2:$LQ$60=L$3)*(GMW!$LP$2:$LP$60=L$4)*(GMW!$LR$2:$LR$60=L$1),0),$C263-1966)</f>
        <v>697312.9</v>
      </c>
      <c r="M263" s="4" cm="1">
        <f t="array" ref="M263">INDEX(GMW!$A$2:$LR$60,MATCH(1,(GMW!$LQ$2:$LQ$60=M$3)*(GMW!$LP$2:$LP$60=M$4)*(GMW!$LR$2:$LR$60=M$1),0),$C263-1966)</f>
        <v>697312.9</v>
      </c>
      <c r="N263" s="4" cm="1">
        <f t="array" ref="N263">INDEX(GMW!$A$2:$LR$60,MATCH(1,(GMW!$LQ$2:$LQ$60=N$3)*(GMW!$LP$2:$LP$60=N$4)*(GMW!$LR$2:$LR$60=N$1),0),$C263-1966)</f>
        <v>699860.8</v>
      </c>
      <c r="O263" s="4" cm="1">
        <f t="array" ref="O263">INDEX(GMW!$A$2:$LR$60,MATCH(1,(GMW!$LQ$2:$LQ$60=O$3)*(GMW!$LP$2:$LP$60=O$4)*(GMW!$LR$2:$LR$60=O$1),0),$C263-1966)</f>
        <v>700332.5</v>
      </c>
      <c r="P263" s="4" cm="1">
        <f t="array" ref="P263">INDEX(GMW!$A$2:$LR$60,MATCH(1,(GMW!$LQ$2:$LQ$60=P$3)*(GMW!$LP$2:$LP$60=P$4)*(GMW!$LR$2:$LR$60=P$1),0),$C263-1966)</f>
        <v>700610.3</v>
      </c>
      <c r="Q263" s="4" cm="1">
        <f t="array" ref="Q263">INDEX(GMW!$A$2:$LR$60,MATCH(1,(GMW!$LQ$2:$LQ$60=Q$3)*(GMW!$LP$2:$LP$60=Q$4)*(GMW!$LR$2:$LR$60=Q$1),0),$C263-1966)</f>
        <v>702841.2</v>
      </c>
      <c r="R263" s="4" cm="1">
        <f t="array" ref="R263">INDEX(GMW!$A$2:$LR$60,MATCH(1,(GMW!$LQ$2:$LQ$60=R$3)*(GMW!$LP$2:$LP$60=R$4)*(GMW!$LR$2:$LR$60=R$1),0),$C263-1966)</f>
        <v>703262.8</v>
      </c>
      <c r="S263" s="4" cm="1">
        <f t="array" ref="S263">INDEX(GMW!$A$2:$LR$60,MATCH(1,(GMW!$LQ$2:$LQ$60=S$3)*(GMW!$LP$2:$LP$60=S$4)*(GMW!$LR$2:$LR$60=S$1),0),$C263-1966)</f>
        <v>700876.9</v>
      </c>
      <c r="T263" s="4" cm="1">
        <f t="array" ref="T263">INDEX(GMW!$A$2:$LR$60,MATCH(1,(GMW!$LQ$2:$LQ$60=T$3)*(GMW!$LP$2:$LP$60=T$4)*(GMW!$LR$2:$LR$60=T$1),0),$C263-1966)</f>
        <v>701441.8</v>
      </c>
      <c r="U263" s="4" cm="1">
        <f t="array" ref="U263">INDEX(GMW!$A$2:$LR$60,MATCH(1,(GMW!$LQ$2:$LQ$60=U$3)*(GMW!$LP$2:$LP$60=U$4)*(GMW!$LR$2:$LR$60=U$1),0),$C263-1966)</f>
        <v>996.46579999999994</v>
      </c>
      <c r="V263" s="4" cm="1">
        <f t="array" ref="V263">INDEX(GMW!$A$2:$LR$60,MATCH(1,(GMW!$LQ$2:$LQ$60=V$3)*(GMW!$LP$2:$LP$60=V$4)*(GMW!$LR$2:$LR$60=V$1),0),$C263-1966)</f>
        <v>173.1747</v>
      </c>
      <c r="W263" s="4" cm="1">
        <f t="array" ref="W263">INDEX(GMW!$A$2:$LR$60,MATCH(1,(GMW!$LQ$2:$LQ$60=W$3)*(GMW!$LP$2:$LP$60=W$4)*(GMW!$LR$2:$LR$60=W$1),0),$C263-1966)</f>
        <v>168.77619999999999</v>
      </c>
      <c r="X263" s="4" cm="1">
        <f t="array" ref="X263">INDEX(GMW!$A$2:$LR$60,MATCH(1,(GMW!$LQ$2:$LQ$60=X$3)*(GMW!$LP$2:$LP$60=X$4)*(GMW!$LR$2:$LR$60=X$1),0),$C263-1966)</f>
        <v>125.5277</v>
      </c>
      <c r="Y263" s="4" cm="1">
        <f t="array" ref="Y263">INDEX(GMW!$A$2:$LR$60,MATCH(1,(GMW!$LQ$2:$LQ$60=Y$3)*(GMW!$LP$2:$LP$60=Y$4)*(GMW!$LR$2:$LR$60=Y$1),0),$C263-1966)</f>
        <v>216.73140000000001</v>
      </c>
      <c r="Z263" s="4" cm="1">
        <f t="array" ref="Z263">INDEX(GMW!$A$2:$LR$60,MATCH(1,(GMW!$LQ$2:$LQ$60=Z$3)*(GMW!$LP$2:$LP$60=Z$4)*(GMW!$LR$2:$LR$60=Z$1),0),$C263-1966)</f>
        <v>172.9417</v>
      </c>
      <c r="AA263" s="4" cm="1">
        <f t="array" ref="AA263">INDEX(GMW!$A$2:$LR$60,MATCH(1,(GMW!$LQ$2:$LQ$60=AA$3)*(GMW!$LP$2:$LP$60=AA$4)*(GMW!$LR$2:$LR$60=AA$1),0),$C263-1966)</f>
        <v>416527.8</v>
      </c>
      <c r="AB263" s="4" cm="1">
        <f t="array" ref="AB263">INDEX(GMW!$A$2:$LR$60,MATCH(1,(GMW!$LQ$2:$LQ$60=AB$3)*(GMW!$LP$2:$LP$60=AB$4)*(GMW!$LR$2:$LR$60=AB$1),0),$C263-1966)</f>
        <v>138583.79999999999</v>
      </c>
      <c r="AC263" s="4" cm="1">
        <f t="array" ref="AC263">INDEX(GMW!$A$2:$LR$60,MATCH(1,(GMW!$LQ$2:$LQ$60=AC$3)*(GMW!$LP$2:$LP$60=AC$4)*(GMW!$LR$2:$LR$60=AC$1),0),$C263-1966)</f>
        <v>145827.4</v>
      </c>
      <c r="AD263" s="4" cm="1">
        <f t="array" ref="AD263">INDEX(GMW!$A$2:$LR$60,MATCH(1,(GMW!$LQ$2:$LQ$60=AD$3)*(GMW!$LP$2:$LP$60=AD$4)*(GMW!$LR$2:$LR$60=AD$1),0),$C263-1966)</f>
        <v>222566.8</v>
      </c>
      <c r="AE263" s="4" cm="1">
        <f t="array" ref="AE263">INDEX(GMW!$A$2:$LR$60,MATCH(1,(GMW!$LQ$2:$LQ$60=AE$3)*(GMW!$LP$2:$LP$60=AE$4)*(GMW!$LR$2:$LR$60=AE$1),0),$C263-1966)</f>
        <v>244067.6</v>
      </c>
      <c r="AF263" s="4" cm="1">
        <f t="array" ref="AF263">INDEX(GMW!$A$2:$LR$60,MATCH(1,(GMW!$LQ$2:$LQ$60=AF$3)*(GMW!$LP$2:$LP$60=AF$4)*(GMW!$LR$2:$LR$60=AF$1),0),$C263-1966)</f>
        <v>2.1064639999999999</v>
      </c>
      <c r="AG263" s="4" cm="1">
        <f t="array" ref="AG263">INDEX(GMW!$A$2:$LR$60,MATCH(1,(GMW!$LQ$2:$LQ$60=AG$3)*(GMW!$LP$2:$LP$60=AG$4)*(GMW!$LR$2:$LR$60=AG$1),0),$C263-1966)</f>
        <v>2.4334739999999999</v>
      </c>
    </row>
    <row r="264" spans="1:33" x14ac:dyDescent="0.25">
      <c r="B264" s="4">
        <f t="shared" si="7"/>
        <v>2037</v>
      </c>
      <c r="C264" s="4">
        <f t="shared" si="8"/>
        <v>2230</v>
      </c>
      <c r="D264" s="4" cm="1">
        <f t="array" ref="D264">INDEX(GMW!$A$2:$LR$60,MATCH(1,(GMW!$LQ$2:$LQ$60=D$3)*(GMW!$LP$2:$LP$60=D$4)*(GMW!$LR$2:$LR$60=D$1),0),$C264-1966)</f>
        <v>702818.7</v>
      </c>
      <c r="E264" s="4" cm="1">
        <f t="array" ref="E264">INDEX(GMW!$A$2:$LR$60,MATCH(1,(GMW!$LQ$2:$LQ$60=E$3)*(GMW!$LP$2:$LP$60=E$4)*(GMW!$LR$2:$LR$60=E$1),0),$C264-1966)</f>
        <v>693804.2</v>
      </c>
      <c r="F264" s="4" cm="1">
        <f t="array" ref="F264">INDEX(GMW!$A$2:$LR$60,MATCH(1,(GMW!$LQ$2:$LQ$60=F$3)*(GMW!$LP$2:$LP$60=F$4)*(GMW!$LR$2:$LR$60=F$1),0),$C264-1966)</f>
        <v>694076.9</v>
      </c>
      <c r="G264" s="4" cm="1">
        <f t="array" ref="G264">INDEX(GMW!$A$2:$LR$60,MATCH(1,(GMW!$LQ$2:$LQ$60=G$3)*(GMW!$LP$2:$LP$60=G$4)*(GMW!$LR$2:$LR$60=G$1),0),$C264-1966)</f>
        <v>694076.9</v>
      </c>
      <c r="H264" s="4" cm="1">
        <f t="array" ref="H264">INDEX(GMW!$A$2:$LR$60,MATCH(1,(GMW!$LQ$2:$LQ$60=H$3)*(GMW!$LP$2:$LP$60=H$4)*(GMW!$LR$2:$LR$60=H$1),0),$C264-1966)</f>
        <v>699083.3</v>
      </c>
      <c r="I264" s="4" cm="1">
        <f t="array" ref="I264">INDEX(GMW!$A$2:$LR$60,MATCH(1,(GMW!$LQ$2:$LQ$60=I$3)*(GMW!$LP$2:$LP$60=I$4)*(GMW!$LR$2:$LR$60=I$1),0),$C264-1966)</f>
        <v>700034.1</v>
      </c>
      <c r="J264" s="4" cm="1">
        <f t="array" ref="J264">INDEX(GMW!$A$2:$LR$60,MATCH(1,(GMW!$LQ$2:$LQ$60=J$3)*(GMW!$LP$2:$LP$60=J$4)*(GMW!$LR$2:$LR$60=J$1),0),$C264-1966)</f>
        <v>700007.5</v>
      </c>
      <c r="K264" s="4" cm="1">
        <f t="array" ref="K264">INDEX(GMW!$A$2:$LR$60,MATCH(1,(GMW!$LQ$2:$LQ$60=K$3)*(GMW!$LP$2:$LP$60=K$4)*(GMW!$LR$2:$LR$60=K$1),0),$C264-1966)</f>
        <v>699883.7</v>
      </c>
      <c r="L264" s="4" cm="1">
        <f t="array" ref="L264">INDEX(GMW!$A$2:$LR$60,MATCH(1,(GMW!$LQ$2:$LQ$60=L$3)*(GMW!$LP$2:$LP$60=L$4)*(GMW!$LR$2:$LR$60=L$1),0),$C264-1966)</f>
        <v>699911.6</v>
      </c>
      <c r="M264" s="4" cm="1">
        <f t="array" ref="M264">INDEX(GMW!$A$2:$LR$60,MATCH(1,(GMW!$LQ$2:$LQ$60=M$3)*(GMW!$LP$2:$LP$60=M$4)*(GMW!$LR$2:$LR$60=M$1),0),$C264-1966)</f>
        <v>699911.6</v>
      </c>
      <c r="N264" s="4" cm="1">
        <f t="array" ref="N264">INDEX(GMW!$A$2:$LR$60,MATCH(1,(GMW!$LQ$2:$LQ$60=N$3)*(GMW!$LP$2:$LP$60=N$4)*(GMW!$LR$2:$LR$60=N$1),0),$C264-1966)</f>
        <v>702494</v>
      </c>
      <c r="O264" s="4" cm="1">
        <f t="array" ref="O264">INDEX(GMW!$A$2:$LR$60,MATCH(1,(GMW!$LQ$2:$LQ$60=O$3)*(GMW!$LP$2:$LP$60=O$4)*(GMW!$LR$2:$LR$60=O$1),0),$C264-1966)</f>
        <v>702992</v>
      </c>
      <c r="P264" s="4" cm="1">
        <f t="array" ref="P264">INDEX(GMW!$A$2:$LR$60,MATCH(1,(GMW!$LQ$2:$LQ$60=P$3)*(GMW!$LP$2:$LP$60=P$4)*(GMW!$LR$2:$LR$60=P$1),0),$C264-1966)</f>
        <v>703269.1</v>
      </c>
      <c r="Q264" s="4" cm="1">
        <f t="array" ref="Q264">INDEX(GMW!$A$2:$LR$60,MATCH(1,(GMW!$LQ$2:$LQ$60=Q$3)*(GMW!$LP$2:$LP$60=Q$4)*(GMW!$LR$2:$LR$60=Q$1),0),$C264-1966)</f>
        <v>705546.4</v>
      </c>
      <c r="R264" s="4" cm="1">
        <f t="array" ref="R264">INDEX(GMW!$A$2:$LR$60,MATCH(1,(GMW!$LQ$2:$LQ$60=R$3)*(GMW!$LP$2:$LP$60=R$4)*(GMW!$LR$2:$LR$60=R$1),0),$C264-1966)</f>
        <v>705995.4</v>
      </c>
      <c r="S264" s="4" cm="1">
        <f t="array" ref="S264">INDEX(GMW!$A$2:$LR$60,MATCH(1,(GMW!$LQ$2:$LQ$60=S$3)*(GMW!$LP$2:$LP$60=S$4)*(GMW!$LR$2:$LR$60=S$1),0),$C264-1966)</f>
        <v>703594.3</v>
      </c>
      <c r="T264" s="4" cm="1">
        <f t="array" ref="T264">INDEX(GMW!$A$2:$LR$60,MATCH(1,(GMW!$LQ$2:$LQ$60=T$3)*(GMW!$LP$2:$LP$60=T$4)*(GMW!$LR$2:$LR$60=T$1),0),$C264-1966)</f>
        <v>704152.6</v>
      </c>
      <c r="U264" s="4" cm="1">
        <f t="array" ref="U264">INDEX(GMW!$A$2:$LR$60,MATCH(1,(GMW!$LQ$2:$LQ$60=U$3)*(GMW!$LP$2:$LP$60=U$4)*(GMW!$LR$2:$LR$60=U$1),0),$C264-1966)</f>
        <v>1004.237</v>
      </c>
      <c r="V264" s="4" cm="1">
        <f t="array" ref="V264">INDEX(GMW!$A$2:$LR$60,MATCH(1,(GMW!$LQ$2:$LQ$60=V$3)*(GMW!$LP$2:$LP$60=V$4)*(GMW!$LR$2:$LR$60=V$1),0),$C264-1966)</f>
        <v>174.68729999999999</v>
      </c>
      <c r="W264" s="4" cm="1">
        <f t="array" ref="W264">INDEX(GMW!$A$2:$LR$60,MATCH(1,(GMW!$LQ$2:$LQ$60=W$3)*(GMW!$LP$2:$LP$60=W$4)*(GMW!$LR$2:$LR$60=W$1),0),$C264-1966)</f>
        <v>169.18129999999999</v>
      </c>
      <c r="X264" s="4" cm="1">
        <f t="array" ref="X264">INDEX(GMW!$A$2:$LR$60,MATCH(1,(GMW!$LQ$2:$LQ$60=X$3)*(GMW!$LP$2:$LP$60=X$4)*(GMW!$LR$2:$LR$60=X$1),0),$C264-1966)</f>
        <v>125.5782</v>
      </c>
      <c r="Y264" s="4" cm="1">
        <f t="array" ref="Y264">INDEX(GMW!$A$2:$LR$60,MATCH(1,(GMW!$LQ$2:$LQ$60=Y$3)*(GMW!$LP$2:$LP$60=Y$4)*(GMW!$LR$2:$LR$60=Y$1),0),$C264-1966)</f>
        <v>218.57660000000001</v>
      </c>
      <c r="Z264" s="4" cm="1">
        <f t="array" ref="Z264">INDEX(GMW!$A$2:$LR$60,MATCH(1,(GMW!$LQ$2:$LQ$60=Z$3)*(GMW!$LP$2:$LP$60=Z$4)*(GMW!$LR$2:$LR$60=Z$1),0),$C264-1966)</f>
        <v>174.72659999999999</v>
      </c>
      <c r="AA264" s="4" cm="1">
        <f t="array" ref="AA264">INDEX(GMW!$A$2:$LR$60,MATCH(1,(GMW!$LQ$2:$LQ$60=AA$3)*(GMW!$LP$2:$LP$60=AA$4)*(GMW!$LR$2:$LR$60=AA$1),0),$C264-1966)</f>
        <v>418117.3</v>
      </c>
      <c r="AB264" s="4" cm="1">
        <f t="array" ref="AB264">INDEX(GMW!$A$2:$LR$60,MATCH(1,(GMW!$LQ$2:$LQ$60=AB$3)*(GMW!$LP$2:$LP$60=AB$4)*(GMW!$LR$2:$LR$60=AB$1),0),$C264-1966)</f>
        <v>139355.4</v>
      </c>
      <c r="AC264" s="4" cm="1">
        <f t="array" ref="AC264">INDEX(GMW!$A$2:$LR$60,MATCH(1,(GMW!$LQ$2:$LQ$60=AC$3)*(GMW!$LP$2:$LP$60=AC$4)*(GMW!$LR$2:$LR$60=AC$1),0),$C264-1966)</f>
        <v>146382.39999999999</v>
      </c>
      <c r="AD264" s="4" cm="1">
        <f t="array" ref="AD264">INDEX(GMW!$A$2:$LR$60,MATCH(1,(GMW!$LQ$2:$LQ$60=AD$3)*(GMW!$LP$2:$LP$60=AD$4)*(GMW!$LR$2:$LR$60=AD$1),0),$C264-1966)</f>
        <v>223606.6</v>
      </c>
      <c r="AE264" s="4" cm="1">
        <f t="array" ref="AE264">INDEX(GMW!$A$2:$LR$60,MATCH(1,(GMW!$LQ$2:$LQ$60=AE$3)*(GMW!$LP$2:$LP$60=AE$4)*(GMW!$LR$2:$LR$60=AE$1),0),$C264-1966)</f>
        <v>245374.3</v>
      </c>
      <c r="AF264" s="4" cm="1">
        <f t="array" ref="AF264">INDEX(GMW!$A$2:$LR$60,MATCH(1,(GMW!$LQ$2:$LQ$60=AF$3)*(GMW!$LP$2:$LP$60=AF$4)*(GMW!$LR$2:$LR$60=AF$1),0),$C264-1966)</f>
        <v>2.1064639999999999</v>
      </c>
      <c r="AG264" s="4" cm="1">
        <f t="array" ref="AG264">INDEX(GMW!$A$2:$LR$60,MATCH(1,(GMW!$LQ$2:$LQ$60=AG$3)*(GMW!$LP$2:$LP$60=AG$4)*(GMW!$LR$2:$LR$60=AG$1),0),$C264-1966)</f>
        <v>2.4334739999999999</v>
      </c>
    </row>
    <row r="265" spans="1:33" x14ac:dyDescent="0.25">
      <c r="B265" s="4">
        <f t="shared" si="7"/>
        <v>2037</v>
      </c>
      <c r="C265" s="4">
        <f t="shared" si="8"/>
        <v>2231</v>
      </c>
      <c r="D265" s="4" cm="1">
        <f t="array" ref="D265">INDEX(GMW!$A$2:$LR$60,MATCH(1,(GMW!$LQ$2:$LQ$60=D$3)*(GMW!$LP$2:$LP$60=D$4)*(GMW!$LR$2:$LR$60=D$1),0),$C265-1966)</f>
        <v>705538.3</v>
      </c>
      <c r="E265" s="4" cm="1">
        <f t="array" ref="E265">INDEX(GMW!$A$2:$LR$60,MATCH(1,(GMW!$LQ$2:$LQ$60=E$3)*(GMW!$LP$2:$LP$60=E$4)*(GMW!$LR$2:$LR$60=E$1),0),$C265-1966)</f>
        <v>696464.1</v>
      </c>
      <c r="F265" s="4" cm="1">
        <f t="array" ref="F265">INDEX(GMW!$A$2:$LR$60,MATCH(1,(GMW!$LQ$2:$LQ$60=F$3)*(GMW!$LP$2:$LP$60=F$4)*(GMW!$LR$2:$LR$60=F$1),0),$C265-1966)</f>
        <v>696737.6</v>
      </c>
      <c r="G265" s="4" cm="1">
        <f t="array" ref="G265">INDEX(GMW!$A$2:$LR$60,MATCH(1,(GMW!$LQ$2:$LQ$60=G$3)*(GMW!$LP$2:$LP$60=G$4)*(GMW!$LR$2:$LR$60=G$1),0),$C265-1966)</f>
        <v>696737.6</v>
      </c>
      <c r="H265" s="4" cm="1">
        <f t="array" ref="H265">INDEX(GMW!$A$2:$LR$60,MATCH(1,(GMW!$LQ$2:$LQ$60=H$3)*(GMW!$LP$2:$LP$60=H$4)*(GMW!$LR$2:$LR$60=H$1),0),$C265-1966)</f>
        <v>701690.1</v>
      </c>
      <c r="I265" s="4" cm="1">
        <f t="array" ref="I265">INDEX(GMW!$A$2:$LR$60,MATCH(1,(GMW!$LQ$2:$LQ$60=I$3)*(GMW!$LP$2:$LP$60=I$4)*(GMW!$LR$2:$LR$60=I$1),0),$C265-1966)</f>
        <v>702643.5</v>
      </c>
      <c r="J265" s="4" cm="1">
        <f t="array" ref="J265">INDEX(GMW!$A$2:$LR$60,MATCH(1,(GMW!$LQ$2:$LQ$60=J$3)*(GMW!$LP$2:$LP$60=J$4)*(GMW!$LR$2:$LR$60=J$1),0),$C265-1966)</f>
        <v>702616.6</v>
      </c>
      <c r="K265" s="4" cm="1">
        <f t="array" ref="K265">INDEX(GMW!$A$2:$LR$60,MATCH(1,(GMW!$LQ$2:$LQ$60=K$3)*(GMW!$LP$2:$LP$60=K$4)*(GMW!$LR$2:$LR$60=K$1),0),$C265-1966)</f>
        <v>702494.8</v>
      </c>
      <c r="L265" s="4" cm="1">
        <f t="array" ref="L265">INDEX(GMW!$A$2:$LR$60,MATCH(1,(GMW!$LQ$2:$LQ$60=L$3)*(GMW!$LP$2:$LP$60=L$4)*(GMW!$LR$2:$LR$60=L$1),0),$C265-1966)</f>
        <v>702523.1</v>
      </c>
      <c r="M265" s="4" cm="1">
        <f t="array" ref="M265">INDEX(GMW!$A$2:$LR$60,MATCH(1,(GMW!$LQ$2:$LQ$60=M$3)*(GMW!$LP$2:$LP$60=M$4)*(GMW!$LR$2:$LR$60=M$1),0),$C265-1966)</f>
        <v>702523.1</v>
      </c>
      <c r="N265" s="4" cm="1">
        <f t="array" ref="N265">INDEX(GMW!$A$2:$LR$60,MATCH(1,(GMW!$LQ$2:$LQ$60=N$3)*(GMW!$LP$2:$LP$60=N$4)*(GMW!$LR$2:$LR$60=N$1),0),$C265-1966)</f>
        <v>705140.8</v>
      </c>
      <c r="O265" s="4" cm="1">
        <f t="array" ref="O265">INDEX(GMW!$A$2:$LR$60,MATCH(1,(GMW!$LQ$2:$LQ$60=O$3)*(GMW!$LP$2:$LP$60=O$4)*(GMW!$LR$2:$LR$60=O$1),0),$C265-1966)</f>
        <v>705665.4</v>
      </c>
      <c r="P265" s="4" cm="1">
        <f t="array" ref="P265">INDEX(GMW!$A$2:$LR$60,MATCH(1,(GMW!$LQ$2:$LQ$60=P$3)*(GMW!$LP$2:$LP$60=P$4)*(GMW!$LR$2:$LR$60=P$1),0),$C265-1966)</f>
        <v>705941.9</v>
      </c>
      <c r="Q265" s="4" cm="1">
        <f t="array" ref="Q265">INDEX(GMW!$A$2:$LR$60,MATCH(1,(GMW!$LQ$2:$LQ$60=Q$3)*(GMW!$LP$2:$LP$60=Q$4)*(GMW!$LR$2:$LR$60=Q$1),0),$C265-1966)</f>
        <v>708263.8</v>
      </c>
      <c r="R265" s="4" cm="1">
        <f t="array" ref="R265">INDEX(GMW!$A$2:$LR$60,MATCH(1,(GMW!$LQ$2:$LQ$60=R$3)*(GMW!$LP$2:$LP$60=R$4)*(GMW!$LR$2:$LR$60=R$1),0),$C265-1966)</f>
        <v>708740.8</v>
      </c>
      <c r="S265" s="4" cm="1">
        <f t="array" ref="S265">INDEX(GMW!$A$2:$LR$60,MATCH(1,(GMW!$LQ$2:$LQ$60=S$3)*(GMW!$LP$2:$LP$60=S$4)*(GMW!$LR$2:$LR$60=S$1),0),$C265-1966)</f>
        <v>706324.3</v>
      </c>
      <c r="T265" s="4" cm="1">
        <f t="array" ref="T265">INDEX(GMW!$A$2:$LR$60,MATCH(1,(GMW!$LQ$2:$LQ$60=T$3)*(GMW!$LP$2:$LP$60=T$4)*(GMW!$LR$2:$LR$60=T$1),0),$C265-1966)</f>
        <v>706876.1</v>
      </c>
      <c r="U265" s="4" cm="1">
        <f t="array" ref="U265">INDEX(GMW!$A$2:$LR$60,MATCH(1,(GMW!$LQ$2:$LQ$60=U$3)*(GMW!$LP$2:$LP$60=U$4)*(GMW!$LR$2:$LR$60=U$1),0),$C265-1966)</f>
        <v>1012.073</v>
      </c>
      <c r="V265" s="4" cm="1">
        <f t="array" ref="V265">INDEX(GMW!$A$2:$LR$60,MATCH(1,(GMW!$LQ$2:$LQ$60=V$3)*(GMW!$LP$2:$LP$60=V$4)*(GMW!$LR$2:$LR$60=V$1),0),$C265-1966)</f>
        <v>175.51560000000001</v>
      </c>
      <c r="W265" s="4" cm="1">
        <f t="array" ref="W265">INDEX(GMW!$A$2:$LR$60,MATCH(1,(GMW!$LQ$2:$LQ$60=W$3)*(GMW!$LP$2:$LP$60=W$4)*(GMW!$LR$2:$LR$60=W$1),0),$C265-1966)</f>
        <v>168.9734</v>
      </c>
      <c r="X265" s="4" cm="1">
        <f t="array" ref="X265">INDEX(GMW!$A$2:$LR$60,MATCH(1,(GMW!$LQ$2:$LQ$60=X$3)*(GMW!$LP$2:$LP$60=X$4)*(GMW!$LR$2:$LR$60=X$1),0),$C265-1966)</f>
        <v>125.6288</v>
      </c>
      <c r="Y265" s="4" cm="1">
        <f t="array" ref="Y265">INDEX(GMW!$A$2:$LR$60,MATCH(1,(GMW!$LQ$2:$LQ$60=Y$3)*(GMW!$LP$2:$LP$60=Y$4)*(GMW!$LR$2:$LR$60=Y$1),0),$C265-1966)</f>
        <v>220.4727</v>
      </c>
      <c r="Z265" s="4" cm="1">
        <f t="array" ref="Z265">INDEX(GMW!$A$2:$LR$60,MATCH(1,(GMW!$LQ$2:$LQ$60=Z$3)*(GMW!$LP$2:$LP$60=Z$4)*(GMW!$LR$2:$LR$60=Z$1),0),$C265-1966)</f>
        <v>175.75380000000001</v>
      </c>
      <c r="AA265" s="4" cm="1">
        <f t="array" ref="AA265">INDEX(GMW!$A$2:$LR$60,MATCH(1,(GMW!$LQ$2:$LQ$60=AA$3)*(GMW!$LP$2:$LP$60=AA$4)*(GMW!$LR$2:$LR$60=AA$1),0),$C265-1966)</f>
        <v>419714.3</v>
      </c>
      <c r="AB265" s="4" cm="1">
        <f t="array" ref="AB265">INDEX(GMW!$A$2:$LR$60,MATCH(1,(GMW!$LQ$2:$LQ$60=AB$3)*(GMW!$LP$2:$LP$60=AB$4)*(GMW!$LR$2:$LR$60=AB$1),0),$C265-1966)</f>
        <v>140132</v>
      </c>
      <c r="AC265" s="4" cm="1">
        <f t="array" ref="AC265">INDEX(GMW!$A$2:$LR$60,MATCH(1,(GMW!$LQ$2:$LQ$60=AC$3)*(GMW!$LP$2:$LP$60=AC$4)*(GMW!$LR$2:$LR$60=AC$1),0),$C265-1966)</f>
        <v>146940.1</v>
      </c>
      <c r="AD265" s="4" cm="1">
        <f t="array" ref="AD265">INDEX(GMW!$A$2:$LR$60,MATCH(1,(GMW!$LQ$2:$LQ$60=AD$3)*(GMW!$LP$2:$LP$60=AD$4)*(GMW!$LR$2:$LR$60=AD$1),0),$C265-1966)</f>
        <v>224652.5</v>
      </c>
      <c r="AE265" s="4" cm="1">
        <f t="array" ref="AE265">INDEX(GMW!$A$2:$LR$60,MATCH(1,(GMW!$LQ$2:$LQ$60=AE$3)*(GMW!$LP$2:$LP$60=AE$4)*(GMW!$LR$2:$LR$60=AE$1),0),$C265-1966)</f>
        <v>246688.9</v>
      </c>
      <c r="AF265" s="4" cm="1">
        <f t="array" ref="AF265">INDEX(GMW!$A$2:$LR$60,MATCH(1,(GMW!$LQ$2:$LQ$60=AF$3)*(GMW!$LP$2:$LP$60=AF$4)*(GMW!$LR$2:$LR$60=AF$1),0),$C265-1966)</f>
        <v>2.1064639999999999</v>
      </c>
      <c r="AG265" s="4" cm="1">
        <f t="array" ref="AG265">INDEX(GMW!$A$2:$LR$60,MATCH(1,(GMW!$LQ$2:$LQ$60=AG$3)*(GMW!$LP$2:$LP$60=AG$4)*(GMW!$LR$2:$LR$60=AG$1),0),$C265-1966)</f>
        <v>2.4334739999999999</v>
      </c>
    </row>
    <row r="266" spans="1:33" x14ac:dyDescent="0.25">
      <c r="B266" s="4">
        <f t="shared" si="7"/>
        <v>2037</v>
      </c>
      <c r="C266" s="4">
        <f t="shared" si="8"/>
        <v>2232</v>
      </c>
      <c r="D266" s="4" cm="1">
        <f t="array" ref="D266">INDEX(GMW!$A$2:$LR$60,MATCH(1,(GMW!$LQ$2:$LQ$60=D$3)*(GMW!$LP$2:$LP$60=D$4)*(GMW!$LR$2:$LR$60=D$1),0),$C266-1966)</f>
        <v>708270.7</v>
      </c>
      <c r="E266" s="4" cm="1">
        <f t="array" ref="E266">INDEX(GMW!$A$2:$LR$60,MATCH(1,(GMW!$LQ$2:$LQ$60=E$3)*(GMW!$LP$2:$LP$60=E$4)*(GMW!$LR$2:$LR$60=E$1),0),$C266-1966)</f>
        <v>699137.9</v>
      </c>
      <c r="F266" s="4" cm="1">
        <f t="array" ref="F266">INDEX(GMW!$A$2:$LR$60,MATCH(1,(GMW!$LQ$2:$LQ$60=F$3)*(GMW!$LP$2:$LP$60=F$4)*(GMW!$LR$2:$LR$60=F$1),0),$C266-1966)</f>
        <v>699412.1</v>
      </c>
      <c r="G266" s="4" cm="1">
        <f t="array" ref="G266">INDEX(GMW!$A$2:$LR$60,MATCH(1,(GMW!$LQ$2:$LQ$60=G$3)*(GMW!$LP$2:$LP$60=G$4)*(GMW!$LR$2:$LR$60=G$1),0),$C266-1966)</f>
        <v>699412.1</v>
      </c>
      <c r="H266" s="4" cm="1">
        <f t="array" ref="H266">INDEX(GMW!$A$2:$LR$60,MATCH(1,(GMW!$LQ$2:$LQ$60=H$3)*(GMW!$LP$2:$LP$60=H$4)*(GMW!$LR$2:$LR$60=H$1),0),$C266-1966)</f>
        <v>704310.4</v>
      </c>
      <c r="I266" s="4" cm="1">
        <f t="array" ref="I266">INDEX(GMW!$A$2:$LR$60,MATCH(1,(GMW!$LQ$2:$LQ$60=I$3)*(GMW!$LP$2:$LP$60=I$4)*(GMW!$LR$2:$LR$60=I$1),0),$C266-1966)</f>
        <v>705265.6</v>
      </c>
      <c r="J266" s="4" cm="1">
        <f t="array" ref="J266">INDEX(GMW!$A$2:$LR$60,MATCH(1,(GMW!$LQ$2:$LQ$60=J$3)*(GMW!$LP$2:$LP$60=J$4)*(GMW!$LR$2:$LR$60=J$1),0),$C266-1966)</f>
        <v>705238.5</v>
      </c>
      <c r="K266" s="4" cm="1">
        <f t="array" ref="K266">INDEX(GMW!$A$2:$LR$60,MATCH(1,(GMW!$LQ$2:$LQ$60=K$3)*(GMW!$LP$2:$LP$60=K$4)*(GMW!$LR$2:$LR$60=K$1),0),$C266-1966)</f>
        <v>705118.7</v>
      </c>
      <c r="L266" s="4" cm="1">
        <f t="array" ref="L266">INDEX(GMW!$A$2:$LR$60,MATCH(1,(GMW!$LQ$2:$LQ$60=L$3)*(GMW!$LP$2:$LP$60=L$4)*(GMW!$LR$2:$LR$60=L$1),0),$C266-1966)</f>
        <v>705147.6</v>
      </c>
      <c r="M266" s="4" cm="1">
        <f t="array" ref="M266">INDEX(GMW!$A$2:$LR$60,MATCH(1,(GMW!$LQ$2:$LQ$60=M$3)*(GMW!$LP$2:$LP$60=M$4)*(GMW!$LR$2:$LR$60=M$1),0),$C266-1966)</f>
        <v>705147.6</v>
      </c>
      <c r="N266" s="4" cm="1">
        <f t="array" ref="N266">INDEX(GMW!$A$2:$LR$60,MATCH(1,(GMW!$LQ$2:$LQ$60=N$3)*(GMW!$LP$2:$LP$60=N$4)*(GMW!$LR$2:$LR$60=N$1),0),$C266-1966)</f>
        <v>707801.2</v>
      </c>
      <c r="O266" s="4" cm="1">
        <f t="array" ref="O266">INDEX(GMW!$A$2:$LR$60,MATCH(1,(GMW!$LQ$2:$LQ$60=O$3)*(GMW!$LP$2:$LP$60=O$4)*(GMW!$LR$2:$LR$60=O$1),0),$C266-1966)</f>
        <v>708352.9</v>
      </c>
      <c r="P266" s="4" cm="1">
        <f t="array" ref="P266">INDEX(GMW!$A$2:$LR$60,MATCH(1,(GMW!$LQ$2:$LQ$60=P$3)*(GMW!$LP$2:$LP$60=P$4)*(GMW!$LR$2:$LR$60=P$1),0),$C266-1966)</f>
        <v>708628.8</v>
      </c>
      <c r="Q266" s="4" cm="1">
        <f t="array" ref="Q266">INDEX(GMW!$A$2:$LR$60,MATCH(1,(GMW!$LQ$2:$LQ$60=Q$3)*(GMW!$LP$2:$LP$60=Q$4)*(GMW!$LR$2:$LR$60=Q$1),0),$C266-1966)</f>
        <v>710993.6</v>
      </c>
      <c r="R266" s="4" cm="1">
        <f t="array" ref="R266">INDEX(GMW!$A$2:$LR$60,MATCH(1,(GMW!$LQ$2:$LQ$60=R$3)*(GMW!$LP$2:$LP$60=R$4)*(GMW!$LR$2:$LR$60=R$1),0),$C266-1966)</f>
        <v>711498.8</v>
      </c>
      <c r="S266" s="4" cm="1">
        <f t="array" ref="S266">INDEX(GMW!$A$2:$LR$60,MATCH(1,(GMW!$LQ$2:$LQ$60=S$3)*(GMW!$LP$2:$LP$60=S$4)*(GMW!$LR$2:$LR$60=S$1),0),$C266-1966)</f>
        <v>709067.1</v>
      </c>
      <c r="T266" s="4" cm="1">
        <f t="array" ref="T266">INDEX(GMW!$A$2:$LR$60,MATCH(1,(GMW!$LQ$2:$LQ$60=T$3)*(GMW!$LP$2:$LP$60=T$4)*(GMW!$LR$2:$LR$60=T$1),0),$C266-1966)</f>
        <v>709612.6</v>
      </c>
      <c r="U266" s="4" cm="1">
        <f t="array" ref="U266">INDEX(GMW!$A$2:$LR$60,MATCH(1,(GMW!$LQ$2:$LQ$60=U$3)*(GMW!$LP$2:$LP$60=U$4)*(GMW!$LR$2:$LR$60=U$1),0),$C266-1966)</f>
        <v>1019.973</v>
      </c>
      <c r="V266" s="4" cm="1">
        <f t="array" ref="V266">INDEX(GMW!$A$2:$LR$60,MATCH(1,(GMW!$LQ$2:$LQ$60=V$3)*(GMW!$LP$2:$LP$60=V$4)*(GMW!$LR$2:$LR$60=V$1),0),$C266-1966)</f>
        <v>176.36189999999999</v>
      </c>
      <c r="W266" s="4" cm="1">
        <f t="array" ref="W266">INDEX(GMW!$A$2:$LR$60,MATCH(1,(GMW!$LQ$2:$LQ$60=W$3)*(GMW!$LP$2:$LP$60=W$4)*(GMW!$LR$2:$LR$60=W$1),0),$C266-1966)</f>
        <v>169.73249999999999</v>
      </c>
      <c r="X266" s="4" cm="1">
        <f t="array" ref="X266">INDEX(GMW!$A$2:$LR$60,MATCH(1,(GMW!$LQ$2:$LQ$60=X$3)*(GMW!$LP$2:$LP$60=X$4)*(GMW!$LR$2:$LR$60=X$1),0),$C266-1966)</f>
        <v>125.6795</v>
      </c>
      <c r="Y266" s="4" cm="1">
        <f t="array" ref="Y266">INDEX(GMW!$A$2:$LR$60,MATCH(1,(GMW!$LQ$2:$LQ$60=Y$3)*(GMW!$LP$2:$LP$60=Y$4)*(GMW!$LR$2:$LR$60=Y$1),0),$C266-1966)</f>
        <v>222.40430000000001</v>
      </c>
      <c r="Z266" s="4" cm="1">
        <f t="array" ref="Z266">INDEX(GMW!$A$2:$LR$60,MATCH(1,(GMW!$LQ$2:$LQ$60=Z$3)*(GMW!$LP$2:$LP$60=Z$4)*(GMW!$LR$2:$LR$60=Z$1),0),$C266-1966)</f>
        <v>176.607</v>
      </c>
      <c r="AA266" s="4" cm="1">
        <f t="array" ref="AA266">INDEX(GMW!$A$2:$LR$60,MATCH(1,(GMW!$LQ$2:$LQ$60=AA$3)*(GMW!$LP$2:$LP$60=AA$4)*(GMW!$LR$2:$LR$60=AA$1),0),$C266-1966)</f>
        <v>421318.8</v>
      </c>
      <c r="AB266" s="4" cm="1">
        <f t="array" ref="AB266">INDEX(GMW!$A$2:$LR$60,MATCH(1,(GMW!$LQ$2:$LQ$60=AB$3)*(GMW!$LP$2:$LP$60=AB$4)*(GMW!$LR$2:$LR$60=AB$1),0),$C266-1966)</f>
        <v>140913.4</v>
      </c>
      <c r="AC266" s="4" cm="1">
        <f t="array" ref="AC266">INDEX(GMW!$A$2:$LR$60,MATCH(1,(GMW!$LQ$2:$LQ$60=AC$3)*(GMW!$LP$2:$LP$60=AC$4)*(GMW!$LR$2:$LR$60=AC$1),0),$C266-1966)</f>
        <v>147500.29999999999</v>
      </c>
      <c r="AD266" s="4" cm="1">
        <f t="array" ref="AD266">INDEX(GMW!$A$2:$LR$60,MATCH(1,(GMW!$LQ$2:$LQ$60=AD$3)*(GMW!$LP$2:$LP$60=AD$4)*(GMW!$LR$2:$LR$60=AD$1),0),$C266-1966)</f>
        <v>225704.4</v>
      </c>
      <c r="AE266" s="4" cm="1">
        <f t="array" ref="AE266">INDEX(GMW!$A$2:$LR$60,MATCH(1,(GMW!$LQ$2:$LQ$60=AE$3)*(GMW!$LP$2:$LP$60=AE$4)*(GMW!$LR$2:$LR$60=AE$1),0),$C266-1966)</f>
        <v>248011.7</v>
      </c>
      <c r="AF266" s="4" cm="1">
        <f t="array" ref="AF266">INDEX(GMW!$A$2:$LR$60,MATCH(1,(GMW!$LQ$2:$LQ$60=AF$3)*(GMW!$LP$2:$LP$60=AF$4)*(GMW!$LR$2:$LR$60=AF$1),0),$C266-1966)</f>
        <v>2.1064639999999999</v>
      </c>
      <c r="AG266" s="4" cm="1">
        <f t="array" ref="AG266">INDEX(GMW!$A$2:$LR$60,MATCH(1,(GMW!$LQ$2:$LQ$60=AG$3)*(GMW!$LP$2:$LP$60=AG$4)*(GMW!$LR$2:$LR$60=AG$1),0),$C266-1966)</f>
        <v>2.4334739999999999</v>
      </c>
    </row>
    <row r="267" spans="1:33" x14ac:dyDescent="0.25">
      <c r="A267" s="4">
        <v>2038</v>
      </c>
      <c r="B267" s="4">
        <f t="shared" si="7"/>
        <v>2038</v>
      </c>
      <c r="C267" s="4">
        <f t="shared" si="8"/>
        <v>2233</v>
      </c>
      <c r="D267" s="4" cm="1">
        <f t="array" ref="D267">INDEX(GMW!$A$2:$LR$60,MATCH(1,(GMW!$LQ$2:$LQ$60=D$3)*(GMW!$LP$2:$LP$60=D$4)*(GMW!$LR$2:$LR$60=D$1),0),$C267-1966)</f>
        <v>711077.4</v>
      </c>
      <c r="E267" s="4" cm="1">
        <f t="array" ref="E267">INDEX(GMW!$A$2:$LR$60,MATCH(1,(GMW!$LQ$2:$LQ$60=E$3)*(GMW!$LP$2:$LP$60=E$4)*(GMW!$LR$2:$LR$60=E$1),0),$C267-1966)</f>
        <v>701825.1</v>
      </c>
      <c r="F267" s="4" cm="1">
        <f t="array" ref="F267">INDEX(GMW!$A$2:$LR$60,MATCH(1,(GMW!$LQ$2:$LQ$60=F$3)*(GMW!$LP$2:$LP$60=F$4)*(GMW!$LR$2:$LR$60=F$1),0),$C267-1966)</f>
        <v>702100.1</v>
      </c>
      <c r="G267" s="4" cm="1">
        <f t="array" ref="G267">INDEX(GMW!$A$2:$LR$60,MATCH(1,(GMW!$LQ$2:$LQ$60=G$3)*(GMW!$LP$2:$LP$60=G$4)*(GMW!$LR$2:$LR$60=G$1),0),$C267-1966)</f>
        <v>702100.1</v>
      </c>
      <c r="H267" s="4" cm="1">
        <f t="array" ref="H267">INDEX(GMW!$A$2:$LR$60,MATCH(1,(GMW!$LQ$2:$LQ$60=H$3)*(GMW!$LP$2:$LP$60=H$4)*(GMW!$LR$2:$LR$60=H$1),0),$C267-1966)</f>
        <v>707005.1</v>
      </c>
      <c r="I267" s="4" cm="1">
        <f t="array" ref="I267">INDEX(GMW!$A$2:$LR$60,MATCH(1,(GMW!$LQ$2:$LQ$60=I$3)*(GMW!$LP$2:$LP$60=I$4)*(GMW!$LR$2:$LR$60=I$1),0),$C267-1966)</f>
        <v>707961.4</v>
      </c>
      <c r="J267" s="4" cm="1">
        <f t="array" ref="J267">INDEX(GMW!$A$2:$LR$60,MATCH(1,(GMW!$LQ$2:$LQ$60=J$3)*(GMW!$LP$2:$LP$60=J$4)*(GMW!$LR$2:$LR$60=J$1),0),$C267-1966)</f>
        <v>707934.1</v>
      </c>
      <c r="K267" s="4" cm="1">
        <f t="array" ref="K267">INDEX(GMW!$A$2:$LR$60,MATCH(1,(GMW!$LQ$2:$LQ$60=K$3)*(GMW!$LP$2:$LP$60=K$4)*(GMW!$LR$2:$LR$60=K$1),0),$C267-1966)</f>
        <v>707816</v>
      </c>
      <c r="L267" s="4" cm="1">
        <f t="array" ref="L267">INDEX(GMW!$A$2:$LR$60,MATCH(1,(GMW!$LQ$2:$LQ$60=L$3)*(GMW!$LP$2:$LP$60=L$4)*(GMW!$LR$2:$LR$60=L$1),0),$C267-1966)</f>
        <v>707845.4</v>
      </c>
      <c r="M267" s="4" cm="1">
        <f t="array" ref="M267">INDEX(GMW!$A$2:$LR$60,MATCH(1,(GMW!$LQ$2:$LQ$60=M$3)*(GMW!$LP$2:$LP$60=M$4)*(GMW!$LR$2:$LR$60=M$1),0),$C267-1966)</f>
        <v>707845.4</v>
      </c>
      <c r="N267" s="4" cm="1">
        <f t="array" ref="N267">INDEX(GMW!$A$2:$LR$60,MATCH(1,(GMW!$LQ$2:$LQ$60=N$3)*(GMW!$LP$2:$LP$60=N$4)*(GMW!$LR$2:$LR$60=N$1),0),$C267-1966)</f>
        <v>710536</v>
      </c>
      <c r="O267" s="4" cm="1">
        <f t="array" ref="O267">INDEX(GMW!$A$2:$LR$60,MATCH(1,(GMW!$LQ$2:$LQ$60=O$3)*(GMW!$LP$2:$LP$60=O$4)*(GMW!$LR$2:$LR$60=O$1),0),$C267-1966)</f>
        <v>711115.2</v>
      </c>
      <c r="P267" s="4" cm="1">
        <f t="array" ref="P267">INDEX(GMW!$A$2:$LR$60,MATCH(1,(GMW!$LQ$2:$LQ$60=P$3)*(GMW!$LP$2:$LP$60=P$4)*(GMW!$LR$2:$LR$60=P$1),0),$C267-1966)</f>
        <v>711390.4</v>
      </c>
      <c r="Q267" s="4" cm="1">
        <f t="array" ref="Q267">INDEX(GMW!$A$2:$LR$60,MATCH(1,(GMW!$LQ$2:$LQ$60=Q$3)*(GMW!$LP$2:$LP$60=Q$4)*(GMW!$LR$2:$LR$60=Q$1),0),$C267-1966)</f>
        <v>713797.2</v>
      </c>
      <c r="R267" s="4" cm="1">
        <f t="array" ref="R267">INDEX(GMW!$A$2:$LR$60,MATCH(1,(GMW!$LQ$2:$LQ$60=R$3)*(GMW!$LP$2:$LP$60=R$4)*(GMW!$LR$2:$LR$60=R$1),0),$C267-1966)</f>
        <v>714331.1</v>
      </c>
      <c r="S267" s="4" cm="1">
        <f t="array" ref="S267">INDEX(GMW!$A$2:$LR$60,MATCH(1,(GMW!$LQ$2:$LQ$60=S$3)*(GMW!$LP$2:$LP$60=S$4)*(GMW!$LR$2:$LR$60=S$1),0),$C267-1966)</f>
        <v>711884.1</v>
      </c>
      <c r="T267" s="4" cm="1">
        <f t="array" ref="T267">INDEX(GMW!$A$2:$LR$60,MATCH(1,(GMW!$LQ$2:$LQ$60=T$3)*(GMW!$LP$2:$LP$60=T$4)*(GMW!$LR$2:$LR$60=T$1),0),$C267-1966)</f>
        <v>712423.3</v>
      </c>
      <c r="U267" s="4" cm="1">
        <f t="array" ref="U267">INDEX(GMW!$A$2:$LR$60,MATCH(1,(GMW!$LQ$2:$LQ$60=U$3)*(GMW!$LP$2:$LP$60=U$4)*(GMW!$LR$2:$LR$60=U$1),0),$C267-1966)</f>
        <v>1027.962</v>
      </c>
      <c r="V267" s="4" cm="1">
        <f t="array" ref="V267">INDEX(GMW!$A$2:$LR$60,MATCH(1,(GMW!$LQ$2:$LQ$60=V$3)*(GMW!$LP$2:$LP$60=V$4)*(GMW!$LR$2:$LR$60=V$1),0),$C267-1966)</f>
        <v>176.63820000000001</v>
      </c>
      <c r="W267" s="4" cm="1">
        <f t="array" ref="W267">INDEX(GMW!$A$2:$LR$60,MATCH(1,(GMW!$LQ$2:$LQ$60=W$3)*(GMW!$LP$2:$LP$60=W$4)*(GMW!$LR$2:$LR$60=W$1),0),$C267-1966)</f>
        <v>171.29509999999999</v>
      </c>
      <c r="X267" s="4" cm="1">
        <f t="array" ref="X267">INDEX(GMW!$A$2:$LR$60,MATCH(1,(GMW!$LQ$2:$LQ$60=X$3)*(GMW!$LP$2:$LP$60=X$4)*(GMW!$LR$2:$LR$60=X$1),0),$C267-1966)</f>
        <v>125.7184</v>
      </c>
      <c r="Y267" s="4" cm="1">
        <f t="array" ref="Y267">INDEX(GMW!$A$2:$LR$60,MATCH(1,(GMW!$LQ$2:$LQ$60=Y$3)*(GMW!$LP$2:$LP$60=Y$4)*(GMW!$LR$2:$LR$60=Y$1),0),$C267-1966)</f>
        <v>224.27719999999999</v>
      </c>
      <c r="Z267" s="4" cm="1">
        <f t="array" ref="Z267">INDEX(GMW!$A$2:$LR$60,MATCH(1,(GMW!$LQ$2:$LQ$60=Z$3)*(GMW!$LP$2:$LP$60=Z$4)*(GMW!$LR$2:$LR$60=Z$1),0),$C267-1966)</f>
        <v>176.56389999999999</v>
      </c>
      <c r="AA267" s="4" cm="1">
        <f t="array" ref="AA267">INDEX(GMW!$A$2:$LR$60,MATCH(1,(GMW!$LQ$2:$LQ$60=AA$3)*(GMW!$LP$2:$LP$60=AA$4)*(GMW!$LR$2:$LR$60=AA$1),0),$C267-1966)</f>
        <v>422967.3</v>
      </c>
      <c r="AB267" s="4" cm="1">
        <f t="array" ref="AB267">INDEX(GMW!$A$2:$LR$60,MATCH(1,(GMW!$LQ$2:$LQ$60=AB$3)*(GMW!$LP$2:$LP$60=AB$4)*(GMW!$LR$2:$LR$60=AB$1),0),$C267-1966)</f>
        <v>141712.1</v>
      </c>
      <c r="AC267" s="4" cm="1">
        <f t="array" ref="AC267">INDEX(GMW!$A$2:$LR$60,MATCH(1,(GMW!$LQ$2:$LQ$60=AC$3)*(GMW!$LP$2:$LP$60=AC$4)*(GMW!$LR$2:$LR$60=AC$1),0),$C267-1966)</f>
        <v>148076</v>
      </c>
      <c r="AD267" s="4" cm="1">
        <f t="array" ref="AD267">INDEX(GMW!$A$2:$LR$60,MATCH(1,(GMW!$LQ$2:$LQ$60=AD$3)*(GMW!$LP$2:$LP$60=AD$4)*(GMW!$LR$2:$LR$60=AD$1),0),$C267-1966)</f>
        <v>226781.5</v>
      </c>
      <c r="AE267" s="4" cm="1">
        <f t="array" ref="AE267">INDEX(GMW!$A$2:$LR$60,MATCH(1,(GMW!$LQ$2:$LQ$60=AE$3)*(GMW!$LP$2:$LP$60=AE$4)*(GMW!$LR$2:$LR$60=AE$1),0),$C267-1966)</f>
        <v>249363</v>
      </c>
      <c r="AF267" s="4" cm="1">
        <f t="array" ref="AF267">INDEX(GMW!$A$2:$LR$60,MATCH(1,(GMW!$LQ$2:$LQ$60=AF$3)*(GMW!$LP$2:$LP$60=AF$4)*(GMW!$LR$2:$LR$60=AF$1),0),$C267-1966)</f>
        <v>2.1064639999999999</v>
      </c>
      <c r="AG267" s="4" cm="1">
        <f t="array" ref="AG267">INDEX(GMW!$A$2:$LR$60,MATCH(1,(GMW!$LQ$2:$LQ$60=AG$3)*(GMW!$LP$2:$LP$60=AG$4)*(GMW!$LR$2:$LR$60=AG$1),0),$C267-1966)</f>
        <v>2.4334739999999999</v>
      </c>
    </row>
    <row r="268" spans="1:33" x14ac:dyDescent="0.25">
      <c r="B268" s="4">
        <f t="shared" ref="B268:B318" si="9">B264+1</f>
        <v>2038</v>
      </c>
      <c r="C268" s="4">
        <f t="shared" si="8"/>
        <v>2234</v>
      </c>
      <c r="D268" s="4" cm="1">
        <f t="array" ref="D268">INDEX(GMW!$A$2:$LR$60,MATCH(1,(GMW!$LQ$2:$LQ$60=D$3)*(GMW!$LP$2:$LP$60=D$4)*(GMW!$LR$2:$LR$60=D$1),0),$C268-1966)</f>
        <v>713897.8</v>
      </c>
      <c r="E268" s="4" cm="1">
        <f t="array" ref="E268">INDEX(GMW!$A$2:$LR$60,MATCH(1,(GMW!$LQ$2:$LQ$60=E$3)*(GMW!$LP$2:$LP$60=E$4)*(GMW!$LR$2:$LR$60=E$1),0),$C268-1966)</f>
        <v>704526.1</v>
      </c>
      <c r="F268" s="4" cm="1">
        <f t="array" ref="F268">INDEX(GMW!$A$2:$LR$60,MATCH(1,(GMW!$LQ$2:$LQ$60=F$3)*(GMW!$LP$2:$LP$60=F$4)*(GMW!$LR$2:$LR$60=F$1),0),$C268-1966)</f>
        <v>704801.8</v>
      </c>
      <c r="G268" s="4" cm="1">
        <f t="array" ref="G268">INDEX(GMW!$A$2:$LR$60,MATCH(1,(GMW!$LQ$2:$LQ$60=G$3)*(GMW!$LP$2:$LP$60=G$4)*(GMW!$LR$2:$LR$60=G$1),0),$C268-1966)</f>
        <v>704801.8</v>
      </c>
      <c r="H268" s="4" cm="1">
        <f t="array" ref="H268">INDEX(GMW!$A$2:$LR$60,MATCH(1,(GMW!$LQ$2:$LQ$60=H$3)*(GMW!$LP$2:$LP$60=H$4)*(GMW!$LR$2:$LR$60=H$1),0),$C268-1966)</f>
        <v>709714.1</v>
      </c>
      <c r="I268" s="4" cm="1">
        <f t="array" ref="I268">INDEX(GMW!$A$2:$LR$60,MATCH(1,(GMW!$LQ$2:$LQ$60=I$3)*(GMW!$LP$2:$LP$60=I$4)*(GMW!$LR$2:$LR$60=I$1),0),$C268-1966)</f>
        <v>710670.9</v>
      </c>
      <c r="J268" s="4" cm="1">
        <f t="array" ref="J268">INDEX(GMW!$A$2:$LR$60,MATCH(1,(GMW!$LQ$2:$LQ$60=J$3)*(GMW!$LP$2:$LP$60=J$4)*(GMW!$LR$2:$LR$60=J$1),0),$C268-1966)</f>
        <v>710643.3</v>
      </c>
      <c r="K268" s="4" cm="1">
        <f t="array" ref="K268">INDEX(GMW!$A$2:$LR$60,MATCH(1,(GMW!$LQ$2:$LQ$60=K$3)*(GMW!$LP$2:$LP$60=K$4)*(GMW!$LR$2:$LR$60=K$1),0),$C268-1966)</f>
        <v>710527.1</v>
      </c>
      <c r="L268" s="4" cm="1">
        <f t="array" ref="L268">INDEX(GMW!$A$2:$LR$60,MATCH(1,(GMW!$LQ$2:$LQ$60=L$3)*(GMW!$LP$2:$LP$60=L$4)*(GMW!$LR$2:$LR$60=L$1),0),$C268-1966)</f>
        <v>710556.9</v>
      </c>
      <c r="M268" s="4" cm="1">
        <f t="array" ref="M268">INDEX(GMW!$A$2:$LR$60,MATCH(1,(GMW!$LQ$2:$LQ$60=M$3)*(GMW!$LP$2:$LP$60=M$4)*(GMW!$LR$2:$LR$60=M$1),0),$C268-1966)</f>
        <v>710556.9</v>
      </c>
      <c r="N268" s="4" cm="1">
        <f t="array" ref="N268">INDEX(GMW!$A$2:$LR$60,MATCH(1,(GMW!$LQ$2:$LQ$60=N$3)*(GMW!$LP$2:$LP$60=N$4)*(GMW!$LR$2:$LR$60=N$1),0),$C268-1966)</f>
        <v>713285.3</v>
      </c>
      <c r="O268" s="4" cm="1">
        <f t="array" ref="O268">INDEX(GMW!$A$2:$LR$60,MATCH(1,(GMW!$LQ$2:$LQ$60=O$3)*(GMW!$LP$2:$LP$60=O$4)*(GMW!$LR$2:$LR$60=O$1),0),$C268-1966)</f>
        <v>713892.2</v>
      </c>
      <c r="P268" s="4" cm="1">
        <f t="array" ref="P268">INDEX(GMW!$A$2:$LR$60,MATCH(1,(GMW!$LQ$2:$LQ$60=P$3)*(GMW!$LP$2:$LP$60=P$4)*(GMW!$LR$2:$LR$60=P$1),0),$C268-1966)</f>
        <v>714166.8</v>
      </c>
      <c r="Q268" s="4" cm="1">
        <f t="array" ref="Q268">INDEX(GMW!$A$2:$LR$60,MATCH(1,(GMW!$LQ$2:$LQ$60=Q$3)*(GMW!$LP$2:$LP$60=Q$4)*(GMW!$LR$2:$LR$60=Q$1),0),$C268-1966)</f>
        <v>716613.9</v>
      </c>
      <c r="R268" s="4" cm="1">
        <f t="array" ref="R268">INDEX(GMW!$A$2:$LR$60,MATCH(1,(GMW!$LQ$2:$LQ$60=R$3)*(GMW!$LP$2:$LP$60=R$4)*(GMW!$LR$2:$LR$60=R$1),0),$C268-1966)</f>
        <v>717177.1</v>
      </c>
      <c r="S268" s="4" cm="1">
        <f t="array" ref="S268">INDEX(GMW!$A$2:$LR$60,MATCH(1,(GMW!$LQ$2:$LQ$60=S$3)*(GMW!$LP$2:$LP$60=S$4)*(GMW!$LR$2:$LR$60=S$1),0),$C268-1966)</f>
        <v>714714.9</v>
      </c>
      <c r="T268" s="4" cm="1">
        <f t="array" ref="T268">INDEX(GMW!$A$2:$LR$60,MATCH(1,(GMW!$LQ$2:$LQ$60=T$3)*(GMW!$LP$2:$LP$60=T$4)*(GMW!$LR$2:$LR$60=T$1),0),$C268-1966)</f>
        <v>715247.9</v>
      </c>
      <c r="U268" s="4" cm="1">
        <f t="array" ref="U268">INDEX(GMW!$A$2:$LR$60,MATCH(1,(GMW!$LQ$2:$LQ$60=U$3)*(GMW!$LP$2:$LP$60=U$4)*(GMW!$LR$2:$LR$60=U$1),0),$C268-1966)</f>
        <v>1036.039</v>
      </c>
      <c r="V268" s="4" cm="1">
        <f t="array" ref="V268">INDEX(GMW!$A$2:$LR$60,MATCH(1,(GMW!$LQ$2:$LQ$60=V$3)*(GMW!$LP$2:$LP$60=V$4)*(GMW!$LR$2:$LR$60=V$1),0),$C268-1966)</f>
        <v>178.18109999999999</v>
      </c>
      <c r="W268" s="4" cm="1">
        <f t="array" ref="W268">INDEX(GMW!$A$2:$LR$60,MATCH(1,(GMW!$LQ$2:$LQ$60=W$3)*(GMW!$LP$2:$LP$60=W$4)*(GMW!$LR$2:$LR$60=W$1),0),$C268-1966)</f>
        <v>171.7062</v>
      </c>
      <c r="X268" s="4" cm="1">
        <f t="array" ref="X268">INDEX(GMW!$A$2:$LR$60,MATCH(1,(GMW!$LQ$2:$LQ$60=X$3)*(GMW!$LP$2:$LP$60=X$4)*(GMW!$LR$2:$LR$60=X$1),0),$C268-1966)</f>
        <v>125.76900000000001</v>
      </c>
      <c r="Y268" s="4" cm="1">
        <f t="array" ref="Y268">INDEX(GMW!$A$2:$LR$60,MATCH(1,(GMW!$LQ$2:$LQ$60=Y$3)*(GMW!$LP$2:$LP$60=Y$4)*(GMW!$LR$2:$LR$60=Y$1),0),$C268-1966)</f>
        <v>226.1865</v>
      </c>
      <c r="Z268" s="4" cm="1">
        <f t="array" ref="Z268">INDEX(GMW!$A$2:$LR$60,MATCH(1,(GMW!$LQ$2:$LQ$60=Z$3)*(GMW!$LP$2:$LP$60=Z$4)*(GMW!$LR$2:$LR$60=Z$1),0),$C268-1966)</f>
        <v>178.38630000000001</v>
      </c>
      <c r="AA268" s="4" cm="1">
        <f t="array" ref="AA268">INDEX(GMW!$A$2:$LR$60,MATCH(1,(GMW!$LQ$2:$LQ$60=AA$3)*(GMW!$LP$2:$LP$60=AA$4)*(GMW!$LR$2:$LR$60=AA$1),0),$C268-1966)</f>
        <v>424623.9</v>
      </c>
      <c r="AB268" s="4" cm="1">
        <f t="array" ref="AB268">INDEX(GMW!$A$2:$LR$60,MATCH(1,(GMW!$LQ$2:$LQ$60=AB$3)*(GMW!$LP$2:$LP$60=AB$4)*(GMW!$LR$2:$LR$60=AB$1),0),$C268-1966)</f>
        <v>142515.9</v>
      </c>
      <c r="AC268" s="4" cm="1">
        <f t="array" ref="AC268">INDEX(GMW!$A$2:$LR$60,MATCH(1,(GMW!$LQ$2:$LQ$60=AC$3)*(GMW!$LP$2:$LP$60=AC$4)*(GMW!$LR$2:$LR$60=AC$1),0),$C268-1966)</f>
        <v>148654.39999999999</v>
      </c>
      <c r="AD268" s="4" cm="1">
        <f t="array" ref="AD268">INDEX(GMW!$A$2:$LR$60,MATCH(1,(GMW!$LQ$2:$LQ$60=AD$3)*(GMW!$LP$2:$LP$60=AD$4)*(GMW!$LR$2:$LR$60=AD$1),0),$C268-1966)</f>
        <v>227865</v>
      </c>
      <c r="AE268" s="4" cm="1">
        <f t="array" ref="AE268">INDEX(GMW!$A$2:$LR$60,MATCH(1,(GMW!$LQ$2:$LQ$60=AE$3)*(GMW!$LP$2:$LP$60=AE$4)*(GMW!$LR$2:$LR$60=AE$1),0),$C268-1966)</f>
        <v>250722.9</v>
      </c>
      <c r="AF268" s="4" cm="1">
        <f t="array" ref="AF268">INDEX(GMW!$A$2:$LR$60,MATCH(1,(GMW!$LQ$2:$LQ$60=AF$3)*(GMW!$LP$2:$LP$60=AF$4)*(GMW!$LR$2:$LR$60=AF$1),0),$C268-1966)</f>
        <v>2.1064639999999999</v>
      </c>
      <c r="AG268" s="4" cm="1">
        <f t="array" ref="AG268">INDEX(GMW!$A$2:$LR$60,MATCH(1,(GMW!$LQ$2:$LQ$60=AG$3)*(GMW!$LP$2:$LP$60=AG$4)*(GMW!$LR$2:$LR$60=AG$1),0),$C268-1966)</f>
        <v>2.4334739999999999</v>
      </c>
    </row>
    <row r="269" spans="1:33" x14ac:dyDescent="0.25">
      <c r="B269" s="4">
        <f t="shared" si="9"/>
        <v>2038</v>
      </c>
      <c r="C269" s="4">
        <f t="shared" si="8"/>
        <v>2235</v>
      </c>
      <c r="D269" s="4" cm="1">
        <f t="array" ref="D269">INDEX(GMW!$A$2:$LR$60,MATCH(1,(GMW!$LQ$2:$LQ$60=D$3)*(GMW!$LP$2:$LP$60=D$4)*(GMW!$LR$2:$LR$60=D$1),0),$C269-1966)</f>
        <v>716732.6</v>
      </c>
      <c r="E269" s="4" cm="1">
        <f t="array" ref="E269">INDEX(GMW!$A$2:$LR$60,MATCH(1,(GMW!$LQ$2:$LQ$60=E$3)*(GMW!$LP$2:$LP$60=E$4)*(GMW!$LR$2:$LR$60=E$1),0),$C269-1966)</f>
        <v>707241.4</v>
      </c>
      <c r="F269" s="4" cm="1">
        <f t="array" ref="F269">INDEX(GMW!$A$2:$LR$60,MATCH(1,(GMW!$LQ$2:$LQ$60=F$3)*(GMW!$LP$2:$LP$60=F$4)*(GMW!$LR$2:$LR$60=F$1),0),$C269-1966)</f>
        <v>707517.8</v>
      </c>
      <c r="G269" s="4" cm="1">
        <f t="array" ref="G269">INDEX(GMW!$A$2:$LR$60,MATCH(1,(GMW!$LQ$2:$LQ$60=G$3)*(GMW!$LP$2:$LP$60=G$4)*(GMW!$LR$2:$LR$60=G$1),0),$C269-1966)</f>
        <v>707517.8</v>
      </c>
      <c r="H269" s="4" cm="1">
        <f t="array" ref="H269">INDEX(GMW!$A$2:$LR$60,MATCH(1,(GMW!$LQ$2:$LQ$60=H$3)*(GMW!$LP$2:$LP$60=H$4)*(GMW!$LR$2:$LR$60=H$1),0),$C269-1966)</f>
        <v>712437.9</v>
      </c>
      <c r="I269" s="4" cm="1">
        <f t="array" ref="I269">INDEX(GMW!$A$2:$LR$60,MATCH(1,(GMW!$LQ$2:$LQ$60=I$3)*(GMW!$LP$2:$LP$60=I$4)*(GMW!$LR$2:$LR$60=I$1),0),$C269-1966)</f>
        <v>713394.5</v>
      </c>
      <c r="J269" s="4" cm="1">
        <f t="array" ref="J269">INDEX(GMW!$A$2:$LR$60,MATCH(1,(GMW!$LQ$2:$LQ$60=J$3)*(GMW!$LP$2:$LP$60=J$4)*(GMW!$LR$2:$LR$60=J$1),0),$C269-1966)</f>
        <v>713366.6</v>
      </c>
      <c r="K269" s="4" cm="1">
        <f t="array" ref="K269">INDEX(GMW!$A$2:$LR$60,MATCH(1,(GMW!$LQ$2:$LQ$60=K$3)*(GMW!$LP$2:$LP$60=K$4)*(GMW!$LR$2:$LR$60=K$1),0),$C269-1966)</f>
        <v>713252.4</v>
      </c>
      <c r="L269" s="4" cm="1">
        <f t="array" ref="L269">INDEX(GMW!$A$2:$LR$60,MATCH(1,(GMW!$LQ$2:$LQ$60=L$3)*(GMW!$LP$2:$LP$60=L$4)*(GMW!$LR$2:$LR$60=L$1),0),$C269-1966)</f>
        <v>713282.8</v>
      </c>
      <c r="M269" s="4" cm="1">
        <f t="array" ref="M269">INDEX(GMW!$A$2:$LR$60,MATCH(1,(GMW!$LQ$2:$LQ$60=M$3)*(GMW!$LP$2:$LP$60=M$4)*(GMW!$LR$2:$LR$60=M$1),0),$C269-1966)</f>
        <v>713282.8</v>
      </c>
      <c r="N269" s="4" cm="1">
        <f t="array" ref="N269">INDEX(GMW!$A$2:$LR$60,MATCH(1,(GMW!$LQ$2:$LQ$60=N$3)*(GMW!$LP$2:$LP$60=N$4)*(GMW!$LR$2:$LR$60=N$1),0),$C269-1966)</f>
        <v>716049.5</v>
      </c>
      <c r="O269" s="4" cm="1">
        <f t="array" ref="O269">INDEX(GMW!$A$2:$LR$60,MATCH(1,(GMW!$LQ$2:$LQ$60=O$3)*(GMW!$LP$2:$LP$60=O$4)*(GMW!$LR$2:$LR$60=O$1),0),$C269-1966)</f>
        <v>716684.80000000005</v>
      </c>
      <c r="P269" s="4" cm="1">
        <f t="array" ref="P269">INDEX(GMW!$A$2:$LR$60,MATCH(1,(GMW!$LQ$2:$LQ$60=P$3)*(GMW!$LP$2:$LP$60=P$4)*(GMW!$LR$2:$LR$60=P$1),0),$C269-1966)</f>
        <v>716958.9</v>
      </c>
      <c r="Q269" s="4" cm="1">
        <f t="array" ref="Q269">INDEX(GMW!$A$2:$LR$60,MATCH(1,(GMW!$LQ$2:$LQ$60=Q$3)*(GMW!$LP$2:$LP$60=Q$4)*(GMW!$LR$2:$LR$60=Q$1),0),$C269-1966)</f>
        <v>719444.7</v>
      </c>
      <c r="R269" s="4" cm="1">
        <f t="array" ref="R269">INDEX(GMW!$A$2:$LR$60,MATCH(1,(GMW!$LQ$2:$LQ$60=R$3)*(GMW!$LP$2:$LP$60=R$4)*(GMW!$LR$2:$LR$60=R$1),0),$C269-1966)</f>
        <v>720037.2</v>
      </c>
      <c r="S269" s="4" cm="1">
        <f t="array" ref="S269">INDEX(GMW!$A$2:$LR$60,MATCH(1,(GMW!$LQ$2:$LQ$60=S$3)*(GMW!$LP$2:$LP$60=S$4)*(GMW!$LR$2:$LR$60=S$1),0),$C269-1966)</f>
        <v>717559.9</v>
      </c>
      <c r="T269" s="4" cm="1">
        <f t="array" ref="T269">INDEX(GMW!$A$2:$LR$60,MATCH(1,(GMW!$LQ$2:$LQ$60=T$3)*(GMW!$LP$2:$LP$60=T$4)*(GMW!$LR$2:$LR$60=T$1),0),$C269-1966)</f>
        <v>718086.7</v>
      </c>
      <c r="U269" s="4" cm="1">
        <f t="array" ref="U269">INDEX(GMW!$A$2:$LR$60,MATCH(1,(GMW!$LQ$2:$LQ$60=U$3)*(GMW!$LP$2:$LP$60=U$4)*(GMW!$LR$2:$LR$60=U$1),0),$C269-1966)</f>
        <v>1044.2070000000001</v>
      </c>
      <c r="V269" s="4" cm="1">
        <f t="array" ref="V269">INDEX(GMW!$A$2:$LR$60,MATCH(1,(GMW!$LQ$2:$LQ$60=V$3)*(GMW!$LP$2:$LP$60=V$4)*(GMW!$LR$2:$LR$60=V$1),0),$C269-1966)</f>
        <v>179.02590000000001</v>
      </c>
      <c r="W269" s="4" cm="1">
        <f t="array" ref="W269">INDEX(GMW!$A$2:$LR$60,MATCH(1,(GMW!$LQ$2:$LQ$60=W$3)*(GMW!$LP$2:$LP$60=W$4)*(GMW!$LR$2:$LR$60=W$1),0),$C269-1966)</f>
        <v>171.49510000000001</v>
      </c>
      <c r="X269" s="4" cm="1">
        <f t="array" ref="X269">INDEX(GMW!$A$2:$LR$60,MATCH(1,(GMW!$LQ$2:$LQ$60=X$3)*(GMW!$LP$2:$LP$60=X$4)*(GMW!$LR$2:$LR$60=X$1),0),$C269-1966)</f>
        <v>125.8197</v>
      </c>
      <c r="Y269" s="4" cm="1">
        <f t="array" ref="Y269">INDEX(GMW!$A$2:$LR$60,MATCH(1,(GMW!$LQ$2:$LQ$60=Y$3)*(GMW!$LP$2:$LP$60=Y$4)*(GMW!$LR$2:$LR$60=Y$1),0),$C269-1966)</f>
        <v>228.14869999999999</v>
      </c>
      <c r="Z269" s="4" cm="1">
        <f t="array" ref="Z269">INDEX(GMW!$A$2:$LR$60,MATCH(1,(GMW!$LQ$2:$LQ$60=Z$3)*(GMW!$LP$2:$LP$60=Z$4)*(GMW!$LR$2:$LR$60=Z$1),0),$C269-1966)</f>
        <v>179.4348</v>
      </c>
      <c r="AA269" s="4" cm="1">
        <f t="array" ref="AA269">INDEX(GMW!$A$2:$LR$60,MATCH(1,(GMW!$LQ$2:$LQ$60=AA$3)*(GMW!$LP$2:$LP$60=AA$4)*(GMW!$LR$2:$LR$60=AA$1),0),$C269-1966)</f>
        <v>426288.7</v>
      </c>
      <c r="AB269" s="4" cm="1">
        <f t="array" ref="AB269">INDEX(GMW!$A$2:$LR$60,MATCH(1,(GMW!$LQ$2:$LQ$60=AB$3)*(GMW!$LP$2:$LP$60=AB$4)*(GMW!$LR$2:$LR$60=AB$1),0),$C269-1966)</f>
        <v>143325.1</v>
      </c>
      <c r="AC269" s="4" cm="1">
        <f t="array" ref="AC269">INDEX(GMW!$A$2:$LR$60,MATCH(1,(GMW!$LQ$2:$LQ$60=AC$3)*(GMW!$LP$2:$LP$60=AC$4)*(GMW!$LR$2:$LR$60=AC$1),0),$C269-1966)</f>
        <v>149235.79999999999</v>
      </c>
      <c r="AD269" s="4" cm="1">
        <f t="array" ref="AD269">INDEX(GMW!$A$2:$LR$60,MATCH(1,(GMW!$LQ$2:$LQ$60=AD$3)*(GMW!$LP$2:$LP$60=AD$4)*(GMW!$LR$2:$LR$60=AD$1),0),$C269-1966)</f>
        <v>228955.1</v>
      </c>
      <c r="AE269" s="4" cm="1">
        <f t="array" ref="AE269">INDEX(GMW!$A$2:$LR$60,MATCH(1,(GMW!$LQ$2:$LQ$60=AE$3)*(GMW!$LP$2:$LP$60=AE$4)*(GMW!$LR$2:$LR$60=AE$1),0),$C269-1966)</f>
        <v>252091.6</v>
      </c>
      <c r="AF269" s="4" cm="1">
        <f t="array" ref="AF269">INDEX(GMW!$A$2:$LR$60,MATCH(1,(GMW!$LQ$2:$LQ$60=AF$3)*(GMW!$LP$2:$LP$60=AF$4)*(GMW!$LR$2:$LR$60=AF$1),0),$C269-1966)</f>
        <v>2.1064639999999999</v>
      </c>
      <c r="AG269" s="4" cm="1">
        <f t="array" ref="AG269">INDEX(GMW!$A$2:$LR$60,MATCH(1,(GMW!$LQ$2:$LQ$60=AG$3)*(GMW!$LP$2:$LP$60=AG$4)*(GMW!$LR$2:$LR$60=AG$1),0),$C269-1966)</f>
        <v>2.4334739999999999</v>
      </c>
    </row>
    <row r="270" spans="1:33" x14ac:dyDescent="0.25">
      <c r="B270" s="4">
        <f t="shared" si="9"/>
        <v>2038</v>
      </c>
      <c r="C270" s="4">
        <f t="shared" si="8"/>
        <v>2236</v>
      </c>
      <c r="D270" s="4" cm="1">
        <f t="array" ref="D270">INDEX(GMW!$A$2:$LR$60,MATCH(1,(GMW!$LQ$2:$LQ$60=D$3)*(GMW!$LP$2:$LP$60=D$4)*(GMW!$LR$2:$LR$60=D$1),0),$C270-1966)</f>
        <v>719581.7</v>
      </c>
      <c r="E270" s="4" cm="1">
        <f t="array" ref="E270">INDEX(GMW!$A$2:$LR$60,MATCH(1,(GMW!$LQ$2:$LQ$60=E$3)*(GMW!$LP$2:$LP$60=E$4)*(GMW!$LR$2:$LR$60=E$1),0),$C270-1966)</f>
        <v>709970.8</v>
      </c>
      <c r="F270" s="4" cm="1">
        <f t="array" ref="F270">INDEX(GMW!$A$2:$LR$60,MATCH(1,(GMW!$LQ$2:$LQ$60=F$3)*(GMW!$LP$2:$LP$60=F$4)*(GMW!$LR$2:$LR$60=F$1),0),$C270-1966)</f>
        <v>710247.9</v>
      </c>
      <c r="G270" s="4" cm="1">
        <f t="array" ref="G270">INDEX(GMW!$A$2:$LR$60,MATCH(1,(GMW!$LQ$2:$LQ$60=G$3)*(GMW!$LP$2:$LP$60=G$4)*(GMW!$LR$2:$LR$60=G$1),0),$C270-1966)</f>
        <v>710247.9</v>
      </c>
      <c r="H270" s="4" cm="1">
        <f t="array" ref="H270">INDEX(GMW!$A$2:$LR$60,MATCH(1,(GMW!$LQ$2:$LQ$60=H$3)*(GMW!$LP$2:$LP$60=H$4)*(GMW!$LR$2:$LR$60=H$1),0),$C270-1966)</f>
        <v>715176.8</v>
      </c>
      <c r="I270" s="4" cm="1">
        <f t="array" ref="I270">INDEX(GMW!$A$2:$LR$60,MATCH(1,(GMW!$LQ$2:$LQ$60=I$3)*(GMW!$LP$2:$LP$60=I$4)*(GMW!$LR$2:$LR$60=I$1),0),$C270-1966)</f>
        <v>716132.6</v>
      </c>
      <c r="J270" s="4" cm="1">
        <f t="array" ref="J270">INDEX(GMW!$A$2:$LR$60,MATCH(1,(GMW!$LQ$2:$LQ$60=J$3)*(GMW!$LP$2:$LP$60=J$4)*(GMW!$LR$2:$LR$60=J$1),0),$C270-1966)</f>
        <v>716104.5</v>
      </c>
      <c r="K270" s="4" cm="1">
        <f t="array" ref="K270">INDEX(GMW!$A$2:$LR$60,MATCH(1,(GMW!$LQ$2:$LQ$60=K$3)*(GMW!$LP$2:$LP$60=K$4)*(GMW!$LR$2:$LR$60=K$1),0),$C270-1966)</f>
        <v>715992</v>
      </c>
      <c r="L270" s="4" cm="1">
        <f t="array" ref="L270">INDEX(GMW!$A$2:$LR$60,MATCH(1,(GMW!$LQ$2:$LQ$60=L$3)*(GMW!$LP$2:$LP$60=L$4)*(GMW!$LR$2:$LR$60=L$1),0),$C270-1966)</f>
        <v>716022.8</v>
      </c>
      <c r="M270" s="4" cm="1">
        <f t="array" ref="M270">INDEX(GMW!$A$2:$LR$60,MATCH(1,(GMW!$LQ$2:$LQ$60=M$3)*(GMW!$LP$2:$LP$60=M$4)*(GMW!$LR$2:$LR$60=M$1),0),$C270-1966)</f>
        <v>716022.8</v>
      </c>
      <c r="N270" s="4" cm="1">
        <f t="array" ref="N270">INDEX(GMW!$A$2:$LR$60,MATCH(1,(GMW!$LQ$2:$LQ$60=N$3)*(GMW!$LP$2:$LP$60=N$4)*(GMW!$LR$2:$LR$60=N$1),0),$C270-1966)</f>
        <v>718828.7</v>
      </c>
      <c r="O270" s="4" cm="1">
        <f t="array" ref="O270">INDEX(GMW!$A$2:$LR$60,MATCH(1,(GMW!$LQ$2:$LQ$60=O$3)*(GMW!$LP$2:$LP$60=O$4)*(GMW!$LR$2:$LR$60=O$1),0),$C270-1966)</f>
        <v>719492.8</v>
      </c>
      <c r="P270" s="4" cm="1">
        <f t="array" ref="P270">INDEX(GMW!$A$2:$LR$60,MATCH(1,(GMW!$LQ$2:$LQ$60=P$3)*(GMW!$LP$2:$LP$60=P$4)*(GMW!$LR$2:$LR$60=P$1),0),$C270-1966)</f>
        <v>719766.3</v>
      </c>
      <c r="Q270" s="4" cm="1">
        <f t="array" ref="Q270">INDEX(GMW!$A$2:$LR$60,MATCH(1,(GMW!$LQ$2:$LQ$60=Q$3)*(GMW!$LP$2:$LP$60=Q$4)*(GMW!$LR$2:$LR$60=Q$1),0),$C270-1966)</f>
        <v>722289.1</v>
      </c>
      <c r="R270" s="4" cm="1">
        <f t="array" ref="R270">INDEX(GMW!$A$2:$LR$60,MATCH(1,(GMW!$LQ$2:$LQ$60=R$3)*(GMW!$LP$2:$LP$60=R$4)*(GMW!$LR$2:$LR$60=R$1),0),$C270-1966)</f>
        <v>722911.5</v>
      </c>
      <c r="S270" s="4" cm="1">
        <f t="array" ref="S270">INDEX(GMW!$A$2:$LR$60,MATCH(1,(GMW!$LQ$2:$LQ$60=S$3)*(GMW!$LP$2:$LP$60=S$4)*(GMW!$LR$2:$LR$60=S$1),0),$C270-1966)</f>
        <v>720419.2</v>
      </c>
      <c r="T270" s="4" cm="1">
        <f t="array" ref="T270">INDEX(GMW!$A$2:$LR$60,MATCH(1,(GMW!$LQ$2:$LQ$60=T$3)*(GMW!$LP$2:$LP$60=T$4)*(GMW!$LR$2:$LR$60=T$1),0),$C270-1966)</f>
        <v>720939.9</v>
      </c>
      <c r="U270" s="4" cm="1">
        <f t="array" ref="U270">INDEX(GMW!$A$2:$LR$60,MATCH(1,(GMW!$LQ$2:$LQ$60=U$3)*(GMW!$LP$2:$LP$60=U$4)*(GMW!$LR$2:$LR$60=U$1),0),$C270-1966)</f>
        <v>1052.4659999999999</v>
      </c>
      <c r="V270" s="4" cm="1">
        <f t="array" ref="V270">INDEX(GMW!$A$2:$LR$60,MATCH(1,(GMW!$LQ$2:$LQ$60=V$3)*(GMW!$LP$2:$LP$60=V$4)*(GMW!$LR$2:$LR$60=V$1),0),$C270-1966)</f>
        <v>179.88919999999999</v>
      </c>
      <c r="W270" s="4" cm="1">
        <f t="array" ref="W270">INDEX(GMW!$A$2:$LR$60,MATCH(1,(GMW!$LQ$2:$LQ$60=W$3)*(GMW!$LP$2:$LP$60=W$4)*(GMW!$LR$2:$LR$60=W$1),0),$C270-1966)</f>
        <v>172.26560000000001</v>
      </c>
      <c r="X270" s="4" cm="1">
        <f t="array" ref="X270">INDEX(GMW!$A$2:$LR$60,MATCH(1,(GMW!$LQ$2:$LQ$60=X$3)*(GMW!$LP$2:$LP$60=X$4)*(GMW!$LR$2:$LR$60=X$1),0),$C270-1966)</f>
        <v>125.8704</v>
      </c>
      <c r="Y270" s="4" cm="1">
        <f t="array" ref="Y270">INDEX(GMW!$A$2:$LR$60,MATCH(1,(GMW!$LQ$2:$LQ$60=Y$3)*(GMW!$LP$2:$LP$60=Y$4)*(GMW!$LR$2:$LR$60=Y$1),0),$C270-1966)</f>
        <v>230.14760000000001</v>
      </c>
      <c r="Z270" s="4" cm="1">
        <f t="array" ref="Z270">INDEX(GMW!$A$2:$LR$60,MATCH(1,(GMW!$LQ$2:$LQ$60=Z$3)*(GMW!$LP$2:$LP$60=Z$4)*(GMW!$LR$2:$LR$60=Z$1),0),$C270-1966)</f>
        <v>180.30600000000001</v>
      </c>
      <c r="AA270" s="4" cm="1">
        <f t="array" ref="AA270">INDEX(GMW!$A$2:$LR$60,MATCH(1,(GMW!$LQ$2:$LQ$60=AA$3)*(GMW!$LP$2:$LP$60=AA$4)*(GMW!$LR$2:$LR$60=AA$1),0),$C270-1966)</f>
        <v>427962</v>
      </c>
      <c r="AB270" s="4" cm="1">
        <f t="array" ref="AB270">INDEX(GMW!$A$2:$LR$60,MATCH(1,(GMW!$LQ$2:$LQ$60=AB$3)*(GMW!$LP$2:$LP$60=AB$4)*(GMW!$LR$2:$LR$60=AB$1),0),$C270-1966)</f>
        <v>144139.70000000001</v>
      </c>
      <c r="AC270" s="4" cm="1">
        <f t="array" ref="AC270">INDEX(GMW!$A$2:$LR$60,MATCH(1,(GMW!$LQ$2:$LQ$60=AC$3)*(GMW!$LP$2:$LP$60=AC$4)*(GMW!$LR$2:$LR$60=AC$1),0),$C270-1966)</f>
        <v>149820.1</v>
      </c>
      <c r="AD270" s="4" cm="1">
        <f t="array" ref="AD270">INDEX(GMW!$A$2:$LR$60,MATCH(1,(GMW!$LQ$2:$LQ$60=AD$3)*(GMW!$LP$2:$LP$60=AD$4)*(GMW!$LR$2:$LR$60=AD$1),0),$C270-1966)</f>
        <v>230051.9</v>
      </c>
      <c r="AE270" s="4" cm="1">
        <f t="array" ref="AE270">INDEX(GMW!$A$2:$LR$60,MATCH(1,(GMW!$LQ$2:$LQ$60=AE$3)*(GMW!$LP$2:$LP$60=AE$4)*(GMW!$LR$2:$LR$60=AE$1),0),$C270-1966)</f>
        <v>253469</v>
      </c>
      <c r="AF270" s="4" cm="1">
        <f t="array" ref="AF270">INDEX(GMW!$A$2:$LR$60,MATCH(1,(GMW!$LQ$2:$LQ$60=AF$3)*(GMW!$LP$2:$LP$60=AF$4)*(GMW!$LR$2:$LR$60=AF$1),0),$C270-1966)</f>
        <v>2.1064639999999999</v>
      </c>
      <c r="AG270" s="4" cm="1">
        <f t="array" ref="AG270">INDEX(GMW!$A$2:$LR$60,MATCH(1,(GMW!$LQ$2:$LQ$60=AG$3)*(GMW!$LP$2:$LP$60=AG$4)*(GMW!$LR$2:$LR$60=AG$1),0),$C270-1966)</f>
        <v>2.4334739999999999</v>
      </c>
    </row>
    <row r="271" spans="1:33" x14ac:dyDescent="0.25">
      <c r="A271" s="4">
        <v>2039</v>
      </c>
      <c r="B271" s="4">
        <f t="shared" si="9"/>
        <v>2039</v>
      </c>
      <c r="C271" s="4">
        <f t="shared" si="8"/>
        <v>2237</v>
      </c>
      <c r="D271" s="4" cm="1">
        <f t="array" ref="D271">INDEX(GMW!$A$2:$LR$60,MATCH(1,(GMW!$LQ$2:$LQ$60=D$3)*(GMW!$LP$2:$LP$60=D$4)*(GMW!$LR$2:$LR$60=D$1),0),$C271-1966)</f>
        <v>722445</v>
      </c>
      <c r="E271" s="4" cm="1">
        <f t="array" ref="E271">INDEX(GMW!$A$2:$LR$60,MATCH(1,(GMW!$LQ$2:$LQ$60=E$3)*(GMW!$LP$2:$LP$60=E$4)*(GMW!$LR$2:$LR$60=E$1),0),$C271-1966)</f>
        <v>712714.5</v>
      </c>
      <c r="F271" s="4" cm="1">
        <f t="array" ref="F271">INDEX(GMW!$A$2:$LR$60,MATCH(1,(GMW!$LQ$2:$LQ$60=F$3)*(GMW!$LP$2:$LP$60=F$4)*(GMW!$LR$2:$LR$60=F$1),0),$C271-1966)</f>
        <v>712992.3</v>
      </c>
      <c r="G271" s="4" cm="1">
        <f t="array" ref="G271">INDEX(GMW!$A$2:$LR$60,MATCH(1,(GMW!$LQ$2:$LQ$60=G$3)*(GMW!$LP$2:$LP$60=G$4)*(GMW!$LR$2:$LR$60=G$1),0),$C271-1966)</f>
        <v>712992.3</v>
      </c>
      <c r="H271" s="4" cm="1">
        <f t="array" ref="H271">INDEX(GMW!$A$2:$LR$60,MATCH(1,(GMW!$LQ$2:$LQ$60=H$3)*(GMW!$LP$2:$LP$60=H$4)*(GMW!$LR$2:$LR$60=H$1),0),$C271-1966)</f>
        <v>717930.4</v>
      </c>
      <c r="I271" s="4" cm="1">
        <f t="array" ref="I271">INDEX(GMW!$A$2:$LR$60,MATCH(1,(GMW!$LQ$2:$LQ$60=I$3)*(GMW!$LP$2:$LP$60=I$4)*(GMW!$LR$2:$LR$60=I$1),0),$C271-1966)</f>
        <v>718884.7</v>
      </c>
      <c r="J271" s="4" cm="1">
        <f t="array" ref="J271">INDEX(GMW!$A$2:$LR$60,MATCH(1,(GMW!$LQ$2:$LQ$60=J$3)*(GMW!$LP$2:$LP$60=J$4)*(GMW!$LR$2:$LR$60=J$1),0),$C271-1966)</f>
        <v>718856.4</v>
      </c>
      <c r="K271" s="4" cm="1">
        <f t="array" ref="K271">INDEX(GMW!$A$2:$LR$60,MATCH(1,(GMW!$LQ$2:$LQ$60=K$3)*(GMW!$LP$2:$LP$60=K$4)*(GMW!$LR$2:$LR$60=K$1),0),$C271-1966)</f>
        <v>718745.7</v>
      </c>
      <c r="L271" s="4" cm="1">
        <f t="array" ref="L271">INDEX(GMW!$A$2:$LR$60,MATCH(1,(GMW!$LQ$2:$LQ$60=L$3)*(GMW!$LP$2:$LP$60=L$4)*(GMW!$LR$2:$LR$60=L$1),0),$C271-1966)</f>
        <v>718777.1</v>
      </c>
      <c r="M271" s="4" cm="1">
        <f t="array" ref="M271">INDEX(GMW!$A$2:$LR$60,MATCH(1,(GMW!$LQ$2:$LQ$60=M$3)*(GMW!$LP$2:$LP$60=M$4)*(GMW!$LR$2:$LR$60=M$1),0),$C271-1966)</f>
        <v>718777.1</v>
      </c>
      <c r="N271" s="4" cm="1">
        <f t="array" ref="N271">INDEX(GMW!$A$2:$LR$60,MATCH(1,(GMW!$LQ$2:$LQ$60=N$3)*(GMW!$LP$2:$LP$60=N$4)*(GMW!$LR$2:$LR$60=N$1),0),$C271-1966)</f>
        <v>721622.8</v>
      </c>
      <c r="O271" s="4" cm="1">
        <f t="array" ref="O271">INDEX(GMW!$A$2:$LR$60,MATCH(1,(GMW!$LQ$2:$LQ$60=O$3)*(GMW!$LP$2:$LP$60=O$4)*(GMW!$LR$2:$LR$60=O$1),0),$C271-1966)</f>
        <v>722316.1</v>
      </c>
      <c r="P271" s="4" cm="1">
        <f t="array" ref="P271">INDEX(GMW!$A$2:$LR$60,MATCH(1,(GMW!$LQ$2:$LQ$60=P$3)*(GMW!$LP$2:$LP$60=P$4)*(GMW!$LR$2:$LR$60=P$1),0),$C271-1966)</f>
        <v>722589.1</v>
      </c>
      <c r="Q271" s="4" cm="1">
        <f t="array" ref="Q271">INDEX(GMW!$A$2:$LR$60,MATCH(1,(GMW!$LQ$2:$LQ$60=Q$3)*(GMW!$LP$2:$LP$60=Q$4)*(GMW!$LR$2:$LR$60=Q$1),0),$C271-1966)</f>
        <v>725147.5</v>
      </c>
      <c r="R271" s="4" cm="1">
        <f t="array" ref="R271">INDEX(GMW!$A$2:$LR$60,MATCH(1,(GMW!$LQ$2:$LQ$60=R$3)*(GMW!$LP$2:$LP$60=R$4)*(GMW!$LR$2:$LR$60=R$1),0),$C271-1966)</f>
        <v>725800</v>
      </c>
      <c r="S271" s="4" cm="1">
        <f t="array" ref="S271">INDEX(GMW!$A$2:$LR$60,MATCH(1,(GMW!$LQ$2:$LQ$60=S$3)*(GMW!$LP$2:$LP$60=S$4)*(GMW!$LR$2:$LR$60=S$1),0),$C271-1966)</f>
        <v>723292.7</v>
      </c>
      <c r="T271" s="4" cm="1">
        <f t="array" ref="T271">INDEX(GMW!$A$2:$LR$60,MATCH(1,(GMW!$LQ$2:$LQ$60=T$3)*(GMW!$LP$2:$LP$60=T$4)*(GMW!$LR$2:$LR$60=T$1),0),$C271-1966)</f>
        <v>723807.4</v>
      </c>
      <c r="U271" s="4" cm="1">
        <f t="array" ref="U271">INDEX(GMW!$A$2:$LR$60,MATCH(1,(GMW!$LQ$2:$LQ$60=U$3)*(GMW!$LP$2:$LP$60=U$4)*(GMW!$LR$2:$LR$60=U$1),0),$C271-1966)</f>
        <v>1060.796</v>
      </c>
      <c r="V271" s="4" cm="1">
        <f t="array" ref="V271">INDEX(GMW!$A$2:$LR$60,MATCH(1,(GMW!$LQ$2:$LQ$60=V$3)*(GMW!$LP$2:$LP$60=V$4)*(GMW!$LR$2:$LR$60=V$1),0),$C271-1966)</f>
        <v>180.17099999999999</v>
      </c>
      <c r="W271" s="4" cm="1">
        <f t="array" ref="W271">INDEX(GMW!$A$2:$LR$60,MATCH(1,(GMW!$LQ$2:$LQ$60=W$3)*(GMW!$LP$2:$LP$60=W$4)*(GMW!$LR$2:$LR$60=W$1),0),$C271-1966)</f>
        <v>173.85149999999999</v>
      </c>
      <c r="X271" s="4" cm="1">
        <f t="array" ref="X271">INDEX(GMW!$A$2:$LR$60,MATCH(1,(GMW!$LQ$2:$LQ$60=X$3)*(GMW!$LP$2:$LP$60=X$4)*(GMW!$LR$2:$LR$60=X$1),0),$C271-1966)</f>
        <v>125.90940000000001</v>
      </c>
      <c r="Y271" s="4" cm="1">
        <f t="array" ref="Y271">INDEX(GMW!$A$2:$LR$60,MATCH(1,(GMW!$LQ$2:$LQ$60=Y$3)*(GMW!$LP$2:$LP$60=Y$4)*(GMW!$LR$2:$LR$60=Y$1),0),$C271-1966)</f>
        <v>232.0856</v>
      </c>
      <c r="Z271" s="4" cm="1">
        <f t="array" ref="Z271">INDEX(GMW!$A$2:$LR$60,MATCH(1,(GMW!$LQ$2:$LQ$60=Z$3)*(GMW!$LP$2:$LP$60=Z$4)*(GMW!$LR$2:$LR$60=Z$1),0),$C271-1966)</f>
        <v>180.262</v>
      </c>
      <c r="AA271" s="4" cm="1">
        <f t="array" ref="AA271">INDEX(GMW!$A$2:$LR$60,MATCH(1,(GMW!$LQ$2:$LQ$60=AA$3)*(GMW!$LP$2:$LP$60=AA$4)*(GMW!$LR$2:$LR$60=AA$1),0),$C271-1966)</f>
        <v>429643.5</v>
      </c>
      <c r="AB271" s="4" cm="1">
        <f t="array" ref="AB271">INDEX(GMW!$A$2:$LR$60,MATCH(1,(GMW!$LQ$2:$LQ$60=AB$3)*(GMW!$LP$2:$LP$60=AB$4)*(GMW!$LR$2:$LR$60=AB$1),0),$C271-1966)</f>
        <v>144959.6</v>
      </c>
      <c r="AC271" s="4" cm="1">
        <f t="array" ref="AC271">INDEX(GMW!$A$2:$LR$60,MATCH(1,(GMW!$LQ$2:$LQ$60=AC$3)*(GMW!$LP$2:$LP$60=AC$4)*(GMW!$LR$2:$LR$60=AC$1),0),$C271-1966)</f>
        <v>150407.20000000001</v>
      </c>
      <c r="AD271" s="4" cm="1">
        <f t="array" ref="AD271">INDEX(GMW!$A$2:$LR$60,MATCH(1,(GMW!$LQ$2:$LQ$60=AD$3)*(GMW!$LP$2:$LP$60=AD$4)*(GMW!$LR$2:$LR$60=AD$1),0),$C271-1966)</f>
        <v>231155.20000000001</v>
      </c>
      <c r="AE271" s="4" cm="1">
        <f t="array" ref="AE271">INDEX(GMW!$A$2:$LR$60,MATCH(1,(GMW!$LQ$2:$LQ$60=AE$3)*(GMW!$LP$2:$LP$60=AE$4)*(GMW!$LR$2:$LR$60=AE$1),0),$C271-1966)</f>
        <v>254855.3</v>
      </c>
      <c r="AF271" s="4" cm="1">
        <f t="array" ref="AF271">INDEX(GMW!$A$2:$LR$60,MATCH(1,(GMW!$LQ$2:$LQ$60=AF$3)*(GMW!$LP$2:$LP$60=AF$4)*(GMW!$LR$2:$LR$60=AF$1),0),$C271-1966)</f>
        <v>2.1064639999999999</v>
      </c>
      <c r="AG271" s="4" cm="1">
        <f t="array" ref="AG271">INDEX(GMW!$A$2:$LR$60,MATCH(1,(GMW!$LQ$2:$LQ$60=AG$3)*(GMW!$LP$2:$LP$60=AG$4)*(GMW!$LR$2:$LR$60=AG$1),0),$C271-1966)</f>
        <v>2.4334739999999999</v>
      </c>
    </row>
    <row r="272" spans="1:33" x14ac:dyDescent="0.25">
      <c r="B272" s="4">
        <f t="shared" si="9"/>
        <v>2039</v>
      </c>
      <c r="C272" s="4">
        <f t="shared" si="8"/>
        <v>2238</v>
      </c>
      <c r="D272" s="4" cm="1">
        <f t="array" ref="D272">INDEX(GMW!$A$2:$LR$60,MATCH(1,(GMW!$LQ$2:$LQ$60=D$3)*(GMW!$LP$2:$LP$60=D$4)*(GMW!$LR$2:$LR$60=D$1),0),$C272-1966)</f>
        <v>725322.8</v>
      </c>
      <c r="E272" s="4" cm="1">
        <f t="array" ref="E272">INDEX(GMW!$A$2:$LR$60,MATCH(1,(GMW!$LQ$2:$LQ$60=E$3)*(GMW!$LP$2:$LP$60=E$4)*(GMW!$LR$2:$LR$60=E$1),0),$C272-1966)</f>
        <v>715472.1</v>
      </c>
      <c r="F272" s="4" cm="1">
        <f t="array" ref="F272">INDEX(GMW!$A$2:$LR$60,MATCH(1,(GMW!$LQ$2:$LQ$60=F$3)*(GMW!$LP$2:$LP$60=F$4)*(GMW!$LR$2:$LR$60=F$1),0),$C272-1966)</f>
        <v>715750.6</v>
      </c>
      <c r="G272" s="4" cm="1">
        <f t="array" ref="G272">INDEX(GMW!$A$2:$LR$60,MATCH(1,(GMW!$LQ$2:$LQ$60=G$3)*(GMW!$LP$2:$LP$60=G$4)*(GMW!$LR$2:$LR$60=G$1),0),$C272-1966)</f>
        <v>715750.6</v>
      </c>
      <c r="H272" s="4" cm="1">
        <f t="array" ref="H272">INDEX(GMW!$A$2:$LR$60,MATCH(1,(GMW!$LQ$2:$LQ$60=H$3)*(GMW!$LP$2:$LP$60=H$4)*(GMW!$LR$2:$LR$60=H$1),0),$C272-1966)</f>
        <v>720698.9</v>
      </c>
      <c r="I272" s="4" cm="1">
        <f t="array" ref="I272">INDEX(GMW!$A$2:$LR$60,MATCH(1,(GMW!$LQ$2:$LQ$60=I$3)*(GMW!$LP$2:$LP$60=I$4)*(GMW!$LR$2:$LR$60=I$1),0),$C272-1966)</f>
        <v>721651.1</v>
      </c>
      <c r="J272" s="4" cm="1">
        <f t="array" ref="J272">INDEX(GMW!$A$2:$LR$60,MATCH(1,(GMW!$LQ$2:$LQ$60=J$3)*(GMW!$LP$2:$LP$60=J$4)*(GMW!$LR$2:$LR$60=J$1),0),$C272-1966)</f>
        <v>721622.4</v>
      </c>
      <c r="K272" s="4" cm="1">
        <f t="array" ref="K272">INDEX(GMW!$A$2:$LR$60,MATCH(1,(GMW!$LQ$2:$LQ$60=K$3)*(GMW!$LP$2:$LP$60=K$4)*(GMW!$LR$2:$LR$60=K$1),0),$C272-1966)</f>
        <v>721513.6</v>
      </c>
      <c r="L272" s="4" cm="1">
        <f t="array" ref="L272">INDEX(GMW!$A$2:$LR$60,MATCH(1,(GMW!$LQ$2:$LQ$60=L$3)*(GMW!$LP$2:$LP$60=L$4)*(GMW!$LR$2:$LR$60=L$1),0),$C272-1966)</f>
        <v>721545.4</v>
      </c>
      <c r="M272" s="4" cm="1">
        <f t="array" ref="M272">INDEX(GMW!$A$2:$LR$60,MATCH(1,(GMW!$LQ$2:$LQ$60=M$3)*(GMW!$LP$2:$LP$60=M$4)*(GMW!$LR$2:$LR$60=M$1),0),$C272-1966)</f>
        <v>721545.4</v>
      </c>
      <c r="N272" s="4" cm="1">
        <f t="array" ref="N272">INDEX(GMW!$A$2:$LR$60,MATCH(1,(GMW!$LQ$2:$LQ$60=N$3)*(GMW!$LP$2:$LP$60=N$4)*(GMW!$LR$2:$LR$60=N$1),0),$C272-1966)</f>
        <v>724431.8</v>
      </c>
      <c r="O272" s="4" cm="1">
        <f t="array" ref="O272">INDEX(GMW!$A$2:$LR$60,MATCH(1,(GMW!$LQ$2:$LQ$60=O$3)*(GMW!$LP$2:$LP$60=O$4)*(GMW!$LR$2:$LR$60=O$1),0),$C272-1966)</f>
        <v>725154.7</v>
      </c>
      <c r="P272" s="4" cm="1">
        <f t="array" ref="P272">INDEX(GMW!$A$2:$LR$60,MATCH(1,(GMW!$LQ$2:$LQ$60=P$3)*(GMW!$LP$2:$LP$60=P$4)*(GMW!$LR$2:$LR$60=P$1),0),$C272-1966)</f>
        <v>725427.19999999995</v>
      </c>
      <c r="Q272" s="4" cm="1">
        <f t="array" ref="Q272">INDEX(GMW!$A$2:$LR$60,MATCH(1,(GMW!$LQ$2:$LQ$60=Q$3)*(GMW!$LP$2:$LP$60=Q$4)*(GMW!$LR$2:$LR$60=Q$1),0),$C272-1966)</f>
        <v>728019.6</v>
      </c>
      <c r="R272" s="4" cm="1">
        <f t="array" ref="R272">INDEX(GMW!$A$2:$LR$60,MATCH(1,(GMW!$LQ$2:$LQ$60=R$3)*(GMW!$LP$2:$LP$60=R$4)*(GMW!$LR$2:$LR$60=R$1),0),$C272-1966)</f>
        <v>728702.8</v>
      </c>
      <c r="S272" s="4" cm="1">
        <f t="array" ref="S272">INDEX(GMW!$A$2:$LR$60,MATCH(1,(GMW!$LQ$2:$LQ$60=S$3)*(GMW!$LP$2:$LP$60=S$4)*(GMW!$LR$2:$LR$60=S$1),0),$C272-1966)</f>
        <v>726180.6</v>
      </c>
      <c r="T272" s="4" cm="1">
        <f t="array" ref="T272">INDEX(GMW!$A$2:$LR$60,MATCH(1,(GMW!$LQ$2:$LQ$60=T$3)*(GMW!$LP$2:$LP$60=T$4)*(GMW!$LR$2:$LR$60=T$1),0),$C272-1966)</f>
        <v>726689.3</v>
      </c>
      <c r="U272" s="4" cm="1">
        <f t="array" ref="U272">INDEX(GMW!$A$2:$LR$60,MATCH(1,(GMW!$LQ$2:$LQ$60=U$3)*(GMW!$LP$2:$LP$60=U$4)*(GMW!$LR$2:$LR$60=U$1),0),$C272-1966)</f>
        <v>1069.1969999999999</v>
      </c>
      <c r="V272" s="4" cm="1">
        <f t="array" ref="V272">INDEX(GMW!$A$2:$LR$60,MATCH(1,(GMW!$LQ$2:$LQ$60=V$3)*(GMW!$LP$2:$LP$60=V$4)*(GMW!$LR$2:$LR$60=V$1),0),$C272-1966)</f>
        <v>181.74469999999999</v>
      </c>
      <c r="W272" s="4" cm="1">
        <f t="array" ref="W272">INDEX(GMW!$A$2:$LR$60,MATCH(1,(GMW!$LQ$2:$LQ$60=W$3)*(GMW!$LP$2:$LP$60=W$4)*(GMW!$LR$2:$LR$60=W$1),0),$C272-1966)</f>
        <v>174.2688</v>
      </c>
      <c r="X272" s="4" cm="1">
        <f t="array" ref="X272">INDEX(GMW!$A$2:$LR$60,MATCH(1,(GMW!$LQ$2:$LQ$60=X$3)*(GMW!$LP$2:$LP$60=X$4)*(GMW!$LR$2:$LR$60=X$1),0),$C272-1966)</f>
        <v>125.9601</v>
      </c>
      <c r="Y272" s="4" cm="1">
        <f t="array" ref="Y272">INDEX(GMW!$A$2:$LR$60,MATCH(1,(GMW!$LQ$2:$LQ$60=Y$3)*(GMW!$LP$2:$LP$60=Y$4)*(GMW!$LR$2:$LR$60=Y$1),0),$C272-1966)</f>
        <v>234.0615</v>
      </c>
      <c r="Z272" s="4" cm="1">
        <f t="array" ref="Z272">INDEX(GMW!$A$2:$LR$60,MATCH(1,(GMW!$LQ$2:$LQ$60=Z$3)*(GMW!$LP$2:$LP$60=Z$4)*(GMW!$LR$2:$LR$60=Z$1),0),$C272-1966)</f>
        <v>182.1225</v>
      </c>
      <c r="AA272" s="4" cm="1">
        <f t="array" ref="AA272">INDEX(GMW!$A$2:$LR$60,MATCH(1,(GMW!$LQ$2:$LQ$60=AA$3)*(GMW!$LP$2:$LP$60=AA$4)*(GMW!$LR$2:$LR$60=AA$1),0),$C272-1966)</f>
        <v>431333.5</v>
      </c>
      <c r="AB272" s="4" cm="1">
        <f t="array" ref="AB272">INDEX(GMW!$A$2:$LR$60,MATCH(1,(GMW!$LQ$2:$LQ$60=AB$3)*(GMW!$LP$2:$LP$60=AB$4)*(GMW!$LR$2:$LR$60=AB$1),0),$C272-1966)</f>
        <v>145785</v>
      </c>
      <c r="AC272" s="4" cm="1">
        <f t="array" ref="AC272">INDEX(GMW!$A$2:$LR$60,MATCH(1,(GMW!$LQ$2:$LQ$60=AC$3)*(GMW!$LP$2:$LP$60=AC$4)*(GMW!$LR$2:$LR$60=AC$1),0),$C272-1966)</f>
        <v>150997.29999999999</v>
      </c>
      <c r="AD272" s="4" cm="1">
        <f t="array" ref="AD272">INDEX(GMW!$A$2:$LR$60,MATCH(1,(GMW!$LQ$2:$LQ$60=AD$3)*(GMW!$LP$2:$LP$60=AD$4)*(GMW!$LR$2:$LR$60=AD$1),0),$C272-1966)</f>
        <v>232265.3</v>
      </c>
      <c r="AE272" s="4" cm="1">
        <f t="array" ref="AE272">INDEX(GMW!$A$2:$LR$60,MATCH(1,(GMW!$LQ$2:$LQ$60=AE$3)*(GMW!$LP$2:$LP$60=AE$4)*(GMW!$LR$2:$LR$60=AE$1),0),$C272-1966)</f>
        <v>256250.5</v>
      </c>
      <c r="AF272" s="4" cm="1">
        <f t="array" ref="AF272">INDEX(GMW!$A$2:$LR$60,MATCH(1,(GMW!$LQ$2:$LQ$60=AF$3)*(GMW!$LP$2:$LP$60=AF$4)*(GMW!$LR$2:$LR$60=AF$1),0),$C272-1966)</f>
        <v>2.1064639999999999</v>
      </c>
      <c r="AG272" s="4" cm="1">
        <f t="array" ref="AG272">INDEX(GMW!$A$2:$LR$60,MATCH(1,(GMW!$LQ$2:$LQ$60=AG$3)*(GMW!$LP$2:$LP$60=AG$4)*(GMW!$LR$2:$LR$60=AG$1),0),$C272-1966)</f>
        <v>2.4334739999999999</v>
      </c>
    </row>
    <row r="273" spans="1:33" x14ac:dyDescent="0.25">
      <c r="B273" s="4">
        <f t="shared" si="9"/>
        <v>2039</v>
      </c>
      <c r="C273" s="4">
        <f t="shared" si="8"/>
        <v>2239</v>
      </c>
      <c r="D273" s="4" cm="1">
        <f t="array" ref="D273">INDEX(GMW!$A$2:$LR$60,MATCH(1,(GMW!$LQ$2:$LQ$60=D$3)*(GMW!$LP$2:$LP$60=D$4)*(GMW!$LR$2:$LR$60=D$1),0),$C273-1966)</f>
        <v>728215.1</v>
      </c>
      <c r="E273" s="4" cm="1">
        <f t="array" ref="E273">INDEX(GMW!$A$2:$LR$60,MATCH(1,(GMW!$LQ$2:$LQ$60=E$3)*(GMW!$LP$2:$LP$60=E$4)*(GMW!$LR$2:$LR$60=E$1),0),$C273-1966)</f>
        <v>718244.4</v>
      </c>
      <c r="F273" s="4" cm="1">
        <f t="array" ref="F273">INDEX(GMW!$A$2:$LR$60,MATCH(1,(GMW!$LQ$2:$LQ$60=F$3)*(GMW!$LP$2:$LP$60=F$4)*(GMW!$LR$2:$LR$60=F$1),0),$C273-1966)</f>
        <v>718523.6</v>
      </c>
      <c r="G273" s="4" cm="1">
        <f t="array" ref="G273">INDEX(GMW!$A$2:$LR$60,MATCH(1,(GMW!$LQ$2:$LQ$60=G$3)*(GMW!$LP$2:$LP$60=G$4)*(GMW!$LR$2:$LR$60=G$1),0),$C273-1966)</f>
        <v>718523.6</v>
      </c>
      <c r="H273" s="4" cm="1">
        <f t="array" ref="H273">INDEX(GMW!$A$2:$LR$60,MATCH(1,(GMW!$LQ$2:$LQ$60=H$3)*(GMW!$LP$2:$LP$60=H$4)*(GMW!$LR$2:$LR$60=H$1),0),$C273-1966)</f>
        <v>723482.5</v>
      </c>
      <c r="I273" s="4" cm="1">
        <f t="array" ref="I273">INDEX(GMW!$A$2:$LR$60,MATCH(1,(GMW!$LQ$2:$LQ$60=I$3)*(GMW!$LP$2:$LP$60=I$4)*(GMW!$LR$2:$LR$60=I$1),0),$C273-1966)</f>
        <v>724431.8</v>
      </c>
      <c r="J273" s="4" cm="1">
        <f t="array" ref="J273">INDEX(GMW!$A$2:$LR$60,MATCH(1,(GMW!$LQ$2:$LQ$60=J$3)*(GMW!$LP$2:$LP$60=J$4)*(GMW!$LR$2:$LR$60=J$1),0),$C273-1966)</f>
        <v>724402.9</v>
      </c>
      <c r="K273" s="4" cm="1">
        <f t="array" ref="K273">INDEX(GMW!$A$2:$LR$60,MATCH(1,(GMW!$LQ$2:$LQ$60=K$3)*(GMW!$LP$2:$LP$60=K$4)*(GMW!$LR$2:$LR$60=K$1),0),$C273-1966)</f>
        <v>724295.9</v>
      </c>
      <c r="L273" s="4" cm="1">
        <f t="array" ref="L273">INDEX(GMW!$A$2:$LR$60,MATCH(1,(GMW!$LQ$2:$LQ$60=L$3)*(GMW!$LP$2:$LP$60=L$4)*(GMW!$LR$2:$LR$60=L$1),0),$C273-1966)</f>
        <v>724328.2</v>
      </c>
      <c r="M273" s="4" cm="1">
        <f t="array" ref="M273">INDEX(GMW!$A$2:$LR$60,MATCH(1,(GMW!$LQ$2:$LQ$60=M$3)*(GMW!$LP$2:$LP$60=M$4)*(GMW!$LR$2:$LR$60=M$1),0),$C273-1966)</f>
        <v>724328.2</v>
      </c>
      <c r="N273" s="4" cm="1">
        <f t="array" ref="N273">INDEX(GMW!$A$2:$LR$60,MATCH(1,(GMW!$LQ$2:$LQ$60=N$3)*(GMW!$LP$2:$LP$60=N$4)*(GMW!$LR$2:$LR$60=N$1),0),$C273-1966)</f>
        <v>727255.9</v>
      </c>
      <c r="O273" s="4" cm="1">
        <f t="array" ref="O273">INDEX(GMW!$A$2:$LR$60,MATCH(1,(GMW!$LQ$2:$LQ$60=O$3)*(GMW!$LP$2:$LP$60=O$4)*(GMW!$LR$2:$LR$60=O$1),0),$C273-1966)</f>
        <v>728008.9</v>
      </c>
      <c r="P273" s="4" cm="1">
        <f t="array" ref="P273">INDEX(GMW!$A$2:$LR$60,MATCH(1,(GMW!$LQ$2:$LQ$60=P$3)*(GMW!$LP$2:$LP$60=P$4)*(GMW!$LR$2:$LR$60=P$1),0),$C273-1966)</f>
        <v>728280.9</v>
      </c>
      <c r="Q273" s="4" cm="1">
        <f t="array" ref="Q273">INDEX(GMW!$A$2:$LR$60,MATCH(1,(GMW!$LQ$2:$LQ$60=Q$3)*(GMW!$LP$2:$LP$60=Q$4)*(GMW!$LR$2:$LR$60=Q$1),0),$C273-1966)</f>
        <v>730905.8</v>
      </c>
      <c r="R273" s="4" cm="1">
        <f t="array" ref="R273">INDEX(GMW!$A$2:$LR$60,MATCH(1,(GMW!$LQ$2:$LQ$60=R$3)*(GMW!$LP$2:$LP$60=R$4)*(GMW!$LR$2:$LR$60=R$1),0),$C273-1966)</f>
        <v>731620.1</v>
      </c>
      <c r="S273" s="4" cm="1">
        <f t="array" ref="S273">INDEX(GMW!$A$2:$LR$60,MATCH(1,(GMW!$LQ$2:$LQ$60=S$3)*(GMW!$LP$2:$LP$60=S$4)*(GMW!$LR$2:$LR$60=S$1),0),$C273-1966)</f>
        <v>729083</v>
      </c>
      <c r="T273" s="4" cm="1">
        <f t="array" ref="T273">INDEX(GMW!$A$2:$LR$60,MATCH(1,(GMW!$LQ$2:$LQ$60=T$3)*(GMW!$LP$2:$LP$60=T$4)*(GMW!$LR$2:$LR$60=T$1),0),$C273-1966)</f>
        <v>729585.8</v>
      </c>
      <c r="U273" s="4" cm="1">
        <f t="array" ref="U273">INDEX(GMW!$A$2:$LR$60,MATCH(1,(GMW!$LQ$2:$LQ$60=U$3)*(GMW!$LP$2:$LP$60=U$4)*(GMW!$LR$2:$LR$60=U$1),0),$C273-1966)</f>
        <v>1077.67</v>
      </c>
      <c r="V273" s="4" cm="1">
        <f t="array" ref="V273">INDEX(GMW!$A$2:$LR$60,MATCH(1,(GMW!$LQ$2:$LQ$60=V$3)*(GMW!$LP$2:$LP$60=V$4)*(GMW!$LR$2:$LR$60=V$1),0),$C273-1966)</f>
        <v>182.60640000000001</v>
      </c>
      <c r="W273" s="4" cm="1">
        <f t="array" ref="W273">INDEX(GMW!$A$2:$LR$60,MATCH(1,(GMW!$LQ$2:$LQ$60=W$3)*(GMW!$LP$2:$LP$60=W$4)*(GMW!$LR$2:$LR$60=W$1),0),$C273-1966)</f>
        <v>174.05459999999999</v>
      </c>
      <c r="X273" s="4" cm="1">
        <f t="array" ref="X273">INDEX(GMW!$A$2:$LR$60,MATCH(1,(GMW!$LQ$2:$LQ$60=X$3)*(GMW!$LP$2:$LP$60=X$4)*(GMW!$LR$2:$LR$60=X$1),0),$C273-1966)</f>
        <v>126.0108</v>
      </c>
      <c r="Y273" s="4" cm="1">
        <f t="array" ref="Y273">INDEX(GMW!$A$2:$LR$60,MATCH(1,(GMW!$LQ$2:$LQ$60=Y$3)*(GMW!$LP$2:$LP$60=Y$4)*(GMW!$LR$2:$LR$60=Y$1),0),$C273-1966)</f>
        <v>236.09200000000001</v>
      </c>
      <c r="Z273" s="4" cm="1">
        <f t="array" ref="Z273">INDEX(GMW!$A$2:$LR$60,MATCH(1,(GMW!$LQ$2:$LQ$60=Z$3)*(GMW!$LP$2:$LP$60=Z$4)*(GMW!$LR$2:$LR$60=Z$1),0),$C273-1966)</f>
        <v>183.19300000000001</v>
      </c>
      <c r="AA273" s="4" cm="1">
        <f t="array" ref="AA273">INDEX(GMW!$A$2:$LR$60,MATCH(1,(GMW!$LQ$2:$LQ$60=AA$3)*(GMW!$LP$2:$LP$60=AA$4)*(GMW!$LR$2:$LR$60=AA$1),0),$C273-1966)</f>
        <v>433031.9</v>
      </c>
      <c r="AB273" s="4" cm="1">
        <f t="array" ref="AB273">INDEX(GMW!$A$2:$LR$60,MATCH(1,(GMW!$LQ$2:$LQ$60=AB$3)*(GMW!$LP$2:$LP$60=AB$4)*(GMW!$LR$2:$LR$60=AB$1),0),$C273-1966)</f>
        <v>146615.79999999999</v>
      </c>
      <c r="AC273" s="4" cm="1">
        <f t="array" ref="AC273">INDEX(GMW!$A$2:$LR$60,MATCH(1,(GMW!$LQ$2:$LQ$60=AC$3)*(GMW!$LP$2:$LP$60=AC$4)*(GMW!$LR$2:$LR$60=AC$1),0),$C273-1966)</f>
        <v>151590.39999999999</v>
      </c>
      <c r="AD273" s="4" cm="1">
        <f t="array" ref="AD273">INDEX(GMW!$A$2:$LR$60,MATCH(1,(GMW!$LQ$2:$LQ$60=AD$3)*(GMW!$LP$2:$LP$60=AD$4)*(GMW!$LR$2:$LR$60=AD$1),0),$C273-1966)</f>
        <v>233382.1</v>
      </c>
      <c r="AE273" s="4" cm="1">
        <f t="array" ref="AE273">INDEX(GMW!$A$2:$LR$60,MATCH(1,(GMW!$LQ$2:$LQ$60=AE$3)*(GMW!$LP$2:$LP$60=AE$4)*(GMW!$LR$2:$LR$60=AE$1),0),$C273-1966)</f>
        <v>257654.7</v>
      </c>
      <c r="AF273" s="4" cm="1">
        <f t="array" ref="AF273">INDEX(GMW!$A$2:$LR$60,MATCH(1,(GMW!$LQ$2:$LQ$60=AF$3)*(GMW!$LP$2:$LP$60=AF$4)*(GMW!$LR$2:$LR$60=AF$1),0),$C273-1966)</f>
        <v>2.1064639999999999</v>
      </c>
      <c r="AG273" s="4" cm="1">
        <f t="array" ref="AG273">INDEX(GMW!$A$2:$LR$60,MATCH(1,(GMW!$LQ$2:$LQ$60=AG$3)*(GMW!$LP$2:$LP$60=AG$4)*(GMW!$LR$2:$LR$60=AG$1),0),$C273-1966)</f>
        <v>2.4334739999999999</v>
      </c>
    </row>
    <row r="274" spans="1:33" x14ac:dyDescent="0.25">
      <c r="B274" s="4">
        <f t="shared" si="9"/>
        <v>2039</v>
      </c>
      <c r="C274" s="4">
        <f t="shared" si="8"/>
        <v>2240</v>
      </c>
      <c r="D274" s="4" cm="1">
        <f t="array" ref="D274">INDEX(GMW!$A$2:$LR$60,MATCH(1,(GMW!$LQ$2:$LQ$60=D$3)*(GMW!$LP$2:$LP$60=D$4)*(GMW!$LR$2:$LR$60=D$1),0),$C274-1966)</f>
        <v>731122</v>
      </c>
      <c r="E274" s="4" cm="1">
        <f t="array" ref="E274">INDEX(GMW!$A$2:$LR$60,MATCH(1,(GMW!$LQ$2:$LQ$60=E$3)*(GMW!$LP$2:$LP$60=E$4)*(GMW!$LR$2:$LR$60=E$1),0),$C274-1966)</f>
        <v>721030.9</v>
      </c>
      <c r="F274" s="4" cm="1">
        <f t="array" ref="F274">INDEX(GMW!$A$2:$LR$60,MATCH(1,(GMW!$LQ$2:$LQ$60=F$3)*(GMW!$LP$2:$LP$60=F$4)*(GMW!$LR$2:$LR$60=F$1),0),$C274-1966)</f>
        <v>721310.9</v>
      </c>
      <c r="G274" s="4" cm="1">
        <f t="array" ref="G274">INDEX(GMW!$A$2:$LR$60,MATCH(1,(GMW!$LQ$2:$LQ$60=G$3)*(GMW!$LP$2:$LP$60=G$4)*(GMW!$LR$2:$LR$60=G$1),0),$C274-1966)</f>
        <v>721310.9</v>
      </c>
      <c r="H274" s="4" cm="1">
        <f t="array" ref="H274">INDEX(GMW!$A$2:$LR$60,MATCH(1,(GMW!$LQ$2:$LQ$60=H$3)*(GMW!$LP$2:$LP$60=H$4)*(GMW!$LR$2:$LR$60=H$1),0),$C274-1966)</f>
        <v>726281.1</v>
      </c>
      <c r="I274" s="4" cm="1">
        <f t="array" ref="I274">INDEX(GMW!$A$2:$LR$60,MATCH(1,(GMW!$LQ$2:$LQ$60=I$3)*(GMW!$LP$2:$LP$60=I$4)*(GMW!$LR$2:$LR$60=I$1),0),$C274-1966)</f>
        <v>727226.9</v>
      </c>
      <c r="J274" s="4" cm="1">
        <f t="array" ref="J274">INDEX(GMW!$A$2:$LR$60,MATCH(1,(GMW!$LQ$2:$LQ$60=J$3)*(GMW!$LP$2:$LP$60=J$4)*(GMW!$LR$2:$LR$60=J$1),0),$C274-1966)</f>
        <v>727197.8</v>
      </c>
      <c r="K274" s="4" cm="1">
        <f t="array" ref="K274">INDEX(GMW!$A$2:$LR$60,MATCH(1,(GMW!$LQ$2:$LQ$60=K$3)*(GMW!$LP$2:$LP$60=K$4)*(GMW!$LR$2:$LR$60=K$1),0),$C274-1966)</f>
        <v>727092.7</v>
      </c>
      <c r="L274" s="4" cm="1">
        <f t="array" ref="L274">INDEX(GMW!$A$2:$LR$60,MATCH(1,(GMW!$LQ$2:$LQ$60=L$3)*(GMW!$LP$2:$LP$60=L$4)*(GMW!$LR$2:$LR$60=L$1),0),$C274-1966)</f>
        <v>727125.4</v>
      </c>
      <c r="M274" s="4" cm="1">
        <f t="array" ref="M274">INDEX(GMW!$A$2:$LR$60,MATCH(1,(GMW!$LQ$2:$LQ$60=M$3)*(GMW!$LP$2:$LP$60=M$4)*(GMW!$LR$2:$LR$60=M$1),0),$C274-1966)</f>
        <v>727125.4</v>
      </c>
      <c r="N274" s="4" cm="1">
        <f t="array" ref="N274">INDEX(GMW!$A$2:$LR$60,MATCH(1,(GMW!$LQ$2:$LQ$60=N$3)*(GMW!$LP$2:$LP$60=N$4)*(GMW!$LR$2:$LR$60=N$1),0),$C274-1966)</f>
        <v>730095.1</v>
      </c>
      <c r="O274" s="4" cm="1">
        <f t="array" ref="O274">INDEX(GMW!$A$2:$LR$60,MATCH(1,(GMW!$LQ$2:$LQ$60=O$3)*(GMW!$LP$2:$LP$60=O$4)*(GMW!$LR$2:$LR$60=O$1),0),$C274-1966)</f>
        <v>730878.9</v>
      </c>
      <c r="P274" s="4" cm="1">
        <f t="array" ref="P274">INDEX(GMW!$A$2:$LR$60,MATCH(1,(GMW!$LQ$2:$LQ$60=P$3)*(GMW!$LP$2:$LP$60=P$4)*(GMW!$LR$2:$LR$60=P$1),0),$C274-1966)</f>
        <v>731150.4</v>
      </c>
      <c r="Q274" s="4" cm="1">
        <f t="array" ref="Q274">INDEX(GMW!$A$2:$LR$60,MATCH(1,(GMW!$LQ$2:$LQ$60=Q$3)*(GMW!$LP$2:$LP$60=Q$4)*(GMW!$LR$2:$LR$60=Q$1),0),$C274-1966)</f>
        <v>733806.2</v>
      </c>
      <c r="R274" s="4" cm="1">
        <f t="array" ref="R274">INDEX(GMW!$A$2:$LR$60,MATCH(1,(GMW!$LQ$2:$LQ$60=R$3)*(GMW!$LP$2:$LP$60=R$4)*(GMW!$LR$2:$LR$60=R$1),0),$C274-1966)</f>
        <v>734551.8</v>
      </c>
      <c r="S274" s="4" cm="1">
        <f t="array" ref="S274">INDEX(GMW!$A$2:$LR$60,MATCH(1,(GMW!$LQ$2:$LQ$60=S$3)*(GMW!$LP$2:$LP$60=S$4)*(GMW!$LR$2:$LR$60=S$1),0),$C274-1966)</f>
        <v>731999.9</v>
      </c>
      <c r="T274" s="4" cm="1">
        <f t="array" ref="T274">INDEX(GMW!$A$2:$LR$60,MATCH(1,(GMW!$LQ$2:$LQ$60=T$3)*(GMW!$LP$2:$LP$60=T$4)*(GMW!$LR$2:$LR$60=T$1),0),$C274-1966)</f>
        <v>732496.8</v>
      </c>
      <c r="U274" s="4" cm="1">
        <f t="array" ref="U274">INDEX(GMW!$A$2:$LR$60,MATCH(1,(GMW!$LQ$2:$LQ$60=U$3)*(GMW!$LP$2:$LP$60=U$4)*(GMW!$LR$2:$LR$60=U$1),0),$C274-1966)</f>
        <v>1086.2139999999999</v>
      </c>
      <c r="V274" s="4" cm="1">
        <f t="array" ref="V274">INDEX(GMW!$A$2:$LR$60,MATCH(1,(GMW!$LQ$2:$LQ$60=V$3)*(GMW!$LP$2:$LP$60=V$4)*(GMW!$LR$2:$LR$60=V$1),0),$C274-1966)</f>
        <v>183.48699999999999</v>
      </c>
      <c r="W274" s="4" cm="1">
        <f t="array" ref="W274">INDEX(GMW!$A$2:$LR$60,MATCH(1,(GMW!$LQ$2:$LQ$60=W$3)*(GMW!$LP$2:$LP$60=W$4)*(GMW!$LR$2:$LR$60=W$1),0),$C274-1966)</f>
        <v>174.8365</v>
      </c>
      <c r="X274" s="4" cm="1">
        <f t="array" ref="X274">INDEX(GMW!$A$2:$LR$60,MATCH(1,(GMW!$LQ$2:$LQ$60=X$3)*(GMW!$LP$2:$LP$60=X$4)*(GMW!$LR$2:$LR$60=X$1),0),$C274-1966)</f>
        <v>126.0617</v>
      </c>
      <c r="Y274" s="4" cm="1">
        <f t="array" ref="Y274">INDEX(GMW!$A$2:$LR$60,MATCH(1,(GMW!$LQ$2:$LQ$60=Y$3)*(GMW!$LP$2:$LP$60=Y$4)*(GMW!$LR$2:$LR$60=Y$1),0),$C274-1966)</f>
        <v>238.16040000000001</v>
      </c>
      <c r="Z274" s="4" cm="1">
        <f t="array" ref="Z274">INDEX(GMW!$A$2:$LR$60,MATCH(1,(GMW!$LQ$2:$LQ$60=Z$3)*(GMW!$LP$2:$LP$60=Z$4)*(GMW!$LR$2:$LR$60=Z$1),0),$C274-1966)</f>
        <v>184.08250000000001</v>
      </c>
      <c r="AA274" s="4" cm="1">
        <f t="array" ref="AA274">INDEX(GMW!$A$2:$LR$60,MATCH(1,(GMW!$LQ$2:$LQ$60=AA$3)*(GMW!$LP$2:$LP$60=AA$4)*(GMW!$LR$2:$LR$60=AA$1),0),$C274-1966)</f>
        <v>434747.5</v>
      </c>
      <c r="AB274" s="4" cm="1">
        <f t="array" ref="AB274">INDEX(GMW!$A$2:$LR$60,MATCH(1,(GMW!$LQ$2:$LQ$60=AB$3)*(GMW!$LP$2:$LP$60=AB$4)*(GMW!$LR$2:$LR$60=AB$1),0),$C274-1966)</f>
        <v>147452.1</v>
      </c>
      <c r="AC274" s="4" cm="1">
        <f t="array" ref="AC274">INDEX(GMW!$A$2:$LR$60,MATCH(1,(GMW!$LQ$2:$LQ$60=AC$3)*(GMW!$LP$2:$LP$60=AC$4)*(GMW!$LR$2:$LR$60=AC$1),0),$C274-1966)</f>
        <v>152195.5</v>
      </c>
      <c r="AD274" s="4" cm="1">
        <f t="array" ref="AD274">INDEX(GMW!$A$2:$LR$60,MATCH(1,(GMW!$LQ$2:$LQ$60=AD$3)*(GMW!$LP$2:$LP$60=AD$4)*(GMW!$LR$2:$LR$60=AD$1),0),$C274-1966)</f>
        <v>234505.60000000001</v>
      </c>
      <c r="AE274" s="4" cm="1">
        <f t="array" ref="AE274">INDEX(GMW!$A$2:$LR$60,MATCH(1,(GMW!$LQ$2:$LQ$60=AE$3)*(GMW!$LP$2:$LP$60=AE$4)*(GMW!$LR$2:$LR$60=AE$1),0),$C274-1966)</f>
        <v>259068</v>
      </c>
      <c r="AF274" s="4" cm="1">
        <f t="array" ref="AF274">INDEX(GMW!$A$2:$LR$60,MATCH(1,(GMW!$LQ$2:$LQ$60=AF$3)*(GMW!$LP$2:$LP$60=AF$4)*(GMW!$LR$2:$LR$60=AF$1),0),$C274-1966)</f>
        <v>2.1064639999999999</v>
      </c>
      <c r="AG274" s="4" cm="1">
        <f t="array" ref="AG274">INDEX(GMW!$A$2:$LR$60,MATCH(1,(GMW!$LQ$2:$LQ$60=AG$3)*(GMW!$LP$2:$LP$60=AG$4)*(GMW!$LR$2:$LR$60=AG$1),0),$C274-1966)</f>
        <v>2.4334739999999999</v>
      </c>
    </row>
    <row r="275" spans="1:33" x14ac:dyDescent="0.25">
      <c r="A275" s="4">
        <v>2040</v>
      </c>
      <c r="B275" s="4">
        <f t="shared" si="9"/>
        <v>2040</v>
      </c>
      <c r="C275" s="4">
        <f t="shared" si="8"/>
        <v>2241</v>
      </c>
      <c r="D275" s="4" cm="1">
        <f t="array" ref="D275">INDEX(GMW!$A$2:$LR$60,MATCH(1,(GMW!$LQ$2:$LQ$60=D$3)*(GMW!$LP$2:$LP$60=D$4)*(GMW!$LR$2:$LR$60=D$1),0),$C275-1966)</f>
        <v>734043.5</v>
      </c>
      <c r="E275" s="4" cm="1">
        <f t="array" ref="E275">INDEX(GMW!$A$2:$LR$60,MATCH(1,(GMW!$LQ$2:$LQ$60=E$3)*(GMW!$LP$2:$LP$60=E$4)*(GMW!$LR$2:$LR$60=E$1),0),$C275-1966)</f>
        <v>723831.9</v>
      </c>
      <c r="F275" s="4" cm="1">
        <f t="array" ref="F275">INDEX(GMW!$A$2:$LR$60,MATCH(1,(GMW!$LQ$2:$LQ$60=F$3)*(GMW!$LP$2:$LP$60=F$4)*(GMW!$LR$2:$LR$60=F$1),0),$C275-1966)</f>
        <v>724112.6</v>
      </c>
      <c r="G275" s="4" cm="1">
        <f t="array" ref="G275">INDEX(GMW!$A$2:$LR$60,MATCH(1,(GMW!$LQ$2:$LQ$60=G$3)*(GMW!$LP$2:$LP$60=G$4)*(GMW!$LR$2:$LR$60=G$1),0),$C275-1966)</f>
        <v>724112.6</v>
      </c>
      <c r="H275" s="4" cm="1">
        <f t="array" ref="H275">INDEX(GMW!$A$2:$LR$60,MATCH(1,(GMW!$LQ$2:$LQ$60=H$3)*(GMW!$LP$2:$LP$60=H$4)*(GMW!$LR$2:$LR$60=H$1),0),$C275-1966)</f>
        <v>729094.9</v>
      </c>
      <c r="I275" s="4" cm="1">
        <f t="array" ref="I275">INDEX(GMW!$A$2:$LR$60,MATCH(1,(GMW!$LQ$2:$LQ$60=I$3)*(GMW!$LP$2:$LP$60=I$4)*(GMW!$LR$2:$LR$60=I$1),0),$C275-1966)</f>
        <v>730036.6</v>
      </c>
      <c r="J275" s="4" cm="1">
        <f t="array" ref="J275">INDEX(GMW!$A$2:$LR$60,MATCH(1,(GMW!$LQ$2:$LQ$60=J$3)*(GMW!$LP$2:$LP$60=J$4)*(GMW!$LR$2:$LR$60=J$1),0),$C275-1966)</f>
        <v>730007.3</v>
      </c>
      <c r="K275" s="4" cm="1">
        <f t="array" ref="K275">INDEX(GMW!$A$2:$LR$60,MATCH(1,(GMW!$LQ$2:$LQ$60=K$3)*(GMW!$LP$2:$LP$60=K$4)*(GMW!$LR$2:$LR$60=K$1),0),$C275-1966)</f>
        <v>729903.8</v>
      </c>
      <c r="L275" s="4" cm="1">
        <f t="array" ref="L275">INDEX(GMW!$A$2:$LR$60,MATCH(1,(GMW!$LQ$2:$LQ$60=L$3)*(GMW!$LP$2:$LP$60=L$4)*(GMW!$LR$2:$LR$60=L$1),0),$C275-1966)</f>
        <v>729936.9</v>
      </c>
      <c r="M275" s="4" cm="1">
        <f t="array" ref="M275">INDEX(GMW!$A$2:$LR$60,MATCH(1,(GMW!$LQ$2:$LQ$60=M$3)*(GMW!$LP$2:$LP$60=M$4)*(GMW!$LR$2:$LR$60=M$1),0),$C275-1966)</f>
        <v>729936.9</v>
      </c>
      <c r="N275" s="4" cm="1">
        <f t="array" ref="N275">INDEX(GMW!$A$2:$LR$60,MATCH(1,(GMW!$LQ$2:$LQ$60=N$3)*(GMW!$LP$2:$LP$60=N$4)*(GMW!$LR$2:$LR$60=N$1),0),$C275-1966)</f>
        <v>732949.4</v>
      </c>
      <c r="O275" s="4" cm="1">
        <f t="array" ref="O275">INDEX(GMW!$A$2:$LR$60,MATCH(1,(GMW!$LQ$2:$LQ$60=O$3)*(GMW!$LP$2:$LP$60=O$4)*(GMW!$LR$2:$LR$60=O$1),0),$C275-1966)</f>
        <v>733764.4</v>
      </c>
      <c r="P275" s="4" cm="1">
        <f t="array" ref="P275">INDEX(GMW!$A$2:$LR$60,MATCH(1,(GMW!$LQ$2:$LQ$60=P$3)*(GMW!$LP$2:$LP$60=P$4)*(GMW!$LR$2:$LR$60=P$1),0),$C275-1966)</f>
        <v>734035.4</v>
      </c>
      <c r="Q275" s="4" cm="1">
        <f t="array" ref="Q275">INDEX(GMW!$A$2:$LR$60,MATCH(1,(GMW!$LQ$2:$LQ$60=Q$3)*(GMW!$LP$2:$LP$60=Q$4)*(GMW!$LR$2:$LR$60=Q$1),0),$C275-1966)</f>
        <v>736720.7</v>
      </c>
      <c r="R275" s="4" cm="1">
        <f t="array" ref="R275">INDEX(GMW!$A$2:$LR$60,MATCH(1,(GMW!$LQ$2:$LQ$60=R$3)*(GMW!$LP$2:$LP$60=R$4)*(GMW!$LR$2:$LR$60=R$1),0),$C275-1966)</f>
        <v>737497.9</v>
      </c>
      <c r="S275" s="4" cm="1">
        <f t="array" ref="S275">INDEX(GMW!$A$2:$LR$60,MATCH(1,(GMW!$LQ$2:$LQ$60=S$3)*(GMW!$LP$2:$LP$60=S$4)*(GMW!$LR$2:$LR$60=S$1),0),$C275-1966)</f>
        <v>734931.4</v>
      </c>
      <c r="T275" s="4" cm="1">
        <f t="array" ref="T275">INDEX(GMW!$A$2:$LR$60,MATCH(1,(GMW!$LQ$2:$LQ$60=T$3)*(GMW!$LP$2:$LP$60=T$4)*(GMW!$LR$2:$LR$60=T$1),0),$C275-1966)</f>
        <v>735422.4</v>
      </c>
      <c r="U275" s="4" cm="1">
        <f t="array" ref="U275">INDEX(GMW!$A$2:$LR$60,MATCH(1,(GMW!$LQ$2:$LQ$60=U$3)*(GMW!$LP$2:$LP$60=U$4)*(GMW!$LR$2:$LR$60=U$1),0),$C275-1966)</f>
        <v>1094.8320000000001</v>
      </c>
      <c r="V275" s="4" cm="1">
        <f t="array" ref="V275">INDEX(GMW!$A$2:$LR$60,MATCH(1,(GMW!$LQ$2:$LQ$60=V$3)*(GMW!$LP$2:$LP$60=V$4)*(GMW!$LR$2:$LR$60=V$1),0),$C275-1966)</f>
        <v>183.77440000000001</v>
      </c>
      <c r="W275" s="4" cm="1">
        <f t="array" ref="W275">INDEX(GMW!$A$2:$LR$60,MATCH(1,(GMW!$LQ$2:$LQ$60=W$3)*(GMW!$LP$2:$LP$60=W$4)*(GMW!$LR$2:$LR$60=W$1),0),$C275-1966)</f>
        <v>176.4461</v>
      </c>
      <c r="X275" s="4" cm="1">
        <f t="array" ref="X275">INDEX(GMW!$A$2:$LR$60,MATCH(1,(GMW!$LQ$2:$LQ$60=X$3)*(GMW!$LP$2:$LP$60=X$4)*(GMW!$LR$2:$LR$60=X$1),0),$C275-1966)</f>
        <v>126.1007</v>
      </c>
      <c r="Y275" s="4" cm="1">
        <f t="array" ref="Y275">INDEX(GMW!$A$2:$LR$60,MATCH(1,(GMW!$LQ$2:$LQ$60=Y$3)*(GMW!$LP$2:$LP$60=Y$4)*(GMW!$LR$2:$LR$60=Y$1),0),$C275-1966)</f>
        <v>240.16589999999999</v>
      </c>
      <c r="Z275" s="4" cm="1">
        <f t="array" ref="Z275">INDEX(GMW!$A$2:$LR$60,MATCH(1,(GMW!$LQ$2:$LQ$60=Z$3)*(GMW!$LP$2:$LP$60=Z$4)*(GMW!$LR$2:$LR$60=Z$1),0),$C275-1966)</f>
        <v>184.03749999999999</v>
      </c>
      <c r="AA275" s="4" cm="1">
        <f t="array" ref="AA275">INDEX(GMW!$A$2:$LR$60,MATCH(1,(GMW!$LQ$2:$LQ$60=AA$3)*(GMW!$LP$2:$LP$60=AA$4)*(GMW!$LR$2:$LR$60=AA$1),0),$C275-1966)</f>
        <v>436489</v>
      </c>
      <c r="AB275" s="4" cm="1">
        <f t="array" ref="AB275">INDEX(GMW!$A$2:$LR$60,MATCH(1,(GMW!$LQ$2:$LQ$60=AB$3)*(GMW!$LP$2:$LP$60=AB$4)*(GMW!$LR$2:$LR$60=AB$1),0),$C275-1966)</f>
        <v>148204</v>
      </c>
      <c r="AC275" s="4" cm="1">
        <f t="array" ref="AC275">INDEX(GMW!$A$2:$LR$60,MATCH(1,(GMW!$LQ$2:$LQ$60=AC$3)*(GMW!$LP$2:$LP$60=AC$4)*(GMW!$LR$2:$LR$60=AC$1),0),$C275-1966)</f>
        <v>152811.29999999999</v>
      </c>
      <c r="AD275" s="4" cm="1">
        <f t="array" ref="AD275">INDEX(GMW!$A$2:$LR$60,MATCH(1,(GMW!$LQ$2:$LQ$60=AD$3)*(GMW!$LP$2:$LP$60=AD$4)*(GMW!$LR$2:$LR$60=AD$1),0),$C275-1966)</f>
        <v>235635.9</v>
      </c>
      <c r="AE275" s="4" cm="1">
        <f t="array" ref="AE275">INDEX(GMW!$A$2:$LR$60,MATCH(1,(GMW!$LQ$2:$LQ$60=AE$3)*(GMW!$LP$2:$LP$60=AE$4)*(GMW!$LR$2:$LR$60=AE$1),0),$C275-1966)</f>
        <v>260480.2</v>
      </c>
      <c r="AF275" s="4" cm="1">
        <f t="array" ref="AF275">INDEX(GMW!$A$2:$LR$60,MATCH(1,(GMW!$LQ$2:$LQ$60=AF$3)*(GMW!$LP$2:$LP$60=AF$4)*(GMW!$LR$2:$LR$60=AF$1),0),$C275-1966)</f>
        <v>2.1064639999999999</v>
      </c>
      <c r="AG275" s="4" cm="1">
        <f t="array" ref="AG275">INDEX(GMW!$A$2:$LR$60,MATCH(1,(GMW!$LQ$2:$LQ$60=AG$3)*(GMW!$LP$2:$LP$60=AG$4)*(GMW!$LR$2:$LR$60=AG$1),0),$C275-1966)</f>
        <v>2.4334739999999999</v>
      </c>
    </row>
    <row r="276" spans="1:33" x14ac:dyDescent="0.25">
      <c r="B276" s="4">
        <f t="shared" si="9"/>
        <v>2040</v>
      </c>
      <c r="C276" s="4">
        <f t="shared" si="8"/>
        <v>2242</v>
      </c>
      <c r="D276" s="4" cm="1">
        <f t="array" ref="D276">INDEX(GMW!$A$2:$LR$60,MATCH(1,(GMW!$LQ$2:$LQ$60=D$3)*(GMW!$LP$2:$LP$60=D$4)*(GMW!$LR$2:$LR$60=D$1),0),$C276-1966)</f>
        <v>736973.8</v>
      </c>
      <c r="E276" s="4" cm="1">
        <f t="array" ref="E276">INDEX(GMW!$A$2:$LR$60,MATCH(1,(GMW!$LQ$2:$LQ$60=E$3)*(GMW!$LP$2:$LP$60=E$4)*(GMW!$LR$2:$LR$60=E$1),0),$C276-1966)</f>
        <v>726641.4</v>
      </c>
      <c r="F276" s="4" cm="1">
        <f t="array" ref="F276">INDEX(GMW!$A$2:$LR$60,MATCH(1,(GMW!$LQ$2:$LQ$60=F$3)*(GMW!$LP$2:$LP$60=F$4)*(GMW!$LR$2:$LR$60=F$1),0),$C276-1966)</f>
        <v>726922.8</v>
      </c>
      <c r="G276" s="4" cm="1">
        <f t="array" ref="G276">INDEX(GMW!$A$2:$LR$60,MATCH(1,(GMW!$LQ$2:$LQ$60=G$3)*(GMW!$LP$2:$LP$60=G$4)*(GMW!$LR$2:$LR$60=G$1),0),$C276-1966)</f>
        <v>726922.8</v>
      </c>
      <c r="H276" s="4" cm="1">
        <f t="array" ref="H276">INDEX(GMW!$A$2:$LR$60,MATCH(1,(GMW!$LQ$2:$LQ$60=H$3)*(GMW!$LP$2:$LP$60=H$4)*(GMW!$LR$2:$LR$60=H$1),0),$C276-1966)</f>
        <v>731917.6</v>
      </c>
      <c r="I276" s="4" cm="1">
        <f t="array" ref="I276">INDEX(GMW!$A$2:$LR$60,MATCH(1,(GMW!$LQ$2:$LQ$60=I$3)*(GMW!$LP$2:$LP$60=I$4)*(GMW!$LR$2:$LR$60=I$1),0),$C276-1966)</f>
        <v>732854.6</v>
      </c>
      <c r="J276" s="4" cm="1">
        <f t="array" ref="J276">INDEX(GMW!$A$2:$LR$60,MATCH(1,(GMW!$LQ$2:$LQ$60=J$3)*(GMW!$LP$2:$LP$60=J$4)*(GMW!$LR$2:$LR$60=J$1),0),$C276-1966)</f>
        <v>732824.9</v>
      </c>
      <c r="K276" s="4" cm="1">
        <f t="array" ref="K276">INDEX(GMW!$A$2:$LR$60,MATCH(1,(GMW!$LQ$2:$LQ$60=K$3)*(GMW!$LP$2:$LP$60=K$4)*(GMW!$LR$2:$LR$60=K$1),0),$C276-1966)</f>
        <v>732723.3</v>
      </c>
      <c r="L276" s="4" cm="1">
        <f t="array" ref="L276">INDEX(GMW!$A$2:$LR$60,MATCH(1,(GMW!$LQ$2:$LQ$60=L$3)*(GMW!$LP$2:$LP$60=L$4)*(GMW!$LR$2:$LR$60=L$1),0),$C276-1966)</f>
        <v>732757</v>
      </c>
      <c r="M276" s="4" cm="1">
        <f t="array" ref="M276">INDEX(GMW!$A$2:$LR$60,MATCH(1,(GMW!$LQ$2:$LQ$60=M$3)*(GMW!$LP$2:$LP$60=M$4)*(GMW!$LR$2:$LR$60=M$1),0),$C276-1966)</f>
        <v>732757</v>
      </c>
      <c r="N276" s="4" cm="1">
        <f t="array" ref="N276">INDEX(GMW!$A$2:$LR$60,MATCH(1,(GMW!$LQ$2:$LQ$60=N$3)*(GMW!$LP$2:$LP$60=N$4)*(GMW!$LR$2:$LR$60=N$1),0),$C276-1966)</f>
        <v>735812.8</v>
      </c>
      <c r="O276" s="4" cm="1">
        <f t="array" ref="O276">INDEX(GMW!$A$2:$LR$60,MATCH(1,(GMW!$LQ$2:$LQ$60=O$3)*(GMW!$LP$2:$LP$60=O$4)*(GMW!$LR$2:$LR$60=O$1),0),$C276-1966)</f>
        <v>736659.4</v>
      </c>
      <c r="P276" s="4" cm="1">
        <f t="array" ref="P276">INDEX(GMW!$A$2:$LR$60,MATCH(1,(GMW!$LQ$2:$LQ$60=P$3)*(GMW!$LP$2:$LP$60=P$4)*(GMW!$LR$2:$LR$60=P$1),0),$C276-1966)</f>
        <v>736930</v>
      </c>
      <c r="Q276" s="4" cm="1">
        <f t="array" ref="Q276">INDEX(GMW!$A$2:$LR$60,MATCH(1,(GMW!$LQ$2:$LQ$60=Q$3)*(GMW!$LP$2:$LP$60=Q$4)*(GMW!$LR$2:$LR$60=Q$1),0),$C276-1966)</f>
        <v>739643.4</v>
      </c>
      <c r="R276" s="4" cm="1">
        <f t="array" ref="R276">INDEX(GMW!$A$2:$LR$60,MATCH(1,(GMW!$LQ$2:$LQ$60=R$3)*(GMW!$LP$2:$LP$60=R$4)*(GMW!$LR$2:$LR$60=R$1),0),$C276-1966)</f>
        <v>740452.8</v>
      </c>
      <c r="S276" s="4" cm="1">
        <f t="array" ref="S276">INDEX(GMW!$A$2:$LR$60,MATCH(1,(GMW!$LQ$2:$LQ$60=S$3)*(GMW!$LP$2:$LP$60=S$4)*(GMW!$LR$2:$LR$60=S$1),0),$C276-1966)</f>
        <v>737871.6</v>
      </c>
      <c r="T276" s="4" cm="1">
        <f t="array" ref="T276">INDEX(GMW!$A$2:$LR$60,MATCH(1,(GMW!$LQ$2:$LQ$60=T$3)*(GMW!$LP$2:$LP$60=T$4)*(GMW!$LR$2:$LR$60=T$1),0),$C276-1966)</f>
        <v>738356.9</v>
      </c>
      <c r="U276" s="4" cm="1">
        <f t="array" ref="U276">INDEX(GMW!$A$2:$LR$60,MATCH(1,(GMW!$LQ$2:$LQ$60=U$3)*(GMW!$LP$2:$LP$60=U$4)*(GMW!$LR$2:$LR$60=U$1),0),$C276-1966)</f>
        <v>1103.521</v>
      </c>
      <c r="V276" s="4" cm="1">
        <f t="array" ref="V276">INDEX(GMW!$A$2:$LR$60,MATCH(1,(GMW!$LQ$2:$LQ$60=V$3)*(GMW!$LP$2:$LP$60=V$4)*(GMW!$LR$2:$LR$60=V$1),0),$C276-1966)</f>
        <v>185.37960000000001</v>
      </c>
      <c r="W276" s="4" cm="1">
        <f t="array" ref="W276">INDEX(GMW!$A$2:$LR$60,MATCH(1,(GMW!$LQ$2:$LQ$60=W$3)*(GMW!$LP$2:$LP$60=W$4)*(GMW!$LR$2:$LR$60=W$1),0),$C276-1966)</f>
        <v>176.86959999999999</v>
      </c>
      <c r="X276" s="4" cm="1">
        <f t="array" ref="X276">INDEX(GMW!$A$2:$LR$60,MATCH(1,(GMW!$LQ$2:$LQ$60=X$3)*(GMW!$LP$2:$LP$60=X$4)*(GMW!$LR$2:$LR$60=X$1),0),$C276-1966)</f>
        <v>126.1514</v>
      </c>
      <c r="Y276" s="4" cm="1">
        <f t="array" ref="Y276">INDEX(GMW!$A$2:$LR$60,MATCH(1,(GMW!$LQ$2:$LQ$60=Y$3)*(GMW!$LP$2:$LP$60=Y$4)*(GMW!$LR$2:$LR$60=Y$1),0),$C276-1966)</f>
        <v>242.2105</v>
      </c>
      <c r="Z276" s="4" cm="1">
        <f t="array" ref="Z276">INDEX(GMW!$A$2:$LR$60,MATCH(1,(GMW!$LQ$2:$LQ$60=Z$3)*(GMW!$LP$2:$LP$60=Z$4)*(GMW!$LR$2:$LR$60=Z$1),0),$C276-1966)</f>
        <v>185.93690000000001</v>
      </c>
      <c r="AA276" s="4" cm="1">
        <f t="array" ref="AA276">INDEX(GMW!$A$2:$LR$60,MATCH(1,(GMW!$LQ$2:$LQ$60=AA$3)*(GMW!$LP$2:$LP$60=AA$4)*(GMW!$LR$2:$LR$60=AA$1),0),$C276-1966)</f>
        <v>438235.9</v>
      </c>
      <c r="AB276" s="4" cm="1">
        <f t="array" ref="AB276">INDEX(GMW!$A$2:$LR$60,MATCH(1,(GMW!$LQ$2:$LQ$60=AB$3)*(GMW!$LP$2:$LP$60=AB$4)*(GMW!$LR$2:$LR$60=AB$1),0),$C276-1966)</f>
        <v>148959.29999999999</v>
      </c>
      <c r="AC276" s="4" cm="1">
        <f t="array" ref="AC276">INDEX(GMW!$A$2:$LR$60,MATCH(1,(GMW!$LQ$2:$LQ$60=AC$3)*(GMW!$LP$2:$LP$60=AC$4)*(GMW!$LR$2:$LR$60=AC$1),0),$C276-1966)</f>
        <v>153429</v>
      </c>
      <c r="AD276" s="4" cm="1">
        <f t="array" ref="AD276">INDEX(GMW!$A$2:$LR$60,MATCH(1,(GMW!$LQ$2:$LQ$60=AD$3)*(GMW!$LP$2:$LP$60=AD$4)*(GMW!$LR$2:$LR$60=AD$1),0),$C276-1966)</f>
        <v>236801.6</v>
      </c>
      <c r="AE276" s="4" cm="1">
        <f t="array" ref="AE276">INDEX(GMW!$A$2:$LR$60,MATCH(1,(GMW!$LQ$2:$LQ$60=AE$3)*(GMW!$LP$2:$LP$60=AE$4)*(GMW!$LR$2:$LR$60=AE$1),0),$C276-1966)</f>
        <v>261899.7</v>
      </c>
      <c r="AF276" s="4" cm="1">
        <f t="array" ref="AF276">INDEX(GMW!$A$2:$LR$60,MATCH(1,(GMW!$LQ$2:$LQ$60=AF$3)*(GMW!$LP$2:$LP$60=AF$4)*(GMW!$LR$2:$LR$60=AF$1),0),$C276-1966)</f>
        <v>2.1064639999999999</v>
      </c>
      <c r="AG276" s="4" cm="1">
        <f t="array" ref="AG276">INDEX(GMW!$A$2:$LR$60,MATCH(1,(GMW!$LQ$2:$LQ$60=AG$3)*(GMW!$LP$2:$LP$60=AG$4)*(GMW!$LR$2:$LR$60=AG$1),0),$C276-1966)</f>
        <v>2.4334739999999999</v>
      </c>
    </row>
    <row r="277" spans="1:33" x14ac:dyDescent="0.25">
      <c r="B277" s="4">
        <f t="shared" si="9"/>
        <v>2040</v>
      </c>
      <c r="C277" s="4">
        <f t="shared" si="8"/>
        <v>2243</v>
      </c>
      <c r="D277" s="4" cm="1">
        <f t="array" ref="D277">INDEX(GMW!$A$2:$LR$60,MATCH(1,(GMW!$LQ$2:$LQ$60=D$3)*(GMW!$LP$2:$LP$60=D$4)*(GMW!$LR$2:$LR$60=D$1),0),$C277-1966)</f>
        <v>739913.2</v>
      </c>
      <c r="E277" s="4" cm="1">
        <f t="array" ref="E277">INDEX(GMW!$A$2:$LR$60,MATCH(1,(GMW!$LQ$2:$LQ$60=E$3)*(GMW!$LP$2:$LP$60=E$4)*(GMW!$LR$2:$LR$60=E$1),0),$C277-1966)</f>
        <v>729459.9</v>
      </c>
      <c r="F277" s="4" cm="1">
        <f t="array" ref="F277">INDEX(GMW!$A$2:$LR$60,MATCH(1,(GMW!$LQ$2:$LQ$60=F$3)*(GMW!$LP$2:$LP$60=F$4)*(GMW!$LR$2:$LR$60=F$1),0),$C277-1966)</f>
        <v>729742</v>
      </c>
      <c r="G277" s="4" cm="1">
        <f t="array" ref="G277">INDEX(GMW!$A$2:$LR$60,MATCH(1,(GMW!$LQ$2:$LQ$60=G$3)*(GMW!$LP$2:$LP$60=G$4)*(GMW!$LR$2:$LR$60=G$1),0),$C277-1966)</f>
        <v>729742</v>
      </c>
      <c r="H277" s="4" cm="1">
        <f t="array" ref="H277">INDEX(GMW!$A$2:$LR$60,MATCH(1,(GMW!$LQ$2:$LQ$60=H$3)*(GMW!$LP$2:$LP$60=H$4)*(GMW!$LR$2:$LR$60=H$1),0),$C277-1966)</f>
        <v>734749.6</v>
      </c>
      <c r="I277" s="4" cm="1">
        <f t="array" ref="I277">INDEX(GMW!$A$2:$LR$60,MATCH(1,(GMW!$LQ$2:$LQ$60=I$3)*(GMW!$LP$2:$LP$60=I$4)*(GMW!$LR$2:$LR$60=I$1),0),$C277-1966)</f>
        <v>735681.3</v>
      </c>
      <c r="J277" s="4" cm="1">
        <f t="array" ref="J277">INDEX(GMW!$A$2:$LR$60,MATCH(1,(GMW!$LQ$2:$LQ$60=J$3)*(GMW!$LP$2:$LP$60=J$4)*(GMW!$LR$2:$LR$60=J$1),0),$C277-1966)</f>
        <v>735651.4</v>
      </c>
      <c r="K277" s="4" cm="1">
        <f t="array" ref="K277">INDEX(GMW!$A$2:$LR$60,MATCH(1,(GMW!$LQ$2:$LQ$60=K$3)*(GMW!$LP$2:$LP$60=K$4)*(GMW!$LR$2:$LR$60=K$1),0),$C277-1966)</f>
        <v>735551.6</v>
      </c>
      <c r="L277" s="4" cm="1">
        <f t="array" ref="L277">INDEX(GMW!$A$2:$LR$60,MATCH(1,(GMW!$LQ$2:$LQ$60=L$3)*(GMW!$LP$2:$LP$60=L$4)*(GMW!$LR$2:$LR$60=L$1),0),$C277-1966)</f>
        <v>735585.8</v>
      </c>
      <c r="M277" s="4" cm="1">
        <f t="array" ref="M277">INDEX(GMW!$A$2:$LR$60,MATCH(1,(GMW!$LQ$2:$LQ$60=M$3)*(GMW!$LP$2:$LP$60=M$4)*(GMW!$LR$2:$LR$60=M$1),0),$C277-1966)</f>
        <v>735585.8</v>
      </c>
      <c r="N277" s="4" cm="1">
        <f t="array" ref="N277">INDEX(GMW!$A$2:$LR$60,MATCH(1,(GMW!$LQ$2:$LQ$60=N$3)*(GMW!$LP$2:$LP$60=N$4)*(GMW!$LR$2:$LR$60=N$1),0),$C277-1966)</f>
        <v>738685.5</v>
      </c>
      <c r="O277" s="4" cm="1">
        <f t="array" ref="O277">INDEX(GMW!$A$2:$LR$60,MATCH(1,(GMW!$LQ$2:$LQ$60=O$3)*(GMW!$LP$2:$LP$60=O$4)*(GMW!$LR$2:$LR$60=O$1),0),$C277-1966)</f>
        <v>739564.5</v>
      </c>
      <c r="P277" s="4" cm="1">
        <f t="array" ref="P277">INDEX(GMW!$A$2:$LR$60,MATCH(1,(GMW!$LQ$2:$LQ$60=P$3)*(GMW!$LP$2:$LP$60=P$4)*(GMW!$LR$2:$LR$60=P$1),0),$C277-1966)</f>
        <v>739834.6</v>
      </c>
      <c r="Q277" s="4" cm="1">
        <f t="array" ref="Q277">INDEX(GMW!$A$2:$LR$60,MATCH(1,(GMW!$LQ$2:$LQ$60=Q$3)*(GMW!$LP$2:$LP$60=Q$4)*(GMW!$LR$2:$LR$60=Q$1),0),$C277-1966)</f>
        <v>742574.7</v>
      </c>
      <c r="R277" s="4" cm="1">
        <f t="array" ref="R277">INDEX(GMW!$A$2:$LR$60,MATCH(1,(GMW!$LQ$2:$LQ$60=R$3)*(GMW!$LP$2:$LP$60=R$4)*(GMW!$LR$2:$LR$60=R$1),0),$C277-1966)</f>
        <v>743416.6</v>
      </c>
      <c r="S277" s="4" cm="1">
        <f t="array" ref="S277">INDEX(GMW!$A$2:$LR$60,MATCH(1,(GMW!$LQ$2:$LQ$60=S$3)*(GMW!$LP$2:$LP$60=S$4)*(GMW!$LR$2:$LR$60=S$1),0),$C277-1966)</f>
        <v>740820.8</v>
      </c>
      <c r="T277" s="4" cm="1">
        <f t="array" ref="T277">INDEX(GMW!$A$2:$LR$60,MATCH(1,(GMW!$LQ$2:$LQ$60=T$3)*(GMW!$LP$2:$LP$60=T$4)*(GMW!$LR$2:$LR$60=T$1),0),$C277-1966)</f>
        <v>741300.4</v>
      </c>
      <c r="U277" s="4" cm="1">
        <f t="array" ref="U277">INDEX(GMW!$A$2:$LR$60,MATCH(1,(GMW!$LQ$2:$LQ$60=U$3)*(GMW!$LP$2:$LP$60=U$4)*(GMW!$LR$2:$LR$60=U$1),0),$C277-1966)</f>
        <v>1112.28</v>
      </c>
      <c r="V277" s="4" cm="1">
        <f t="array" ref="V277">INDEX(GMW!$A$2:$LR$60,MATCH(1,(GMW!$LQ$2:$LQ$60=V$3)*(GMW!$LP$2:$LP$60=V$4)*(GMW!$LR$2:$LR$60=V$1),0),$C277-1966)</f>
        <v>186.2586</v>
      </c>
      <c r="W277" s="4" cm="1">
        <f t="array" ref="W277">INDEX(GMW!$A$2:$LR$60,MATCH(1,(GMW!$LQ$2:$LQ$60=W$3)*(GMW!$LP$2:$LP$60=W$4)*(GMW!$LR$2:$LR$60=W$1),0),$C277-1966)</f>
        <v>176.65219999999999</v>
      </c>
      <c r="X277" s="4" cm="1">
        <f t="array" ref="X277">INDEX(GMW!$A$2:$LR$60,MATCH(1,(GMW!$LQ$2:$LQ$60=X$3)*(GMW!$LP$2:$LP$60=X$4)*(GMW!$LR$2:$LR$60=X$1),0),$C277-1966)</f>
        <v>126.20229999999999</v>
      </c>
      <c r="Y277" s="4" cm="1">
        <f t="array" ref="Y277">INDEX(GMW!$A$2:$LR$60,MATCH(1,(GMW!$LQ$2:$LQ$60=Y$3)*(GMW!$LP$2:$LP$60=Y$4)*(GMW!$LR$2:$LR$60=Y$1),0),$C277-1966)</f>
        <v>244.3117</v>
      </c>
      <c r="Z277" s="4" cm="1">
        <f t="array" ref="Z277">INDEX(GMW!$A$2:$LR$60,MATCH(1,(GMW!$LQ$2:$LQ$60=Z$3)*(GMW!$LP$2:$LP$60=Z$4)*(GMW!$LR$2:$LR$60=Z$1),0),$C277-1966)</f>
        <v>187.03</v>
      </c>
      <c r="AA277" s="4" cm="1">
        <f t="array" ref="AA277">INDEX(GMW!$A$2:$LR$60,MATCH(1,(GMW!$LQ$2:$LQ$60=AA$3)*(GMW!$LP$2:$LP$60=AA$4)*(GMW!$LR$2:$LR$60=AA$1),0),$C277-1966)</f>
        <v>439988.1</v>
      </c>
      <c r="AB277" s="4" cm="1">
        <f t="array" ref="AB277">INDEX(GMW!$A$2:$LR$60,MATCH(1,(GMW!$LQ$2:$LQ$60=AB$3)*(GMW!$LP$2:$LP$60=AB$4)*(GMW!$LR$2:$LR$60=AB$1),0),$C277-1966)</f>
        <v>149717.79999999999</v>
      </c>
      <c r="AC277" s="4" cm="1">
        <f t="array" ref="AC277">INDEX(GMW!$A$2:$LR$60,MATCH(1,(GMW!$LQ$2:$LQ$60=AC$3)*(GMW!$LP$2:$LP$60=AC$4)*(GMW!$LR$2:$LR$60=AC$1),0),$C277-1966)</f>
        <v>154048.6</v>
      </c>
      <c r="AD277" s="4" cm="1">
        <f t="array" ref="AD277">INDEX(GMW!$A$2:$LR$60,MATCH(1,(GMW!$LQ$2:$LQ$60=AD$3)*(GMW!$LP$2:$LP$60=AD$4)*(GMW!$LR$2:$LR$60=AD$1),0),$C277-1966)</f>
        <v>237972.7</v>
      </c>
      <c r="AE277" s="4" cm="1">
        <f t="array" ref="AE277">INDEX(GMW!$A$2:$LR$60,MATCH(1,(GMW!$LQ$2:$LQ$60=AE$3)*(GMW!$LP$2:$LP$60=AE$4)*(GMW!$LR$2:$LR$60=AE$1),0),$C277-1966)</f>
        <v>263326.2</v>
      </c>
      <c r="AF277" s="4" cm="1">
        <f t="array" ref="AF277">INDEX(GMW!$A$2:$LR$60,MATCH(1,(GMW!$LQ$2:$LQ$60=AF$3)*(GMW!$LP$2:$LP$60=AF$4)*(GMW!$LR$2:$LR$60=AF$1),0),$C277-1966)</f>
        <v>2.1064639999999999</v>
      </c>
      <c r="AG277" s="4" cm="1">
        <f t="array" ref="AG277">INDEX(GMW!$A$2:$LR$60,MATCH(1,(GMW!$LQ$2:$LQ$60=AG$3)*(GMW!$LP$2:$LP$60=AG$4)*(GMW!$LR$2:$LR$60=AG$1),0),$C277-1966)</f>
        <v>2.4334739999999999</v>
      </c>
    </row>
    <row r="278" spans="1:33" x14ac:dyDescent="0.25">
      <c r="B278" s="4">
        <f t="shared" si="9"/>
        <v>2040</v>
      </c>
      <c r="C278" s="4">
        <f t="shared" si="8"/>
        <v>2244</v>
      </c>
      <c r="D278" s="4" cm="1">
        <f t="array" ref="D278">INDEX(GMW!$A$2:$LR$60,MATCH(1,(GMW!$LQ$2:$LQ$60=D$3)*(GMW!$LP$2:$LP$60=D$4)*(GMW!$LR$2:$LR$60=D$1),0),$C278-1966)</f>
        <v>742861.4</v>
      </c>
      <c r="E278" s="4" cm="1">
        <f t="array" ref="E278">INDEX(GMW!$A$2:$LR$60,MATCH(1,(GMW!$LQ$2:$LQ$60=E$3)*(GMW!$LP$2:$LP$60=E$4)*(GMW!$LR$2:$LR$60=E$1),0),$C278-1966)</f>
        <v>732287</v>
      </c>
      <c r="F278" s="4" cm="1">
        <f t="array" ref="F278">INDEX(GMW!$A$2:$LR$60,MATCH(1,(GMW!$LQ$2:$LQ$60=F$3)*(GMW!$LP$2:$LP$60=F$4)*(GMW!$LR$2:$LR$60=F$1),0),$C278-1966)</f>
        <v>732569.9</v>
      </c>
      <c r="G278" s="4" cm="1">
        <f t="array" ref="G278">INDEX(GMW!$A$2:$LR$60,MATCH(1,(GMW!$LQ$2:$LQ$60=G$3)*(GMW!$LP$2:$LP$60=G$4)*(GMW!$LR$2:$LR$60=G$1),0),$C278-1966)</f>
        <v>732569.9</v>
      </c>
      <c r="H278" s="4" cm="1">
        <f t="array" ref="H278">INDEX(GMW!$A$2:$LR$60,MATCH(1,(GMW!$LQ$2:$LQ$60=H$3)*(GMW!$LP$2:$LP$60=H$4)*(GMW!$LR$2:$LR$60=H$1),0),$C278-1966)</f>
        <v>737591.1</v>
      </c>
      <c r="I278" s="4" cm="1">
        <f t="array" ref="I278">INDEX(GMW!$A$2:$LR$60,MATCH(1,(GMW!$LQ$2:$LQ$60=I$3)*(GMW!$LP$2:$LP$60=I$4)*(GMW!$LR$2:$LR$60=I$1),0),$C278-1966)</f>
        <v>738516.7</v>
      </c>
      <c r="J278" s="4" cm="1">
        <f t="array" ref="J278">INDEX(GMW!$A$2:$LR$60,MATCH(1,(GMW!$LQ$2:$LQ$60=J$3)*(GMW!$LP$2:$LP$60=J$4)*(GMW!$LR$2:$LR$60=J$1),0),$C278-1966)</f>
        <v>738486.7</v>
      </c>
      <c r="K278" s="4" cm="1">
        <f t="array" ref="K278">INDEX(GMW!$A$2:$LR$60,MATCH(1,(GMW!$LQ$2:$LQ$60=K$3)*(GMW!$LP$2:$LP$60=K$4)*(GMW!$LR$2:$LR$60=K$1),0),$C278-1966)</f>
        <v>738388.5</v>
      </c>
      <c r="L278" s="4" cm="1">
        <f t="array" ref="L278">INDEX(GMW!$A$2:$LR$60,MATCH(1,(GMW!$LQ$2:$LQ$60=L$3)*(GMW!$LP$2:$LP$60=L$4)*(GMW!$LR$2:$LR$60=L$1),0),$C278-1966)</f>
        <v>738423.1</v>
      </c>
      <c r="M278" s="4" cm="1">
        <f t="array" ref="M278">INDEX(GMW!$A$2:$LR$60,MATCH(1,(GMW!$LQ$2:$LQ$60=M$3)*(GMW!$LP$2:$LP$60=M$4)*(GMW!$LR$2:$LR$60=M$1),0),$C278-1966)</f>
        <v>738423.1</v>
      </c>
      <c r="N278" s="4" cm="1">
        <f t="array" ref="N278">INDEX(GMW!$A$2:$LR$60,MATCH(1,(GMW!$LQ$2:$LQ$60=N$3)*(GMW!$LP$2:$LP$60=N$4)*(GMW!$LR$2:$LR$60=N$1),0),$C278-1966)</f>
        <v>741567.4</v>
      </c>
      <c r="O278" s="4" cm="1">
        <f t="array" ref="O278">INDEX(GMW!$A$2:$LR$60,MATCH(1,(GMW!$LQ$2:$LQ$60=O$3)*(GMW!$LP$2:$LP$60=O$4)*(GMW!$LR$2:$LR$60=O$1),0),$C278-1966)</f>
        <v>742479.1</v>
      </c>
      <c r="P278" s="4" cm="1">
        <f t="array" ref="P278">INDEX(GMW!$A$2:$LR$60,MATCH(1,(GMW!$LQ$2:$LQ$60=P$3)*(GMW!$LP$2:$LP$60=P$4)*(GMW!$LR$2:$LR$60=P$1),0),$C278-1966)</f>
        <v>742748.8</v>
      </c>
      <c r="Q278" s="4" cm="1">
        <f t="array" ref="Q278">INDEX(GMW!$A$2:$LR$60,MATCH(1,(GMW!$LQ$2:$LQ$60=Q$3)*(GMW!$LP$2:$LP$60=Q$4)*(GMW!$LR$2:$LR$60=Q$1),0),$C278-1966)</f>
        <v>745514.3</v>
      </c>
      <c r="R278" s="4" cm="1">
        <f t="array" ref="R278">INDEX(GMW!$A$2:$LR$60,MATCH(1,(GMW!$LQ$2:$LQ$60=R$3)*(GMW!$LP$2:$LP$60=R$4)*(GMW!$LR$2:$LR$60=R$1),0),$C278-1966)</f>
        <v>746389</v>
      </c>
      <c r="S278" s="4" cm="1">
        <f t="array" ref="S278">INDEX(GMW!$A$2:$LR$60,MATCH(1,(GMW!$LQ$2:$LQ$60=S$3)*(GMW!$LP$2:$LP$60=S$4)*(GMW!$LR$2:$LR$60=S$1),0),$C278-1966)</f>
        <v>743778.7</v>
      </c>
      <c r="T278" s="4" cm="1">
        <f t="array" ref="T278">INDEX(GMW!$A$2:$LR$60,MATCH(1,(GMW!$LQ$2:$LQ$60=T$3)*(GMW!$LP$2:$LP$60=T$4)*(GMW!$LR$2:$LR$60=T$1),0),$C278-1966)</f>
        <v>744252.8</v>
      </c>
      <c r="U278" s="4" cm="1">
        <f t="array" ref="U278">INDEX(GMW!$A$2:$LR$60,MATCH(1,(GMW!$LQ$2:$LQ$60=U$3)*(GMW!$LP$2:$LP$60=U$4)*(GMW!$LR$2:$LR$60=U$1),0),$C278-1966)</f>
        <v>1121.106</v>
      </c>
      <c r="V278" s="4" cm="1">
        <f t="array" ref="V278">INDEX(GMW!$A$2:$LR$60,MATCH(1,(GMW!$LQ$2:$LQ$60=V$3)*(GMW!$LP$2:$LP$60=V$4)*(GMW!$LR$2:$LR$60=V$1),0),$C278-1966)</f>
        <v>187.1567</v>
      </c>
      <c r="W278" s="4" cm="1">
        <f t="array" ref="W278">INDEX(GMW!$A$2:$LR$60,MATCH(1,(GMW!$LQ$2:$LQ$60=W$3)*(GMW!$LP$2:$LP$60=W$4)*(GMW!$LR$2:$LR$60=W$1),0),$C278-1966)</f>
        <v>177.44579999999999</v>
      </c>
      <c r="X278" s="4" cm="1">
        <f t="array" ref="X278">INDEX(GMW!$A$2:$LR$60,MATCH(1,(GMW!$LQ$2:$LQ$60=X$3)*(GMW!$LP$2:$LP$60=X$4)*(GMW!$LR$2:$LR$60=X$1),0),$C278-1966)</f>
        <v>126.25320000000001</v>
      </c>
      <c r="Y278" s="4" cm="1">
        <f t="array" ref="Y278">INDEX(GMW!$A$2:$LR$60,MATCH(1,(GMW!$LQ$2:$LQ$60=Y$3)*(GMW!$LP$2:$LP$60=Y$4)*(GMW!$LR$2:$LR$60=Y$1),0),$C278-1966)</f>
        <v>246.4522</v>
      </c>
      <c r="Z278" s="4" cm="1">
        <f t="array" ref="Z278">INDEX(GMW!$A$2:$LR$60,MATCH(1,(GMW!$LQ$2:$LQ$60=Z$3)*(GMW!$LP$2:$LP$60=Z$4)*(GMW!$LR$2:$LR$60=Z$1),0),$C278-1966)</f>
        <v>187.93799999999999</v>
      </c>
      <c r="AA278" s="4" cm="1">
        <f t="array" ref="AA278">INDEX(GMW!$A$2:$LR$60,MATCH(1,(GMW!$LQ$2:$LQ$60=AA$3)*(GMW!$LP$2:$LP$60=AA$4)*(GMW!$LR$2:$LR$60=AA$1),0),$C278-1966)</f>
        <v>441745.7</v>
      </c>
      <c r="AB278" s="4" cm="1">
        <f t="array" ref="AB278">INDEX(GMW!$A$2:$LR$60,MATCH(1,(GMW!$LQ$2:$LQ$60=AB$3)*(GMW!$LP$2:$LP$60=AB$4)*(GMW!$LR$2:$LR$60=AB$1),0),$C278-1966)</f>
        <v>150479.70000000001</v>
      </c>
      <c r="AC278" s="4" cm="1">
        <f t="array" ref="AC278">INDEX(GMW!$A$2:$LR$60,MATCH(1,(GMW!$LQ$2:$LQ$60=AC$3)*(GMW!$LP$2:$LP$60=AC$4)*(GMW!$LR$2:$LR$60=AC$1),0),$C278-1966)</f>
        <v>154670.1</v>
      </c>
      <c r="AD278" s="4" cm="1">
        <f t="array" ref="AD278">INDEX(GMW!$A$2:$LR$60,MATCH(1,(GMW!$LQ$2:$LQ$60=AD$3)*(GMW!$LP$2:$LP$60=AD$4)*(GMW!$LR$2:$LR$60=AD$1),0),$C278-1966)</f>
        <v>239149</v>
      </c>
      <c r="AE278" s="4" cm="1">
        <f t="array" ref="AE278">INDEX(GMW!$A$2:$LR$60,MATCH(1,(GMW!$LQ$2:$LQ$60=AE$3)*(GMW!$LP$2:$LP$60=AE$4)*(GMW!$LR$2:$LR$60=AE$1),0),$C278-1966)</f>
        <v>264759.90000000002</v>
      </c>
      <c r="AF278" s="4" cm="1">
        <f t="array" ref="AF278">INDEX(GMW!$A$2:$LR$60,MATCH(1,(GMW!$LQ$2:$LQ$60=AF$3)*(GMW!$LP$2:$LP$60=AF$4)*(GMW!$LR$2:$LR$60=AF$1),0),$C278-1966)</f>
        <v>2.1064639999999999</v>
      </c>
      <c r="AG278" s="4" cm="1">
        <f t="array" ref="AG278">INDEX(GMW!$A$2:$LR$60,MATCH(1,(GMW!$LQ$2:$LQ$60=AG$3)*(GMW!$LP$2:$LP$60=AG$4)*(GMW!$LR$2:$LR$60=AG$1),0),$C278-1966)</f>
        <v>2.4334739999999999</v>
      </c>
    </row>
    <row r="279" spans="1:33" x14ac:dyDescent="0.25">
      <c r="A279" s="4">
        <v>2041</v>
      </c>
      <c r="B279" s="4">
        <f t="shared" si="9"/>
        <v>2041</v>
      </c>
      <c r="C279" s="4">
        <f t="shared" si="8"/>
        <v>2245</v>
      </c>
      <c r="D279" s="4" cm="1">
        <f t="array" ref="D279">INDEX(GMW!$A$2:$LR$60,MATCH(1,(GMW!$LQ$2:$LQ$60=D$3)*(GMW!$LP$2:$LP$60=D$4)*(GMW!$LR$2:$LR$60=D$1),0),$C279-1966)</f>
        <v>745748.5</v>
      </c>
      <c r="E279" s="4" cm="1">
        <f t="array" ref="E279">INDEX(GMW!$A$2:$LR$60,MATCH(1,(GMW!$LQ$2:$LQ$60=E$3)*(GMW!$LP$2:$LP$60=E$4)*(GMW!$LR$2:$LR$60=E$1),0),$C279-1966)</f>
        <v>735073.1</v>
      </c>
      <c r="F279" s="4" cm="1">
        <f t="array" ref="F279">INDEX(GMW!$A$2:$LR$60,MATCH(1,(GMW!$LQ$2:$LQ$60=F$3)*(GMW!$LP$2:$LP$60=F$4)*(GMW!$LR$2:$LR$60=F$1),0),$C279-1966)</f>
        <v>735356.6</v>
      </c>
      <c r="G279" s="4" cm="1">
        <f t="array" ref="G279">INDEX(GMW!$A$2:$LR$60,MATCH(1,(GMW!$LQ$2:$LQ$60=G$3)*(GMW!$LP$2:$LP$60=G$4)*(GMW!$LR$2:$LR$60=G$1),0),$C279-1966)</f>
        <v>735356.6</v>
      </c>
      <c r="H279" s="4" cm="1">
        <f t="array" ref="H279">INDEX(GMW!$A$2:$LR$60,MATCH(1,(GMW!$LQ$2:$LQ$60=H$3)*(GMW!$LP$2:$LP$60=H$4)*(GMW!$LR$2:$LR$60=H$1),0),$C279-1966)</f>
        <v>740390.9</v>
      </c>
      <c r="I279" s="4" cm="1">
        <f t="array" ref="I279">INDEX(GMW!$A$2:$LR$60,MATCH(1,(GMW!$LQ$2:$LQ$60=I$3)*(GMW!$LP$2:$LP$60=I$4)*(GMW!$LR$2:$LR$60=I$1),0),$C279-1966)</f>
        <v>741309.9</v>
      </c>
      <c r="J279" s="4" cm="1">
        <f t="array" ref="J279">INDEX(GMW!$A$2:$LR$60,MATCH(1,(GMW!$LQ$2:$LQ$60=J$3)*(GMW!$LP$2:$LP$60=J$4)*(GMW!$LR$2:$LR$60=J$1),0),$C279-1966)</f>
        <v>741279.7</v>
      </c>
      <c r="K279" s="4" cm="1">
        <f t="array" ref="K279">INDEX(GMW!$A$2:$LR$60,MATCH(1,(GMW!$LQ$2:$LQ$60=K$3)*(GMW!$LP$2:$LP$60=K$4)*(GMW!$LR$2:$LR$60=K$1),0),$C279-1966)</f>
        <v>741183.5</v>
      </c>
      <c r="L279" s="4" cm="1">
        <f t="array" ref="L279">INDEX(GMW!$A$2:$LR$60,MATCH(1,(GMW!$LQ$2:$LQ$60=L$3)*(GMW!$LP$2:$LP$60=L$4)*(GMW!$LR$2:$LR$60=L$1),0),$C279-1966)</f>
        <v>741218.6</v>
      </c>
      <c r="M279" s="4" cm="1">
        <f t="array" ref="M279">INDEX(GMW!$A$2:$LR$60,MATCH(1,(GMW!$LQ$2:$LQ$60=M$3)*(GMW!$LP$2:$LP$60=M$4)*(GMW!$LR$2:$LR$60=M$1),0),$C279-1966)</f>
        <v>741218.6</v>
      </c>
      <c r="N279" s="4" cm="1">
        <f t="array" ref="N279">INDEX(GMW!$A$2:$LR$60,MATCH(1,(GMW!$LQ$2:$LQ$60=N$3)*(GMW!$LP$2:$LP$60=N$4)*(GMW!$LR$2:$LR$60=N$1),0),$C279-1966)</f>
        <v>744407.8</v>
      </c>
      <c r="O279" s="4" cm="1">
        <f t="array" ref="O279">INDEX(GMW!$A$2:$LR$60,MATCH(1,(GMW!$LQ$2:$LQ$60=O$3)*(GMW!$LP$2:$LP$60=O$4)*(GMW!$LR$2:$LR$60=O$1),0),$C279-1966)</f>
        <v>745341.4</v>
      </c>
      <c r="P279" s="4" cm="1">
        <f t="array" ref="P279">INDEX(GMW!$A$2:$LR$60,MATCH(1,(GMW!$LQ$2:$LQ$60=P$3)*(GMW!$LP$2:$LP$60=P$4)*(GMW!$LR$2:$LR$60=P$1),0),$C279-1966)</f>
        <v>745610.6</v>
      </c>
      <c r="Q279" s="4" cm="1">
        <f t="array" ref="Q279">INDEX(GMW!$A$2:$LR$60,MATCH(1,(GMW!$LQ$2:$LQ$60=Q$3)*(GMW!$LP$2:$LP$60=Q$4)*(GMW!$LR$2:$LR$60=Q$1),0),$C279-1966)</f>
        <v>748399.9</v>
      </c>
      <c r="R279" s="4" cm="1">
        <f t="array" ref="R279">INDEX(GMW!$A$2:$LR$60,MATCH(1,(GMW!$LQ$2:$LQ$60=R$3)*(GMW!$LP$2:$LP$60=R$4)*(GMW!$LR$2:$LR$60=R$1),0),$C279-1966)</f>
        <v>749299.9</v>
      </c>
      <c r="S279" s="4" cm="1">
        <f t="array" ref="S279">INDEX(GMW!$A$2:$LR$60,MATCH(1,(GMW!$LQ$2:$LQ$60=S$3)*(GMW!$LP$2:$LP$60=S$4)*(GMW!$LR$2:$LR$60=S$1),0),$C279-1966)</f>
        <v>746675.4</v>
      </c>
      <c r="T279" s="4" cm="1">
        <f t="array" ref="T279">INDEX(GMW!$A$2:$LR$60,MATCH(1,(GMW!$LQ$2:$LQ$60=T$3)*(GMW!$LP$2:$LP$60=T$4)*(GMW!$LR$2:$LR$60=T$1),0),$C279-1966)</f>
        <v>747143.9</v>
      </c>
      <c r="U279" s="4" cm="1">
        <f t="array" ref="U279">INDEX(GMW!$A$2:$LR$60,MATCH(1,(GMW!$LQ$2:$LQ$60=U$3)*(GMW!$LP$2:$LP$60=U$4)*(GMW!$LR$2:$LR$60=U$1),0),$C279-1966)</f>
        <v>1130.011</v>
      </c>
      <c r="V279" s="4" cm="1">
        <f t="array" ref="V279">INDEX(GMW!$A$2:$LR$60,MATCH(1,(GMW!$LQ$2:$LQ$60=V$3)*(GMW!$LP$2:$LP$60=V$4)*(GMW!$LR$2:$LR$60=V$1),0),$C279-1966)</f>
        <v>187.44990000000001</v>
      </c>
      <c r="W279" s="4" cm="1">
        <f t="array" ref="W279">INDEX(GMW!$A$2:$LR$60,MATCH(1,(GMW!$LQ$2:$LQ$60=W$3)*(GMW!$LP$2:$LP$60=W$4)*(GMW!$LR$2:$LR$60=W$1),0),$C279-1966)</f>
        <v>179.07939999999999</v>
      </c>
      <c r="X279" s="4" cm="1">
        <f t="array" ref="X279">INDEX(GMW!$A$2:$LR$60,MATCH(1,(GMW!$LQ$2:$LQ$60=X$3)*(GMW!$LP$2:$LP$60=X$4)*(GMW!$LR$2:$LR$60=X$1),0),$C279-1966)</f>
        <v>126.2923</v>
      </c>
      <c r="Y279" s="4" cm="1">
        <f t="array" ref="Y279">INDEX(GMW!$A$2:$LR$60,MATCH(1,(GMW!$LQ$2:$LQ$60=Y$3)*(GMW!$LP$2:$LP$60=Y$4)*(GMW!$LR$2:$LR$60=Y$1),0),$C279-1966)</f>
        <v>248.5275</v>
      </c>
      <c r="Z279" s="4" cm="1">
        <f t="array" ref="Z279">INDEX(GMW!$A$2:$LR$60,MATCH(1,(GMW!$LQ$2:$LQ$60=Z$3)*(GMW!$LP$2:$LP$60=Z$4)*(GMW!$LR$2:$LR$60=Z$1),0),$C279-1966)</f>
        <v>187.8921</v>
      </c>
      <c r="AA279" s="4" cm="1">
        <f t="array" ref="AA279">INDEX(GMW!$A$2:$LR$60,MATCH(1,(GMW!$LQ$2:$LQ$60=AA$3)*(GMW!$LP$2:$LP$60=AA$4)*(GMW!$LR$2:$LR$60=AA$1),0),$C279-1966)</f>
        <v>443466.9</v>
      </c>
      <c r="AB279" s="4" cm="1">
        <f t="array" ref="AB279">INDEX(GMW!$A$2:$LR$60,MATCH(1,(GMW!$LQ$2:$LQ$60=AB$3)*(GMW!$LP$2:$LP$60=AB$4)*(GMW!$LR$2:$LR$60=AB$1),0),$C279-1966)</f>
        <v>151230.79999999999</v>
      </c>
      <c r="AC279" s="4" cm="1">
        <f t="array" ref="AC279">INDEX(GMW!$A$2:$LR$60,MATCH(1,(GMW!$LQ$2:$LQ$60=AC$3)*(GMW!$LP$2:$LP$60=AC$4)*(GMW!$LR$2:$LR$60=AC$1),0),$C279-1966)</f>
        <v>155278.9</v>
      </c>
      <c r="AD279" s="4" cm="1">
        <f t="array" ref="AD279">INDEX(GMW!$A$2:$LR$60,MATCH(1,(GMW!$LQ$2:$LQ$60=AD$3)*(GMW!$LP$2:$LP$60=AD$4)*(GMW!$LR$2:$LR$60=AD$1),0),$C279-1966)</f>
        <v>240308.7</v>
      </c>
      <c r="AE279" s="4" cm="1">
        <f t="array" ref="AE279">INDEX(GMW!$A$2:$LR$60,MATCH(1,(GMW!$LQ$2:$LQ$60=AE$3)*(GMW!$LP$2:$LP$60=AE$4)*(GMW!$LR$2:$LR$60=AE$1),0),$C279-1966)</f>
        <v>266176.8</v>
      </c>
      <c r="AF279" s="4" cm="1">
        <f t="array" ref="AF279">INDEX(GMW!$A$2:$LR$60,MATCH(1,(GMW!$LQ$2:$LQ$60=AF$3)*(GMW!$LP$2:$LP$60=AF$4)*(GMW!$LR$2:$LR$60=AF$1),0),$C279-1966)</f>
        <v>2.1064639999999999</v>
      </c>
      <c r="AG279" s="4" cm="1">
        <f t="array" ref="AG279">INDEX(GMW!$A$2:$LR$60,MATCH(1,(GMW!$LQ$2:$LQ$60=AG$3)*(GMW!$LP$2:$LP$60=AG$4)*(GMW!$LR$2:$LR$60=AG$1),0),$C279-1966)</f>
        <v>2.4334739999999999</v>
      </c>
    </row>
    <row r="280" spans="1:33" x14ac:dyDescent="0.25">
      <c r="B280" s="4">
        <f t="shared" si="9"/>
        <v>2041</v>
      </c>
      <c r="C280" s="4">
        <f t="shared" si="8"/>
        <v>2246</v>
      </c>
      <c r="D280" s="4" cm="1">
        <f t="array" ref="D280">INDEX(GMW!$A$2:$LR$60,MATCH(1,(GMW!$LQ$2:$LQ$60=D$3)*(GMW!$LP$2:$LP$60=D$4)*(GMW!$LR$2:$LR$60=D$1),0),$C280-1966)</f>
        <v>748643.5</v>
      </c>
      <c r="E280" s="4" cm="1">
        <f t="array" ref="E280">INDEX(GMW!$A$2:$LR$60,MATCH(1,(GMW!$LQ$2:$LQ$60=E$3)*(GMW!$LP$2:$LP$60=E$4)*(GMW!$LR$2:$LR$60=E$1),0),$C280-1966)</f>
        <v>737866.6</v>
      </c>
      <c r="F280" s="4" cm="1">
        <f t="array" ref="F280">INDEX(GMW!$A$2:$LR$60,MATCH(1,(GMW!$LQ$2:$LQ$60=F$3)*(GMW!$LP$2:$LP$60=F$4)*(GMW!$LR$2:$LR$60=F$1),0),$C280-1966)</f>
        <v>738150.9</v>
      </c>
      <c r="G280" s="4" cm="1">
        <f t="array" ref="G280">INDEX(GMW!$A$2:$LR$60,MATCH(1,(GMW!$LQ$2:$LQ$60=G$3)*(GMW!$LP$2:$LP$60=G$4)*(GMW!$LR$2:$LR$60=G$1),0),$C280-1966)</f>
        <v>738150.9</v>
      </c>
      <c r="H280" s="4" cm="1">
        <f t="array" ref="H280">INDEX(GMW!$A$2:$LR$60,MATCH(1,(GMW!$LQ$2:$LQ$60=H$3)*(GMW!$LP$2:$LP$60=H$4)*(GMW!$LR$2:$LR$60=H$1),0),$C280-1966)</f>
        <v>743199.4</v>
      </c>
      <c r="I280" s="4" cm="1">
        <f t="array" ref="I280">INDEX(GMW!$A$2:$LR$60,MATCH(1,(GMW!$LQ$2:$LQ$60=I$3)*(GMW!$LP$2:$LP$60=I$4)*(GMW!$LR$2:$LR$60=I$1),0),$C280-1966)</f>
        <v>744111.1</v>
      </c>
      <c r="J280" s="4" cm="1">
        <f t="array" ref="J280">INDEX(GMW!$A$2:$LR$60,MATCH(1,(GMW!$LQ$2:$LQ$60=J$3)*(GMW!$LP$2:$LP$60=J$4)*(GMW!$LR$2:$LR$60=J$1),0),$C280-1966)</f>
        <v>744080.6</v>
      </c>
      <c r="K280" s="4" cm="1">
        <f t="array" ref="K280">INDEX(GMW!$A$2:$LR$60,MATCH(1,(GMW!$LQ$2:$LQ$60=K$3)*(GMW!$LP$2:$LP$60=K$4)*(GMW!$LR$2:$LR$60=K$1),0),$C280-1966)</f>
        <v>743986.3</v>
      </c>
      <c r="L280" s="4" cm="1">
        <f t="array" ref="L280">INDEX(GMW!$A$2:$LR$60,MATCH(1,(GMW!$LQ$2:$LQ$60=L$3)*(GMW!$LP$2:$LP$60=L$4)*(GMW!$LR$2:$LR$60=L$1),0),$C280-1966)</f>
        <v>744021.9</v>
      </c>
      <c r="M280" s="4" cm="1">
        <f t="array" ref="M280">INDEX(GMW!$A$2:$LR$60,MATCH(1,(GMW!$LQ$2:$LQ$60=M$3)*(GMW!$LP$2:$LP$60=M$4)*(GMW!$LR$2:$LR$60=M$1),0),$C280-1966)</f>
        <v>744021.9</v>
      </c>
      <c r="N280" s="4" cm="1">
        <f t="array" ref="N280">INDEX(GMW!$A$2:$LR$60,MATCH(1,(GMW!$LQ$2:$LQ$60=N$3)*(GMW!$LP$2:$LP$60=N$4)*(GMW!$LR$2:$LR$60=N$1),0),$C280-1966)</f>
        <v>747256.6</v>
      </c>
      <c r="O280" s="4" cm="1">
        <f t="array" ref="O280">INDEX(GMW!$A$2:$LR$60,MATCH(1,(GMW!$LQ$2:$LQ$60=O$3)*(GMW!$LP$2:$LP$60=O$4)*(GMW!$LR$2:$LR$60=O$1),0),$C280-1966)</f>
        <v>748212.4</v>
      </c>
      <c r="P280" s="4" cm="1">
        <f t="array" ref="P280">INDEX(GMW!$A$2:$LR$60,MATCH(1,(GMW!$LQ$2:$LQ$60=P$3)*(GMW!$LP$2:$LP$60=P$4)*(GMW!$LR$2:$LR$60=P$1),0),$C280-1966)</f>
        <v>748481.3</v>
      </c>
      <c r="Q280" s="4" cm="1">
        <f t="array" ref="Q280">INDEX(GMW!$A$2:$LR$60,MATCH(1,(GMW!$LQ$2:$LQ$60=Q$3)*(GMW!$LP$2:$LP$60=Q$4)*(GMW!$LR$2:$LR$60=Q$1),0),$C280-1966)</f>
        <v>751293.1</v>
      </c>
      <c r="R280" s="4" cm="1">
        <f t="array" ref="R280">INDEX(GMW!$A$2:$LR$60,MATCH(1,(GMW!$LQ$2:$LQ$60=R$3)*(GMW!$LP$2:$LP$60=R$4)*(GMW!$LR$2:$LR$60=R$1),0),$C280-1966)</f>
        <v>752218.6</v>
      </c>
      <c r="S280" s="4" cm="1">
        <f t="array" ref="S280">INDEX(GMW!$A$2:$LR$60,MATCH(1,(GMW!$LQ$2:$LQ$60=S$3)*(GMW!$LP$2:$LP$60=S$4)*(GMW!$LR$2:$LR$60=S$1),0),$C280-1966)</f>
        <v>749579.9</v>
      </c>
      <c r="T280" s="4" cm="1">
        <f t="array" ref="T280">INDEX(GMW!$A$2:$LR$60,MATCH(1,(GMW!$LQ$2:$LQ$60=T$3)*(GMW!$LP$2:$LP$60=T$4)*(GMW!$LR$2:$LR$60=T$1),0),$C280-1966)</f>
        <v>750042.9</v>
      </c>
      <c r="U280" s="4" cm="1">
        <f t="array" ref="U280">INDEX(GMW!$A$2:$LR$60,MATCH(1,(GMW!$LQ$2:$LQ$60=U$3)*(GMW!$LP$2:$LP$60=U$4)*(GMW!$LR$2:$LR$60=U$1),0),$C280-1966)</f>
        <v>1138.992</v>
      </c>
      <c r="V280" s="4" cm="1">
        <f t="array" ref="V280">INDEX(GMW!$A$2:$LR$60,MATCH(1,(GMW!$LQ$2:$LQ$60=V$3)*(GMW!$LP$2:$LP$60=V$4)*(GMW!$LR$2:$LR$60=V$1),0),$C280-1966)</f>
        <v>189.0872</v>
      </c>
      <c r="W280" s="4" cm="1">
        <f t="array" ref="W280">INDEX(GMW!$A$2:$LR$60,MATCH(1,(GMW!$LQ$2:$LQ$60=W$3)*(GMW!$LP$2:$LP$60=W$4)*(GMW!$LR$2:$LR$60=W$1),0),$C280-1966)</f>
        <v>179.50919999999999</v>
      </c>
      <c r="X280" s="4" cm="1">
        <f t="array" ref="X280">INDEX(GMW!$A$2:$LR$60,MATCH(1,(GMW!$LQ$2:$LQ$60=X$3)*(GMW!$LP$2:$LP$60=X$4)*(GMW!$LR$2:$LR$60=X$1),0),$C280-1966)</f>
        <v>126.34310000000001</v>
      </c>
      <c r="Y280" s="4" cm="1">
        <f t="array" ref="Y280">INDEX(GMW!$A$2:$LR$60,MATCH(1,(GMW!$LQ$2:$LQ$60=Y$3)*(GMW!$LP$2:$LP$60=Y$4)*(GMW!$LR$2:$LR$60=Y$1),0),$C280-1966)</f>
        <v>250.64340000000001</v>
      </c>
      <c r="Z280" s="4" cm="1">
        <f t="array" ref="Z280">INDEX(GMW!$A$2:$LR$60,MATCH(1,(GMW!$LQ$2:$LQ$60=Z$3)*(GMW!$LP$2:$LP$60=Z$4)*(GMW!$LR$2:$LR$60=Z$1),0),$C280-1966)</f>
        <v>189.8314</v>
      </c>
      <c r="AA280" s="4" cm="1">
        <f t="array" ref="AA280">INDEX(GMW!$A$2:$LR$60,MATCH(1,(GMW!$LQ$2:$LQ$60=AA$3)*(GMW!$LP$2:$LP$60=AA$4)*(GMW!$LR$2:$LR$60=AA$1),0),$C280-1966)</f>
        <v>445192.9</v>
      </c>
      <c r="AB280" s="4" cm="1">
        <f t="array" ref="AB280">INDEX(GMW!$A$2:$LR$60,MATCH(1,(GMW!$LQ$2:$LQ$60=AB$3)*(GMW!$LP$2:$LP$60=AB$4)*(GMW!$LR$2:$LR$60=AB$1),0),$C280-1966)</f>
        <v>151985</v>
      </c>
      <c r="AC280" s="4" cm="1">
        <f t="array" ref="AC280">INDEX(GMW!$A$2:$LR$60,MATCH(1,(GMW!$LQ$2:$LQ$60=AC$3)*(GMW!$LP$2:$LP$60=AC$4)*(GMW!$LR$2:$LR$60=AC$1),0),$C280-1966)</f>
        <v>155889.5</v>
      </c>
      <c r="AD280" s="4" cm="1">
        <f t="array" ref="AD280">INDEX(GMW!$A$2:$LR$60,MATCH(1,(GMW!$LQ$2:$LQ$60=AD$3)*(GMW!$LP$2:$LP$60=AD$4)*(GMW!$LR$2:$LR$60=AD$1),0),$C280-1966)</f>
        <v>241473.3</v>
      </c>
      <c r="AE280" s="4" cm="1">
        <f t="array" ref="AE280">INDEX(GMW!$A$2:$LR$60,MATCH(1,(GMW!$LQ$2:$LQ$60=AE$3)*(GMW!$LP$2:$LP$60=AE$4)*(GMW!$LR$2:$LR$60=AE$1),0),$C280-1966)</f>
        <v>267600.8</v>
      </c>
      <c r="AF280" s="4" cm="1">
        <f t="array" ref="AF280">INDEX(GMW!$A$2:$LR$60,MATCH(1,(GMW!$LQ$2:$LQ$60=AF$3)*(GMW!$LP$2:$LP$60=AF$4)*(GMW!$LR$2:$LR$60=AF$1),0),$C280-1966)</f>
        <v>2.1064639999999999</v>
      </c>
      <c r="AG280" s="4" cm="1">
        <f t="array" ref="AG280">INDEX(GMW!$A$2:$LR$60,MATCH(1,(GMW!$LQ$2:$LQ$60=AG$3)*(GMW!$LP$2:$LP$60=AG$4)*(GMW!$LR$2:$LR$60=AG$1),0),$C280-1966)</f>
        <v>2.4334739999999999</v>
      </c>
    </row>
    <row r="281" spans="1:33" x14ac:dyDescent="0.25">
      <c r="B281" s="4">
        <f t="shared" si="9"/>
        <v>2041</v>
      </c>
      <c r="C281" s="4">
        <f t="shared" si="8"/>
        <v>2247</v>
      </c>
      <c r="D281" s="4" cm="1">
        <f t="array" ref="D281">INDEX(GMW!$A$2:$LR$60,MATCH(1,(GMW!$LQ$2:$LQ$60=D$3)*(GMW!$LP$2:$LP$60=D$4)*(GMW!$LR$2:$LR$60=D$1),0),$C281-1966)</f>
        <v>751546.3</v>
      </c>
      <c r="E281" s="4" cm="1">
        <f t="array" ref="E281">INDEX(GMW!$A$2:$LR$60,MATCH(1,(GMW!$LQ$2:$LQ$60=E$3)*(GMW!$LP$2:$LP$60=E$4)*(GMW!$LR$2:$LR$60=E$1),0),$C281-1966)</f>
        <v>740668.2</v>
      </c>
      <c r="F281" s="4" cm="1">
        <f t="array" ref="F281">INDEX(GMW!$A$2:$LR$60,MATCH(1,(GMW!$LQ$2:$LQ$60=F$3)*(GMW!$LP$2:$LP$60=F$4)*(GMW!$LR$2:$LR$60=F$1),0),$C281-1966)</f>
        <v>740953.1</v>
      </c>
      <c r="G281" s="4" cm="1">
        <f t="array" ref="G281">INDEX(GMW!$A$2:$LR$60,MATCH(1,(GMW!$LQ$2:$LQ$60=G$3)*(GMW!$LP$2:$LP$60=G$4)*(GMW!$LR$2:$LR$60=G$1),0),$C281-1966)</f>
        <v>740953.1</v>
      </c>
      <c r="H281" s="4" cm="1">
        <f t="array" ref="H281">INDEX(GMW!$A$2:$LR$60,MATCH(1,(GMW!$LQ$2:$LQ$60=H$3)*(GMW!$LP$2:$LP$60=H$4)*(GMW!$LR$2:$LR$60=H$1),0),$C281-1966)</f>
        <v>746016.2</v>
      </c>
      <c r="I281" s="4" cm="1">
        <f t="array" ref="I281">INDEX(GMW!$A$2:$LR$60,MATCH(1,(GMW!$LQ$2:$LQ$60=I$3)*(GMW!$LP$2:$LP$60=I$4)*(GMW!$LR$2:$LR$60=I$1),0),$C281-1966)</f>
        <v>746920.1</v>
      </c>
      <c r="J281" s="4" cm="1">
        <f t="array" ref="J281">INDEX(GMW!$A$2:$LR$60,MATCH(1,(GMW!$LQ$2:$LQ$60=J$3)*(GMW!$LP$2:$LP$60=J$4)*(GMW!$LR$2:$LR$60=J$1),0),$C281-1966)</f>
        <v>746889.4</v>
      </c>
      <c r="K281" s="4" cm="1">
        <f t="array" ref="K281">INDEX(GMW!$A$2:$LR$60,MATCH(1,(GMW!$LQ$2:$LQ$60=K$3)*(GMW!$LP$2:$LP$60=K$4)*(GMW!$LR$2:$LR$60=K$1),0),$C281-1966)</f>
        <v>746797</v>
      </c>
      <c r="L281" s="4" cm="1">
        <f t="array" ref="L281">INDEX(GMW!$A$2:$LR$60,MATCH(1,(GMW!$LQ$2:$LQ$60=L$3)*(GMW!$LP$2:$LP$60=L$4)*(GMW!$LR$2:$LR$60=L$1),0),$C281-1966)</f>
        <v>746832.9</v>
      </c>
      <c r="M281" s="4" cm="1">
        <f t="array" ref="M281">INDEX(GMW!$A$2:$LR$60,MATCH(1,(GMW!$LQ$2:$LQ$60=M$3)*(GMW!$LP$2:$LP$60=M$4)*(GMW!$LR$2:$LR$60=M$1),0),$C281-1966)</f>
        <v>746832.9</v>
      </c>
      <c r="N281" s="4" cm="1">
        <f t="array" ref="N281">INDEX(GMW!$A$2:$LR$60,MATCH(1,(GMW!$LQ$2:$LQ$60=N$3)*(GMW!$LP$2:$LP$60=N$4)*(GMW!$LR$2:$LR$60=N$1),0),$C281-1966)</f>
        <v>750113.8</v>
      </c>
      <c r="O281" s="4" cm="1">
        <f t="array" ref="O281">INDEX(GMW!$A$2:$LR$60,MATCH(1,(GMW!$LQ$2:$LQ$60=O$3)*(GMW!$LP$2:$LP$60=O$4)*(GMW!$LR$2:$LR$60=O$1),0),$C281-1966)</f>
        <v>751092.3</v>
      </c>
      <c r="P281" s="4" cm="1">
        <f t="array" ref="P281">INDEX(GMW!$A$2:$LR$60,MATCH(1,(GMW!$LQ$2:$LQ$60=P$3)*(GMW!$LP$2:$LP$60=P$4)*(GMW!$LR$2:$LR$60=P$1),0),$C281-1966)</f>
        <v>751360.7</v>
      </c>
      <c r="Q281" s="4" cm="1">
        <f t="array" ref="Q281">INDEX(GMW!$A$2:$LR$60,MATCH(1,(GMW!$LQ$2:$LQ$60=Q$3)*(GMW!$LP$2:$LP$60=Q$4)*(GMW!$LR$2:$LR$60=Q$1),0),$C281-1966)</f>
        <v>754193.8</v>
      </c>
      <c r="R281" s="4" cm="1">
        <f t="array" ref="R281">INDEX(GMW!$A$2:$LR$60,MATCH(1,(GMW!$LQ$2:$LQ$60=R$3)*(GMW!$LP$2:$LP$60=R$4)*(GMW!$LR$2:$LR$60=R$1),0),$C281-1966)</f>
        <v>755144.9</v>
      </c>
      <c r="S281" s="4" cm="1">
        <f t="array" ref="S281">INDEX(GMW!$A$2:$LR$60,MATCH(1,(GMW!$LQ$2:$LQ$60=S$3)*(GMW!$LP$2:$LP$60=S$4)*(GMW!$LR$2:$LR$60=S$1),0),$C281-1966)</f>
        <v>752492.2</v>
      </c>
      <c r="T281" s="4" cm="1">
        <f t="array" ref="T281">INDEX(GMW!$A$2:$LR$60,MATCH(1,(GMW!$LQ$2:$LQ$60=T$3)*(GMW!$LP$2:$LP$60=T$4)*(GMW!$LR$2:$LR$60=T$1),0),$C281-1966)</f>
        <v>752949.8</v>
      </c>
      <c r="U281" s="4" cm="1">
        <f t="array" ref="U281">INDEX(GMW!$A$2:$LR$60,MATCH(1,(GMW!$LQ$2:$LQ$60=U$3)*(GMW!$LP$2:$LP$60=U$4)*(GMW!$LR$2:$LR$60=U$1),0),$C281-1966)</f>
        <v>1148.0519999999999</v>
      </c>
      <c r="V281" s="4" cm="1">
        <f t="array" ref="V281">INDEX(GMW!$A$2:$LR$60,MATCH(1,(GMW!$LQ$2:$LQ$60=V$3)*(GMW!$LP$2:$LP$60=V$4)*(GMW!$LR$2:$LR$60=V$1),0),$C281-1966)</f>
        <v>189.9837</v>
      </c>
      <c r="W281" s="4" cm="1">
        <f t="array" ref="W281">INDEX(GMW!$A$2:$LR$60,MATCH(1,(GMW!$LQ$2:$LQ$60=W$3)*(GMW!$LP$2:$LP$60=W$4)*(GMW!$LR$2:$LR$60=W$1),0),$C281-1966)</f>
        <v>179.2886</v>
      </c>
      <c r="X281" s="4" cm="1">
        <f t="array" ref="X281">INDEX(GMW!$A$2:$LR$60,MATCH(1,(GMW!$LQ$2:$LQ$60=X$3)*(GMW!$LP$2:$LP$60=X$4)*(GMW!$LR$2:$LR$60=X$1),0),$C281-1966)</f>
        <v>126.39400000000001</v>
      </c>
      <c r="Y281" s="4" cm="1">
        <f t="array" ref="Y281">INDEX(GMW!$A$2:$LR$60,MATCH(1,(GMW!$LQ$2:$LQ$60=Y$3)*(GMW!$LP$2:$LP$60=Y$4)*(GMW!$LR$2:$LR$60=Y$1),0),$C281-1966)</f>
        <v>252.8177</v>
      </c>
      <c r="Z281" s="4" cm="1">
        <f t="array" ref="Z281">INDEX(GMW!$A$2:$LR$60,MATCH(1,(GMW!$LQ$2:$LQ$60=Z$3)*(GMW!$LP$2:$LP$60=Z$4)*(GMW!$LR$2:$LR$60=Z$1),0),$C281-1966)</f>
        <v>190.94720000000001</v>
      </c>
      <c r="AA281" s="4" cm="1">
        <f t="array" ref="AA281">INDEX(GMW!$A$2:$LR$60,MATCH(1,(GMW!$LQ$2:$LQ$60=AA$3)*(GMW!$LP$2:$LP$60=AA$4)*(GMW!$LR$2:$LR$60=AA$1),0),$C281-1966)</f>
        <v>446923.6</v>
      </c>
      <c r="AB281" s="4" cm="1">
        <f t="array" ref="AB281">INDEX(GMW!$A$2:$LR$60,MATCH(1,(GMW!$LQ$2:$LQ$60=AB$3)*(GMW!$LP$2:$LP$60=AB$4)*(GMW!$LR$2:$LR$60=AB$1),0),$C281-1966)</f>
        <v>152742.29999999999</v>
      </c>
      <c r="AC281" s="4" cm="1">
        <f t="array" ref="AC281">INDEX(GMW!$A$2:$LR$60,MATCH(1,(GMW!$LQ$2:$LQ$60=AC$3)*(GMW!$LP$2:$LP$60=AC$4)*(GMW!$LR$2:$LR$60=AC$1),0),$C281-1966)</f>
        <v>156501.70000000001</v>
      </c>
      <c r="AD281" s="4" cm="1">
        <f t="array" ref="AD281">INDEX(GMW!$A$2:$LR$60,MATCH(1,(GMW!$LQ$2:$LQ$60=AD$3)*(GMW!$LP$2:$LP$60=AD$4)*(GMW!$LR$2:$LR$60=AD$1),0),$C281-1966)</f>
        <v>242643</v>
      </c>
      <c r="AE281" s="4" cm="1">
        <f t="array" ref="AE281">INDEX(GMW!$A$2:$LR$60,MATCH(1,(GMW!$LQ$2:$LQ$60=AE$3)*(GMW!$LP$2:$LP$60=AE$4)*(GMW!$LR$2:$LR$60=AE$1),0),$C281-1966)</f>
        <v>269031.40000000002</v>
      </c>
      <c r="AF281" s="4" cm="1">
        <f t="array" ref="AF281">INDEX(GMW!$A$2:$LR$60,MATCH(1,(GMW!$LQ$2:$LQ$60=AF$3)*(GMW!$LP$2:$LP$60=AF$4)*(GMW!$LR$2:$LR$60=AF$1),0),$C281-1966)</f>
        <v>2.1064639999999999</v>
      </c>
      <c r="AG281" s="4" cm="1">
        <f t="array" ref="AG281">INDEX(GMW!$A$2:$LR$60,MATCH(1,(GMW!$LQ$2:$LQ$60=AG$3)*(GMW!$LP$2:$LP$60=AG$4)*(GMW!$LR$2:$LR$60=AG$1),0),$C281-1966)</f>
        <v>2.4334739999999999</v>
      </c>
    </row>
    <row r="282" spans="1:33" x14ac:dyDescent="0.25">
      <c r="B282" s="4">
        <f t="shared" si="9"/>
        <v>2041</v>
      </c>
      <c r="C282" s="4">
        <f t="shared" si="8"/>
        <v>2248</v>
      </c>
      <c r="D282" s="4" cm="1">
        <f t="array" ref="D282">INDEX(GMW!$A$2:$LR$60,MATCH(1,(GMW!$LQ$2:$LQ$60=D$3)*(GMW!$LP$2:$LP$60=D$4)*(GMW!$LR$2:$LR$60=D$1),0),$C282-1966)</f>
        <v>754457.2</v>
      </c>
      <c r="E282" s="4" cm="1">
        <f t="array" ref="E282">INDEX(GMW!$A$2:$LR$60,MATCH(1,(GMW!$LQ$2:$LQ$60=E$3)*(GMW!$LP$2:$LP$60=E$4)*(GMW!$LR$2:$LR$60=E$1),0),$C282-1966)</f>
        <v>743477.4</v>
      </c>
      <c r="F282" s="4" cm="1">
        <f t="array" ref="F282">INDEX(GMW!$A$2:$LR$60,MATCH(1,(GMW!$LQ$2:$LQ$60=F$3)*(GMW!$LP$2:$LP$60=F$4)*(GMW!$LR$2:$LR$60=F$1),0),$C282-1966)</f>
        <v>743763.1</v>
      </c>
      <c r="G282" s="4" cm="1">
        <f t="array" ref="G282">INDEX(GMW!$A$2:$LR$60,MATCH(1,(GMW!$LQ$2:$LQ$60=G$3)*(GMW!$LP$2:$LP$60=G$4)*(GMW!$LR$2:$LR$60=G$1),0),$C282-1966)</f>
        <v>743763.1</v>
      </c>
      <c r="H282" s="4" cm="1">
        <f t="array" ref="H282">INDEX(GMW!$A$2:$LR$60,MATCH(1,(GMW!$LQ$2:$LQ$60=H$3)*(GMW!$LP$2:$LP$60=H$4)*(GMW!$LR$2:$LR$60=H$1),0),$C282-1966)</f>
        <v>748841.4</v>
      </c>
      <c r="I282" s="4" cm="1">
        <f t="array" ref="I282">INDEX(GMW!$A$2:$LR$60,MATCH(1,(GMW!$LQ$2:$LQ$60=I$3)*(GMW!$LP$2:$LP$60=I$4)*(GMW!$LR$2:$LR$60=I$1),0),$C282-1966)</f>
        <v>749736.9</v>
      </c>
      <c r="J282" s="4" cm="1">
        <f t="array" ref="J282">INDEX(GMW!$A$2:$LR$60,MATCH(1,(GMW!$LQ$2:$LQ$60=J$3)*(GMW!$LP$2:$LP$60=J$4)*(GMW!$LR$2:$LR$60=J$1),0),$C282-1966)</f>
        <v>749705.9</v>
      </c>
      <c r="K282" s="4" cm="1">
        <f t="array" ref="K282">INDEX(GMW!$A$2:$LR$60,MATCH(1,(GMW!$LQ$2:$LQ$60=K$3)*(GMW!$LP$2:$LP$60=K$4)*(GMW!$LR$2:$LR$60=K$1),0),$C282-1966)</f>
        <v>749615.4</v>
      </c>
      <c r="L282" s="4" cm="1">
        <f t="array" ref="L282">INDEX(GMW!$A$2:$LR$60,MATCH(1,(GMW!$LQ$2:$LQ$60=L$3)*(GMW!$LP$2:$LP$60=L$4)*(GMW!$LR$2:$LR$60=L$1),0),$C282-1966)</f>
        <v>749651.9</v>
      </c>
      <c r="M282" s="4" cm="1">
        <f t="array" ref="M282">INDEX(GMW!$A$2:$LR$60,MATCH(1,(GMW!$LQ$2:$LQ$60=M$3)*(GMW!$LP$2:$LP$60=M$4)*(GMW!$LR$2:$LR$60=M$1),0),$C282-1966)</f>
        <v>749651.9</v>
      </c>
      <c r="N282" s="4" cm="1">
        <f t="array" ref="N282">INDEX(GMW!$A$2:$LR$60,MATCH(1,(GMW!$LQ$2:$LQ$60=N$3)*(GMW!$LP$2:$LP$60=N$4)*(GMW!$LR$2:$LR$60=N$1),0),$C282-1966)</f>
        <v>752979.3</v>
      </c>
      <c r="O282" s="4" cm="1">
        <f t="array" ref="O282">INDEX(GMW!$A$2:$LR$60,MATCH(1,(GMW!$LQ$2:$LQ$60=O$3)*(GMW!$LP$2:$LP$60=O$4)*(GMW!$LR$2:$LR$60=O$1),0),$C282-1966)</f>
        <v>753980.9</v>
      </c>
      <c r="P282" s="4" cm="1">
        <f t="array" ref="P282">INDEX(GMW!$A$2:$LR$60,MATCH(1,(GMW!$LQ$2:$LQ$60=P$3)*(GMW!$LP$2:$LP$60=P$4)*(GMW!$LR$2:$LR$60=P$1),0),$C282-1966)</f>
        <v>754248.8</v>
      </c>
      <c r="Q282" s="4" cm="1">
        <f t="array" ref="Q282">INDEX(GMW!$A$2:$LR$60,MATCH(1,(GMW!$LQ$2:$LQ$60=Q$3)*(GMW!$LP$2:$LP$60=Q$4)*(GMW!$LR$2:$LR$60=Q$1),0),$C282-1966)</f>
        <v>757102</v>
      </c>
      <c r="R282" s="4" cm="1">
        <f t="array" ref="R282">INDEX(GMW!$A$2:$LR$60,MATCH(1,(GMW!$LQ$2:$LQ$60=R$3)*(GMW!$LP$2:$LP$60=R$4)*(GMW!$LR$2:$LR$60=R$1),0),$C282-1966)</f>
        <v>758079.1</v>
      </c>
      <c r="S282" s="4" cm="1">
        <f t="array" ref="S282">INDEX(GMW!$A$2:$LR$60,MATCH(1,(GMW!$LQ$2:$LQ$60=S$3)*(GMW!$LP$2:$LP$60=S$4)*(GMW!$LR$2:$LR$60=S$1),0),$C282-1966)</f>
        <v>755412.4</v>
      </c>
      <c r="T282" s="4" cm="1">
        <f t="array" ref="T282">INDEX(GMW!$A$2:$LR$60,MATCH(1,(GMW!$LQ$2:$LQ$60=T$3)*(GMW!$LP$2:$LP$60=T$4)*(GMW!$LR$2:$LR$60=T$1),0),$C282-1966)</f>
        <v>755864.6</v>
      </c>
      <c r="U282" s="4" cm="1">
        <f t="array" ref="U282">INDEX(GMW!$A$2:$LR$60,MATCH(1,(GMW!$LQ$2:$LQ$60=U$3)*(GMW!$LP$2:$LP$60=U$4)*(GMW!$LR$2:$LR$60=U$1),0),$C282-1966)</f>
        <v>1157.191</v>
      </c>
      <c r="V282" s="4" cm="1">
        <f t="array" ref="V282">INDEX(GMW!$A$2:$LR$60,MATCH(1,(GMW!$LQ$2:$LQ$60=V$3)*(GMW!$LP$2:$LP$60=V$4)*(GMW!$LR$2:$LR$60=V$1),0),$C282-1966)</f>
        <v>190.8998</v>
      </c>
      <c r="W282" s="4" cm="1">
        <f t="array" ref="W282">INDEX(GMW!$A$2:$LR$60,MATCH(1,(GMW!$LQ$2:$LQ$60=W$3)*(GMW!$LP$2:$LP$60=W$4)*(GMW!$LR$2:$LR$60=W$1),0),$C282-1966)</f>
        <v>180.0941</v>
      </c>
      <c r="X282" s="4" cm="1">
        <f t="array" ref="X282">INDEX(GMW!$A$2:$LR$60,MATCH(1,(GMW!$LQ$2:$LQ$60=X$3)*(GMW!$LP$2:$LP$60=X$4)*(GMW!$LR$2:$LR$60=X$1),0),$C282-1966)</f>
        <v>126.44499999999999</v>
      </c>
      <c r="Y282" s="4" cm="1">
        <f t="array" ref="Y282">INDEX(GMW!$A$2:$LR$60,MATCH(1,(GMW!$LQ$2:$LQ$60=Y$3)*(GMW!$LP$2:$LP$60=Y$4)*(GMW!$LR$2:$LR$60=Y$1),0),$C282-1966)</f>
        <v>255.03270000000001</v>
      </c>
      <c r="Z282" s="4" cm="1">
        <f t="array" ref="Z282">INDEX(GMW!$A$2:$LR$60,MATCH(1,(GMW!$LQ$2:$LQ$60=Z$3)*(GMW!$LP$2:$LP$60=Z$4)*(GMW!$LR$2:$LR$60=Z$1),0),$C282-1966)</f>
        <v>191.8742</v>
      </c>
      <c r="AA282" s="4" cm="1">
        <f t="array" ref="AA282">INDEX(GMW!$A$2:$LR$60,MATCH(1,(GMW!$LQ$2:$LQ$60=AA$3)*(GMW!$LP$2:$LP$60=AA$4)*(GMW!$LR$2:$LR$60=AA$1),0),$C282-1966)</f>
        <v>448659</v>
      </c>
      <c r="AB282" s="4" cm="1">
        <f t="array" ref="AB282">INDEX(GMW!$A$2:$LR$60,MATCH(1,(GMW!$LQ$2:$LQ$60=AB$3)*(GMW!$LP$2:$LP$60=AB$4)*(GMW!$LR$2:$LR$60=AB$1),0),$C282-1966)</f>
        <v>153502.79999999999</v>
      </c>
      <c r="AC282" s="4" cm="1">
        <f t="array" ref="AC282">INDEX(GMW!$A$2:$LR$60,MATCH(1,(GMW!$LQ$2:$LQ$60=AC$3)*(GMW!$LP$2:$LP$60=AC$4)*(GMW!$LR$2:$LR$60=AC$1),0),$C282-1966)</f>
        <v>157115.70000000001</v>
      </c>
      <c r="AD282" s="4" cm="1">
        <f t="array" ref="AD282">INDEX(GMW!$A$2:$LR$60,MATCH(1,(GMW!$LQ$2:$LQ$60=AD$3)*(GMW!$LP$2:$LP$60=AD$4)*(GMW!$LR$2:$LR$60=AD$1),0),$C282-1966)</f>
        <v>243817.7</v>
      </c>
      <c r="AE282" s="4" cm="1">
        <f t="array" ref="AE282">INDEX(GMW!$A$2:$LR$60,MATCH(1,(GMW!$LQ$2:$LQ$60=AE$3)*(GMW!$LP$2:$LP$60=AE$4)*(GMW!$LR$2:$LR$60=AE$1),0),$C282-1966)</f>
        <v>270469</v>
      </c>
      <c r="AF282" s="4" cm="1">
        <f t="array" ref="AF282">INDEX(GMW!$A$2:$LR$60,MATCH(1,(GMW!$LQ$2:$LQ$60=AF$3)*(GMW!$LP$2:$LP$60=AF$4)*(GMW!$LR$2:$LR$60=AF$1),0),$C282-1966)</f>
        <v>2.1064639999999999</v>
      </c>
      <c r="AG282" s="4" cm="1">
        <f t="array" ref="AG282">INDEX(GMW!$A$2:$LR$60,MATCH(1,(GMW!$LQ$2:$LQ$60=AG$3)*(GMW!$LP$2:$LP$60=AG$4)*(GMW!$LR$2:$LR$60=AG$1),0),$C282-1966)</f>
        <v>2.4334739999999999</v>
      </c>
    </row>
    <row r="283" spans="1:33" x14ac:dyDescent="0.25">
      <c r="A283" s="4">
        <v>2042</v>
      </c>
      <c r="B283" s="4">
        <f t="shared" si="9"/>
        <v>2042</v>
      </c>
      <c r="C283" s="4">
        <f t="shared" si="8"/>
        <v>2249</v>
      </c>
      <c r="D283" s="4" cm="1">
        <f t="array" ref="D283">INDEX(GMW!$A$2:$LR$60,MATCH(1,(GMW!$LQ$2:$LQ$60=D$3)*(GMW!$LP$2:$LP$60=D$4)*(GMW!$LR$2:$LR$60=D$1),0),$C283-1966)</f>
        <v>757375.9</v>
      </c>
      <c r="E283" s="4" cm="1">
        <f t="array" ref="E283">INDEX(GMW!$A$2:$LR$60,MATCH(1,(GMW!$LQ$2:$LQ$60=E$3)*(GMW!$LP$2:$LP$60=E$4)*(GMW!$LR$2:$LR$60=E$1),0),$C283-1966)</f>
        <v>746294.4</v>
      </c>
      <c r="F283" s="4" cm="1">
        <f t="array" ref="F283">INDEX(GMW!$A$2:$LR$60,MATCH(1,(GMW!$LQ$2:$LQ$60=F$3)*(GMW!$LP$2:$LP$60=F$4)*(GMW!$LR$2:$LR$60=F$1),0),$C283-1966)</f>
        <v>746580.7</v>
      </c>
      <c r="G283" s="4" cm="1">
        <f t="array" ref="G283">INDEX(GMW!$A$2:$LR$60,MATCH(1,(GMW!$LQ$2:$LQ$60=G$3)*(GMW!$LP$2:$LP$60=G$4)*(GMW!$LR$2:$LR$60=G$1),0),$C283-1966)</f>
        <v>746580.7</v>
      </c>
      <c r="H283" s="4" cm="1">
        <f t="array" ref="H283">INDEX(GMW!$A$2:$LR$60,MATCH(1,(GMW!$LQ$2:$LQ$60=H$3)*(GMW!$LP$2:$LP$60=H$4)*(GMW!$LR$2:$LR$60=H$1),0),$C283-1966)</f>
        <v>751675.3</v>
      </c>
      <c r="I283" s="4" cm="1">
        <f t="array" ref="I283">INDEX(GMW!$A$2:$LR$60,MATCH(1,(GMW!$LQ$2:$LQ$60=I$3)*(GMW!$LP$2:$LP$60=I$4)*(GMW!$LR$2:$LR$60=I$1),0),$C283-1966)</f>
        <v>752561.8</v>
      </c>
      <c r="J283" s="4" cm="1">
        <f t="array" ref="J283">INDEX(GMW!$A$2:$LR$60,MATCH(1,(GMW!$LQ$2:$LQ$60=J$3)*(GMW!$LP$2:$LP$60=J$4)*(GMW!$LR$2:$LR$60=J$1),0),$C283-1966)</f>
        <v>752530.6</v>
      </c>
      <c r="K283" s="4" cm="1">
        <f t="array" ref="K283">INDEX(GMW!$A$2:$LR$60,MATCH(1,(GMW!$LQ$2:$LQ$60=K$3)*(GMW!$LP$2:$LP$60=K$4)*(GMW!$LR$2:$LR$60=K$1),0),$C283-1966)</f>
        <v>752441.9</v>
      </c>
      <c r="L283" s="4" cm="1">
        <f t="array" ref="L283">INDEX(GMW!$A$2:$LR$60,MATCH(1,(GMW!$LQ$2:$LQ$60=L$3)*(GMW!$LP$2:$LP$60=L$4)*(GMW!$LR$2:$LR$60=L$1),0),$C283-1966)</f>
        <v>752478.7</v>
      </c>
      <c r="M283" s="4" cm="1">
        <f t="array" ref="M283">INDEX(GMW!$A$2:$LR$60,MATCH(1,(GMW!$LQ$2:$LQ$60=M$3)*(GMW!$LP$2:$LP$60=M$4)*(GMW!$LR$2:$LR$60=M$1),0),$C283-1966)</f>
        <v>752478.7</v>
      </c>
      <c r="N283" s="4" cm="1">
        <f t="array" ref="N283">INDEX(GMW!$A$2:$LR$60,MATCH(1,(GMW!$LQ$2:$LQ$60=N$3)*(GMW!$LP$2:$LP$60=N$4)*(GMW!$LR$2:$LR$60=N$1),0),$C283-1966)</f>
        <v>755853.4</v>
      </c>
      <c r="O283" s="4" cm="1">
        <f t="array" ref="O283">INDEX(GMW!$A$2:$LR$60,MATCH(1,(GMW!$LQ$2:$LQ$60=O$3)*(GMW!$LP$2:$LP$60=O$4)*(GMW!$LR$2:$LR$60=O$1),0),$C283-1966)</f>
        <v>756878.3</v>
      </c>
      <c r="P283" s="4" cm="1">
        <f t="array" ref="P283">INDEX(GMW!$A$2:$LR$60,MATCH(1,(GMW!$LQ$2:$LQ$60=P$3)*(GMW!$LP$2:$LP$60=P$4)*(GMW!$LR$2:$LR$60=P$1),0),$C283-1966)</f>
        <v>757145.8</v>
      </c>
      <c r="Q283" s="4" cm="1">
        <f t="array" ref="Q283">INDEX(GMW!$A$2:$LR$60,MATCH(1,(GMW!$LQ$2:$LQ$60=Q$3)*(GMW!$LP$2:$LP$60=Q$4)*(GMW!$LR$2:$LR$60=Q$1),0),$C283-1966)</f>
        <v>760017.6</v>
      </c>
      <c r="R283" s="4" cm="1">
        <f t="array" ref="R283">INDEX(GMW!$A$2:$LR$60,MATCH(1,(GMW!$LQ$2:$LQ$60=R$3)*(GMW!$LP$2:$LP$60=R$4)*(GMW!$LR$2:$LR$60=R$1),0),$C283-1966)</f>
        <v>761021</v>
      </c>
      <c r="S283" s="4" cm="1">
        <f t="array" ref="S283">INDEX(GMW!$A$2:$LR$60,MATCH(1,(GMW!$LQ$2:$LQ$60=S$3)*(GMW!$LP$2:$LP$60=S$4)*(GMW!$LR$2:$LR$60=S$1),0),$C283-1966)</f>
        <v>758340.4</v>
      </c>
      <c r="T283" s="4" cm="1">
        <f t="array" ref="T283">INDEX(GMW!$A$2:$LR$60,MATCH(1,(GMW!$LQ$2:$LQ$60=T$3)*(GMW!$LP$2:$LP$60=T$4)*(GMW!$LR$2:$LR$60=T$1),0),$C283-1966)</f>
        <v>758787.3</v>
      </c>
      <c r="U283" s="4" cm="1">
        <f t="array" ref="U283">INDEX(GMW!$A$2:$LR$60,MATCH(1,(GMW!$LQ$2:$LQ$60=U$3)*(GMW!$LP$2:$LP$60=U$4)*(GMW!$LR$2:$LR$60=U$1),0),$C283-1966)</f>
        <v>1166.3969999999999</v>
      </c>
      <c r="V283" s="4" cm="1">
        <f t="array" ref="V283">INDEX(GMW!$A$2:$LR$60,MATCH(1,(GMW!$LQ$2:$LQ$60=V$3)*(GMW!$LP$2:$LP$60=V$4)*(GMW!$LR$2:$LR$60=V$1),0),$C283-1966)</f>
        <v>191.19890000000001</v>
      </c>
      <c r="W283" s="4" cm="1">
        <f t="array" ref="W283">INDEX(GMW!$A$2:$LR$60,MATCH(1,(GMW!$LQ$2:$LQ$60=W$3)*(GMW!$LP$2:$LP$60=W$4)*(GMW!$LR$2:$LR$60=W$1),0),$C283-1966)</f>
        <v>181.75210000000001</v>
      </c>
      <c r="X283" s="4" cm="1">
        <f t="array" ref="X283">INDEX(GMW!$A$2:$LR$60,MATCH(1,(GMW!$LQ$2:$LQ$60=X$3)*(GMW!$LP$2:$LP$60=X$4)*(GMW!$LR$2:$LR$60=X$1),0),$C283-1966)</f>
        <v>126.4842</v>
      </c>
      <c r="Y283" s="4" cm="1">
        <f t="array" ref="Y283">INDEX(GMW!$A$2:$LR$60,MATCH(1,(GMW!$LQ$2:$LQ$60=Y$3)*(GMW!$LP$2:$LP$60=Y$4)*(GMW!$LR$2:$LR$60=Y$1),0),$C283-1966)</f>
        <v>257.18020000000001</v>
      </c>
      <c r="Z283" s="4" cm="1">
        <f t="array" ref="Z283">INDEX(GMW!$A$2:$LR$60,MATCH(1,(GMW!$LQ$2:$LQ$60=Z$3)*(GMW!$LP$2:$LP$60=Z$4)*(GMW!$LR$2:$LR$60=Z$1),0),$C283-1966)</f>
        <v>191.82749999999999</v>
      </c>
      <c r="AA283" s="4" cm="1">
        <f t="array" ref="AA283">INDEX(GMW!$A$2:$LR$60,MATCH(1,(GMW!$LQ$2:$LQ$60=AA$3)*(GMW!$LP$2:$LP$60=AA$4)*(GMW!$LR$2:$LR$60=AA$1),0),$C283-1966)</f>
        <v>450399.2</v>
      </c>
      <c r="AB283" s="4" cm="1">
        <f t="array" ref="AB283">INDEX(GMW!$A$2:$LR$60,MATCH(1,(GMW!$LQ$2:$LQ$60=AB$3)*(GMW!$LP$2:$LP$60=AB$4)*(GMW!$LR$2:$LR$60=AB$1),0),$C283-1966)</f>
        <v>154266.5</v>
      </c>
      <c r="AC283" s="4" cm="1">
        <f t="array" ref="AC283">INDEX(GMW!$A$2:$LR$60,MATCH(1,(GMW!$LQ$2:$LQ$60=AC$3)*(GMW!$LP$2:$LP$60=AC$4)*(GMW!$LR$2:$LR$60=AC$1),0),$C283-1966)</f>
        <v>157731.4</v>
      </c>
      <c r="AD283" s="4" cm="1">
        <f t="array" ref="AD283">INDEX(GMW!$A$2:$LR$60,MATCH(1,(GMW!$LQ$2:$LQ$60=AD$3)*(GMW!$LP$2:$LP$60=AD$4)*(GMW!$LR$2:$LR$60=AD$1),0),$C283-1966)</f>
        <v>244997.3</v>
      </c>
      <c r="AE283" s="4" cm="1">
        <f t="array" ref="AE283">INDEX(GMW!$A$2:$LR$60,MATCH(1,(GMW!$LQ$2:$LQ$60=AE$3)*(GMW!$LP$2:$LP$60=AE$4)*(GMW!$LR$2:$LR$60=AE$1),0),$C283-1966)</f>
        <v>271913.40000000002</v>
      </c>
      <c r="AF283" s="4" cm="1">
        <f t="array" ref="AF283">INDEX(GMW!$A$2:$LR$60,MATCH(1,(GMW!$LQ$2:$LQ$60=AF$3)*(GMW!$LP$2:$LP$60=AF$4)*(GMW!$LR$2:$LR$60=AF$1),0),$C283-1966)</f>
        <v>2.1064639999999999</v>
      </c>
      <c r="AG283" s="4" cm="1">
        <f t="array" ref="AG283">INDEX(GMW!$A$2:$LR$60,MATCH(1,(GMW!$LQ$2:$LQ$60=AG$3)*(GMW!$LP$2:$LP$60=AG$4)*(GMW!$LR$2:$LR$60=AG$1),0),$C283-1966)</f>
        <v>2.4334739999999999</v>
      </c>
    </row>
    <row r="284" spans="1:33" x14ac:dyDescent="0.25">
      <c r="B284" s="4">
        <f t="shared" si="9"/>
        <v>2042</v>
      </c>
      <c r="C284" s="4">
        <f t="shared" si="8"/>
        <v>2250</v>
      </c>
      <c r="D284" s="4" cm="1">
        <f t="array" ref="D284">INDEX(GMW!$A$2:$LR$60,MATCH(1,(GMW!$LQ$2:$LQ$60=D$3)*(GMW!$LP$2:$LP$60=D$4)*(GMW!$LR$2:$LR$60=D$1),0),$C284-1966)</f>
        <v>760302.5</v>
      </c>
      <c r="E284" s="4" cm="1">
        <f t="array" ref="E284">INDEX(GMW!$A$2:$LR$60,MATCH(1,(GMW!$LQ$2:$LQ$60=E$3)*(GMW!$LP$2:$LP$60=E$4)*(GMW!$LR$2:$LR$60=E$1),0),$C284-1966)</f>
        <v>749119.3</v>
      </c>
      <c r="F284" s="4" cm="1">
        <f t="array" ref="F284">INDEX(GMW!$A$2:$LR$60,MATCH(1,(GMW!$LQ$2:$LQ$60=F$3)*(GMW!$LP$2:$LP$60=F$4)*(GMW!$LR$2:$LR$60=F$1),0),$C284-1966)</f>
        <v>749406.2</v>
      </c>
      <c r="G284" s="4" cm="1">
        <f t="array" ref="G284">INDEX(GMW!$A$2:$LR$60,MATCH(1,(GMW!$LQ$2:$LQ$60=G$3)*(GMW!$LP$2:$LP$60=G$4)*(GMW!$LR$2:$LR$60=G$1),0),$C284-1966)</f>
        <v>749406.2</v>
      </c>
      <c r="H284" s="4" cm="1">
        <f t="array" ref="H284">INDEX(GMW!$A$2:$LR$60,MATCH(1,(GMW!$LQ$2:$LQ$60=H$3)*(GMW!$LP$2:$LP$60=H$4)*(GMW!$LR$2:$LR$60=H$1),0),$C284-1966)</f>
        <v>754517.5</v>
      </c>
      <c r="I284" s="4" cm="1">
        <f t="array" ref="I284">INDEX(GMW!$A$2:$LR$60,MATCH(1,(GMW!$LQ$2:$LQ$60=I$3)*(GMW!$LP$2:$LP$60=I$4)*(GMW!$LR$2:$LR$60=I$1),0),$C284-1966)</f>
        <v>755394.3</v>
      </c>
      <c r="J284" s="4" cm="1">
        <f t="array" ref="J284">INDEX(GMW!$A$2:$LR$60,MATCH(1,(GMW!$LQ$2:$LQ$60=J$3)*(GMW!$LP$2:$LP$60=J$4)*(GMW!$LR$2:$LR$60=J$1),0),$C284-1966)</f>
        <v>755362.9</v>
      </c>
      <c r="K284" s="4" cm="1">
        <f t="array" ref="K284">INDEX(GMW!$A$2:$LR$60,MATCH(1,(GMW!$LQ$2:$LQ$60=K$3)*(GMW!$LP$2:$LP$60=K$4)*(GMW!$LR$2:$LR$60=K$1),0),$C284-1966)</f>
        <v>755276.1</v>
      </c>
      <c r="L284" s="4" cm="1">
        <f t="array" ref="L284">INDEX(GMW!$A$2:$LR$60,MATCH(1,(GMW!$LQ$2:$LQ$60=L$3)*(GMW!$LP$2:$LP$60=L$4)*(GMW!$LR$2:$LR$60=L$1),0),$C284-1966)</f>
        <v>755313.4</v>
      </c>
      <c r="M284" s="4" cm="1">
        <f t="array" ref="M284">INDEX(GMW!$A$2:$LR$60,MATCH(1,(GMW!$LQ$2:$LQ$60=M$3)*(GMW!$LP$2:$LP$60=M$4)*(GMW!$LR$2:$LR$60=M$1),0),$C284-1966)</f>
        <v>755313.4</v>
      </c>
      <c r="N284" s="4" cm="1">
        <f t="array" ref="N284">INDEX(GMW!$A$2:$LR$60,MATCH(1,(GMW!$LQ$2:$LQ$60=N$3)*(GMW!$LP$2:$LP$60=N$4)*(GMW!$LR$2:$LR$60=N$1),0),$C284-1966)</f>
        <v>758735.9</v>
      </c>
      <c r="O284" s="4" cm="1">
        <f t="array" ref="O284">INDEX(GMW!$A$2:$LR$60,MATCH(1,(GMW!$LQ$2:$LQ$60=O$3)*(GMW!$LP$2:$LP$60=O$4)*(GMW!$LR$2:$LR$60=O$1),0),$C284-1966)</f>
        <v>759784.6</v>
      </c>
      <c r="P284" s="4" cm="1">
        <f t="array" ref="P284">INDEX(GMW!$A$2:$LR$60,MATCH(1,(GMW!$LQ$2:$LQ$60=P$3)*(GMW!$LP$2:$LP$60=P$4)*(GMW!$LR$2:$LR$60=P$1),0),$C284-1966)</f>
        <v>760051.8</v>
      </c>
      <c r="Q284" s="4" cm="1">
        <f t="array" ref="Q284">INDEX(GMW!$A$2:$LR$60,MATCH(1,(GMW!$LQ$2:$LQ$60=Q$3)*(GMW!$LP$2:$LP$60=Q$4)*(GMW!$LR$2:$LR$60=Q$1),0),$C284-1966)</f>
        <v>762941.1</v>
      </c>
      <c r="R284" s="4" cm="1">
        <f t="array" ref="R284">INDEX(GMW!$A$2:$LR$60,MATCH(1,(GMW!$LQ$2:$LQ$60=R$3)*(GMW!$LP$2:$LP$60=R$4)*(GMW!$LR$2:$LR$60=R$1),0),$C284-1966)</f>
        <v>763970.8</v>
      </c>
      <c r="S284" s="4" cm="1">
        <f t="array" ref="S284">INDEX(GMW!$A$2:$LR$60,MATCH(1,(GMW!$LQ$2:$LQ$60=S$3)*(GMW!$LP$2:$LP$60=S$4)*(GMW!$LR$2:$LR$60=S$1),0),$C284-1966)</f>
        <v>761276.3</v>
      </c>
      <c r="T284" s="4" cm="1">
        <f t="array" ref="T284">INDEX(GMW!$A$2:$LR$60,MATCH(1,(GMW!$LQ$2:$LQ$60=T$3)*(GMW!$LP$2:$LP$60=T$4)*(GMW!$LR$2:$LR$60=T$1),0),$C284-1966)</f>
        <v>761718</v>
      </c>
      <c r="U284" s="4" cm="1">
        <f t="array" ref="U284">INDEX(GMW!$A$2:$LR$60,MATCH(1,(GMW!$LQ$2:$LQ$60=U$3)*(GMW!$LP$2:$LP$60=U$4)*(GMW!$LR$2:$LR$60=U$1),0),$C284-1966)</f>
        <v>1175.672</v>
      </c>
      <c r="V284" s="4" cm="1">
        <f t="array" ref="V284">INDEX(GMW!$A$2:$LR$60,MATCH(1,(GMW!$LQ$2:$LQ$60=V$3)*(GMW!$LP$2:$LP$60=V$4)*(GMW!$LR$2:$LR$60=V$1),0),$C284-1966)</f>
        <v>192.8689</v>
      </c>
      <c r="W284" s="4" cm="1">
        <f t="array" ref="W284">INDEX(GMW!$A$2:$LR$60,MATCH(1,(GMW!$LQ$2:$LQ$60=W$3)*(GMW!$LP$2:$LP$60=W$4)*(GMW!$LR$2:$LR$60=W$1),0),$C284-1966)</f>
        <v>182.1883</v>
      </c>
      <c r="X284" s="4" cm="1">
        <f t="array" ref="X284">INDEX(GMW!$A$2:$LR$60,MATCH(1,(GMW!$LQ$2:$LQ$60=X$3)*(GMW!$LP$2:$LP$60=X$4)*(GMW!$LR$2:$LR$60=X$1),0),$C284-1966)</f>
        <v>126.535</v>
      </c>
      <c r="Y284" s="4" cm="1">
        <f t="array" ref="Y284">INDEX(GMW!$A$2:$LR$60,MATCH(1,(GMW!$LQ$2:$LQ$60=Y$3)*(GMW!$LP$2:$LP$60=Y$4)*(GMW!$LR$2:$LR$60=Y$1),0),$C284-1966)</f>
        <v>259.3698</v>
      </c>
      <c r="Z284" s="4" cm="1">
        <f t="array" ref="Z284">INDEX(GMW!$A$2:$LR$60,MATCH(1,(GMW!$LQ$2:$LQ$60=Z$3)*(GMW!$LP$2:$LP$60=Z$4)*(GMW!$LR$2:$LR$60=Z$1),0),$C284-1966)</f>
        <v>193.8073</v>
      </c>
      <c r="AA284" s="4" cm="1">
        <f t="array" ref="AA284">INDEX(GMW!$A$2:$LR$60,MATCH(1,(GMW!$LQ$2:$LQ$60=AA$3)*(GMW!$LP$2:$LP$60=AA$4)*(GMW!$LR$2:$LR$60=AA$1),0),$C284-1966)</f>
        <v>452144.1</v>
      </c>
      <c r="AB284" s="4" cm="1">
        <f t="array" ref="AB284">INDEX(GMW!$A$2:$LR$60,MATCH(1,(GMW!$LQ$2:$LQ$60=AB$3)*(GMW!$LP$2:$LP$60=AB$4)*(GMW!$LR$2:$LR$60=AB$1),0),$C284-1966)</f>
        <v>155033.29999999999</v>
      </c>
      <c r="AC284" s="4" cm="1">
        <f t="array" ref="AC284">INDEX(GMW!$A$2:$LR$60,MATCH(1,(GMW!$LQ$2:$LQ$60=AC$3)*(GMW!$LP$2:$LP$60=AC$4)*(GMW!$LR$2:$LR$60=AC$1),0),$C284-1966)</f>
        <v>158348.79999999999</v>
      </c>
      <c r="AD284" s="4" cm="1">
        <f t="array" ref="AD284">INDEX(GMW!$A$2:$LR$60,MATCH(1,(GMW!$LQ$2:$LQ$60=AD$3)*(GMW!$LP$2:$LP$60=AD$4)*(GMW!$LR$2:$LR$60=AD$1),0),$C284-1966)</f>
        <v>246182.2</v>
      </c>
      <c r="AE284" s="4" cm="1">
        <f t="array" ref="AE284">INDEX(GMW!$A$2:$LR$60,MATCH(1,(GMW!$LQ$2:$LQ$60=AE$3)*(GMW!$LP$2:$LP$60=AE$4)*(GMW!$LR$2:$LR$60=AE$1),0),$C284-1966)</f>
        <v>273364.7</v>
      </c>
      <c r="AF284" s="4" cm="1">
        <f t="array" ref="AF284">INDEX(GMW!$A$2:$LR$60,MATCH(1,(GMW!$LQ$2:$LQ$60=AF$3)*(GMW!$LP$2:$LP$60=AF$4)*(GMW!$LR$2:$LR$60=AF$1),0),$C284-1966)</f>
        <v>2.1064639999999999</v>
      </c>
      <c r="AG284" s="4" cm="1">
        <f t="array" ref="AG284">INDEX(GMW!$A$2:$LR$60,MATCH(1,(GMW!$LQ$2:$LQ$60=AG$3)*(GMW!$LP$2:$LP$60=AG$4)*(GMW!$LR$2:$LR$60=AG$1),0),$C284-1966)</f>
        <v>2.4334739999999999</v>
      </c>
    </row>
    <row r="285" spans="1:33" x14ac:dyDescent="0.25">
      <c r="B285" s="4">
        <f t="shared" si="9"/>
        <v>2042</v>
      </c>
      <c r="C285" s="4">
        <f t="shared" si="8"/>
        <v>2251</v>
      </c>
      <c r="D285" s="4" cm="1">
        <f t="array" ref="D285">INDEX(GMW!$A$2:$LR$60,MATCH(1,(GMW!$LQ$2:$LQ$60=D$3)*(GMW!$LP$2:$LP$60=D$4)*(GMW!$LR$2:$LR$60=D$1),0),$C285-1966)</f>
        <v>763237.1</v>
      </c>
      <c r="E285" s="4" cm="1">
        <f t="array" ref="E285">INDEX(GMW!$A$2:$LR$60,MATCH(1,(GMW!$LQ$2:$LQ$60=E$3)*(GMW!$LP$2:$LP$60=E$4)*(GMW!$LR$2:$LR$60=E$1),0),$C285-1966)</f>
        <v>751951.8</v>
      </c>
      <c r="F285" s="4" cm="1">
        <f t="array" ref="F285">INDEX(GMW!$A$2:$LR$60,MATCH(1,(GMW!$LQ$2:$LQ$60=F$3)*(GMW!$LP$2:$LP$60=F$4)*(GMW!$LR$2:$LR$60=F$1),0),$C285-1966)</f>
        <v>752239.4</v>
      </c>
      <c r="G285" s="4" cm="1">
        <f t="array" ref="G285">INDEX(GMW!$A$2:$LR$60,MATCH(1,(GMW!$LQ$2:$LQ$60=G$3)*(GMW!$LP$2:$LP$60=G$4)*(GMW!$LR$2:$LR$60=G$1),0),$C285-1966)</f>
        <v>752239.4</v>
      </c>
      <c r="H285" s="4" cm="1">
        <f t="array" ref="H285">INDEX(GMW!$A$2:$LR$60,MATCH(1,(GMW!$LQ$2:$LQ$60=H$3)*(GMW!$LP$2:$LP$60=H$4)*(GMW!$LR$2:$LR$60=H$1),0),$C285-1966)</f>
        <v>757368.2</v>
      </c>
      <c r="I285" s="4" cm="1">
        <f t="array" ref="I285">INDEX(GMW!$A$2:$LR$60,MATCH(1,(GMW!$LQ$2:$LQ$60=I$3)*(GMW!$LP$2:$LP$60=I$4)*(GMW!$LR$2:$LR$60=I$1),0),$C285-1966)</f>
        <v>758234.8</v>
      </c>
      <c r="J285" s="4" cm="1">
        <f t="array" ref="J285">INDEX(GMW!$A$2:$LR$60,MATCH(1,(GMW!$LQ$2:$LQ$60=J$3)*(GMW!$LP$2:$LP$60=J$4)*(GMW!$LR$2:$LR$60=J$1),0),$C285-1966)</f>
        <v>758203.2</v>
      </c>
      <c r="K285" s="4" cm="1">
        <f t="array" ref="K285">INDEX(GMW!$A$2:$LR$60,MATCH(1,(GMW!$LQ$2:$LQ$60=K$3)*(GMW!$LP$2:$LP$60=K$4)*(GMW!$LR$2:$LR$60=K$1),0),$C285-1966)</f>
        <v>758118.2</v>
      </c>
      <c r="L285" s="4" cm="1">
        <f t="array" ref="L285">INDEX(GMW!$A$2:$LR$60,MATCH(1,(GMW!$LQ$2:$LQ$60=L$3)*(GMW!$LP$2:$LP$60=L$4)*(GMW!$LR$2:$LR$60=L$1),0),$C285-1966)</f>
        <v>758155.9</v>
      </c>
      <c r="M285" s="4" cm="1">
        <f t="array" ref="M285">INDEX(GMW!$A$2:$LR$60,MATCH(1,(GMW!$LQ$2:$LQ$60=M$3)*(GMW!$LP$2:$LP$60=M$4)*(GMW!$LR$2:$LR$60=M$1),0),$C285-1966)</f>
        <v>758155.9</v>
      </c>
      <c r="N285" s="4" cm="1">
        <f t="array" ref="N285">INDEX(GMW!$A$2:$LR$60,MATCH(1,(GMW!$LQ$2:$LQ$60=N$3)*(GMW!$LP$2:$LP$60=N$4)*(GMW!$LR$2:$LR$60=N$1),0),$C285-1966)</f>
        <v>761626.8</v>
      </c>
      <c r="O285" s="4" cm="1">
        <f t="array" ref="O285">INDEX(GMW!$A$2:$LR$60,MATCH(1,(GMW!$LQ$2:$LQ$60=O$3)*(GMW!$LP$2:$LP$60=O$4)*(GMW!$LR$2:$LR$60=O$1),0),$C285-1966)</f>
        <v>762699.6</v>
      </c>
      <c r="P285" s="4" cm="1">
        <f t="array" ref="P285">INDEX(GMW!$A$2:$LR$60,MATCH(1,(GMW!$LQ$2:$LQ$60=P$3)*(GMW!$LP$2:$LP$60=P$4)*(GMW!$LR$2:$LR$60=P$1),0),$C285-1966)</f>
        <v>762966.4</v>
      </c>
      <c r="Q285" s="4" cm="1">
        <f t="array" ref="Q285">INDEX(GMW!$A$2:$LR$60,MATCH(1,(GMW!$LQ$2:$LQ$60=Q$3)*(GMW!$LP$2:$LP$60=Q$4)*(GMW!$LR$2:$LR$60=Q$1),0),$C285-1966)</f>
        <v>765871.9</v>
      </c>
      <c r="R285" s="4" cm="1">
        <f t="array" ref="R285">INDEX(GMW!$A$2:$LR$60,MATCH(1,(GMW!$LQ$2:$LQ$60=R$3)*(GMW!$LP$2:$LP$60=R$4)*(GMW!$LR$2:$LR$60=R$1),0),$C285-1966)</f>
        <v>766928.3</v>
      </c>
      <c r="S285" s="4" cm="1">
        <f t="array" ref="S285">INDEX(GMW!$A$2:$LR$60,MATCH(1,(GMW!$LQ$2:$LQ$60=S$3)*(GMW!$LP$2:$LP$60=S$4)*(GMW!$LR$2:$LR$60=S$1),0),$C285-1966)</f>
        <v>764219.9</v>
      </c>
      <c r="T285" s="4" cm="1">
        <f t="array" ref="T285">INDEX(GMW!$A$2:$LR$60,MATCH(1,(GMW!$LQ$2:$LQ$60=T$3)*(GMW!$LP$2:$LP$60=T$4)*(GMW!$LR$2:$LR$60=T$1),0),$C285-1966)</f>
        <v>764656.6</v>
      </c>
      <c r="U285" s="4" cm="1">
        <f t="array" ref="U285">INDEX(GMW!$A$2:$LR$60,MATCH(1,(GMW!$LQ$2:$LQ$60=U$3)*(GMW!$LP$2:$LP$60=U$4)*(GMW!$LR$2:$LR$60=U$1),0),$C285-1966)</f>
        <v>1185.0160000000001</v>
      </c>
      <c r="V285" s="4" cm="1">
        <f t="array" ref="V285">INDEX(GMW!$A$2:$LR$60,MATCH(1,(GMW!$LQ$2:$LQ$60=V$3)*(GMW!$LP$2:$LP$60=V$4)*(GMW!$LR$2:$LR$60=V$1),0),$C285-1966)</f>
        <v>193.7834</v>
      </c>
      <c r="W285" s="4" cm="1">
        <f t="array" ref="W285">INDEX(GMW!$A$2:$LR$60,MATCH(1,(GMW!$LQ$2:$LQ$60=W$3)*(GMW!$LP$2:$LP$60=W$4)*(GMW!$LR$2:$LR$60=W$1),0),$C285-1966)</f>
        <v>181.96430000000001</v>
      </c>
      <c r="X285" s="4" cm="1">
        <f t="array" ref="X285">INDEX(GMW!$A$2:$LR$60,MATCH(1,(GMW!$LQ$2:$LQ$60=X$3)*(GMW!$LP$2:$LP$60=X$4)*(GMW!$LR$2:$LR$60=X$1),0),$C285-1966)</f>
        <v>126.586</v>
      </c>
      <c r="Y285" s="4" cm="1">
        <f t="array" ref="Y285">INDEX(GMW!$A$2:$LR$60,MATCH(1,(GMW!$LQ$2:$LQ$60=Y$3)*(GMW!$LP$2:$LP$60=Y$4)*(GMW!$LR$2:$LR$60=Y$1),0),$C285-1966)</f>
        <v>261.6198</v>
      </c>
      <c r="Z285" s="4" cm="1">
        <f t="array" ref="Z285">INDEX(GMW!$A$2:$LR$60,MATCH(1,(GMW!$LQ$2:$LQ$60=Z$3)*(GMW!$LP$2:$LP$60=Z$4)*(GMW!$LR$2:$LR$60=Z$1),0),$C285-1966)</f>
        <v>194.94659999999999</v>
      </c>
      <c r="AA285" s="4" cm="1">
        <f t="array" ref="AA285">INDEX(GMW!$A$2:$LR$60,MATCH(1,(GMW!$LQ$2:$LQ$60=AA$3)*(GMW!$LP$2:$LP$60=AA$4)*(GMW!$LR$2:$LR$60=AA$1),0),$C285-1966)</f>
        <v>453893.8</v>
      </c>
      <c r="AB285" s="4" cm="1">
        <f t="array" ref="AB285">INDEX(GMW!$A$2:$LR$60,MATCH(1,(GMW!$LQ$2:$LQ$60=AB$3)*(GMW!$LP$2:$LP$60=AB$4)*(GMW!$LR$2:$LR$60=AB$1),0),$C285-1966)</f>
        <v>155803.29999999999</v>
      </c>
      <c r="AC285" s="4" cm="1">
        <f t="array" ref="AC285">INDEX(GMW!$A$2:$LR$60,MATCH(1,(GMW!$LQ$2:$LQ$60=AC$3)*(GMW!$LP$2:$LP$60=AC$4)*(GMW!$LR$2:$LR$60=AC$1),0),$C285-1966)</f>
        <v>158967.9</v>
      </c>
      <c r="AD285" s="4" cm="1">
        <f t="array" ref="AD285">INDEX(GMW!$A$2:$LR$60,MATCH(1,(GMW!$LQ$2:$LQ$60=AD$3)*(GMW!$LP$2:$LP$60=AD$4)*(GMW!$LR$2:$LR$60=AD$1),0),$C285-1966)</f>
        <v>247372</v>
      </c>
      <c r="AE285" s="4" cm="1">
        <f t="array" ref="AE285">INDEX(GMW!$A$2:$LR$60,MATCH(1,(GMW!$LQ$2:$LQ$60=AE$3)*(GMW!$LP$2:$LP$60=AE$4)*(GMW!$LR$2:$LR$60=AE$1),0),$C285-1966)</f>
        <v>274822.7</v>
      </c>
      <c r="AF285" s="4" cm="1">
        <f t="array" ref="AF285">INDEX(GMW!$A$2:$LR$60,MATCH(1,(GMW!$LQ$2:$LQ$60=AF$3)*(GMW!$LP$2:$LP$60=AF$4)*(GMW!$LR$2:$LR$60=AF$1),0),$C285-1966)</f>
        <v>2.1064639999999999</v>
      </c>
      <c r="AG285" s="4" cm="1">
        <f t="array" ref="AG285">INDEX(GMW!$A$2:$LR$60,MATCH(1,(GMW!$LQ$2:$LQ$60=AG$3)*(GMW!$LP$2:$LP$60=AG$4)*(GMW!$LR$2:$LR$60=AG$1),0),$C285-1966)</f>
        <v>2.4334739999999999</v>
      </c>
    </row>
    <row r="286" spans="1:33" x14ac:dyDescent="0.25">
      <c r="B286" s="4">
        <f t="shared" si="9"/>
        <v>2042</v>
      </c>
      <c r="C286" s="4">
        <f t="shared" si="8"/>
        <v>2252</v>
      </c>
      <c r="D286" s="4" cm="1">
        <f t="array" ref="D286">INDEX(GMW!$A$2:$LR$60,MATCH(1,(GMW!$LQ$2:$LQ$60=D$3)*(GMW!$LP$2:$LP$60=D$4)*(GMW!$LR$2:$LR$60=D$1),0),$C286-1966)</f>
        <v>766179.6</v>
      </c>
      <c r="E286" s="4" cm="1">
        <f t="array" ref="E286">INDEX(GMW!$A$2:$LR$60,MATCH(1,(GMW!$LQ$2:$LQ$60=E$3)*(GMW!$LP$2:$LP$60=E$4)*(GMW!$LR$2:$LR$60=E$1),0),$C286-1966)</f>
        <v>754791.9</v>
      </c>
      <c r="F286" s="4" cm="1">
        <f t="array" ref="F286">INDEX(GMW!$A$2:$LR$60,MATCH(1,(GMW!$LQ$2:$LQ$60=F$3)*(GMW!$LP$2:$LP$60=F$4)*(GMW!$LR$2:$LR$60=F$1),0),$C286-1966)</f>
        <v>755080.2</v>
      </c>
      <c r="G286" s="4" cm="1">
        <f t="array" ref="G286">INDEX(GMW!$A$2:$LR$60,MATCH(1,(GMW!$LQ$2:$LQ$60=G$3)*(GMW!$LP$2:$LP$60=G$4)*(GMW!$LR$2:$LR$60=G$1),0),$C286-1966)</f>
        <v>755080.2</v>
      </c>
      <c r="H286" s="4" cm="1">
        <f t="array" ref="H286">INDEX(GMW!$A$2:$LR$60,MATCH(1,(GMW!$LQ$2:$LQ$60=H$3)*(GMW!$LP$2:$LP$60=H$4)*(GMW!$LR$2:$LR$60=H$1),0),$C286-1966)</f>
        <v>760227.3</v>
      </c>
      <c r="I286" s="4" cm="1">
        <f t="array" ref="I286">INDEX(GMW!$A$2:$LR$60,MATCH(1,(GMW!$LQ$2:$LQ$60=I$3)*(GMW!$LP$2:$LP$60=I$4)*(GMW!$LR$2:$LR$60=I$1),0),$C286-1966)</f>
        <v>761083.2</v>
      </c>
      <c r="J286" s="4" cm="1">
        <f t="array" ref="J286">INDEX(GMW!$A$2:$LR$60,MATCH(1,(GMW!$LQ$2:$LQ$60=J$3)*(GMW!$LP$2:$LP$60=J$4)*(GMW!$LR$2:$LR$60=J$1),0),$C286-1966)</f>
        <v>761051.4</v>
      </c>
      <c r="K286" s="4" cm="1">
        <f t="array" ref="K286">INDEX(GMW!$A$2:$LR$60,MATCH(1,(GMW!$LQ$2:$LQ$60=K$3)*(GMW!$LP$2:$LP$60=K$4)*(GMW!$LR$2:$LR$60=K$1),0),$C286-1966)</f>
        <v>760968.1</v>
      </c>
      <c r="L286" s="4" cm="1">
        <f t="array" ref="L286">INDEX(GMW!$A$2:$LR$60,MATCH(1,(GMW!$LQ$2:$LQ$60=L$3)*(GMW!$LP$2:$LP$60=L$4)*(GMW!$LR$2:$LR$60=L$1),0),$C286-1966)</f>
        <v>761006.3</v>
      </c>
      <c r="M286" s="4" cm="1">
        <f t="array" ref="M286">INDEX(GMW!$A$2:$LR$60,MATCH(1,(GMW!$LQ$2:$LQ$60=M$3)*(GMW!$LP$2:$LP$60=M$4)*(GMW!$LR$2:$LR$60=M$1),0),$C286-1966)</f>
        <v>761006.3</v>
      </c>
      <c r="N286" s="4" cm="1">
        <f t="array" ref="N286">INDEX(GMW!$A$2:$LR$60,MATCH(1,(GMW!$LQ$2:$LQ$60=N$3)*(GMW!$LP$2:$LP$60=N$4)*(GMW!$LR$2:$LR$60=N$1),0),$C286-1966)</f>
        <v>764526.1</v>
      </c>
      <c r="O286" s="4" cm="1">
        <f t="array" ref="O286">INDEX(GMW!$A$2:$LR$60,MATCH(1,(GMW!$LQ$2:$LQ$60=O$3)*(GMW!$LP$2:$LP$60=O$4)*(GMW!$LR$2:$LR$60=O$1),0),$C286-1966)</f>
        <v>765623.3</v>
      </c>
      <c r="P286" s="4" cm="1">
        <f t="array" ref="P286">INDEX(GMW!$A$2:$LR$60,MATCH(1,(GMW!$LQ$2:$LQ$60=P$3)*(GMW!$LP$2:$LP$60=P$4)*(GMW!$LR$2:$LR$60=P$1),0),$C286-1966)</f>
        <v>765889.8</v>
      </c>
      <c r="Q286" s="4" cm="1">
        <f t="array" ref="Q286">INDEX(GMW!$A$2:$LR$60,MATCH(1,(GMW!$LQ$2:$LQ$60=Q$3)*(GMW!$LP$2:$LP$60=Q$4)*(GMW!$LR$2:$LR$60=Q$1),0),$C286-1966)</f>
        <v>768810.3</v>
      </c>
      <c r="R286" s="4" cm="1">
        <f t="array" ref="R286">INDEX(GMW!$A$2:$LR$60,MATCH(1,(GMW!$LQ$2:$LQ$60=R$3)*(GMW!$LP$2:$LP$60=R$4)*(GMW!$LR$2:$LR$60=R$1),0),$C286-1966)</f>
        <v>769893.6</v>
      </c>
      <c r="S286" s="4" cm="1">
        <f t="array" ref="S286">INDEX(GMW!$A$2:$LR$60,MATCH(1,(GMW!$LQ$2:$LQ$60=S$3)*(GMW!$LP$2:$LP$60=S$4)*(GMW!$LR$2:$LR$60=S$1),0),$C286-1966)</f>
        <v>767171.6</v>
      </c>
      <c r="T286" s="4" cm="1">
        <f t="array" ref="T286">INDEX(GMW!$A$2:$LR$60,MATCH(1,(GMW!$LQ$2:$LQ$60=T$3)*(GMW!$LP$2:$LP$60=T$4)*(GMW!$LR$2:$LR$60=T$1),0),$C286-1966)</f>
        <v>767603.1</v>
      </c>
      <c r="U286" s="4" cm="1">
        <f t="array" ref="U286">INDEX(GMW!$A$2:$LR$60,MATCH(1,(GMW!$LQ$2:$LQ$60=U$3)*(GMW!$LP$2:$LP$60=U$4)*(GMW!$LR$2:$LR$60=U$1),0),$C286-1966)</f>
        <v>1194.43</v>
      </c>
      <c r="V286" s="4" cm="1">
        <f t="array" ref="V286">INDEX(GMW!$A$2:$LR$60,MATCH(1,(GMW!$LQ$2:$LQ$60=V$3)*(GMW!$LP$2:$LP$60=V$4)*(GMW!$LR$2:$LR$60=V$1),0),$C286-1966)</f>
        <v>194.71780000000001</v>
      </c>
      <c r="W286" s="4" cm="1">
        <f t="array" ref="W286">INDEX(GMW!$A$2:$LR$60,MATCH(1,(GMW!$LQ$2:$LQ$60=W$3)*(GMW!$LP$2:$LP$60=W$4)*(GMW!$LR$2:$LR$60=W$1),0),$C286-1966)</f>
        <v>182.7818</v>
      </c>
      <c r="X286" s="4" cm="1">
        <f t="array" ref="X286">INDEX(GMW!$A$2:$LR$60,MATCH(1,(GMW!$LQ$2:$LQ$60=X$3)*(GMW!$LP$2:$LP$60=X$4)*(GMW!$LR$2:$LR$60=X$1),0),$C286-1966)</f>
        <v>126.6371</v>
      </c>
      <c r="Y286" s="4" cm="1">
        <f t="array" ref="Y286">INDEX(GMW!$A$2:$LR$60,MATCH(1,(GMW!$LQ$2:$LQ$60=Y$3)*(GMW!$LP$2:$LP$60=Y$4)*(GMW!$LR$2:$LR$60=Y$1),0),$C286-1966)</f>
        <v>263.9119</v>
      </c>
      <c r="Z286" s="4" cm="1">
        <f t="array" ref="Z286">INDEX(GMW!$A$2:$LR$60,MATCH(1,(GMW!$LQ$2:$LQ$60=Z$3)*(GMW!$LP$2:$LP$60=Z$4)*(GMW!$LR$2:$LR$60=Z$1),0),$C286-1966)</f>
        <v>195.893</v>
      </c>
      <c r="AA286" s="4" cm="1">
        <f t="array" ref="AA286">INDEX(GMW!$A$2:$LR$60,MATCH(1,(GMW!$LQ$2:$LQ$60=AA$3)*(GMW!$LP$2:$LP$60=AA$4)*(GMW!$LR$2:$LR$60=AA$1),0),$C286-1966)</f>
        <v>455648.2</v>
      </c>
      <c r="AB286" s="4" cm="1">
        <f t="array" ref="AB286">INDEX(GMW!$A$2:$LR$60,MATCH(1,(GMW!$LQ$2:$LQ$60=AB$3)*(GMW!$LP$2:$LP$60=AB$4)*(GMW!$LR$2:$LR$60=AB$1),0),$C286-1966)</f>
        <v>156576.5</v>
      </c>
      <c r="AC286" s="4" cm="1">
        <f t="array" ref="AC286">INDEX(GMW!$A$2:$LR$60,MATCH(1,(GMW!$LQ$2:$LQ$60=AC$3)*(GMW!$LP$2:$LP$60=AC$4)*(GMW!$LR$2:$LR$60=AC$1),0),$C286-1966)</f>
        <v>159588.70000000001</v>
      </c>
      <c r="AD286" s="4" cm="1">
        <f t="array" ref="AD286">INDEX(GMW!$A$2:$LR$60,MATCH(1,(GMW!$LQ$2:$LQ$60=AD$3)*(GMW!$LP$2:$LP$60=AD$4)*(GMW!$LR$2:$LR$60=AD$1),0),$C286-1966)</f>
        <v>248566.9</v>
      </c>
      <c r="AE286" s="4" cm="1">
        <f t="array" ref="AE286">INDEX(GMW!$A$2:$LR$60,MATCH(1,(GMW!$LQ$2:$LQ$60=AE$3)*(GMW!$LP$2:$LP$60=AE$4)*(GMW!$LR$2:$LR$60=AE$1),0),$C286-1966)</f>
        <v>276287.90000000002</v>
      </c>
      <c r="AF286" s="4" cm="1">
        <f t="array" ref="AF286">INDEX(GMW!$A$2:$LR$60,MATCH(1,(GMW!$LQ$2:$LQ$60=AF$3)*(GMW!$LP$2:$LP$60=AF$4)*(GMW!$LR$2:$LR$60=AF$1),0),$C286-1966)</f>
        <v>2.1064639999999999</v>
      </c>
      <c r="AG286" s="4" cm="1">
        <f t="array" ref="AG286">INDEX(GMW!$A$2:$LR$60,MATCH(1,(GMW!$LQ$2:$LQ$60=AG$3)*(GMW!$LP$2:$LP$60=AG$4)*(GMW!$LR$2:$LR$60=AG$1),0),$C286-1966)</f>
        <v>2.4334739999999999</v>
      </c>
    </row>
    <row r="287" spans="1:33" x14ac:dyDescent="0.25">
      <c r="A287" s="4">
        <v>2043</v>
      </c>
      <c r="B287" s="4">
        <f t="shared" si="9"/>
        <v>2043</v>
      </c>
      <c r="C287" s="4">
        <f t="shared" si="8"/>
        <v>2253</v>
      </c>
      <c r="D287" s="4" cm="1">
        <f t="array" ref="D287">INDEX(GMW!$A$2:$LR$60,MATCH(1,(GMW!$LQ$2:$LQ$60=D$3)*(GMW!$LP$2:$LP$60=D$4)*(GMW!$LR$2:$LR$60=D$1),0),$C287-1966)</f>
        <v>769129.9</v>
      </c>
      <c r="E287" s="4" cm="1">
        <f t="array" ref="E287">INDEX(GMW!$A$2:$LR$60,MATCH(1,(GMW!$LQ$2:$LQ$60=E$3)*(GMW!$LP$2:$LP$60=E$4)*(GMW!$LR$2:$LR$60=E$1),0),$C287-1966)</f>
        <v>757639.9</v>
      </c>
      <c r="F287" s="4" cm="1">
        <f t="array" ref="F287">INDEX(GMW!$A$2:$LR$60,MATCH(1,(GMW!$LQ$2:$LQ$60=F$3)*(GMW!$LP$2:$LP$60=F$4)*(GMW!$LR$2:$LR$60=F$1),0),$C287-1966)</f>
        <v>757928.9</v>
      </c>
      <c r="G287" s="4" cm="1">
        <f t="array" ref="G287">INDEX(GMW!$A$2:$LR$60,MATCH(1,(GMW!$LQ$2:$LQ$60=G$3)*(GMW!$LP$2:$LP$60=G$4)*(GMW!$LR$2:$LR$60=G$1),0),$C287-1966)</f>
        <v>757928.9</v>
      </c>
      <c r="H287" s="4" cm="1">
        <f t="array" ref="H287">INDEX(GMW!$A$2:$LR$60,MATCH(1,(GMW!$LQ$2:$LQ$60=H$3)*(GMW!$LP$2:$LP$60=H$4)*(GMW!$LR$2:$LR$60=H$1),0),$C287-1966)</f>
        <v>763094.8</v>
      </c>
      <c r="I287" s="4" cm="1">
        <f t="array" ref="I287">INDEX(GMW!$A$2:$LR$60,MATCH(1,(GMW!$LQ$2:$LQ$60=I$3)*(GMW!$LP$2:$LP$60=I$4)*(GMW!$LR$2:$LR$60=I$1),0),$C287-1966)</f>
        <v>763939.3</v>
      </c>
      <c r="J287" s="4" cm="1">
        <f t="array" ref="J287">INDEX(GMW!$A$2:$LR$60,MATCH(1,(GMW!$LQ$2:$LQ$60=J$3)*(GMW!$LP$2:$LP$60=J$4)*(GMW!$LR$2:$LR$60=J$1),0),$C287-1966)</f>
        <v>763907.2</v>
      </c>
      <c r="K287" s="4" cm="1">
        <f t="array" ref="K287">INDEX(GMW!$A$2:$LR$60,MATCH(1,(GMW!$LQ$2:$LQ$60=K$3)*(GMW!$LP$2:$LP$60=K$4)*(GMW!$LR$2:$LR$60=K$1),0),$C287-1966)</f>
        <v>763825.9</v>
      </c>
      <c r="L287" s="4" cm="1">
        <f t="array" ref="L287">INDEX(GMW!$A$2:$LR$60,MATCH(1,(GMW!$LQ$2:$LQ$60=L$3)*(GMW!$LP$2:$LP$60=L$4)*(GMW!$LR$2:$LR$60=L$1),0),$C287-1966)</f>
        <v>763864.5</v>
      </c>
      <c r="M287" s="4" cm="1">
        <f t="array" ref="M287">INDEX(GMW!$A$2:$LR$60,MATCH(1,(GMW!$LQ$2:$LQ$60=M$3)*(GMW!$LP$2:$LP$60=M$4)*(GMW!$LR$2:$LR$60=M$1),0),$C287-1966)</f>
        <v>763864.5</v>
      </c>
      <c r="N287" s="4" cm="1">
        <f t="array" ref="N287">INDEX(GMW!$A$2:$LR$60,MATCH(1,(GMW!$LQ$2:$LQ$60=N$3)*(GMW!$LP$2:$LP$60=N$4)*(GMW!$LR$2:$LR$60=N$1),0),$C287-1966)</f>
        <v>767433.8</v>
      </c>
      <c r="O287" s="4" cm="1">
        <f t="array" ref="O287">INDEX(GMW!$A$2:$LR$60,MATCH(1,(GMW!$LQ$2:$LQ$60=O$3)*(GMW!$LP$2:$LP$60=O$4)*(GMW!$LR$2:$LR$60=O$1),0),$C287-1966)</f>
        <v>768555.9</v>
      </c>
      <c r="P287" s="4" cm="1">
        <f t="array" ref="P287">INDEX(GMW!$A$2:$LR$60,MATCH(1,(GMW!$LQ$2:$LQ$60=P$3)*(GMW!$LP$2:$LP$60=P$4)*(GMW!$LR$2:$LR$60=P$1),0),$C287-1966)</f>
        <v>768822</v>
      </c>
      <c r="Q287" s="4" cm="1">
        <f t="array" ref="Q287">INDEX(GMW!$A$2:$LR$60,MATCH(1,(GMW!$LQ$2:$LQ$60=Q$3)*(GMW!$LP$2:$LP$60=Q$4)*(GMW!$LR$2:$LR$60=Q$1),0),$C287-1966)</f>
        <v>771756.3</v>
      </c>
      <c r="R287" s="4" cm="1">
        <f t="array" ref="R287">INDEX(GMW!$A$2:$LR$60,MATCH(1,(GMW!$LQ$2:$LQ$60=R$3)*(GMW!$LP$2:$LP$60=R$4)*(GMW!$LR$2:$LR$60=R$1),0),$C287-1966)</f>
        <v>772866.6</v>
      </c>
      <c r="S287" s="4" cm="1">
        <f t="array" ref="S287">INDEX(GMW!$A$2:$LR$60,MATCH(1,(GMW!$LQ$2:$LQ$60=S$3)*(GMW!$LP$2:$LP$60=S$4)*(GMW!$LR$2:$LR$60=S$1),0),$C287-1966)</f>
        <v>770130.9</v>
      </c>
      <c r="T287" s="4" cm="1">
        <f t="array" ref="T287">INDEX(GMW!$A$2:$LR$60,MATCH(1,(GMW!$LQ$2:$LQ$60=T$3)*(GMW!$LP$2:$LP$60=T$4)*(GMW!$LR$2:$LR$60=T$1),0),$C287-1966)</f>
        <v>770557.4</v>
      </c>
      <c r="U287" s="4" cm="1">
        <f t="array" ref="U287">INDEX(GMW!$A$2:$LR$60,MATCH(1,(GMW!$LQ$2:$LQ$60=U$3)*(GMW!$LP$2:$LP$60=U$4)*(GMW!$LR$2:$LR$60=U$1),0),$C287-1966)</f>
        <v>1203.913</v>
      </c>
      <c r="V287" s="4" cm="1">
        <f t="array" ref="V287">INDEX(GMW!$A$2:$LR$60,MATCH(1,(GMW!$LQ$2:$LQ$60=V$3)*(GMW!$LP$2:$LP$60=V$4)*(GMW!$LR$2:$LR$60=V$1),0),$C287-1966)</f>
        <v>195.02279999999999</v>
      </c>
      <c r="W287" s="4" cm="1">
        <f t="array" ref="W287">INDEX(GMW!$A$2:$LR$60,MATCH(1,(GMW!$LQ$2:$LQ$60=W$3)*(GMW!$LP$2:$LP$60=W$4)*(GMW!$LR$2:$LR$60=W$1),0),$C287-1966)</f>
        <v>184.46459999999999</v>
      </c>
      <c r="X287" s="4" cm="1">
        <f t="array" ref="X287">INDEX(GMW!$A$2:$LR$60,MATCH(1,(GMW!$LQ$2:$LQ$60=X$3)*(GMW!$LP$2:$LP$60=X$4)*(GMW!$LR$2:$LR$60=X$1),0),$C287-1966)</f>
        <v>126.6763</v>
      </c>
      <c r="Y287" s="4" cm="1">
        <f t="array" ref="Y287">INDEX(GMW!$A$2:$LR$60,MATCH(1,(GMW!$LQ$2:$LQ$60=Y$3)*(GMW!$LP$2:$LP$60=Y$4)*(GMW!$LR$2:$LR$60=Y$1),0),$C287-1966)</f>
        <v>266.13420000000002</v>
      </c>
      <c r="Z287" s="4" cm="1">
        <f t="array" ref="Z287">INDEX(GMW!$A$2:$LR$60,MATCH(1,(GMW!$LQ$2:$LQ$60=Z$3)*(GMW!$LP$2:$LP$60=Z$4)*(GMW!$LR$2:$LR$60=Z$1),0),$C287-1966)</f>
        <v>195.8451</v>
      </c>
      <c r="AA287" s="4" cm="1">
        <f t="array" ref="AA287">INDEX(GMW!$A$2:$LR$60,MATCH(1,(GMW!$LQ$2:$LQ$60=AA$3)*(GMW!$LP$2:$LP$60=AA$4)*(GMW!$LR$2:$LR$60=AA$1),0),$C287-1966)</f>
        <v>457407.3</v>
      </c>
      <c r="AB287" s="4" cm="1">
        <f t="array" ref="AB287">INDEX(GMW!$A$2:$LR$60,MATCH(1,(GMW!$LQ$2:$LQ$60=AB$3)*(GMW!$LP$2:$LP$60=AB$4)*(GMW!$LR$2:$LR$60=AB$1),0),$C287-1966)</f>
        <v>157348</v>
      </c>
      <c r="AC287" s="4" cm="1">
        <f t="array" ref="AC287">INDEX(GMW!$A$2:$LR$60,MATCH(1,(GMW!$LQ$2:$LQ$60=AC$3)*(GMW!$LP$2:$LP$60=AC$4)*(GMW!$LR$2:$LR$60=AC$1),0),$C287-1966)</f>
        <v>160211.20000000001</v>
      </c>
      <c r="AD287" s="4" cm="1">
        <f t="array" ref="AD287">INDEX(GMW!$A$2:$LR$60,MATCH(1,(GMW!$LQ$2:$LQ$60=AD$3)*(GMW!$LP$2:$LP$60=AD$4)*(GMW!$LR$2:$LR$60=AD$1),0),$C287-1966)</f>
        <v>249767</v>
      </c>
      <c r="AE287" s="4" cm="1">
        <f t="array" ref="AE287">INDEX(GMW!$A$2:$LR$60,MATCH(1,(GMW!$LQ$2:$LQ$60=AE$3)*(GMW!$LP$2:$LP$60=AE$4)*(GMW!$LR$2:$LR$60=AE$1),0),$C287-1966)</f>
        <v>277759.90000000002</v>
      </c>
      <c r="AF287" s="4" cm="1">
        <f t="array" ref="AF287">INDEX(GMW!$A$2:$LR$60,MATCH(1,(GMW!$LQ$2:$LQ$60=AF$3)*(GMW!$LP$2:$LP$60=AF$4)*(GMW!$LR$2:$LR$60=AF$1),0),$C287-1966)</f>
        <v>2.1064639999999999</v>
      </c>
      <c r="AG287" s="4" cm="1">
        <f t="array" ref="AG287">INDEX(GMW!$A$2:$LR$60,MATCH(1,(GMW!$LQ$2:$LQ$60=AG$3)*(GMW!$LP$2:$LP$60=AG$4)*(GMW!$LR$2:$LR$60=AG$1),0),$C287-1966)</f>
        <v>2.4334739999999999</v>
      </c>
    </row>
    <row r="288" spans="1:33" x14ac:dyDescent="0.25">
      <c r="B288" s="4">
        <f t="shared" si="9"/>
        <v>2043</v>
      </c>
      <c r="C288" s="4">
        <f t="shared" si="8"/>
        <v>2254</v>
      </c>
      <c r="D288" s="4" cm="1">
        <f t="array" ref="D288">INDEX(GMW!$A$2:$LR$60,MATCH(1,(GMW!$LQ$2:$LQ$60=D$3)*(GMW!$LP$2:$LP$60=D$4)*(GMW!$LR$2:$LR$60=D$1),0),$C288-1966)</f>
        <v>772088</v>
      </c>
      <c r="E288" s="4" cm="1">
        <f t="array" ref="E288">INDEX(GMW!$A$2:$LR$60,MATCH(1,(GMW!$LQ$2:$LQ$60=E$3)*(GMW!$LP$2:$LP$60=E$4)*(GMW!$LR$2:$LR$60=E$1),0),$C288-1966)</f>
        <v>760495.2</v>
      </c>
      <c r="F288" s="4" cm="1">
        <f t="array" ref="F288">INDEX(GMW!$A$2:$LR$60,MATCH(1,(GMW!$LQ$2:$LQ$60=F$3)*(GMW!$LP$2:$LP$60=F$4)*(GMW!$LR$2:$LR$60=F$1),0),$C288-1966)</f>
        <v>760784.8</v>
      </c>
      <c r="G288" s="4" cm="1">
        <f t="array" ref="G288">INDEX(GMW!$A$2:$LR$60,MATCH(1,(GMW!$LQ$2:$LQ$60=G$3)*(GMW!$LP$2:$LP$60=G$4)*(GMW!$LR$2:$LR$60=G$1),0),$C288-1966)</f>
        <v>760784.8</v>
      </c>
      <c r="H288" s="4" cm="1">
        <f t="array" ref="H288">INDEX(GMW!$A$2:$LR$60,MATCH(1,(GMW!$LQ$2:$LQ$60=H$3)*(GMW!$LP$2:$LP$60=H$4)*(GMW!$LR$2:$LR$60=H$1),0),$C288-1966)</f>
        <v>765970.4</v>
      </c>
      <c r="I288" s="4" cm="1">
        <f t="array" ref="I288">INDEX(GMW!$A$2:$LR$60,MATCH(1,(GMW!$LQ$2:$LQ$60=I$3)*(GMW!$LP$2:$LP$60=I$4)*(GMW!$LR$2:$LR$60=I$1),0),$C288-1966)</f>
        <v>766803</v>
      </c>
      <c r="J288" s="4" cm="1">
        <f t="array" ref="J288">INDEX(GMW!$A$2:$LR$60,MATCH(1,(GMW!$LQ$2:$LQ$60=J$3)*(GMW!$LP$2:$LP$60=J$4)*(GMW!$LR$2:$LR$60=J$1),0),$C288-1966)</f>
        <v>766770.7</v>
      </c>
      <c r="K288" s="4" cm="1">
        <f t="array" ref="K288">INDEX(GMW!$A$2:$LR$60,MATCH(1,(GMW!$LQ$2:$LQ$60=K$3)*(GMW!$LP$2:$LP$60=K$4)*(GMW!$LR$2:$LR$60=K$1),0),$C288-1966)</f>
        <v>766691.3</v>
      </c>
      <c r="L288" s="4" cm="1">
        <f t="array" ref="L288">INDEX(GMW!$A$2:$LR$60,MATCH(1,(GMW!$LQ$2:$LQ$60=L$3)*(GMW!$LP$2:$LP$60=L$4)*(GMW!$LR$2:$LR$60=L$1),0),$C288-1966)</f>
        <v>766730.3</v>
      </c>
      <c r="M288" s="4" cm="1">
        <f t="array" ref="M288">INDEX(GMW!$A$2:$LR$60,MATCH(1,(GMW!$LQ$2:$LQ$60=M$3)*(GMW!$LP$2:$LP$60=M$4)*(GMW!$LR$2:$LR$60=M$1),0),$C288-1966)</f>
        <v>766730.3</v>
      </c>
      <c r="N288" s="4" cm="1">
        <f t="array" ref="N288">INDEX(GMW!$A$2:$LR$60,MATCH(1,(GMW!$LQ$2:$LQ$60=N$3)*(GMW!$LP$2:$LP$60=N$4)*(GMW!$LR$2:$LR$60=N$1),0),$C288-1966)</f>
        <v>770349.7</v>
      </c>
      <c r="O288" s="4" cm="1">
        <f t="array" ref="O288">INDEX(GMW!$A$2:$LR$60,MATCH(1,(GMW!$LQ$2:$LQ$60=O$3)*(GMW!$LP$2:$LP$60=O$4)*(GMW!$LR$2:$LR$60=O$1),0),$C288-1966)</f>
        <v>771496.9</v>
      </c>
      <c r="P288" s="4" cm="1">
        <f t="array" ref="P288">INDEX(GMW!$A$2:$LR$60,MATCH(1,(GMW!$LQ$2:$LQ$60=P$3)*(GMW!$LP$2:$LP$60=P$4)*(GMW!$LR$2:$LR$60=P$1),0),$C288-1966)</f>
        <v>771762.7</v>
      </c>
      <c r="Q288" s="4" cm="1">
        <f t="array" ref="Q288">INDEX(GMW!$A$2:$LR$60,MATCH(1,(GMW!$LQ$2:$LQ$60=Q$3)*(GMW!$LP$2:$LP$60=Q$4)*(GMW!$LR$2:$LR$60=Q$1),0),$C288-1966)</f>
        <v>774709.6</v>
      </c>
      <c r="R288" s="4" cm="1">
        <f t="array" ref="R288">INDEX(GMW!$A$2:$LR$60,MATCH(1,(GMW!$LQ$2:$LQ$60=R$3)*(GMW!$LP$2:$LP$60=R$4)*(GMW!$LR$2:$LR$60=R$1),0),$C288-1966)</f>
        <v>775847.3</v>
      </c>
      <c r="S288" s="4" cm="1">
        <f t="array" ref="S288">INDEX(GMW!$A$2:$LR$60,MATCH(1,(GMW!$LQ$2:$LQ$60=S$3)*(GMW!$LP$2:$LP$60=S$4)*(GMW!$LR$2:$LR$60=S$1),0),$C288-1966)</f>
        <v>773097.9</v>
      </c>
      <c r="T288" s="4" cm="1">
        <f t="array" ref="T288">INDEX(GMW!$A$2:$LR$60,MATCH(1,(GMW!$LQ$2:$LQ$60=T$3)*(GMW!$LP$2:$LP$60=T$4)*(GMW!$LR$2:$LR$60=T$1),0),$C288-1966)</f>
        <v>773519.5</v>
      </c>
      <c r="U288" s="4" cm="1">
        <f t="array" ref="U288">INDEX(GMW!$A$2:$LR$60,MATCH(1,(GMW!$LQ$2:$LQ$60=U$3)*(GMW!$LP$2:$LP$60=U$4)*(GMW!$LR$2:$LR$60=U$1),0),$C288-1966)</f>
        <v>1213.4659999999999</v>
      </c>
      <c r="V288" s="4" cm="1">
        <f t="array" ref="V288">INDEX(GMW!$A$2:$LR$60,MATCH(1,(GMW!$LQ$2:$LQ$60=V$3)*(GMW!$LP$2:$LP$60=V$4)*(GMW!$LR$2:$LR$60=V$1),0),$C288-1966)</f>
        <v>196.72630000000001</v>
      </c>
      <c r="W288" s="4" cm="1">
        <f t="array" ref="W288">INDEX(GMW!$A$2:$LR$60,MATCH(1,(GMW!$LQ$2:$LQ$60=W$3)*(GMW!$LP$2:$LP$60=W$4)*(GMW!$LR$2:$LR$60=W$1),0),$C288-1966)</f>
        <v>184.90729999999999</v>
      </c>
      <c r="X288" s="4" cm="1">
        <f t="array" ref="X288">INDEX(GMW!$A$2:$LR$60,MATCH(1,(GMW!$LQ$2:$LQ$60=X$3)*(GMW!$LP$2:$LP$60=X$4)*(GMW!$LR$2:$LR$60=X$1),0),$C288-1966)</f>
        <v>126.7273</v>
      </c>
      <c r="Y288" s="4" cm="1">
        <f t="array" ref="Y288">INDEX(GMW!$A$2:$LR$60,MATCH(1,(GMW!$LQ$2:$LQ$60=Y$3)*(GMW!$LP$2:$LP$60=Y$4)*(GMW!$LR$2:$LR$60=Y$1),0),$C288-1966)</f>
        <v>268.39999999999998</v>
      </c>
      <c r="Z288" s="4" cm="1">
        <f t="array" ref="Z288">INDEX(GMW!$A$2:$LR$60,MATCH(1,(GMW!$LQ$2:$LQ$60=Z$3)*(GMW!$LP$2:$LP$60=Z$4)*(GMW!$LR$2:$LR$60=Z$1),0),$C288-1966)</f>
        <v>197.8665</v>
      </c>
      <c r="AA288" s="4" cm="1">
        <f t="array" ref="AA288">INDEX(GMW!$A$2:$LR$60,MATCH(1,(GMW!$LQ$2:$LQ$60=AA$3)*(GMW!$LP$2:$LP$60=AA$4)*(GMW!$LR$2:$LR$60=AA$1),0),$C288-1966)</f>
        <v>459171.1</v>
      </c>
      <c r="AB288" s="4" cm="1">
        <f t="array" ref="AB288">INDEX(GMW!$A$2:$LR$60,MATCH(1,(GMW!$LQ$2:$LQ$60=AB$3)*(GMW!$LP$2:$LP$60=AB$4)*(GMW!$LR$2:$LR$60=AB$1),0),$C288-1966)</f>
        <v>158122.70000000001</v>
      </c>
      <c r="AC288" s="4" cm="1">
        <f t="array" ref="AC288">INDEX(GMW!$A$2:$LR$60,MATCH(1,(GMW!$LQ$2:$LQ$60=AC$3)*(GMW!$LP$2:$LP$60=AC$4)*(GMW!$LR$2:$LR$60=AC$1),0),$C288-1966)</f>
        <v>160835.4</v>
      </c>
      <c r="AD288" s="4" cm="1">
        <f t="array" ref="AD288">INDEX(GMW!$A$2:$LR$60,MATCH(1,(GMW!$LQ$2:$LQ$60=AD$3)*(GMW!$LP$2:$LP$60=AD$4)*(GMW!$LR$2:$LR$60=AD$1),0),$C288-1966)</f>
        <v>250971.9</v>
      </c>
      <c r="AE288" s="4" cm="1">
        <f t="array" ref="AE288">INDEX(GMW!$A$2:$LR$60,MATCH(1,(GMW!$LQ$2:$LQ$60=AE$3)*(GMW!$LP$2:$LP$60=AE$4)*(GMW!$LR$2:$LR$60=AE$1),0),$C288-1966)</f>
        <v>279238.90000000002</v>
      </c>
      <c r="AF288" s="4" cm="1">
        <f t="array" ref="AF288">INDEX(GMW!$A$2:$LR$60,MATCH(1,(GMW!$LQ$2:$LQ$60=AF$3)*(GMW!$LP$2:$LP$60=AF$4)*(GMW!$LR$2:$LR$60=AF$1),0),$C288-1966)</f>
        <v>2.1064639999999999</v>
      </c>
      <c r="AG288" s="4" cm="1">
        <f t="array" ref="AG288">INDEX(GMW!$A$2:$LR$60,MATCH(1,(GMW!$LQ$2:$LQ$60=AG$3)*(GMW!$LP$2:$LP$60=AG$4)*(GMW!$LR$2:$LR$60=AG$1),0),$C288-1966)</f>
        <v>2.4334739999999999</v>
      </c>
    </row>
    <row r="289" spans="1:33" x14ac:dyDescent="0.25">
      <c r="B289" s="4">
        <f t="shared" si="9"/>
        <v>2043</v>
      </c>
      <c r="C289" s="4">
        <f t="shared" si="8"/>
        <v>2255</v>
      </c>
      <c r="D289" s="4" cm="1">
        <f t="array" ref="D289">INDEX(GMW!$A$2:$LR$60,MATCH(1,(GMW!$LQ$2:$LQ$60=D$3)*(GMW!$LP$2:$LP$60=D$4)*(GMW!$LR$2:$LR$60=D$1),0),$C289-1966)</f>
        <v>775053.1</v>
      </c>
      <c r="E289" s="4" cm="1">
        <f t="array" ref="E289">INDEX(GMW!$A$2:$LR$60,MATCH(1,(GMW!$LQ$2:$LQ$60=E$3)*(GMW!$LP$2:$LP$60=E$4)*(GMW!$LR$2:$LR$60=E$1),0),$C289-1966)</f>
        <v>763357.4</v>
      </c>
      <c r="F289" s="4" cm="1">
        <f t="array" ref="F289">INDEX(GMW!$A$2:$LR$60,MATCH(1,(GMW!$LQ$2:$LQ$60=F$3)*(GMW!$LP$2:$LP$60=F$4)*(GMW!$LR$2:$LR$60=F$1),0),$C289-1966)</f>
        <v>763647.7</v>
      </c>
      <c r="G289" s="4" cm="1">
        <f t="array" ref="G289">INDEX(GMW!$A$2:$LR$60,MATCH(1,(GMW!$LQ$2:$LQ$60=G$3)*(GMW!$LP$2:$LP$60=G$4)*(GMW!$LR$2:$LR$60=G$1),0),$C289-1966)</f>
        <v>763647.7</v>
      </c>
      <c r="H289" s="4" cm="1">
        <f t="array" ref="H289">INDEX(GMW!$A$2:$LR$60,MATCH(1,(GMW!$LQ$2:$LQ$60=H$3)*(GMW!$LP$2:$LP$60=H$4)*(GMW!$LR$2:$LR$60=H$1),0),$C289-1966)</f>
        <v>768853.7</v>
      </c>
      <c r="I289" s="4" cm="1">
        <f t="array" ref="I289">INDEX(GMW!$A$2:$LR$60,MATCH(1,(GMW!$LQ$2:$LQ$60=I$3)*(GMW!$LP$2:$LP$60=I$4)*(GMW!$LR$2:$LR$60=I$1),0),$C289-1966)</f>
        <v>769673.8</v>
      </c>
      <c r="J289" s="4" cm="1">
        <f t="array" ref="J289">INDEX(GMW!$A$2:$LR$60,MATCH(1,(GMW!$LQ$2:$LQ$60=J$3)*(GMW!$LP$2:$LP$60=J$4)*(GMW!$LR$2:$LR$60=J$1),0),$C289-1966)</f>
        <v>769641.3</v>
      </c>
      <c r="K289" s="4" cm="1">
        <f t="array" ref="K289">INDEX(GMW!$A$2:$LR$60,MATCH(1,(GMW!$LQ$2:$LQ$60=K$3)*(GMW!$LP$2:$LP$60=K$4)*(GMW!$LR$2:$LR$60=K$1),0),$C289-1966)</f>
        <v>769563.8</v>
      </c>
      <c r="L289" s="4" cm="1">
        <f t="array" ref="L289">INDEX(GMW!$A$2:$LR$60,MATCH(1,(GMW!$LQ$2:$LQ$60=L$3)*(GMW!$LP$2:$LP$60=L$4)*(GMW!$LR$2:$LR$60=L$1),0),$C289-1966)</f>
        <v>769603.2</v>
      </c>
      <c r="M289" s="4" cm="1">
        <f t="array" ref="M289">INDEX(GMW!$A$2:$LR$60,MATCH(1,(GMW!$LQ$2:$LQ$60=M$3)*(GMW!$LP$2:$LP$60=M$4)*(GMW!$LR$2:$LR$60=M$1),0),$C289-1966)</f>
        <v>769603.2</v>
      </c>
      <c r="N289" s="4" cm="1">
        <f t="array" ref="N289">INDEX(GMW!$A$2:$LR$60,MATCH(1,(GMW!$LQ$2:$LQ$60=N$3)*(GMW!$LP$2:$LP$60=N$4)*(GMW!$LR$2:$LR$60=N$1),0),$C289-1966)</f>
        <v>773273.3</v>
      </c>
      <c r="O289" s="4" cm="1">
        <f t="array" ref="O289">INDEX(GMW!$A$2:$LR$60,MATCH(1,(GMW!$LQ$2:$LQ$60=O$3)*(GMW!$LP$2:$LP$60=O$4)*(GMW!$LR$2:$LR$60=O$1),0),$C289-1966)</f>
        <v>774445.9</v>
      </c>
      <c r="P289" s="4" cm="1">
        <f t="array" ref="P289">INDEX(GMW!$A$2:$LR$60,MATCH(1,(GMW!$LQ$2:$LQ$60=P$3)*(GMW!$LP$2:$LP$60=P$4)*(GMW!$LR$2:$LR$60=P$1),0),$C289-1966)</f>
        <v>774711.4</v>
      </c>
      <c r="Q289" s="4" cm="1">
        <f t="array" ref="Q289">INDEX(GMW!$A$2:$LR$60,MATCH(1,(GMW!$LQ$2:$LQ$60=Q$3)*(GMW!$LP$2:$LP$60=Q$4)*(GMW!$LR$2:$LR$60=Q$1),0),$C289-1966)</f>
        <v>777669.6</v>
      </c>
      <c r="R289" s="4" cm="1">
        <f t="array" ref="R289">INDEX(GMW!$A$2:$LR$60,MATCH(1,(GMW!$LQ$2:$LQ$60=R$3)*(GMW!$LP$2:$LP$60=R$4)*(GMW!$LR$2:$LR$60=R$1),0),$C289-1966)</f>
        <v>778834.9</v>
      </c>
      <c r="S289" s="4" cm="1">
        <f t="array" ref="S289">INDEX(GMW!$A$2:$LR$60,MATCH(1,(GMW!$LQ$2:$LQ$60=S$3)*(GMW!$LP$2:$LP$60=S$4)*(GMW!$LR$2:$LR$60=S$1),0),$C289-1966)</f>
        <v>776072</v>
      </c>
      <c r="T289" s="4" cm="1">
        <f t="array" ref="T289">INDEX(GMW!$A$2:$LR$60,MATCH(1,(GMW!$LQ$2:$LQ$60=T$3)*(GMW!$LP$2:$LP$60=T$4)*(GMW!$LR$2:$LR$60=T$1),0),$C289-1966)</f>
        <v>776488.7</v>
      </c>
      <c r="U289" s="4" cm="1">
        <f t="array" ref="U289">INDEX(GMW!$A$2:$LR$60,MATCH(1,(GMW!$LQ$2:$LQ$60=U$3)*(GMW!$LP$2:$LP$60=U$4)*(GMW!$LR$2:$LR$60=U$1),0),$C289-1966)</f>
        <v>1223.0909999999999</v>
      </c>
      <c r="V289" s="4" cm="1">
        <f t="array" ref="V289">INDEX(GMW!$A$2:$LR$60,MATCH(1,(GMW!$LQ$2:$LQ$60=V$3)*(GMW!$LP$2:$LP$60=V$4)*(GMW!$LR$2:$LR$60=V$1),0),$C289-1966)</f>
        <v>197.6591</v>
      </c>
      <c r="W289" s="4" cm="1">
        <f t="array" ref="W289">INDEX(GMW!$A$2:$LR$60,MATCH(1,(GMW!$LQ$2:$LQ$60=W$3)*(GMW!$LP$2:$LP$60=W$4)*(GMW!$LR$2:$LR$60=W$1),0),$C289-1966)</f>
        <v>184.68</v>
      </c>
      <c r="X289" s="4" cm="1">
        <f t="array" ref="X289">INDEX(GMW!$A$2:$LR$60,MATCH(1,(GMW!$LQ$2:$LQ$60=X$3)*(GMW!$LP$2:$LP$60=X$4)*(GMW!$LR$2:$LR$60=X$1),0),$C289-1966)</f>
        <v>126.7783</v>
      </c>
      <c r="Y289" s="4" cm="1">
        <f t="array" ref="Y289">INDEX(GMW!$A$2:$LR$60,MATCH(1,(GMW!$LQ$2:$LQ$60=Y$3)*(GMW!$LP$2:$LP$60=Y$4)*(GMW!$LR$2:$LR$60=Y$1),0),$C289-1966)</f>
        <v>270.72840000000002</v>
      </c>
      <c r="Z289" s="4" cm="1">
        <f t="array" ref="Z289">INDEX(GMW!$A$2:$LR$60,MATCH(1,(GMW!$LQ$2:$LQ$60=Z$3)*(GMW!$LP$2:$LP$60=Z$4)*(GMW!$LR$2:$LR$60=Z$1),0),$C289-1966)</f>
        <v>199.02969999999999</v>
      </c>
      <c r="AA289" s="4" cm="1">
        <f t="array" ref="AA289">INDEX(GMW!$A$2:$LR$60,MATCH(1,(GMW!$LQ$2:$LQ$60=AA$3)*(GMW!$LP$2:$LP$60=AA$4)*(GMW!$LR$2:$LR$60=AA$1),0),$C289-1966)</f>
        <v>460939.2</v>
      </c>
      <c r="AB289" s="4" cm="1">
        <f t="array" ref="AB289">INDEX(GMW!$A$2:$LR$60,MATCH(1,(GMW!$LQ$2:$LQ$60=AB$3)*(GMW!$LP$2:$LP$60=AB$4)*(GMW!$LR$2:$LR$60=AB$1),0),$C289-1966)</f>
        <v>158900.29999999999</v>
      </c>
      <c r="AC289" s="4" cm="1">
        <f t="array" ref="AC289">INDEX(GMW!$A$2:$LR$60,MATCH(1,(GMW!$LQ$2:$LQ$60=AC$3)*(GMW!$LP$2:$LP$60=AC$4)*(GMW!$LR$2:$LR$60=AC$1),0),$C289-1966)</f>
        <v>161461.1</v>
      </c>
      <c r="AD289" s="4" cm="1">
        <f t="array" ref="AD289">INDEX(GMW!$A$2:$LR$60,MATCH(1,(GMW!$LQ$2:$LQ$60=AD$3)*(GMW!$LP$2:$LP$60=AD$4)*(GMW!$LR$2:$LR$60=AD$1),0),$C289-1966)</f>
        <v>252181.8</v>
      </c>
      <c r="AE289" s="4" cm="1">
        <f t="array" ref="AE289">INDEX(GMW!$A$2:$LR$60,MATCH(1,(GMW!$LQ$2:$LQ$60=AE$3)*(GMW!$LP$2:$LP$60=AE$4)*(GMW!$LR$2:$LR$60=AE$1),0),$C289-1966)</f>
        <v>280724.5</v>
      </c>
      <c r="AF289" s="4" cm="1">
        <f t="array" ref="AF289">INDEX(GMW!$A$2:$LR$60,MATCH(1,(GMW!$LQ$2:$LQ$60=AF$3)*(GMW!$LP$2:$LP$60=AF$4)*(GMW!$LR$2:$LR$60=AF$1),0),$C289-1966)</f>
        <v>2.1064639999999999</v>
      </c>
      <c r="AG289" s="4" cm="1">
        <f t="array" ref="AG289">INDEX(GMW!$A$2:$LR$60,MATCH(1,(GMW!$LQ$2:$LQ$60=AG$3)*(GMW!$LP$2:$LP$60=AG$4)*(GMW!$LR$2:$LR$60=AG$1),0),$C289-1966)</f>
        <v>2.4334739999999999</v>
      </c>
    </row>
    <row r="290" spans="1:33" x14ac:dyDescent="0.25">
      <c r="B290" s="4">
        <f t="shared" si="9"/>
        <v>2043</v>
      </c>
      <c r="C290" s="4">
        <f t="shared" si="8"/>
        <v>2256</v>
      </c>
      <c r="D290" s="4" cm="1">
        <f t="array" ref="D290">INDEX(GMW!$A$2:$LR$60,MATCH(1,(GMW!$LQ$2:$LQ$60=D$3)*(GMW!$LP$2:$LP$60=D$4)*(GMW!$LR$2:$LR$60=D$1),0),$C290-1966)</f>
        <v>778025.8</v>
      </c>
      <c r="E290" s="4" cm="1">
        <f t="array" ref="E290">INDEX(GMW!$A$2:$LR$60,MATCH(1,(GMW!$LQ$2:$LQ$60=E$3)*(GMW!$LP$2:$LP$60=E$4)*(GMW!$LR$2:$LR$60=E$1),0),$C290-1966)</f>
        <v>766226.6</v>
      </c>
      <c r="F290" s="4" cm="1">
        <f t="array" ref="F290">INDEX(GMW!$A$2:$LR$60,MATCH(1,(GMW!$LQ$2:$LQ$60=F$3)*(GMW!$LP$2:$LP$60=F$4)*(GMW!$LR$2:$LR$60=F$1),0),$C290-1966)</f>
        <v>766517.6</v>
      </c>
      <c r="G290" s="4" cm="1">
        <f t="array" ref="G290">INDEX(GMW!$A$2:$LR$60,MATCH(1,(GMW!$LQ$2:$LQ$60=G$3)*(GMW!$LP$2:$LP$60=G$4)*(GMW!$LR$2:$LR$60=G$1),0),$C290-1966)</f>
        <v>766517.6</v>
      </c>
      <c r="H290" s="4" cm="1">
        <f t="array" ref="H290">INDEX(GMW!$A$2:$LR$60,MATCH(1,(GMW!$LQ$2:$LQ$60=H$3)*(GMW!$LP$2:$LP$60=H$4)*(GMW!$LR$2:$LR$60=H$1),0),$C290-1966)</f>
        <v>771744.7</v>
      </c>
      <c r="I290" s="4" cm="1">
        <f t="array" ref="I290">INDEX(GMW!$A$2:$LR$60,MATCH(1,(GMW!$LQ$2:$LQ$60=I$3)*(GMW!$LP$2:$LP$60=I$4)*(GMW!$LR$2:$LR$60=I$1),0),$C290-1966)</f>
        <v>772551.8</v>
      </c>
      <c r="J290" s="4" cm="1">
        <f t="array" ref="J290">INDEX(GMW!$A$2:$LR$60,MATCH(1,(GMW!$LQ$2:$LQ$60=J$3)*(GMW!$LP$2:$LP$60=J$4)*(GMW!$LR$2:$LR$60=J$1),0),$C290-1966)</f>
        <v>772519.1</v>
      </c>
      <c r="K290" s="4" cm="1">
        <f t="array" ref="K290">INDEX(GMW!$A$2:$LR$60,MATCH(1,(GMW!$LQ$2:$LQ$60=K$3)*(GMW!$LP$2:$LP$60=K$4)*(GMW!$LR$2:$LR$60=K$1),0),$C290-1966)</f>
        <v>772443.4</v>
      </c>
      <c r="L290" s="4" cm="1">
        <f t="array" ref="L290">INDEX(GMW!$A$2:$LR$60,MATCH(1,(GMW!$LQ$2:$LQ$60=L$3)*(GMW!$LP$2:$LP$60=L$4)*(GMW!$LR$2:$LR$60=L$1),0),$C290-1966)</f>
        <v>772483.2</v>
      </c>
      <c r="M290" s="4" cm="1">
        <f t="array" ref="M290">INDEX(GMW!$A$2:$LR$60,MATCH(1,(GMW!$LQ$2:$LQ$60=M$3)*(GMW!$LP$2:$LP$60=M$4)*(GMW!$LR$2:$LR$60=M$1),0),$C290-1966)</f>
        <v>772483.2</v>
      </c>
      <c r="N290" s="4" cm="1">
        <f t="array" ref="N290">INDEX(GMW!$A$2:$LR$60,MATCH(1,(GMW!$LQ$2:$LQ$60=N$3)*(GMW!$LP$2:$LP$60=N$4)*(GMW!$LR$2:$LR$60=N$1),0),$C290-1966)</f>
        <v>776204.4</v>
      </c>
      <c r="O290" s="4" cm="1">
        <f t="array" ref="O290">INDEX(GMW!$A$2:$LR$60,MATCH(1,(GMW!$LQ$2:$LQ$60=O$3)*(GMW!$LP$2:$LP$60=O$4)*(GMW!$LR$2:$LR$60=O$1),0),$C290-1966)</f>
        <v>777403.2</v>
      </c>
      <c r="P290" s="4" cm="1">
        <f t="array" ref="P290">INDEX(GMW!$A$2:$LR$60,MATCH(1,(GMW!$LQ$2:$LQ$60=P$3)*(GMW!$LP$2:$LP$60=P$4)*(GMW!$LR$2:$LR$60=P$1),0),$C290-1966)</f>
        <v>777668.3</v>
      </c>
      <c r="Q290" s="4" cm="1">
        <f t="array" ref="Q290">INDEX(GMW!$A$2:$LR$60,MATCH(1,(GMW!$LQ$2:$LQ$60=Q$3)*(GMW!$LP$2:$LP$60=Q$4)*(GMW!$LR$2:$LR$60=Q$1),0),$C290-1966)</f>
        <v>780636.7</v>
      </c>
      <c r="R290" s="4" cm="1">
        <f t="array" ref="R290">INDEX(GMW!$A$2:$LR$60,MATCH(1,(GMW!$LQ$2:$LQ$60=R$3)*(GMW!$LP$2:$LP$60=R$4)*(GMW!$LR$2:$LR$60=R$1),0),$C290-1966)</f>
        <v>781829.8</v>
      </c>
      <c r="S290" s="4" cm="1">
        <f t="array" ref="S290">INDEX(GMW!$A$2:$LR$60,MATCH(1,(GMW!$LQ$2:$LQ$60=S$3)*(GMW!$LP$2:$LP$60=S$4)*(GMW!$LR$2:$LR$60=S$1),0),$C290-1966)</f>
        <v>779053.4</v>
      </c>
      <c r="T290" s="4" cm="1">
        <f t="array" ref="T290">INDEX(GMW!$A$2:$LR$60,MATCH(1,(GMW!$LQ$2:$LQ$60=T$3)*(GMW!$LP$2:$LP$60=T$4)*(GMW!$LR$2:$LR$60=T$1),0),$C290-1966)</f>
        <v>779465.3</v>
      </c>
      <c r="U290" s="4" cm="1">
        <f t="array" ref="U290">INDEX(GMW!$A$2:$LR$60,MATCH(1,(GMW!$LQ$2:$LQ$60=U$3)*(GMW!$LP$2:$LP$60=U$4)*(GMW!$LR$2:$LR$60=U$1),0),$C290-1966)</f>
        <v>1232.7860000000001</v>
      </c>
      <c r="V290" s="4" cm="1">
        <f t="array" ref="V290">INDEX(GMW!$A$2:$LR$60,MATCH(1,(GMW!$LQ$2:$LQ$60=V$3)*(GMW!$LP$2:$LP$60=V$4)*(GMW!$LR$2:$LR$60=V$1),0),$C290-1966)</f>
        <v>198.6122</v>
      </c>
      <c r="W290" s="4" cm="1">
        <f t="array" ref="W290">INDEX(GMW!$A$2:$LR$60,MATCH(1,(GMW!$LQ$2:$LQ$60=W$3)*(GMW!$LP$2:$LP$60=W$4)*(GMW!$LR$2:$LR$60=W$1),0),$C290-1966)</f>
        <v>185.50970000000001</v>
      </c>
      <c r="X290" s="4" cm="1">
        <f t="array" ref="X290">INDEX(GMW!$A$2:$LR$60,MATCH(1,(GMW!$LQ$2:$LQ$60=X$3)*(GMW!$LP$2:$LP$60=X$4)*(GMW!$LR$2:$LR$60=X$1),0),$C290-1966)</f>
        <v>126.8295</v>
      </c>
      <c r="Y290" s="4" cm="1">
        <f t="array" ref="Y290">INDEX(GMW!$A$2:$LR$60,MATCH(1,(GMW!$LQ$2:$LQ$60=Y$3)*(GMW!$LP$2:$LP$60=Y$4)*(GMW!$LR$2:$LR$60=Y$1),0),$C290-1966)</f>
        <v>273.1003</v>
      </c>
      <c r="Z290" s="4" cm="1">
        <f t="array" ref="Z290">INDEX(GMW!$A$2:$LR$60,MATCH(1,(GMW!$LQ$2:$LQ$60=Z$3)*(GMW!$LP$2:$LP$60=Z$4)*(GMW!$LR$2:$LR$60=Z$1),0),$C290-1966)</f>
        <v>199.99600000000001</v>
      </c>
      <c r="AA290" s="4" cm="1">
        <f t="array" ref="AA290">INDEX(GMW!$A$2:$LR$60,MATCH(1,(GMW!$LQ$2:$LQ$60=AA$3)*(GMW!$LP$2:$LP$60=AA$4)*(GMW!$LR$2:$LR$60=AA$1),0),$C290-1966)</f>
        <v>462711.6</v>
      </c>
      <c r="AB290" s="4" cm="1">
        <f t="array" ref="AB290">INDEX(GMW!$A$2:$LR$60,MATCH(1,(GMW!$LQ$2:$LQ$60=AB$3)*(GMW!$LP$2:$LP$60=AB$4)*(GMW!$LR$2:$LR$60=AB$1),0),$C290-1966)</f>
        <v>159681</v>
      </c>
      <c r="AC290" s="4" cm="1">
        <f t="array" ref="AC290">INDEX(GMW!$A$2:$LR$60,MATCH(1,(GMW!$LQ$2:$LQ$60=AC$3)*(GMW!$LP$2:$LP$60=AC$4)*(GMW!$LR$2:$LR$60=AC$1),0),$C290-1966)</f>
        <v>162088.4</v>
      </c>
      <c r="AD290" s="4" cm="1">
        <f t="array" ref="AD290">INDEX(GMW!$A$2:$LR$60,MATCH(1,(GMW!$LQ$2:$LQ$60=AD$3)*(GMW!$LP$2:$LP$60=AD$4)*(GMW!$LR$2:$LR$60=AD$1),0),$C290-1966)</f>
        <v>253396.6</v>
      </c>
      <c r="AE290" s="4" cm="1">
        <f t="array" ref="AE290">INDEX(GMW!$A$2:$LR$60,MATCH(1,(GMW!$LQ$2:$LQ$60=AE$3)*(GMW!$LP$2:$LP$60=AE$4)*(GMW!$LR$2:$LR$60=AE$1),0),$C290-1966)</f>
        <v>282217.2</v>
      </c>
      <c r="AF290" s="4" cm="1">
        <f t="array" ref="AF290">INDEX(GMW!$A$2:$LR$60,MATCH(1,(GMW!$LQ$2:$LQ$60=AF$3)*(GMW!$LP$2:$LP$60=AF$4)*(GMW!$LR$2:$LR$60=AF$1),0),$C290-1966)</f>
        <v>2.1064639999999999</v>
      </c>
      <c r="AG290" s="4" cm="1">
        <f t="array" ref="AG290">INDEX(GMW!$A$2:$LR$60,MATCH(1,(GMW!$LQ$2:$LQ$60=AG$3)*(GMW!$LP$2:$LP$60=AG$4)*(GMW!$LR$2:$LR$60=AG$1),0),$C290-1966)</f>
        <v>2.4334739999999999</v>
      </c>
    </row>
    <row r="291" spans="1:33" x14ac:dyDescent="0.25">
      <c r="A291" s="4">
        <v>2044</v>
      </c>
      <c r="B291" s="4">
        <f t="shared" si="9"/>
        <v>2044</v>
      </c>
      <c r="C291" s="4">
        <f t="shared" si="8"/>
        <v>2257</v>
      </c>
      <c r="D291" s="4" cm="1">
        <f t="array" ref="D291">INDEX(GMW!$A$2:$LR$60,MATCH(1,(GMW!$LQ$2:$LQ$60=D$3)*(GMW!$LP$2:$LP$60=D$4)*(GMW!$LR$2:$LR$60=D$1),0),$C291-1966)</f>
        <v>781005.4</v>
      </c>
      <c r="E291" s="4" cm="1">
        <f t="array" ref="E291">INDEX(GMW!$A$2:$LR$60,MATCH(1,(GMW!$LQ$2:$LQ$60=E$3)*(GMW!$LP$2:$LP$60=E$4)*(GMW!$LR$2:$LR$60=E$1),0),$C291-1966)</f>
        <v>769102.8</v>
      </c>
      <c r="F291" s="4" cm="1">
        <f t="array" ref="F291">INDEX(GMW!$A$2:$LR$60,MATCH(1,(GMW!$LQ$2:$LQ$60=F$3)*(GMW!$LP$2:$LP$60=F$4)*(GMW!$LR$2:$LR$60=F$1),0),$C291-1966)</f>
        <v>769394.4</v>
      </c>
      <c r="G291" s="4" cm="1">
        <f t="array" ref="G291">INDEX(GMW!$A$2:$LR$60,MATCH(1,(GMW!$LQ$2:$LQ$60=G$3)*(GMW!$LP$2:$LP$60=G$4)*(GMW!$LR$2:$LR$60=G$1),0),$C291-1966)</f>
        <v>769394.4</v>
      </c>
      <c r="H291" s="4" cm="1">
        <f t="array" ref="H291">INDEX(GMW!$A$2:$LR$60,MATCH(1,(GMW!$LQ$2:$LQ$60=H$3)*(GMW!$LP$2:$LP$60=H$4)*(GMW!$LR$2:$LR$60=H$1),0),$C291-1966)</f>
        <v>774643.6</v>
      </c>
      <c r="I291" s="4" cm="1">
        <f t="array" ref="I291">INDEX(GMW!$A$2:$LR$60,MATCH(1,(GMW!$LQ$2:$LQ$60=I$3)*(GMW!$LP$2:$LP$60=I$4)*(GMW!$LR$2:$LR$60=I$1),0),$C291-1966)</f>
        <v>775437.1</v>
      </c>
      <c r="J291" s="4" cm="1">
        <f t="array" ref="J291">INDEX(GMW!$A$2:$LR$60,MATCH(1,(GMW!$LQ$2:$LQ$60=J$3)*(GMW!$LP$2:$LP$60=J$4)*(GMW!$LR$2:$LR$60=J$1),0),$C291-1966)</f>
        <v>775404.1</v>
      </c>
      <c r="K291" s="4" cm="1">
        <f t="array" ref="K291">INDEX(GMW!$A$2:$LR$60,MATCH(1,(GMW!$LQ$2:$LQ$60=K$3)*(GMW!$LP$2:$LP$60=K$4)*(GMW!$LR$2:$LR$60=K$1),0),$C291-1966)</f>
        <v>775330.2</v>
      </c>
      <c r="L291" s="4" cm="1">
        <f t="array" ref="L291">INDEX(GMW!$A$2:$LR$60,MATCH(1,(GMW!$LQ$2:$LQ$60=L$3)*(GMW!$LP$2:$LP$60=L$4)*(GMW!$LR$2:$LR$60=L$1),0),$C291-1966)</f>
        <v>775370.4</v>
      </c>
      <c r="M291" s="4" cm="1">
        <f t="array" ref="M291">INDEX(GMW!$A$2:$LR$60,MATCH(1,(GMW!$LQ$2:$LQ$60=M$3)*(GMW!$LP$2:$LP$60=M$4)*(GMW!$LR$2:$LR$60=M$1),0),$C291-1966)</f>
        <v>775370.4</v>
      </c>
      <c r="N291" s="4" cm="1">
        <f t="array" ref="N291">INDEX(GMW!$A$2:$LR$60,MATCH(1,(GMW!$LQ$2:$LQ$60=N$3)*(GMW!$LP$2:$LP$60=N$4)*(GMW!$LR$2:$LR$60=N$1),0),$C291-1966)</f>
        <v>779143.4</v>
      </c>
      <c r="O291" s="4" cm="1">
        <f t="array" ref="O291">INDEX(GMW!$A$2:$LR$60,MATCH(1,(GMW!$LQ$2:$LQ$60=O$3)*(GMW!$LP$2:$LP$60=O$4)*(GMW!$LR$2:$LR$60=O$1),0),$C291-1966)</f>
        <v>780368.3</v>
      </c>
      <c r="P291" s="4" cm="1">
        <f t="array" ref="P291">INDEX(GMW!$A$2:$LR$60,MATCH(1,(GMW!$LQ$2:$LQ$60=P$3)*(GMW!$LP$2:$LP$60=P$4)*(GMW!$LR$2:$LR$60=P$1),0),$C291-1966)</f>
        <v>780633.2</v>
      </c>
      <c r="Q291" s="4" cm="1">
        <f t="array" ref="Q291">INDEX(GMW!$A$2:$LR$60,MATCH(1,(GMW!$LQ$2:$LQ$60=Q$3)*(GMW!$LP$2:$LP$60=Q$4)*(GMW!$LR$2:$LR$60=Q$1),0),$C291-1966)</f>
        <v>783610.6</v>
      </c>
      <c r="R291" s="4" cm="1">
        <f t="array" ref="R291">INDEX(GMW!$A$2:$LR$60,MATCH(1,(GMW!$LQ$2:$LQ$60=R$3)*(GMW!$LP$2:$LP$60=R$4)*(GMW!$LR$2:$LR$60=R$1),0),$C291-1966)</f>
        <v>784831.6</v>
      </c>
      <c r="S291" s="4" cm="1">
        <f t="array" ref="S291">INDEX(GMW!$A$2:$LR$60,MATCH(1,(GMW!$LQ$2:$LQ$60=S$3)*(GMW!$LP$2:$LP$60=S$4)*(GMW!$LR$2:$LR$60=S$1),0),$C291-1966)</f>
        <v>782041.8</v>
      </c>
      <c r="T291" s="4" cm="1">
        <f t="array" ref="T291">INDEX(GMW!$A$2:$LR$60,MATCH(1,(GMW!$LQ$2:$LQ$60=T$3)*(GMW!$LP$2:$LP$60=T$4)*(GMW!$LR$2:$LR$60=T$1),0),$C291-1966)</f>
        <v>782448.9</v>
      </c>
      <c r="U291" s="4" cm="1">
        <f t="array" ref="U291">INDEX(GMW!$A$2:$LR$60,MATCH(1,(GMW!$LQ$2:$LQ$60=U$3)*(GMW!$LP$2:$LP$60=U$4)*(GMW!$LR$2:$LR$60=U$1),0),$C291-1966)</f>
        <v>1242.5519999999999</v>
      </c>
      <c r="V291" s="4" cm="1">
        <f t="array" ref="V291">INDEX(GMW!$A$2:$LR$60,MATCH(1,(GMW!$LQ$2:$LQ$60=V$3)*(GMW!$LP$2:$LP$60=V$4)*(GMW!$LR$2:$LR$60=V$1),0),$C291-1966)</f>
        <v>198.92330000000001</v>
      </c>
      <c r="W291" s="4" cm="1">
        <f t="array" ref="W291">INDEX(GMW!$A$2:$LR$60,MATCH(1,(GMW!$LQ$2:$LQ$60=W$3)*(GMW!$LP$2:$LP$60=W$4)*(GMW!$LR$2:$LR$60=W$1),0),$C291-1966)</f>
        <v>187.2175</v>
      </c>
      <c r="X291" s="4" cm="1">
        <f t="array" ref="X291">INDEX(GMW!$A$2:$LR$60,MATCH(1,(GMW!$LQ$2:$LQ$60=X$3)*(GMW!$LP$2:$LP$60=X$4)*(GMW!$LR$2:$LR$60=X$1),0),$C291-1966)</f>
        <v>126.86879999999999</v>
      </c>
      <c r="Y291" s="4" cm="1">
        <f t="array" ref="Y291">INDEX(GMW!$A$2:$LR$60,MATCH(1,(GMW!$LQ$2:$LQ$60=Y$3)*(GMW!$LP$2:$LP$60=Y$4)*(GMW!$LR$2:$LR$60=Y$1),0),$C291-1966)</f>
        <v>275.39999999999998</v>
      </c>
      <c r="Z291" s="4" cm="1">
        <f t="array" ref="Z291">INDEX(GMW!$A$2:$LR$60,MATCH(1,(GMW!$LQ$2:$LQ$60=Z$3)*(GMW!$LP$2:$LP$60=Z$4)*(GMW!$LR$2:$LR$60=Z$1),0),$C291-1966)</f>
        <v>199.94710000000001</v>
      </c>
      <c r="AA291" s="4" cm="1">
        <f t="array" ref="AA291">INDEX(GMW!$A$2:$LR$60,MATCH(1,(GMW!$LQ$2:$LQ$60=AA$3)*(GMW!$LP$2:$LP$60=AA$4)*(GMW!$LR$2:$LR$60=AA$1),0),$C291-1966)</f>
        <v>464488.3</v>
      </c>
      <c r="AB291" s="4" cm="1">
        <f t="array" ref="AB291">INDEX(GMW!$A$2:$LR$60,MATCH(1,(GMW!$LQ$2:$LQ$60=AB$3)*(GMW!$LP$2:$LP$60=AB$4)*(GMW!$LR$2:$LR$60=AB$1),0),$C291-1966)</f>
        <v>160464.70000000001</v>
      </c>
      <c r="AC291" s="4" cm="1">
        <f t="array" ref="AC291">INDEX(GMW!$A$2:$LR$60,MATCH(1,(GMW!$LQ$2:$LQ$60=AC$3)*(GMW!$LP$2:$LP$60=AC$4)*(GMW!$LR$2:$LR$60=AC$1),0),$C291-1966)</f>
        <v>162717.29999999999</v>
      </c>
      <c r="AD291" s="4" cm="1">
        <f t="array" ref="AD291">INDEX(GMW!$A$2:$LR$60,MATCH(1,(GMW!$LQ$2:$LQ$60=AD$3)*(GMW!$LP$2:$LP$60=AD$4)*(GMW!$LR$2:$LR$60=AD$1),0),$C291-1966)</f>
        <v>254616.4</v>
      </c>
      <c r="AE291" s="4" cm="1">
        <f t="array" ref="AE291">INDEX(GMW!$A$2:$LR$60,MATCH(1,(GMW!$LQ$2:$LQ$60=AE$3)*(GMW!$LP$2:$LP$60=AE$4)*(GMW!$LR$2:$LR$60=AE$1),0),$C291-1966)</f>
        <v>283716.40000000002</v>
      </c>
      <c r="AF291" s="4" cm="1">
        <f t="array" ref="AF291">INDEX(GMW!$A$2:$LR$60,MATCH(1,(GMW!$LQ$2:$LQ$60=AF$3)*(GMW!$LP$2:$LP$60=AF$4)*(GMW!$LR$2:$LR$60=AF$1),0),$C291-1966)</f>
        <v>2.1064639999999999</v>
      </c>
      <c r="AG291" s="4" cm="1">
        <f t="array" ref="AG291">INDEX(GMW!$A$2:$LR$60,MATCH(1,(GMW!$LQ$2:$LQ$60=AG$3)*(GMW!$LP$2:$LP$60=AG$4)*(GMW!$LR$2:$LR$60=AG$1),0),$C291-1966)</f>
        <v>2.4334739999999999</v>
      </c>
    </row>
    <row r="292" spans="1:33" x14ac:dyDescent="0.25">
      <c r="B292" s="4">
        <f t="shared" si="9"/>
        <v>2044</v>
      </c>
      <c r="C292" s="4">
        <f t="shared" si="8"/>
        <v>2258</v>
      </c>
      <c r="D292" s="4" cm="1">
        <f t="array" ref="D292">INDEX(GMW!$A$2:$LR$60,MATCH(1,(GMW!$LQ$2:$LQ$60=D$3)*(GMW!$LP$2:$LP$60=D$4)*(GMW!$LR$2:$LR$60=D$1),0),$C292-1966)</f>
        <v>783992.4</v>
      </c>
      <c r="E292" s="4" cm="1">
        <f t="array" ref="E292">INDEX(GMW!$A$2:$LR$60,MATCH(1,(GMW!$LQ$2:$LQ$60=E$3)*(GMW!$LP$2:$LP$60=E$4)*(GMW!$LR$2:$LR$60=E$1),0),$C292-1966)</f>
        <v>771985.9</v>
      </c>
      <c r="F292" s="4" cm="1">
        <f t="array" ref="F292">INDEX(GMW!$A$2:$LR$60,MATCH(1,(GMW!$LQ$2:$LQ$60=F$3)*(GMW!$LP$2:$LP$60=F$4)*(GMW!$LR$2:$LR$60=F$1),0),$C292-1966)</f>
        <v>772278.1</v>
      </c>
      <c r="G292" s="4" cm="1">
        <f t="array" ref="G292">INDEX(GMW!$A$2:$LR$60,MATCH(1,(GMW!$LQ$2:$LQ$60=G$3)*(GMW!$LP$2:$LP$60=G$4)*(GMW!$LR$2:$LR$60=G$1),0),$C292-1966)</f>
        <v>772278.1</v>
      </c>
      <c r="H292" s="4" cm="1">
        <f t="array" ref="H292">INDEX(GMW!$A$2:$LR$60,MATCH(1,(GMW!$LQ$2:$LQ$60=H$3)*(GMW!$LP$2:$LP$60=H$4)*(GMW!$LR$2:$LR$60=H$1),0),$C292-1966)</f>
        <v>777550.1</v>
      </c>
      <c r="I292" s="4" cm="1">
        <f t="array" ref="I292">INDEX(GMW!$A$2:$LR$60,MATCH(1,(GMW!$LQ$2:$LQ$60=I$3)*(GMW!$LP$2:$LP$60=I$4)*(GMW!$LR$2:$LR$60=I$1),0),$C292-1966)</f>
        <v>778329.4</v>
      </c>
      <c r="J292" s="4" cm="1">
        <f t="array" ref="J292">INDEX(GMW!$A$2:$LR$60,MATCH(1,(GMW!$LQ$2:$LQ$60=J$3)*(GMW!$LP$2:$LP$60=J$4)*(GMW!$LR$2:$LR$60=J$1),0),$C292-1966)</f>
        <v>778296.3</v>
      </c>
      <c r="K292" s="4" cm="1">
        <f t="array" ref="K292">INDEX(GMW!$A$2:$LR$60,MATCH(1,(GMW!$LQ$2:$LQ$60=K$3)*(GMW!$LP$2:$LP$60=K$4)*(GMW!$LR$2:$LR$60=K$1),0),$C292-1966)</f>
        <v>778224.2</v>
      </c>
      <c r="L292" s="4" cm="1">
        <f t="array" ref="L292">INDEX(GMW!$A$2:$LR$60,MATCH(1,(GMW!$LQ$2:$LQ$60=L$3)*(GMW!$LP$2:$LP$60=L$4)*(GMW!$LR$2:$LR$60=L$1),0),$C292-1966)</f>
        <v>778264.8</v>
      </c>
      <c r="M292" s="4" cm="1">
        <f t="array" ref="M292">INDEX(GMW!$A$2:$LR$60,MATCH(1,(GMW!$LQ$2:$LQ$60=M$3)*(GMW!$LP$2:$LP$60=M$4)*(GMW!$LR$2:$LR$60=M$1),0),$C292-1966)</f>
        <v>778264.8</v>
      </c>
      <c r="N292" s="4" cm="1">
        <f t="array" ref="N292">INDEX(GMW!$A$2:$LR$60,MATCH(1,(GMW!$LQ$2:$LQ$60=N$3)*(GMW!$LP$2:$LP$60=N$4)*(GMW!$LR$2:$LR$60=N$1),0),$C292-1966)</f>
        <v>782090.1</v>
      </c>
      <c r="O292" s="4" cm="1">
        <f t="array" ref="O292">INDEX(GMW!$A$2:$LR$60,MATCH(1,(GMW!$LQ$2:$LQ$60=O$3)*(GMW!$LP$2:$LP$60=O$4)*(GMW!$LR$2:$LR$60=O$1),0),$C292-1966)</f>
        <v>783341.7</v>
      </c>
      <c r="P292" s="4" cm="1">
        <f t="array" ref="P292">INDEX(GMW!$A$2:$LR$60,MATCH(1,(GMW!$LQ$2:$LQ$60=P$3)*(GMW!$LP$2:$LP$60=P$4)*(GMW!$LR$2:$LR$60=P$1),0),$C292-1966)</f>
        <v>783606.3</v>
      </c>
      <c r="Q292" s="4" cm="1">
        <f t="array" ref="Q292">INDEX(GMW!$A$2:$LR$60,MATCH(1,(GMW!$LQ$2:$LQ$60=Q$3)*(GMW!$LP$2:$LP$60=Q$4)*(GMW!$LR$2:$LR$60=Q$1),0),$C292-1966)</f>
        <v>786591.5</v>
      </c>
      <c r="R292" s="4" cm="1">
        <f t="array" ref="R292">INDEX(GMW!$A$2:$LR$60,MATCH(1,(GMW!$LQ$2:$LQ$60=R$3)*(GMW!$LP$2:$LP$60=R$4)*(GMW!$LR$2:$LR$60=R$1),0),$C292-1966)</f>
        <v>787840.6</v>
      </c>
      <c r="S292" s="4" cm="1">
        <f t="array" ref="S292">INDEX(GMW!$A$2:$LR$60,MATCH(1,(GMW!$LQ$2:$LQ$60=S$3)*(GMW!$LP$2:$LP$60=S$4)*(GMW!$LR$2:$LR$60=S$1),0),$C292-1966)</f>
        <v>785037.5</v>
      </c>
      <c r="T292" s="4" cm="1">
        <f t="array" ref="T292">INDEX(GMW!$A$2:$LR$60,MATCH(1,(GMW!$LQ$2:$LQ$60=T$3)*(GMW!$LP$2:$LP$60=T$4)*(GMW!$LR$2:$LR$60=T$1),0),$C292-1966)</f>
        <v>785439.9</v>
      </c>
      <c r="U292" s="4" cm="1">
        <f t="array" ref="U292">INDEX(GMW!$A$2:$LR$60,MATCH(1,(GMW!$LQ$2:$LQ$60=U$3)*(GMW!$LP$2:$LP$60=U$4)*(GMW!$LR$2:$LR$60=U$1),0),$C292-1966)</f>
        <v>1252.3900000000001</v>
      </c>
      <c r="V292" s="4" cm="1">
        <f t="array" ref="V292">INDEX(GMW!$A$2:$LR$60,MATCH(1,(GMW!$LQ$2:$LQ$60=V$3)*(GMW!$LP$2:$LP$60=V$4)*(GMW!$LR$2:$LR$60=V$1),0),$C292-1966)</f>
        <v>200.66079999999999</v>
      </c>
      <c r="W292" s="4" cm="1">
        <f t="array" ref="W292">INDEX(GMW!$A$2:$LR$60,MATCH(1,(GMW!$LQ$2:$LQ$60=W$3)*(GMW!$LP$2:$LP$60=W$4)*(GMW!$LR$2:$LR$60=W$1),0),$C292-1966)</f>
        <v>187.6669</v>
      </c>
      <c r="X292" s="4" cm="1">
        <f t="array" ref="X292">INDEX(GMW!$A$2:$LR$60,MATCH(1,(GMW!$LQ$2:$LQ$60=X$3)*(GMW!$LP$2:$LP$60=X$4)*(GMW!$LR$2:$LR$60=X$1),0),$C292-1966)</f>
        <v>126.9198</v>
      </c>
      <c r="Y292" s="4" cm="1">
        <f t="array" ref="Y292">INDEX(GMW!$A$2:$LR$60,MATCH(1,(GMW!$LQ$2:$LQ$60=Y$3)*(GMW!$LP$2:$LP$60=Y$4)*(GMW!$LR$2:$LR$60=Y$1),0),$C292-1966)</f>
        <v>277.74459999999999</v>
      </c>
      <c r="Z292" s="4" cm="1">
        <f t="array" ref="Z292">INDEX(GMW!$A$2:$LR$60,MATCH(1,(GMW!$LQ$2:$LQ$60=Z$3)*(GMW!$LP$2:$LP$60=Z$4)*(GMW!$LR$2:$LR$60=Z$1),0),$C292-1966)</f>
        <v>202.01070000000001</v>
      </c>
      <c r="AA292" s="4" cm="1">
        <f t="array" ref="AA292">INDEX(GMW!$A$2:$LR$60,MATCH(1,(GMW!$LQ$2:$LQ$60=AA$3)*(GMW!$LP$2:$LP$60=AA$4)*(GMW!$LR$2:$LR$60=AA$1),0),$C292-1966)</f>
        <v>466269.4</v>
      </c>
      <c r="AB292" s="4" cm="1">
        <f t="array" ref="AB292">INDEX(GMW!$A$2:$LR$60,MATCH(1,(GMW!$LQ$2:$LQ$60=AB$3)*(GMW!$LP$2:$LP$60=AB$4)*(GMW!$LR$2:$LR$60=AB$1),0),$C292-1966)</f>
        <v>161251.5</v>
      </c>
      <c r="AC292" s="4" cm="1">
        <f t="array" ref="AC292">INDEX(GMW!$A$2:$LR$60,MATCH(1,(GMW!$LQ$2:$LQ$60=AC$3)*(GMW!$LP$2:$LP$60=AC$4)*(GMW!$LR$2:$LR$60=AC$1),0),$C292-1966)</f>
        <v>163347.79999999999</v>
      </c>
      <c r="AD292" s="4" cm="1">
        <f t="array" ref="AD292">INDEX(GMW!$A$2:$LR$60,MATCH(1,(GMW!$LQ$2:$LQ$60=AD$3)*(GMW!$LP$2:$LP$60=AD$4)*(GMW!$LR$2:$LR$60=AD$1),0),$C292-1966)</f>
        <v>255841.1</v>
      </c>
      <c r="AE292" s="4" cm="1">
        <f t="array" ref="AE292">INDEX(GMW!$A$2:$LR$60,MATCH(1,(GMW!$LQ$2:$LQ$60=AE$3)*(GMW!$LP$2:$LP$60=AE$4)*(GMW!$LR$2:$LR$60=AE$1),0),$C292-1966)</f>
        <v>285222.5</v>
      </c>
      <c r="AF292" s="4" cm="1">
        <f t="array" ref="AF292">INDEX(GMW!$A$2:$LR$60,MATCH(1,(GMW!$LQ$2:$LQ$60=AF$3)*(GMW!$LP$2:$LP$60=AF$4)*(GMW!$LR$2:$LR$60=AF$1),0),$C292-1966)</f>
        <v>2.1064639999999999</v>
      </c>
      <c r="AG292" s="4" cm="1">
        <f t="array" ref="AG292">INDEX(GMW!$A$2:$LR$60,MATCH(1,(GMW!$LQ$2:$LQ$60=AG$3)*(GMW!$LP$2:$LP$60=AG$4)*(GMW!$LR$2:$LR$60=AG$1),0),$C292-1966)</f>
        <v>2.4334739999999999</v>
      </c>
    </row>
    <row r="293" spans="1:33" x14ac:dyDescent="0.25">
      <c r="B293" s="4">
        <f t="shared" si="9"/>
        <v>2044</v>
      </c>
      <c r="C293" s="4">
        <f t="shared" si="8"/>
        <v>2259</v>
      </c>
      <c r="D293" s="4" cm="1">
        <f t="array" ref="D293">INDEX(GMW!$A$2:$LR$60,MATCH(1,(GMW!$LQ$2:$LQ$60=D$3)*(GMW!$LP$2:$LP$60=D$4)*(GMW!$LR$2:$LR$60=D$1),0),$C293-1966)</f>
        <v>786986.7</v>
      </c>
      <c r="E293" s="4" cm="1">
        <f t="array" ref="E293">INDEX(GMW!$A$2:$LR$60,MATCH(1,(GMW!$LQ$2:$LQ$60=E$3)*(GMW!$LP$2:$LP$60=E$4)*(GMW!$LR$2:$LR$60=E$1),0),$C293-1966)</f>
        <v>774875.9</v>
      </c>
      <c r="F293" s="4" cm="1">
        <f t="array" ref="F293">INDEX(GMW!$A$2:$LR$60,MATCH(1,(GMW!$LQ$2:$LQ$60=F$3)*(GMW!$LP$2:$LP$60=F$4)*(GMW!$LR$2:$LR$60=F$1),0),$C293-1966)</f>
        <v>775168.8</v>
      </c>
      <c r="G293" s="4" cm="1">
        <f t="array" ref="G293">INDEX(GMW!$A$2:$LR$60,MATCH(1,(GMW!$LQ$2:$LQ$60=G$3)*(GMW!$LP$2:$LP$60=G$4)*(GMW!$LR$2:$LR$60=G$1),0),$C293-1966)</f>
        <v>775168.8</v>
      </c>
      <c r="H293" s="4" cm="1">
        <f t="array" ref="H293">INDEX(GMW!$A$2:$LR$60,MATCH(1,(GMW!$LQ$2:$LQ$60=H$3)*(GMW!$LP$2:$LP$60=H$4)*(GMW!$LR$2:$LR$60=H$1),0),$C293-1966)</f>
        <v>780464.3</v>
      </c>
      <c r="I293" s="4" cm="1">
        <f t="array" ref="I293">INDEX(GMW!$A$2:$LR$60,MATCH(1,(GMW!$LQ$2:$LQ$60=I$3)*(GMW!$LP$2:$LP$60=I$4)*(GMW!$LR$2:$LR$60=I$1),0),$C293-1966)</f>
        <v>781228.9</v>
      </c>
      <c r="J293" s="4" cm="1">
        <f t="array" ref="J293">INDEX(GMW!$A$2:$LR$60,MATCH(1,(GMW!$LQ$2:$LQ$60=J$3)*(GMW!$LP$2:$LP$60=J$4)*(GMW!$LR$2:$LR$60=J$1),0),$C293-1966)</f>
        <v>781195.6</v>
      </c>
      <c r="K293" s="4" cm="1">
        <f t="array" ref="K293">INDEX(GMW!$A$2:$LR$60,MATCH(1,(GMW!$LQ$2:$LQ$60=K$3)*(GMW!$LP$2:$LP$60=K$4)*(GMW!$LR$2:$LR$60=K$1),0),$C293-1966)</f>
        <v>781125.3</v>
      </c>
      <c r="L293" s="4" cm="1">
        <f t="array" ref="L293">INDEX(GMW!$A$2:$LR$60,MATCH(1,(GMW!$LQ$2:$LQ$60=L$3)*(GMW!$LP$2:$LP$60=L$4)*(GMW!$LR$2:$LR$60=L$1),0),$C293-1966)</f>
        <v>781166.3</v>
      </c>
      <c r="M293" s="4" cm="1">
        <f t="array" ref="M293">INDEX(GMW!$A$2:$LR$60,MATCH(1,(GMW!$LQ$2:$LQ$60=M$3)*(GMW!$LP$2:$LP$60=M$4)*(GMW!$LR$2:$LR$60=M$1),0),$C293-1966)</f>
        <v>781166.3</v>
      </c>
      <c r="N293" s="4" cm="1">
        <f t="array" ref="N293">INDEX(GMW!$A$2:$LR$60,MATCH(1,(GMW!$LQ$2:$LQ$60=N$3)*(GMW!$LP$2:$LP$60=N$4)*(GMW!$LR$2:$LR$60=N$1),0),$C293-1966)</f>
        <v>785044.4</v>
      </c>
      <c r="O293" s="4" cm="1">
        <f t="array" ref="O293">INDEX(GMW!$A$2:$LR$60,MATCH(1,(GMW!$LQ$2:$LQ$60=O$3)*(GMW!$LP$2:$LP$60=O$4)*(GMW!$LR$2:$LR$60=O$1),0),$C293-1966)</f>
        <v>786323</v>
      </c>
      <c r="P293" s="4" cm="1">
        <f t="array" ref="P293">INDEX(GMW!$A$2:$LR$60,MATCH(1,(GMW!$LQ$2:$LQ$60=P$3)*(GMW!$LP$2:$LP$60=P$4)*(GMW!$LR$2:$LR$60=P$1),0),$C293-1966)</f>
        <v>786587.3</v>
      </c>
      <c r="Q293" s="4" cm="1">
        <f t="array" ref="Q293">INDEX(GMW!$A$2:$LR$60,MATCH(1,(GMW!$LQ$2:$LQ$60=Q$3)*(GMW!$LP$2:$LP$60=Q$4)*(GMW!$LR$2:$LR$60=Q$1),0),$C293-1966)</f>
        <v>789579.2</v>
      </c>
      <c r="R293" s="4" cm="1">
        <f t="array" ref="R293">INDEX(GMW!$A$2:$LR$60,MATCH(1,(GMW!$LQ$2:$LQ$60=R$3)*(GMW!$LP$2:$LP$60=R$4)*(GMW!$LR$2:$LR$60=R$1),0),$C293-1966)</f>
        <v>790856.9</v>
      </c>
      <c r="S293" s="4" cm="1">
        <f t="array" ref="S293">INDEX(GMW!$A$2:$LR$60,MATCH(1,(GMW!$LQ$2:$LQ$60=S$3)*(GMW!$LP$2:$LP$60=S$4)*(GMW!$LR$2:$LR$60=S$1),0),$C293-1966)</f>
        <v>788040.4</v>
      </c>
      <c r="T293" s="4" cm="1">
        <f t="array" ref="T293">INDEX(GMW!$A$2:$LR$60,MATCH(1,(GMW!$LQ$2:$LQ$60=T$3)*(GMW!$LP$2:$LP$60=T$4)*(GMW!$LR$2:$LR$60=T$1),0),$C293-1966)</f>
        <v>788438.3</v>
      </c>
      <c r="U293" s="4" cm="1">
        <f t="array" ref="U293">INDEX(GMW!$A$2:$LR$60,MATCH(1,(GMW!$LQ$2:$LQ$60=U$3)*(GMW!$LP$2:$LP$60=U$4)*(GMW!$LR$2:$LR$60=U$1),0),$C293-1966)</f>
        <v>1262.299</v>
      </c>
      <c r="V293" s="4" cm="1">
        <f t="array" ref="V293">INDEX(GMW!$A$2:$LR$60,MATCH(1,(GMW!$LQ$2:$LQ$60=V$3)*(GMW!$LP$2:$LP$60=V$4)*(GMW!$LR$2:$LR$60=V$1),0),$C293-1966)</f>
        <v>201.6123</v>
      </c>
      <c r="W293" s="4" cm="1">
        <f t="array" ref="W293">INDEX(GMW!$A$2:$LR$60,MATCH(1,(GMW!$LQ$2:$LQ$60=W$3)*(GMW!$LP$2:$LP$60=W$4)*(GMW!$LR$2:$LR$60=W$1),0),$C293-1966)</f>
        <v>187.43620000000001</v>
      </c>
      <c r="X293" s="4" cm="1">
        <f t="array" ref="X293">INDEX(GMW!$A$2:$LR$60,MATCH(1,(GMW!$LQ$2:$LQ$60=X$3)*(GMW!$LP$2:$LP$60=X$4)*(GMW!$LR$2:$LR$60=X$1),0),$C293-1966)</f>
        <v>126.971</v>
      </c>
      <c r="Y293" s="4" cm="1">
        <f t="array" ref="Y293">INDEX(GMW!$A$2:$LR$60,MATCH(1,(GMW!$LQ$2:$LQ$60=Y$3)*(GMW!$LP$2:$LP$60=Y$4)*(GMW!$LR$2:$LR$60=Y$1),0),$C293-1966)</f>
        <v>280.15410000000003</v>
      </c>
      <c r="Z293" s="4" cm="1">
        <f t="array" ref="Z293">INDEX(GMW!$A$2:$LR$60,MATCH(1,(GMW!$LQ$2:$LQ$60=Z$3)*(GMW!$LP$2:$LP$60=Z$4)*(GMW!$LR$2:$LR$60=Z$1),0),$C293-1966)</f>
        <v>203.19839999999999</v>
      </c>
      <c r="AA293" s="4" cm="1">
        <f t="array" ref="AA293">INDEX(GMW!$A$2:$LR$60,MATCH(1,(GMW!$LQ$2:$LQ$60=AA$3)*(GMW!$LP$2:$LP$60=AA$4)*(GMW!$LR$2:$LR$60=AA$1),0),$C293-1966)</f>
        <v>468054.9</v>
      </c>
      <c r="AB293" s="4" cm="1">
        <f t="array" ref="AB293">INDEX(GMW!$A$2:$LR$60,MATCH(1,(GMW!$LQ$2:$LQ$60=AB$3)*(GMW!$LP$2:$LP$60=AB$4)*(GMW!$LR$2:$LR$60=AB$1),0),$C293-1966)</f>
        <v>162041.29999999999</v>
      </c>
      <c r="AC293" s="4" cm="1">
        <f t="array" ref="AC293">INDEX(GMW!$A$2:$LR$60,MATCH(1,(GMW!$LQ$2:$LQ$60=AC$3)*(GMW!$LP$2:$LP$60=AC$4)*(GMW!$LR$2:$LR$60=AC$1),0),$C293-1966)</f>
        <v>163979.79999999999</v>
      </c>
      <c r="AD293" s="4" cm="1">
        <f t="array" ref="AD293">INDEX(GMW!$A$2:$LR$60,MATCH(1,(GMW!$LQ$2:$LQ$60=AD$3)*(GMW!$LP$2:$LP$60=AD$4)*(GMW!$LR$2:$LR$60=AD$1),0),$C293-1966)</f>
        <v>257070.8</v>
      </c>
      <c r="AE293" s="4" cm="1">
        <f t="array" ref="AE293">INDEX(GMW!$A$2:$LR$60,MATCH(1,(GMW!$LQ$2:$LQ$60=AE$3)*(GMW!$LP$2:$LP$60=AE$4)*(GMW!$LR$2:$LR$60=AE$1),0),$C293-1966)</f>
        <v>286735.59999999998</v>
      </c>
      <c r="AF293" s="4" cm="1">
        <f t="array" ref="AF293">INDEX(GMW!$A$2:$LR$60,MATCH(1,(GMW!$LQ$2:$LQ$60=AF$3)*(GMW!$LP$2:$LP$60=AF$4)*(GMW!$LR$2:$LR$60=AF$1),0),$C293-1966)</f>
        <v>2.1064639999999999</v>
      </c>
      <c r="AG293" s="4" cm="1">
        <f t="array" ref="AG293">INDEX(GMW!$A$2:$LR$60,MATCH(1,(GMW!$LQ$2:$LQ$60=AG$3)*(GMW!$LP$2:$LP$60=AG$4)*(GMW!$LR$2:$LR$60=AG$1),0),$C293-1966)</f>
        <v>2.4334739999999999</v>
      </c>
    </row>
    <row r="294" spans="1:33" x14ac:dyDescent="0.25">
      <c r="B294" s="4">
        <f t="shared" si="9"/>
        <v>2044</v>
      </c>
      <c r="C294" s="4">
        <f t="shared" si="8"/>
        <v>2260</v>
      </c>
      <c r="D294" s="4" cm="1">
        <f t="array" ref="D294">INDEX(GMW!$A$2:$LR$60,MATCH(1,(GMW!$LQ$2:$LQ$60=D$3)*(GMW!$LP$2:$LP$60=D$4)*(GMW!$LR$2:$LR$60=D$1),0),$C294-1966)</f>
        <v>789988.3</v>
      </c>
      <c r="E294" s="4" cm="1">
        <f t="array" ref="E294">INDEX(GMW!$A$2:$LR$60,MATCH(1,(GMW!$LQ$2:$LQ$60=E$3)*(GMW!$LP$2:$LP$60=E$4)*(GMW!$LR$2:$LR$60=E$1),0),$C294-1966)</f>
        <v>777772.7</v>
      </c>
      <c r="F294" s="4" cm="1">
        <f t="array" ref="F294">INDEX(GMW!$A$2:$LR$60,MATCH(1,(GMW!$LQ$2:$LQ$60=F$3)*(GMW!$LP$2:$LP$60=F$4)*(GMW!$LR$2:$LR$60=F$1),0),$C294-1966)</f>
        <v>778066.3</v>
      </c>
      <c r="G294" s="4" cm="1">
        <f t="array" ref="G294">INDEX(GMW!$A$2:$LR$60,MATCH(1,(GMW!$LQ$2:$LQ$60=G$3)*(GMW!$LP$2:$LP$60=G$4)*(GMW!$LR$2:$LR$60=G$1),0),$C294-1966)</f>
        <v>778066.3</v>
      </c>
      <c r="H294" s="4" cm="1">
        <f t="array" ref="H294">INDEX(GMW!$A$2:$LR$60,MATCH(1,(GMW!$LQ$2:$LQ$60=H$3)*(GMW!$LP$2:$LP$60=H$4)*(GMW!$LR$2:$LR$60=H$1),0),$C294-1966)</f>
        <v>783386.3</v>
      </c>
      <c r="I294" s="4" cm="1">
        <f t="array" ref="I294">INDEX(GMW!$A$2:$LR$60,MATCH(1,(GMW!$LQ$2:$LQ$60=I$3)*(GMW!$LP$2:$LP$60=I$4)*(GMW!$LR$2:$LR$60=I$1),0),$C294-1966)</f>
        <v>784135.7</v>
      </c>
      <c r="J294" s="4" cm="1">
        <f t="array" ref="J294">INDEX(GMW!$A$2:$LR$60,MATCH(1,(GMW!$LQ$2:$LQ$60=J$3)*(GMW!$LP$2:$LP$60=J$4)*(GMW!$LR$2:$LR$60=J$1),0),$C294-1966)</f>
        <v>784102.1</v>
      </c>
      <c r="K294" s="4" cm="1">
        <f t="array" ref="K294">INDEX(GMW!$A$2:$LR$60,MATCH(1,(GMW!$LQ$2:$LQ$60=K$3)*(GMW!$LP$2:$LP$60=K$4)*(GMW!$LR$2:$LR$60=K$1),0),$C294-1966)</f>
        <v>784033.6</v>
      </c>
      <c r="L294" s="4" cm="1">
        <f t="array" ref="L294">INDEX(GMW!$A$2:$LR$60,MATCH(1,(GMW!$LQ$2:$LQ$60=L$3)*(GMW!$LP$2:$LP$60=L$4)*(GMW!$LR$2:$LR$60=L$1),0),$C294-1966)</f>
        <v>784075</v>
      </c>
      <c r="M294" s="4" cm="1">
        <f t="array" ref="M294">INDEX(GMW!$A$2:$LR$60,MATCH(1,(GMW!$LQ$2:$LQ$60=M$3)*(GMW!$LP$2:$LP$60=M$4)*(GMW!$LR$2:$LR$60=M$1),0),$C294-1966)</f>
        <v>784075</v>
      </c>
      <c r="N294" s="4" cm="1">
        <f t="array" ref="N294">INDEX(GMW!$A$2:$LR$60,MATCH(1,(GMW!$LQ$2:$LQ$60=N$3)*(GMW!$LP$2:$LP$60=N$4)*(GMW!$LR$2:$LR$60=N$1),0),$C294-1966)</f>
        <v>788006.40000000002</v>
      </c>
      <c r="O294" s="4" cm="1">
        <f t="array" ref="O294">INDEX(GMW!$A$2:$LR$60,MATCH(1,(GMW!$LQ$2:$LQ$60=O$3)*(GMW!$LP$2:$LP$60=O$4)*(GMW!$LR$2:$LR$60=O$1),0),$C294-1966)</f>
        <v>789312.4</v>
      </c>
      <c r="P294" s="4" cm="1">
        <f t="array" ref="P294">INDEX(GMW!$A$2:$LR$60,MATCH(1,(GMW!$LQ$2:$LQ$60=P$3)*(GMW!$LP$2:$LP$60=P$4)*(GMW!$LR$2:$LR$60=P$1),0),$C294-1966)</f>
        <v>789576.4</v>
      </c>
      <c r="Q294" s="4" cm="1">
        <f t="array" ref="Q294">INDEX(GMW!$A$2:$LR$60,MATCH(1,(GMW!$LQ$2:$LQ$60=Q$3)*(GMW!$LP$2:$LP$60=Q$4)*(GMW!$LR$2:$LR$60=Q$1),0),$C294-1966)</f>
        <v>792573.8</v>
      </c>
      <c r="R294" s="4" cm="1">
        <f t="array" ref="R294">INDEX(GMW!$A$2:$LR$60,MATCH(1,(GMW!$LQ$2:$LQ$60=R$3)*(GMW!$LP$2:$LP$60=R$4)*(GMW!$LR$2:$LR$60=R$1),0),$C294-1966)</f>
        <v>793880.3</v>
      </c>
      <c r="S294" s="4" cm="1">
        <f t="array" ref="S294">INDEX(GMW!$A$2:$LR$60,MATCH(1,(GMW!$LQ$2:$LQ$60=S$3)*(GMW!$LP$2:$LP$60=S$4)*(GMW!$LR$2:$LR$60=S$1),0),$C294-1966)</f>
        <v>791050.6</v>
      </c>
      <c r="T294" s="4" cm="1">
        <f t="array" ref="T294">INDEX(GMW!$A$2:$LR$60,MATCH(1,(GMW!$LQ$2:$LQ$60=T$3)*(GMW!$LP$2:$LP$60=T$4)*(GMW!$LR$2:$LR$60=T$1),0),$C294-1966)</f>
        <v>791443.8</v>
      </c>
      <c r="U294" s="4" cm="1">
        <f t="array" ref="U294">INDEX(GMW!$A$2:$LR$60,MATCH(1,(GMW!$LQ$2:$LQ$60=U$3)*(GMW!$LP$2:$LP$60=U$4)*(GMW!$LR$2:$LR$60=U$1),0),$C294-1966)</f>
        <v>1272.2809999999999</v>
      </c>
      <c r="V294" s="4" cm="1">
        <f t="array" ref="V294">INDEX(GMW!$A$2:$LR$60,MATCH(1,(GMW!$LQ$2:$LQ$60=V$3)*(GMW!$LP$2:$LP$60=V$4)*(GMW!$LR$2:$LR$60=V$1),0),$C294-1966)</f>
        <v>202.58439999999999</v>
      </c>
      <c r="W294" s="4" cm="1">
        <f t="array" ref="W294">INDEX(GMW!$A$2:$LR$60,MATCH(1,(GMW!$LQ$2:$LQ$60=W$3)*(GMW!$LP$2:$LP$60=W$4)*(GMW!$LR$2:$LR$60=W$1),0),$C294-1966)</f>
        <v>188.2783</v>
      </c>
      <c r="X294" s="4" cm="1">
        <f t="array" ref="X294">INDEX(GMW!$A$2:$LR$60,MATCH(1,(GMW!$LQ$2:$LQ$60=X$3)*(GMW!$LP$2:$LP$60=X$4)*(GMW!$LR$2:$LR$60=X$1),0),$C294-1966)</f>
        <v>127.0222</v>
      </c>
      <c r="Y294" s="4" cm="1">
        <f t="array" ref="Y294">INDEX(GMW!$A$2:$LR$60,MATCH(1,(GMW!$LQ$2:$LQ$60=Y$3)*(GMW!$LP$2:$LP$60=Y$4)*(GMW!$LR$2:$LR$60=Y$1),0),$C294-1966)</f>
        <v>282.60849999999999</v>
      </c>
      <c r="Z294" s="4" cm="1">
        <f t="array" ref="Z294">INDEX(GMW!$A$2:$LR$60,MATCH(1,(GMW!$LQ$2:$LQ$60=Z$3)*(GMW!$LP$2:$LP$60=Z$4)*(GMW!$LR$2:$LR$60=Z$1),0),$C294-1966)</f>
        <v>204.1848</v>
      </c>
      <c r="AA294" s="4" cm="1">
        <f t="array" ref="AA294">INDEX(GMW!$A$2:$LR$60,MATCH(1,(GMW!$LQ$2:$LQ$60=AA$3)*(GMW!$LP$2:$LP$60=AA$4)*(GMW!$LR$2:$LR$60=AA$1),0),$C294-1966)</f>
        <v>469844.8</v>
      </c>
      <c r="AB294" s="4" cm="1">
        <f t="array" ref="AB294">INDEX(GMW!$A$2:$LR$60,MATCH(1,(GMW!$LQ$2:$LQ$60=AB$3)*(GMW!$LP$2:$LP$60=AB$4)*(GMW!$LR$2:$LR$60=AB$1),0),$C294-1966)</f>
        <v>162834.20000000001</v>
      </c>
      <c r="AC294" s="4" cm="1">
        <f t="array" ref="AC294">INDEX(GMW!$A$2:$LR$60,MATCH(1,(GMW!$LQ$2:$LQ$60=AC$3)*(GMW!$LP$2:$LP$60=AC$4)*(GMW!$LR$2:$LR$60=AC$1),0),$C294-1966)</f>
        <v>164613.4</v>
      </c>
      <c r="AD294" s="4" cm="1">
        <f t="array" ref="AD294">INDEX(GMW!$A$2:$LR$60,MATCH(1,(GMW!$LQ$2:$LQ$60=AD$3)*(GMW!$LP$2:$LP$60=AD$4)*(GMW!$LR$2:$LR$60=AD$1),0),$C294-1966)</f>
        <v>258305.4</v>
      </c>
      <c r="AE294" s="4" cm="1">
        <f t="array" ref="AE294">INDEX(GMW!$A$2:$LR$60,MATCH(1,(GMW!$LQ$2:$LQ$60=AE$3)*(GMW!$LP$2:$LP$60=AE$4)*(GMW!$LR$2:$LR$60=AE$1),0),$C294-1966)</f>
        <v>288255.59999999998</v>
      </c>
      <c r="AF294" s="4" cm="1">
        <f t="array" ref="AF294">INDEX(GMW!$A$2:$LR$60,MATCH(1,(GMW!$LQ$2:$LQ$60=AF$3)*(GMW!$LP$2:$LP$60=AF$4)*(GMW!$LR$2:$LR$60=AF$1),0),$C294-1966)</f>
        <v>2.1064639999999999</v>
      </c>
      <c r="AG294" s="4" cm="1">
        <f t="array" ref="AG294">INDEX(GMW!$A$2:$LR$60,MATCH(1,(GMW!$LQ$2:$LQ$60=AG$3)*(GMW!$LP$2:$LP$60=AG$4)*(GMW!$LR$2:$LR$60=AG$1),0),$C294-1966)</f>
        <v>2.4334739999999999</v>
      </c>
    </row>
    <row r="295" spans="1:33" x14ac:dyDescent="0.25">
      <c r="A295" s="4">
        <v>2045</v>
      </c>
      <c r="B295" s="4">
        <f t="shared" si="9"/>
        <v>2045</v>
      </c>
      <c r="C295" s="4">
        <f t="shared" si="8"/>
        <v>2261</v>
      </c>
      <c r="D295" s="4" cm="1">
        <f t="array" ref="D295">INDEX(GMW!$A$2:$LR$60,MATCH(1,(GMW!$LQ$2:$LQ$60=D$3)*(GMW!$LP$2:$LP$60=D$4)*(GMW!$LR$2:$LR$60=D$1),0),$C295-1966)</f>
        <v>792997.1</v>
      </c>
      <c r="E295" s="4" cm="1">
        <f t="array" ref="E295">INDEX(GMW!$A$2:$LR$60,MATCH(1,(GMW!$LQ$2:$LQ$60=E$3)*(GMW!$LP$2:$LP$60=E$4)*(GMW!$LR$2:$LR$60=E$1),0),$C295-1966)</f>
        <v>780676.6</v>
      </c>
      <c r="F295" s="4" cm="1">
        <f t="array" ref="F295">INDEX(GMW!$A$2:$LR$60,MATCH(1,(GMW!$LQ$2:$LQ$60=F$3)*(GMW!$LP$2:$LP$60=F$4)*(GMW!$LR$2:$LR$60=F$1),0),$C295-1966)</f>
        <v>780970.8</v>
      </c>
      <c r="G295" s="4" cm="1">
        <f t="array" ref="G295">INDEX(GMW!$A$2:$LR$60,MATCH(1,(GMW!$LQ$2:$LQ$60=G$3)*(GMW!$LP$2:$LP$60=G$4)*(GMW!$LR$2:$LR$60=G$1),0),$C295-1966)</f>
        <v>780970.8</v>
      </c>
      <c r="H295" s="4" cm="1">
        <f t="array" ref="H295">INDEX(GMW!$A$2:$LR$60,MATCH(1,(GMW!$LQ$2:$LQ$60=H$3)*(GMW!$LP$2:$LP$60=H$4)*(GMW!$LR$2:$LR$60=H$1),0),$C295-1966)</f>
        <v>786315.9</v>
      </c>
      <c r="I295" s="4" cm="1">
        <f t="array" ref="I295">INDEX(GMW!$A$2:$LR$60,MATCH(1,(GMW!$LQ$2:$LQ$60=I$3)*(GMW!$LP$2:$LP$60=I$4)*(GMW!$LR$2:$LR$60=I$1),0),$C295-1966)</f>
        <v>787049.5</v>
      </c>
      <c r="J295" s="4" cm="1">
        <f t="array" ref="J295">INDEX(GMW!$A$2:$LR$60,MATCH(1,(GMW!$LQ$2:$LQ$60=J$3)*(GMW!$LP$2:$LP$60=J$4)*(GMW!$LR$2:$LR$60=J$1),0),$C295-1966)</f>
        <v>787015.8</v>
      </c>
      <c r="K295" s="4" cm="1">
        <f t="array" ref="K295">INDEX(GMW!$A$2:$LR$60,MATCH(1,(GMW!$LQ$2:$LQ$60=K$3)*(GMW!$LP$2:$LP$60=K$4)*(GMW!$LR$2:$LR$60=K$1),0),$C295-1966)</f>
        <v>786949.1</v>
      </c>
      <c r="L295" s="4" cm="1">
        <f t="array" ref="L295">INDEX(GMW!$A$2:$LR$60,MATCH(1,(GMW!$LQ$2:$LQ$60=L$3)*(GMW!$LP$2:$LP$60=L$4)*(GMW!$LR$2:$LR$60=L$1),0),$C295-1966)</f>
        <v>786990.9</v>
      </c>
      <c r="M295" s="4" cm="1">
        <f t="array" ref="M295">INDEX(GMW!$A$2:$LR$60,MATCH(1,(GMW!$LQ$2:$LQ$60=M$3)*(GMW!$LP$2:$LP$60=M$4)*(GMW!$LR$2:$LR$60=M$1),0),$C295-1966)</f>
        <v>786990.9</v>
      </c>
      <c r="N295" s="4" cm="1">
        <f t="array" ref="N295">INDEX(GMW!$A$2:$LR$60,MATCH(1,(GMW!$LQ$2:$LQ$60=N$3)*(GMW!$LP$2:$LP$60=N$4)*(GMW!$LR$2:$LR$60=N$1),0),$C295-1966)</f>
        <v>790976.3</v>
      </c>
      <c r="O295" s="4" cm="1">
        <f t="array" ref="O295">INDEX(GMW!$A$2:$LR$60,MATCH(1,(GMW!$LQ$2:$LQ$60=O$3)*(GMW!$LP$2:$LP$60=O$4)*(GMW!$LR$2:$LR$60=O$1),0),$C295-1966)</f>
        <v>792309.8</v>
      </c>
      <c r="P295" s="4" cm="1">
        <f t="array" ref="P295">INDEX(GMW!$A$2:$LR$60,MATCH(1,(GMW!$LQ$2:$LQ$60=P$3)*(GMW!$LP$2:$LP$60=P$4)*(GMW!$LR$2:$LR$60=P$1),0),$C295-1966)</f>
        <v>792573.5</v>
      </c>
      <c r="Q295" s="4" cm="1">
        <f t="array" ref="Q295">INDEX(GMW!$A$2:$LR$60,MATCH(1,(GMW!$LQ$2:$LQ$60=Q$3)*(GMW!$LP$2:$LP$60=Q$4)*(GMW!$LR$2:$LR$60=Q$1),0),$C295-1966)</f>
        <v>795575.4</v>
      </c>
      <c r="R295" s="4" cm="1">
        <f t="array" ref="R295">INDEX(GMW!$A$2:$LR$60,MATCH(1,(GMW!$LQ$2:$LQ$60=R$3)*(GMW!$LP$2:$LP$60=R$4)*(GMW!$LR$2:$LR$60=R$1),0),$C295-1966)</f>
        <v>796910.9</v>
      </c>
      <c r="S295" s="4" cm="1">
        <f t="array" ref="S295">INDEX(GMW!$A$2:$LR$60,MATCH(1,(GMW!$LQ$2:$LQ$60=S$3)*(GMW!$LP$2:$LP$60=S$4)*(GMW!$LR$2:$LR$60=S$1),0),$C295-1966)</f>
        <v>794067.9</v>
      </c>
      <c r="T295" s="4" cm="1">
        <f t="array" ref="T295">INDEX(GMW!$A$2:$LR$60,MATCH(1,(GMW!$LQ$2:$LQ$60=T$3)*(GMW!$LP$2:$LP$60=T$4)*(GMW!$LR$2:$LR$60=T$1),0),$C295-1966)</f>
        <v>794456.6</v>
      </c>
      <c r="U295" s="4" cm="1">
        <f t="array" ref="U295">INDEX(GMW!$A$2:$LR$60,MATCH(1,(GMW!$LQ$2:$LQ$60=U$3)*(GMW!$LP$2:$LP$60=U$4)*(GMW!$LR$2:$LR$60=U$1),0),$C295-1966)</f>
        <v>1282.3340000000001</v>
      </c>
      <c r="V295" s="4" cm="1">
        <f t="array" ref="V295">INDEX(GMW!$A$2:$LR$60,MATCH(1,(GMW!$LQ$2:$LQ$60=V$3)*(GMW!$LP$2:$LP$60=V$4)*(GMW!$LR$2:$LR$60=V$1),0),$C295-1966)</f>
        <v>202.90180000000001</v>
      </c>
      <c r="W295" s="4" cm="1">
        <f t="array" ref="W295">INDEX(GMW!$A$2:$LR$60,MATCH(1,(GMW!$LQ$2:$LQ$60=W$3)*(GMW!$LP$2:$LP$60=W$4)*(GMW!$LR$2:$LR$60=W$1),0),$C295-1966)</f>
        <v>190.01159999999999</v>
      </c>
      <c r="X295" s="4" cm="1">
        <f t="array" ref="X295">INDEX(GMW!$A$2:$LR$60,MATCH(1,(GMW!$LQ$2:$LQ$60=X$3)*(GMW!$LP$2:$LP$60=X$4)*(GMW!$LR$2:$LR$60=X$1),0),$C295-1966)</f>
        <v>127.0615</v>
      </c>
      <c r="Y295" s="4" cm="1">
        <f t="array" ref="Y295">INDEX(GMW!$A$2:$LR$60,MATCH(1,(GMW!$LQ$2:$LQ$60=Y$3)*(GMW!$LP$2:$LP$60=Y$4)*(GMW!$LR$2:$LR$60=Y$1),0),$C295-1966)</f>
        <v>284.98829999999998</v>
      </c>
      <c r="Z295" s="4" cm="1">
        <f t="array" ref="Z295">INDEX(GMW!$A$2:$LR$60,MATCH(1,(GMW!$LQ$2:$LQ$60=Z$3)*(GMW!$LP$2:$LP$60=Z$4)*(GMW!$LR$2:$LR$60=Z$1),0),$C295-1966)</f>
        <v>204.13499999999999</v>
      </c>
      <c r="AA295" s="4" cm="1">
        <f t="array" ref="AA295">INDEX(GMW!$A$2:$LR$60,MATCH(1,(GMW!$LQ$2:$LQ$60=AA$3)*(GMW!$LP$2:$LP$60=AA$4)*(GMW!$LR$2:$LR$60=AA$1),0),$C295-1966)</f>
        <v>471639</v>
      </c>
      <c r="AB295" s="4" cm="1">
        <f t="array" ref="AB295">INDEX(GMW!$A$2:$LR$60,MATCH(1,(GMW!$LQ$2:$LQ$60=AB$3)*(GMW!$LP$2:$LP$60=AB$4)*(GMW!$LR$2:$LR$60=AB$1),0),$C295-1966)</f>
        <v>163630.1</v>
      </c>
      <c r="AC295" s="4" cm="1">
        <f t="array" ref="AC295">INDEX(GMW!$A$2:$LR$60,MATCH(1,(GMW!$LQ$2:$LQ$60=AC$3)*(GMW!$LP$2:$LP$60=AC$4)*(GMW!$LR$2:$LR$60=AC$1),0),$C295-1966)</f>
        <v>165248.6</v>
      </c>
      <c r="AD295" s="4" cm="1">
        <f t="array" ref="AD295">INDEX(GMW!$A$2:$LR$60,MATCH(1,(GMW!$LQ$2:$LQ$60=AD$3)*(GMW!$LP$2:$LP$60=AD$4)*(GMW!$LR$2:$LR$60=AD$1),0),$C295-1966)</f>
        <v>259544.9</v>
      </c>
      <c r="AE295" s="4" cm="1">
        <f t="array" ref="AE295">INDEX(GMW!$A$2:$LR$60,MATCH(1,(GMW!$LQ$2:$LQ$60=AE$3)*(GMW!$LP$2:$LP$60=AE$4)*(GMW!$LR$2:$LR$60=AE$1),0),$C295-1966)</f>
        <v>289782.5</v>
      </c>
      <c r="AF295" s="4" cm="1">
        <f t="array" ref="AF295">INDEX(GMW!$A$2:$LR$60,MATCH(1,(GMW!$LQ$2:$LQ$60=AF$3)*(GMW!$LP$2:$LP$60=AF$4)*(GMW!$LR$2:$LR$60=AF$1),0),$C295-1966)</f>
        <v>2.1064639999999999</v>
      </c>
      <c r="AG295" s="4" cm="1">
        <f t="array" ref="AG295">INDEX(GMW!$A$2:$LR$60,MATCH(1,(GMW!$LQ$2:$LQ$60=AG$3)*(GMW!$LP$2:$LP$60=AG$4)*(GMW!$LR$2:$LR$60=AG$1),0),$C295-1966)</f>
        <v>2.4334739999999999</v>
      </c>
    </row>
    <row r="296" spans="1:33" x14ac:dyDescent="0.25">
      <c r="B296" s="4">
        <f t="shared" si="9"/>
        <v>2045</v>
      </c>
      <c r="C296" s="4">
        <f t="shared" si="8"/>
        <v>2262</v>
      </c>
      <c r="D296" s="4" cm="1">
        <f t="array" ref="D296">INDEX(GMW!$A$2:$LR$60,MATCH(1,(GMW!$LQ$2:$LQ$60=D$3)*(GMW!$LP$2:$LP$60=D$4)*(GMW!$LR$2:$LR$60=D$1),0),$C296-1966)</f>
        <v>796013.3</v>
      </c>
      <c r="E296" s="4" cm="1">
        <f t="array" ref="E296">INDEX(GMW!$A$2:$LR$60,MATCH(1,(GMW!$LQ$2:$LQ$60=E$3)*(GMW!$LP$2:$LP$60=E$4)*(GMW!$LR$2:$LR$60=E$1),0),$C296-1966)</f>
        <v>783587.1</v>
      </c>
      <c r="F296" s="4" cm="1">
        <f t="array" ref="F296">INDEX(GMW!$A$2:$LR$60,MATCH(1,(GMW!$LQ$2:$LQ$60=F$3)*(GMW!$LP$2:$LP$60=F$4)*(GMW!$LR$2:$LR$60=F$1),0),$C296-1966)</f>
        <v>783882</v>
      </c>
      <c r="G296" s="4" cm="1">
        <f t="array" ref="G296">INDEX(GMW!$A$2:$LR$60,MATCH(1,(GMW!$LQ$2:$LQ$60=G$3)*(GMW!$LP$2:$LP$60=G$4)*(GMW!$LR$2:$LR$60=G$1),0),$C296-1966)</f>
        <v>783882</v>
      </c>
      <c r="H296" s="4" cm="1">
        <f t="array" ref="H296">INDEX(GMW!$A$2:$LR$60,MATCH(1,(GMW!$LQ$2:$LQ$60=H$3)*(GMW!$LP$2:$LP$60=H$4)*(GMW!$LR$2:$LR$60=H$1),0),$C296-1966)</f>
        <v>789253.3</v>
      </c>
      <c r="I296" s="4" cm="1">
        <f t="array" ref="I296">INDEX(GMW!$A$2:$LR$60,MATCH(1,(GMW!$LQ$2:$LQ$60=I$3)*(GMW!$LP$2:$LP$60=I$4)*(GMW!$LR$2:$LR$60=I$1),0),$C296-1966)</f>
        <v>789970.5</v>
      </c>
      <c r="J296" s="4" cm="1">
        <f t="array" ref="J296">INDEX(GMW!$A$2:$LR$60,MATCH(1,(GMW!$LQ$2:$LQ$60=J$3)*(GMW!$LP$2:$LP$60=J$4)*(GMW!$LR$2:$LR$60=J$1),0),$C296-1966)</f>
        <v>789936.6</v>
      </c>
      <c r="K296" s="4" cm="1">
        <f t="array" ref="K296">INDEX(GMW!$A$2:$LR$60,MATCH(1,(GMW!$LQ$2:$LQ$60=K$3)*(GMW!$LP$2:$LP$60=K$4)*(GMW!$LR$2:$LR$60=K$1),0),$C296-1966)</f>
        <v>789871.8</v>
      </c>
      <c r="L296" s="4" cm="1">
        <f t="array" ref="L296">INDEX(GMW!$A$2:$LR$60,MATCH(1,(GMW!$LQ$2:$LQ$60=L$3)*(GMW!$LP$2:$LP$60=L$4)*(GMW!$LR$2:$LR$60=L$1),0),$C296-1966)</f>
        <v>789913.9</v>
      </c>
      <c r="M296" s="4" cm="1">
        <f t="array" ref="M296">INDEX(GMW!$A$2:$LR$60,MATCH(1,(GMW!$LQ$2:$LQ$60=M$3)*(GMW!$LP$2:$LP$60=M$4)*(GMW!$LR$2:$LR$60=M$1),0),$C296-1966)</f>
        <v>789913.9</v>
      </c>
      <c r="N296" s="4" cm="1">
        <f t="array" ref="N296">INDEX(GMW!$A$2:$LR$60,MATCH(1,(GMW!$LQ$2:$LQ$60=N$3)*(GMW!$LP$2:$LP$60=N$4)*(GMW!$LR$2:$LR$60=N$1),0),$C296-1966)</f>
        <v>793953.9</v>
      </c>
      <c r="O296" s="4" cm="1">
        <f t="array" ref="O296">INDEX(GMW!$A$2:$LR$60,MATCH(1,(GMW!$LQ$2:$LQ$60=O$3)*(GMW!$LP$2:$LP$60=O$4)*(GMW!$LR$2:$LR$60=O$1),0),$C296-1966)</f>
        <v>795315.4</v>
      </c>
      <c r="P296" s="4" cm="1">
        <f t="array" ref="P296">INDEX(GMW!$A$2:$LR$60,MATCH(1,(GMW!$LQ$2:$LQ$60=P$3)*(GMW!$LP$2:$LP$60=P$4)*(GMW!$LR$2:$LR$60=P$1),0),$C296-1966)</f>
        <v>795578.9</v>
      </c>
      <c r="Q296" s="4" cm="1">
        <f t="array" ref="Q296">INDEX(GMW!$A$2:$LR$60,MATCH(1,(GMW!$LQ$2:$LQ$60=Q$3)*(GMW!$LP$2:$LP$60=Q$4)*(GMW!$LR$2:$LR$60=Q$1),0),$C296-1966)</f>
        <v>798584</v>
      </c>
      <c r="R296" s="4" cm="1">
        <f t="array" ref="R296">INDEX(GMW!$A$2:$LR$60,MATCH(1,(GMW!$LQ$2:$LQ$60=R$3)*(GMW!$LP$2:$LP$60=R$4)*(GMW!$LR$2:$LR$60=R$1),0),$C296-1966)</f>
        <v>799948.6</v>
      </c>
      <c r="S296" s="4" cm="1">
        <f t="array" ref="S296">INDEX(GMW!$A$2:$LR$60,MATCH(1,(GMW!$LQ$2:$LQ$60=S$3)*(GMW!$LP$2:$LP$60=S$4)*(GMW!$LR$2:$LR$60=S$1),0),$C296-1966)</f>
        <v>797092.6</v>
      </c>
      <c r="T296" s="4" cm="1">
        <f t="array" ref="T296">INDEX(GMW!$A$2:$LR$60,MATCH(1,(GMW!$LQ$2:$LQ$60=T$3)*(GMW!$LP$2:$LP$60=T$4)*(GMW!$LR$2:$LR$60=T$1),0),$C296-1966)</f>
        <v>797476.8</v>
      </c>
      <c r="U296" s="4" cm="1">
        <f t="array" ref="U296">INDEX(GMW!$A$2:$LR$60,MATCH(1,(GMW!$LQ$2:$LQ$60=U$3)*(GMW!$LP$2:$LP$60=U$4)*(GMW!$LR$2:$LR$60=U$1),0),$C296-1966)</f>
        <v>1292.461</v>
      </c>
      <c r="V296" s="4" cm="1">
        <f t="array" ref="V296">INDEX(GMW!$A$2:$LR$60,MATCH(1,(GMW!$LQ$2:$LQ$60=V$3)*(GMW!$LP$2:$LP$60=V$4)*(GMW!$LR$2:$LR$60=V$1),0),$C296-1966)</f>
        <v>204.67410000000001</v>
      </c>
      <c r="W296" s="4" cm="1">
        <f t="array" ref="W296">INDEX(GMW!$A$2:$LR$60,MATCH(1,(GMW!$LQ$2:$LQ$60=W$3)*(GMW!$LP$2:$LP$60=W$4)*(GMW!$LR$2:$LR$60=W$1),0),$C296-1966)</f>
        <v>190.46770000000001</v>
      </c>
      <c r="X296" s="4" cm="1">
        <f t="array" ref="X296">INDEX(GMW!$A$2:$LR$60,MATCH(1,(GMW!$LQ$2:$LQ$60=X$3)*(GMW!$LP$2:$LP$60=X$4)*(GMW!$LR$2:$LR$60=X$1),0),$C296-1966)</f>
        <v>127.1126</v>
      </c>
      <c r="Y296" s="4" cm="1">
        <f t="array" ref="Y296">INDEX(GMW!$A$2:$LR$60,MATCH(1,(GMW!$LQ$2:$LQ$60=Y$3)*(GMW!$LP$2:$LP$60=Y$4)*(GMW!$LR$2:$LR$60=Y$1),0),$C296-1966)</f>
        <v>287.41460000000001</v>
      </c>
      <c r="Z296" s="4" cm="1">
        <f t="array" ref="Z296">INDEX(GMW!$A$2:$LR$60,MATCH(1,(GMW!$LQ$2:$LQ$60=Z$3)*(GMW!$LP$2:$LP$60=Z$4)*(GMW!$LR$2:$LR$60=Z$1),0),$C296-1966)</f>
        <v>206.24189999999999</v>
      </c>
      <c r="AA296" s="4" cm="1">
        <f t="array" ref="AA296">INDEX(GMW!$A$2:$LR$60,MATCH(1,(GMW!$LQ$2:$LQ$60=AA$3)*(GMW!$LP$2:$LP$60=AA$4)*(GMW!$LR$2:$LR$60=AA$1),0),$C296-1966)</f>
        <v>473437.6</v>
      </c>
      <c r="AB296" s="4" cm="1">
        <f t="array" ref="AB296">INDEX(GMW!$A$2:$LR$60,MATCH(1,(GMW!$LQ$2:$LQ$60=AB$3)*(GMW!$LP$2:$LP$60=AB$4)*(GMW!$LR$2:$LR$60=AB$1),0),$C296-1966)</f>
        <v>164429.20000000001</v>
      </c>
      <c r="AC296" s="4" cm="1">
        <f t="array" ref="AC296">INDEX(GMW!$A$2:$LR$60,MATCH(1,(GMW!$LQ$2:$LQ$60=AC$3)*(GMW!$LP$2:$LP$60=AC$4)*(GMW!$LR$2:$LR$60=AC$1),0),$C296-1966)</f>
        <v>165885.4</v>
      </c>
      <c r="AD296" s="4" cm="1">
        <f t="array" ref="AD296">INDEX(GMW!$A$2:$LR$60,MATCH(1,(GMW!$LQ$2:$LQ$60=AD$3)*(GMW!$LP$2:$LP$60=AD$4)*(GMW!$LR$2:$LR$60=AD$1),0),$C296-1966)</f>
        <v>260789.6</v>
      </c>
      <c r="AE296" s="4" cm="1">
        <f t="array" ref="AE296">INDEX(GMW!$A$2:$LR$60,MATCH(1,(GMW!$LQ$2:$LQ$60=AE$3)*(GMW!$LP$2:$LP$60=AE$4)*(GMW!$LR$2:$LR$60=AE$1),0),$C296-1966)</f>
        <v>291316.3</v>
      </c>
      <c r="AF296" s="4" cm="1">
        <f t="array" ref="AF296">INDEX(GMW!$A$2:$LR$60,MATCH(1,(GMW!$LQ$2:$LQ$60=AF$3)*(GMW!$LP$2:$LP$60=AF$4)*(GMW!$LR$2:$LR$60=AF$1),0),$C296-1966)</f>
        <v>2.1064639999999999</v>
      </c>
      <c r="AG296" s="4" cm="1">
        <f t="array" ref="AG296">INDEX(GMW!$A$2:$LR$60,MATCH(1,(GMW!$LQ$2:$LQ$60=AG$3)*(GMW!$LP$2:$LP$60=AG$4)*(GMW!$LR$2:$LR$60=AG$1),0),$C296-1966)</f>
        <v>2.4334739999999999</v>
      </c>
    </row>
    <row r="297" spans="1:33" x14ac:dyDescent="0.25">
      <c r="B297" s="4">
        <f t="shared" si="9"/>
        <v>2045</v>
      </c>
      <c r="C297" s="4">
        <f t="shared" si="8"/>
        <v>2263</v>
      </c>
      <c r="D297" s="4" cm="1">
        <f t="array" ref="D297">INDEX(GMW!$A$2:$LR$60,MATCH(1,(GMW!$LQ$2:$LQ$60=D$3)*(GMW!$LP$2:$LP$60=D$4)*(GMW!$LR$2:$LR$60=D$1),0),$C297-1966)</f>
        <v>799036.9</v>
      </c>
      <c r="E297" s="4" cm="1">
        <f t="array" ref="E297">INDEX(GMW!$A$2:$LR$60,MATCH(1,(GMW!$LQ$2:$LQ$60=E$3)*(GMW!$LP$2:$LP$60=E$4)*(GMW!$LR$2:$LR$60=E$1),0),$C297-1966)</f>
        <v>786504.5</v>
      </c>
      <c r="F297" s="4" cm="1">
        <f t="array" ref="F297">INDEX(GMW!$A$2:$LR$60,MATCH(1,(GMW!$LQ$2:$LQ$60=F$3)*(GMW!$LP$2:$LP$60=F$4)*(GMW!$LR$2:$LR$60=F$1),0),$C297-1966)</f>
        <v>786800.1</v>
      </c>
      <c r="G297" s="4" cm="1">
        <f t="array" ref="G297">INDEX(GMW!$A$2:$LR$60,MATCH(1,(GMW!$LQ$2:$LQ$60=G$3)*(GMW!$LP$2:$LP$60=G$4)*(GMW!$LR$2:$LR$60=G$1),0),$C297-1966)</f>
        <v>786800.1</v>
      </c>
      <c r="H297" s="4" cm="1">
        <f t="array" ref="H297">INDEX(GMW!$A$2:$LR$60,MATCH(1,(GMW!$LQ$2:$LQ$60=H$3)*(GMW!$LP$2:$LP$60=H$4)*(GMW!$LR$2:$LR$60=H$1),0),$C297-1966)</f>
        <v>792198.5</v>
      </c>
      <c r="I297" s="4" cm="1">
        <f t="array" ref="I297">INDEX(GMW!$A$2:$LR$60,MATCH(1,(GMW!$LQ$2:$LQ$60=I$3)*(GMW!$LP$2:$LP$60=I$4)*(GMW!$LR$2:$LR$60=I$1),0),$C297-1966)</f>
        <v>792898.9</v>
      </c>
      <c r="J297" s="4" cm="1">
        <f t="array" ref="J297">INDEX(GMW!$A$2:$LR$60,MATCH(1,(GMW!$LQ$2:$LQ$60=J$3)*(GMW!$LP$2:$LP$60=J$4)*(GMW!$LR$2:$LR$60=J$1),0),$C297-1966)</f>
        <v>792864.8</v>
      </c>
      <c r="K297" s="4" cm="1">
        <f t="array" ref="K297">INDEX(GMW!$A$2:$LR$60,MATCH(1,(GMW!$LQ$2:$LQ$60=K$3)*(GMW!$LP$2:$LP$60=K$4)*(GMW!$LR$2:$LR$60=K$1),0),$C297-1966)</f>
        <v>792801.7</v>
      </c>
      <c r="L297" s="4" cm="1">
        <f t="array" ref="L297">INDEX(GMW!$A$2:$LR$60,MATCH(1,(GMW!$LQ$2:$LQ$60=L$3)*(GMW!$LP$2:$LP$60=L$4)*(GMW!$LR$2:$LR$60=L$1),0),$C297-1966)</f>
        <v>792844.3</v>
      </c>
      <c r="M297" s="4" cm="1">
        <f t="array" ref="M297">INDEX(GMW!$A$2:$LR$60,MATCH(1,(GMW!$LQ$2:$LQ$60=M$3)*(GMW!$LP$2:$LP$60=M$4)*(GMW!$LR$2:$LR$60=M$1),0),$C297-1966)</f>
        <v>792844.3</v>
      </c>
      <c r="N297" s="4" cm="1">
        <f t="array" ref="N297">INDEX(GMW!$A$2:$LR$60,MATCH(1,(GMW!$LQ$2:$LQ$60=N$3)*(GMW!$LP$2:$LP$60=N$4)*(GMW!$LR$2:$LR$60=N$1),0),$C297-1966)</f>
        <v>796939.2</v>
      </c>
      <c r="O297" s="4" cm="1">
        <f t="array" ref="O297">INDEX(GMW!$A$2:$LR$60,MATCH(1,(GMW!$LQ$2:$LQ$60=O$3)*(GMW!$LP$2:$LP$60=O$4)*(GMW!$LR$2:$LR$60=O$1),0),$C297-1966)</f>
        <v>798329.1</v>
      </c>
      <c r="P297" s="4" cm="1">
        <f t="array" ref="P297">INDEX(GMW!$A$2:$LR$60,MATCH(1,(GMW!$LQ$2:$LQ$60=P$3)*(GMW!$LP$2:$LP$60=P$4)*(GMW!$LR$2:$LR$60=P$1),0),$C297-1966)</f>
        <v>798592.4</v>
      </c>
      <c r="Q297" s="4" cm="1">
        <f t="array" ref="Q297">INDEX(GMW!$A$2:$LR$60,MATCH(1,(GMW!$LQ$2:$LQ$60=Q$3)*(GMW!$LP$2:$LP$60=Q$4)*(GMW!$LR$2:$LR$60=Q$1),0),$C297-1966)</f>
        <v>801599.6</v>
      </c>
      <c r="R297" s="4" cm="1">
        <f t="array" ref="R297">INDEX(GMW!$A$2:$LR$60,MATCH(1,(GMW!$LQ$2:$LQ$60=R$3)*(GMW!$LP$2:$LP$60=R$4)*(GMW!$LR$2:$LR$60=R$1),0),$C297-1966)</f>
        <v>802993.7</v>
      </c>
      <c r="S297" s="4" cm="1">
        <f t="array" ref="S297">INDEX(GMW!$A$2:$LR$60,MATCH(1,(GMW!$LQ$2:$LQ$60=S$3)*(GMW!$LP$2:$LP$60=S$4)*(GMW!$LR$2:$LR$60=S$1),0),$C297-1966)</f>
        <v>800124.4</v>
      </c>
      <c r="T297" s="4" cm="1">
        <f t="array" ref="T297">INDEX(GMW!$A$2:$LR$60,MATCH(1,(GMW!$LQ$2:$LQ$60=T$3)*(GMW!$LP$2:$LP$60=T$4)*(GMW!$LR$2:$LR$60=T$1),0),$C297-1966)</f>
        <v>800504.3</v>
      </c>
      <c r="U297" s="4" cm="1">
        <f t="array" ref="U297">INDEX(GMW!$A$2:$LR$60,MATCH(1,(GMW!$LQ$2:$LQ$60=U$3)*(GMW!$LP$2:$LP$60=U$4)*(GMW!$LR$2:$LR$60=U$1),0),$C297-1966)</f>
        <v>1302.663</v>
      </c>
      <c r="V297" s="4" cm="1">
        <f t="array" ref="V297">INDEX(GMW!$A$2:$LR$60,MATCH(1,(GMW!$LQ$2:$LQ$60=V$3)*(GMW!$LP$2:$LP$60=V$4)*(GMW!$LR$2:$LR$60=V$1),0),$C297-1966)</f>
        <v>205.64449999999999</v>
      </c>
      <c r="W297" s="4" cm="1">
        <f t="array" ref="W297">INDEX(GMW!$A$2:$LR$60,MATCH(1,(GMW!$LQ$2:$LQ$60=W$3)*(GMW!$LP$2:$LP$60=W$4)*(GMW!$LR$2:$LR$60=W$1),0),$C297-1966)</f>
        <v>190.2336</v>
      </c>
      <c r="X297" s="4" cm="1">
        <f t="array" ref="X297">INDEX(GMW!$A$2:$LR$60,MATCH(1,(GMW!$LQ$2:$LQ$60=X$3)*(GMW!$LP$2:$LP$60=X$4)*(GMW!$LR$2:$LR$60=X$1),0),$C297-1966)</f>
        <v>127.16379999999999</v>
      </c>
      <c r="Y297" s="4" cm="1">
        <f t="array" ref="Y297">INDEX(GMW!$A$2:$LR$60,MATCH(1,(GMW!$LQ$2:$LQ$60=Y$3)*(GMW!$LP$2:$LP$60=Y$4)*(GMW!$LR$2:$LR$60=Y$1),0),$C297-1966)</f>
        <v>289.90789999999998</v>
      </c>
      <c r="Z297" s="4" cm="1">
        <f t="array" ref="Z297">INDEX(GMW!$A$2:$LR$60,MATCH(1,(GMW!$LQ$2:$LQ$60=Z$3)*(GMW!$LP$2:$LP$60=Z$4)*(GMW!$LR$2:$LR$60=Z$1),0),$C297-1966)</f>
        <v>207.45419999999999</v>
      </c>
      <c r="AA297" s="4" cm="1">
        <f t="array" ref="AA297">INDEX(GMW!$A$2:$LR$60,MATCH(1,(GMW!$LQ$2:$LQ$60=AA$3)*(GMW!$LP$2:$LP$60=AA$4)*(GMW!$LR$2:$LR$60=AA$1),0),$C297-1966)</f>
        <v>475240.6</v>
      </c>
      <c r="AB297" s="4" cm="1">
        <f t="array" ref="AB297">INDEX(GMW!$A$2:$LR$60,MATCH(1,(GMW!$LQ$2:$LQ$60=AB$3)*(GMW!$LP$2:$LP$60=AB$4)*(GMW!$LR$2:$LR$60=AB$1),0),$C297-1966)</f>
        <v>165231.4</v>
      </c>
      <c r="AC297" s="4" cm="1">
        <f t="array" ref="AC297">INDEX(GMW!$A$2:$LR$60,MATCH(1,(GMW!$LQ$2:$LQ$60=AC$3)*(GMW!$LP$2:$LP$60=AC$4)*(GMW!$LR$2:$LR$60=AC$1),0),$C297-1966)</f>
        <v>166523.79999999999</v>
      </c>
      <c r="AD297" s="4" cm="1">
        <f t="array" ref="AD297">INDEX(GMW!$A$2:$LR$60,MATCH(1,(GMW!$LQ$2:$LQ$60=AD$3)*(GMW!$LP$2:$LP$60=AD$4)*(GMW!$LR$2:$LR$60=AD$1),0),$C297-1966)</f>
        <v>262039.2</v>
      </c>
      <c r="AE297" s="4" cm="1">
        <f t="array" ref="AE297">INDEX(GMW!$A$2:$LR$60,MATCH(1,(GMW!$LQ$2:$LQ$60=AE$3)*(GMW!$LP$2:$LP$60=AE$4)*(GMW!$LR$2:$LR$60=AE$1),0),$C297-1966)</f>
        <v>292857.3</v>
      </c>
      <c r="AF297" s="4" cm="1">
        <f t="array" ref="AF297">INDEX(GMW!$A$2:$LR$60,MATCH(1,(GMW!$LQ$2:$LQ$60=AF$3)*(GMW!$LP$2:$LP$60=AF$4)*(GMW!$LR$2:$LR$60=AF$1),0),$C297-1966)</f>
        <v>2.1064639999999999</v>
      </c>
      <c r="AG297" s="4" cm="1">
        <f t="array" ref="AG297">INDEX(GMW!$A$2:$LR$60,MATCH(1,(GMW!$LQ$2:$LQ$60=AG$3)*(GMW!$LP$2:$LP$60=AG$4)*(GMW!$LR$2:$LR$60=AG$1),0),$C297-1966)</f>
        <v>2.4334739999999999</v>
      </c>
    </row>
    <row r="298" spans="1:33" x14ac:dyDescent="0.25">
      <c r="B298" s="4">
        <f t="shared" si="9"/>
        <v>2045</v>
      </c>
      <c r="C298" s="4">
        <f t="shared" si="8"/>
        <v>2264</v>
      </c>
      <c r="D298" s="4" cm="1">
        <f t="array" ref="D298">INDEX(GMW!$A$2:$LR$60,MATCH(1,(GMW!$LQ$2:$LQ$60=D$3)*(GMW!$LP$2:$LP$60=D$4)*(GMW!$LR$2:$LR$60=D$1),0),$C298-1966)</f>
        <v>802067.8</v>
      </c>
      <c r="E298" s="4" cm="1">
        <f t="array" ref="E298">INDEX(GMW!$A$2:$LR$60,MATCH(1,(GMW!$LQ$2:$LQ$60=E$3)*(GMW!$LP$2:$LP$60=E$4)*(GMW!$LR$2:$LR$60=E$1),0),$C298-1966)</f>
        <v>789428.8</v>
      </c>
      <c r="F298" s="4" cm="1">
        <f t="array" ref="F298">INDEX(GMW!$A$2:$LR$60,MATCH(1,(GMW!$LQ$2:$LQ$60=F$3)*(GMW!$LP$2:$LP$60=F$4)*(GMW!$LR$2:$LR$60=F$1),0),$C298-1966)</f>
        <v>789724.9</v>
      </c>
      <c r="G298" s="4" cm="1">
        <f t="array" ref="G298">INDEX(GMW!$A$2:$LR$60,MATCH(1,(GMW!$LQ$2:$LQ$60=G$3)*(GMW!$LP$2:$LP$60=G$4)*(GMW!$LR$2:$LR$60=G$1),0),$C298-1966)</f>
        <v>789724.9</v>
      </c>
      <c r="H298" s="4" cm="1">
        <f t="array" ref="H298">INDEX(GMW!$A$2:$LR$60,MATCH(1,(GMW!$LQ$2:$LQ$60=H$3)*(GMW!$LP$2:$LP$60=H$4)*(GMW!$LR$2:$LR$60=H$1),0),$C298-1966)</f>
        <v>795151.3</v>
      </c>
      <c r="I298" s="4" cm="1">
        <f t="array" ref="I298">INDEX(GMW!$A$2:$LR$60,MATCH(1,(GMW!$LQ$2:$LQ$60=I$3)*(GMW!$LP$2:$LP$60=I$4)*(GMW!$LR$2:$LR$60=I$1),0),$C298-1966)</f>
        <v>795834.4</v>
      </c>
      <c r="J298" s="4" cm="1">
        <f t="array" ref="J298">INDEX(GMW!$A$2:$LR$60,MATCH(1,(GMW!$LQ$2:$LQ$60=J$3)*(GMW!$LP$2:$LP$60=J$4)*(GMW!$LR$2:$LR$60=J$1),0),$C298-1966)</f>
        <v>795799.9</v>
      </c>
      <c r="K298" s="4" cm="1">
        <f t="array" ref="K298">INDEX(GMW!$A$2:$LR$60,MATCH(1,(GMW!$LQ$2:$LQ$60=K$3)*(GMW!$LP$2:$LP$60=K$4)*(GMW!$LR$2:$LR$60=K$1),0),$C298-1966)</f>
        <v>795738.7</v>
      </c>
      <c r="L298" s="4" cm="1">
        <f t="array" ref="L298">INDEX(GMW!$A$2:$LR$60,MATCH(1,(GMW!$LQ$2:$LQ$60=L$3)*(GMW!$LP$2:$LP$60=L$4)*(GMW!$LR$2:$LR$60=L$1),0),$C298-1966)</f>
        <v>795781.6</v>
      </c>
      <c r="M298" s="4" cm="1">
        <f t="array" ref="M298">INDEX(GMW!$A$2:$LR$60,MATCH(1,(GMW!$LQ$2:$LQ$60=M$3)*(GMW!$LP$2:$LP$60=M$4)*(GMW!$LR$2:$LR$60=M$1),0),$C298-1966)</f>
        <v>795781.6</v>
      </c>
      <c r="N298" s="4" cm="1">
        <f t="array" ref="N298">INDEX(GMW!$A$2:$LR$60,MATCH(1,(GMW!$LQ$2:$LQ$60=N$3)*(GMW!$LP$2:$LP$60=N$4)*(GMW!$LR$2:$LR$60=N$1),0),$C298-1966)</f>
        <v>799932.1</v>
      </c>
      <c r="O298" s="4" cm="1">
        <f t="array" ref="O298">INDEX(GMW!$A$2:$LR$60,MATCH(1,(GMW!$LQ$2:$LQ$60=O$3)*(GMW!$LP$2:$LP$60=O$4)*(GMW!$LR$2:$LR$60=O$1),0),$C298-1966)</f>
        <v>801350.9</v>
      </c>
      <c r="P298" s="4" cm="1">
        <f t="array" ref="P298">INDEX(GMW!$A$2:$LR$60,MATCH(1,(GMW!$LQ$2:$LQ$60=P$3)*(GMW!$LP$2:$LP$60=P$4)*(GMW!$LR$2:$LR$60=P$1),0),$C298-1966)</f>
        <v>801613.9</v>
      </c>
      <c r="Q298" s="4" cm="1">
        <f t="array" ref="Q298">INDEX(GMW!$A$2:$LR$60,MATCH(1,(GMW!$LQ$2:$LQ$60=Q$3)*(GMW!$LP$2:$LP$60=Q$4)*(GMW!$LR$2:$LR$60=Q$1),0),$C298-1966)</f>
        <v>804622.2</v>
      </c>
      <c r="R298" s="4" cm="1">
        <f t="array" ref="R298">INDEX(GMW!$A$2:$LR$60,MATCH(1,(GMW!$LQ$2:$LQ$60=R$3)*(GMW!$LP$2:$LP$60=R$4)*(GMW!$LR$2:$LR$60=R$1),0),$C298-1966)</f>
        <v>806045.9</v>
      </c>
      <c r="S298" s="4" cm="1">
        <f t="array" ref="S298">INDEX(GMW!$A$2:$LR$60,MATCH(1,(GMW!$LQ$2:$LQ$60=S$3)*(GMW!$LP$2:$LP$60=S$4)*(GMW!$LR$2:$LR$60=S$1),0),$C298-1966)</f>
        <v>803163.7</v>
      </c>
      <c r="T298" s="4" cm="1">
        <f t="array" ref="T298">INDEX(GMW!$A$2:$LR$60,MATCH(1,(GMW!$LQ$2:$LQ$60=T$3)*(GMW!$LP$2:$LP$60=T$4)*(GMW!$LR$2:$LR$60=T$1),0),$C298-1966)</f>
        <v>803539.2</v>
      </c>
      <c r="U298" s="4" cm="1">
        <f t="array" ref="U298">INDEX(GMW!$A$2:$LR$60,MATCH(1,(GMW!$LQ$2:$LQ$60=U$3)*(GMW!$LP$2:$LP$60=U$4)*(GMW!$LR$2:$LR$60=U$1),0),$C298-1966)</f>
        <v>1312.9390000000001</v>
      </c>
      <c r="V298" s="4" cm="1">
        <f t="array" ref="V298">INDEX(GMW!$A$2:$LR$60,MATCH(1,(GMW!$LQ$2:$LQ$60=V$3)*(GMW!$LP$2:$LP$60=V$4)*(GMW!$LR$2:$LR$60=V$1),0),$C298-1966)</f>
        <v>206.6361</v>
      </c>
      <c r="W298" s="4" cm="1">
        <f t="array" ref="W298">INDEX(GMW!$A$2:$LR$60,MATCH(1,(GMW!$LQ$2:$LQ$60=W$3)*(GMW!$LP$2:$LP$60=W$4)*(GMW!$LR$2:$LR$60=W$1),0),$C298-1966)</f>
        <v>191.0882</v>
      </c>
      <c r="X298" s="4" cm="1">
        <f t="array" ref="X298">INDEX(GMW!$A$2:$LR$60,MATCH(1,(GMW!$LQ$2:$LQ$60=X$3)*(GMW!$LP$2:$LP$60=X$4)*(GMW!$LR$2:$LR$60=X$1),0),$C298-1966)</f>
        <v>127.21510000000001</v>
      </c>
      <c r="Y298" s="4" cm="1">
        <f t="array" ref="Y298">INDEX(GMW!$A$2:$LR$60,MATCH(1,(GMW!$LQ$2:$LQ$60=Y$3)*(GMW!$LP$2:$LP$60=Y$4)*(GMW!$LR$2:$LR$60=Y$1),0),$C298-1966)</f>
        <v>292.44779999999997</v>
      </c>
      <c r="Z298" s="4" cm="1">
        <f t="array" ref="Z298">INDEX(GMW!$A$2:$LR$60,MATCH(1,(GMW!$LQ$2:$LQ$60=Z$3)*(GMW!$LP$2:$LP$60=Z$4)*(GMW!$LR$2:$LR$60=Z$1),0),$C298-1966)</f>
        <v>208.46129999999999</v>
      </c>
      <c r="AA298" s="4" cm="1">
        <f t="array" ref="AA298">INDEX(GMW!$A$2:$LR$60,MATCH(1,(GMW!$LQ$2:$LQ$60=AA$3)*(GMW!$LP$2:$LP$60=AA$4)*(GMW!$LR$2:$LR$60=AA$1),0),$C298-1966)</f>
        <v>477048</v>
      </c>
      <c r="AB298" s="4" cm="1">
        <f t="array" ref="AB298">INDEX(GMW!$A$2:$LR$60,MATCH(1,(GMW!$LQ$2:$LQ$60=AB$3)*(GMW!$LP$2:$LP$60=AB$4)*(GMW!$LR$2:$LR$60=AB$1),0),$C298-1966)</f>
        <v>166036.6</v>
      </c>
      <c r="AC298" s="4" cm="1">
        <f t="array" ref="AC298">INDEX(GMW!$A$2:$LR$60,MATCH(1,(GMW!$LQ$2:$LQ$60=AC$3)*(GMW!$LP$2:$LP$60=AC$4)*(GMW!$LR$2:$LR$60=AC$1),0),$C298-1966)</f>
        <v>167163.79999999999</v>
      </c>
      <c r="AD298" s="4" cm="1">
        <f t="array" ref="AD298">INDEX(GMW!$A$2:$LR$60,MATCH(1,(GMW!$LQ$2:$LQ$60=AD$3)*(GMW!$LP$2:$LP$60=AD$4)*(GMW!$LR$2:$LR$60=AD$1),0),$C298-1966)</f>
        <v>263293.8</v>
      </c>
      <c r="AE298" s="4" cm="1">
        <f t="array" ref="AE298">INDEX(GMW!$A$2:$LR$60,MATCH(1,(GMW!$LQ$2:$LQ$60=AE$3)*(GMW!$LP$2:$LP$60=AE$4)*(GMW!$LR$2:$LR$60=AE$1),0),$C298-1966)</f>
        <v>294405.2</v>
      </c>
      <c r="AF298" s="4" cm="1">
        <f t="array" ref="AF298">INDEX(GMW!$A$2:$LR$60,MATCH(1,(GMW!$LQ$2:$LQ$60=AF$3)*(GMW!$LP$2:$LP$60=AF$4)*(GMW!$LR$2:$LR$60=AF$1),0),$C298-1966)</f>
        <v>2.1064639999999999</v>
      </c>
      <c r="AG298" s="4" cm="1">
        <f t="array" ref="AG298">INDEX(GMW!$A$2:$LR$60,MATCH(1,(GMW!$LQ$2:$LQ$60=AG$3)*(GMW!$LP$2:$LP$60=AG$4)*(GMW!$LR$2:$LR$60=AG$1),0),$C298-1966)</f>
        <v>2.4334739999999999</v>
      </c>
    </row>
    <row r="299" spans="1:33" x14ac:dyDescent="0.25">
      <c r="A299" s="4">
        <v>2046</v>
      </c>
      <c r="B299" s="4">
        <f t="shared" si="9"/>
        <v>2046</v>
      </c>
      <c r="C299" s="4">
        <f t="shared" si="8"/>
        <v>2265</v>
      </c>
      <c r="D299" s="4" cm="1">
        <f t="array" ref="D299">INDEX(GMW!$A$2:$LR$60,MATCH(1,(GMW!$LQ$2:$LQ$60=D$3)*(GMW!$LP$2:$LP$60=D$4)*(GMW!$LR$2:$LR$60=D$1),0),$C299-1966)</f>
        <v>805106.1</v>
      </c>
      <c r="E299" s="4" cm="1">
        <f t="array" ref="E299">INDEX(GMW!$A$2:$LR$60,MATCH(1,(GMW!$LQ$2:$LQ$60=E$3)*(GMW!$LP$2:$LP$60=E$4)*(GMW!$LR$2:$LR$60=E$1),0),$C299-1966)</f>
        <v>792359.9</v>
      </c>
      <c r="F299" s="4" cm="1">
        <f t="array" ref="F299">INDEX(GMW!$A$2:$LR$60,MATCH(1,(GMW!$LQ$2:$LQ$60=F$3)*(GMW!$LP$2:$LP$60=F$4)*(GMW!$LR$2:$LR$60=F$1),0),$C299-1966)</f>
        <v>792656.7</v>
      </c>
      <c r="G299" s="4" cm="1">
        <f t="array" ref="G299">INDEX(GMW!$A$2:$LR$60,MATCH(1,(GMW!$LQ$2:$LQ$60=G$3)*(GMW!$LP$2:$LP$60=G$4)*(GMW!$LR$2:$LR$60=G$1),0),$C299-1966)</f>
        <v>792656.7</v>
      </c>
      <c r="H299" s="4" cm="1">
        <f t="array" ref="H299">INDEX(GMW!$A$2:$LR$60,MATCH(1,(GMW!$LQ$2:$LQ$60=H$3)*(GMW!$LP$2:$LP$60=H$4)*(GMW!$LR$2:$LR$60=H$1),0),$C299-1966)</f>
        <v>798112</v>
      </c>
      <c r="I299" s="4" cm="1">
        <f t="array" ref="I299">INDEX(GMW!$A$2:$LR$60,MATCH(1,(GMW!$LQ$2:$LQ$60=I$3)*(GMW!$LP$2:$LP$60=I$4)*(GMW!$LR$2:$LR$60=I$1),0),$C299-1966)</f>
        <v>798777.1</v>
      </c>
      <c r="J299" s="4" cm="1">
        <f t="array" ref="J299">INDEX(GMW!$A$2:$LR$60,MATCH(1,(GMW!$LQ$2:$LQ$60=J$3)*(GMW!$LP$2:$LP$60=J$4)*(GMW!$LR$2:$LR$60=J$1),0),$C299-1966)</f>
        <v>798742.5</v>
      </c>
      <c r="K299" s="4" cm="1">
        <f t="array" ref="K299">INDEX(GMW!$A$2:$LR$60,MATCH(1,(GMW!$LQ$2:$LQ$60=K$3)*(GMW!$LP$2:$LP$60=K$4)*(GMW!$LR$2:$LR$60=K$1),0),$C299-1966)</f>
        <v>798683</v>
      </c>
      <c r="L299" s="4" cm="1">
        <f t="array" ref="L299">INDEX(GMW!$A$2:$LR$60,MATCH(1,(GMW!$LQ$2:$LQ$60=L$3)*(GMW!$LP$2:$LP$60=L$4)*(GMW!$LR$2:$LR$60=L$1),0),$C299-1966)</f>
        <v>798726.4</v>
      </c>
      <c r="M299" s="4" cm="1">
        <f t="array" ref="M299">INDEX(GMW!$A$2:$LR$60,MATCH(1,(GMW!$LQ$2:$LQ$60=M$3)*(GMW!$LP$2:$LP$60=M$4)*(GMW!$LR$2:$LR$60=M$1),0),$C299-1966)</f>
        <v>798726.4</v>
      </c>
      <c r="N299" s="4" cm="1">
        <f t="array" ref="N299">INDEX(GMW!$A$2:$LR$60,MATCH(1,(GMW!$LQ$2:$LQ$60=N$3)*(GMW!$LP$2:$LP$60=N$4)*(GMW!$LR$2:$LR$60=N$1),0),$C299-1966)</f>
        <v>802933</v>
      </c>
      <c r="O299" s="4" cm="1">
        <f t="array" ref="O299">INDEX(GMW!$A$2:$LR$60,MATCH(1,(GMW!$LQ$2:$LQ$60=O$3)*(GMW!$LP$2:$LP$60=O$4)*(GMW!$LR$2:$LR$60=O$1),0),$C299-1966)</f>
        <v>804381</v>
      </c>
      <c r="P299" s="4" cm="1">
        <f t="array" ref="P299">INDEX(GMW!$A$2:$LR$60,MATCH(1,(GMW!$LQ$2:$LQ$60=P$3)*(GMW!$LP$2:$LP$60=P$4)*(GMW!$LR$2:$LR$60=P$1),0),$C299-1966)</f>
        <v>804643.8</v>
      </c>
      <c r="Q299" s="4" cm="1">
        <f t="array" ref="Q299">INDEX(GMW!$A$2:$LR$60,MATCH(1,(GMW!$LQ$2:$LQ$60=Q$3)*(GMW!$LP$2:$LP$60=Q$4)*(GMW!$LR$2:$LR$60=Q$1),0),$C299-1966)</f>
        <v>807652</v>
      </c>
      <c r="R299" s="4" cm="1">
        <f t="array" ref="R299">INDEX(GMW!$A$2:$LR$60,MATCH(1,(GMW!$LQ$2:$LQ$60=R$3)*(GMW!$LP$2:$LP$60=R$4)*(GMW!$LR$2:$LR$60=R$1),0),$C299-1966)</f>
        <v>809105.6</v>
      </c>
      <c r="S299" s="4" cm="1">
        <f t="array" ref="S299">INDEX(GMW!$A$2:$LR$60,MATCH(1,(GMW!$LQ$2:$LQ$60=S$3)*(GMW!$LP$2:$LP$60=S$4)*(GMW!$LR$2:$LR$60=S$1),0),$C299-1966)</f>
        <v>806210.3</v>
      </c>
      <c r="T299" s="4" cm="1">
        <f t="array" ref="T299">INDEX(GMW!$A$2:$LR$60,MATCH(1,(GMW!$LQ$2:$LQ$60=T$3)*(GMW!$LP$2:$LP$60=T$4)*(GMW!$LR$2:$LR$60=T$1),0),$C299-1966)</f>
        <v>806581.6</v>
      </c>
      <c r="U299" s="4" cm="1">
        <f t="array" ref="U299">INDEX(GMW!$A$2:$LR$60,MATCH(1,(GMW!$LQ$2:$LQ$60=U$3)*(GMW!$LP$2:$LP$60=U$4)*(GMW!$LR$2:$LR$60=U$1),0),$C299-1966)</f>
        <v>1323.289</v>
      </c>
      <c r="V299" s="4" cm="1">
        <f t="array" ref="V299">INDEX(GMW!$A$2:$LR$60,MATCH(1,(GMW!$LQ$2:$LQ$60=V$3)*(GMW!$LP$2:$LP$60=V$4)*(GMW!$LR$2:$LR$60=V$1),0),$C299-1966)</f>
        <v>206.9598</v>
      </c>
      <c r="W299" s="4" cm="1">
        <f t="array" ref="W299">INDEX(GMW!$A$2:$LR$60,MATCH(1,(GMW!$LQ$2:$LQ$60=W$3)*(GMW!$LP$2:$LP$60=W$4)*(GMW!$LR$2:$LR$60=W$1),0),$C299-1966)</f>
        <v>192.84739999999999</v>
      </c>
      <c r="X299" s="4" cm="1">
        <f t="array" ref="X299">INDEX(GMW!$A$2:$LR$60,MATCH(1,(GMW!$LQ$2:$LQ$60=X$3)*(GMW!$LP$2:$LP$60=X$4)*(GMW!$LR$2:$LR$60=X$1),0),$C299-1966)</f>
        <v>127.25449999999999</v>
      </c>
      <c r="Y299" s="4" cm="1">
        <f t="array" ref="Y299">INDEX(GMW!$A$2:$LR$60,MATCH(1,(GMW!$LQ$2:$LQ$60=Y$3)*(GMW!$LP$2:$LP$60=Y$4)*(GMW!$LR$2:$LR$60=Y$1),0),$C299-1966)</f>
        <v>294.91050000000001</v>
      </c>
      <c r="Z299" s="4" cm="1">
        <f t="array" ref="Z299">INDEX(GMW!$A$2:$LR$60,MATCH(1,(GMW!$LQ$2:$LQ$60=Z$3)*(GMW!$LP$2:$LP$60=Z$4)*(GMW!$LR$2:$LR$60=Z$1),0),$C299-1966)</f>
        <v>208.41040000000001</v>
      </c>
      <c r="AA299" s="4" cm="1">
        <f t="array" ref="AA299">INDEX(GMW!$A$2:$LR$60,MATCH(1,(GMW!$LQ$2:$LQ$60=AA$3)*(GMW!$LP$2:$LP$60=AA$4)*(GMW!$LR$2:$LR$60=AA$1),0),$C299-1966)</f>
        <v>478859.9</v>
      </c>
      <c r="AB299" s="4" cm="1">
        <f t="array" ref="AB299">INDEX(GMW!$A$2:$LR$60,MATCH(1,(GMW!$LQ$2:$LQ$60=AB$3)*(GMW!$LP$2:$LP$60=AB$4)*(GMW!$LR$2:$LR$60=AB$1),0),$C299-1966)</f>
        <v>166845</v>
      </c>
      <c r="AC299" s="4" cm="1">
        <f t="array" ref="AC299">INDEX(GMW!$A$2:$LR$60,MATCH(1,(GMW!$LQ$2:$LQ$60=AC$3)*(GMW!$LP$2:$LP$60=AC$4)*(GMW!$LR$2:$LR$60=AC$1),0),$C299-1966)</f>
        <v>167805.4</v>
      </c>
      <c r="AD299" s="4" cm="1">
        <f t="array" ref="AD299">INDEX(GMW!$A$2:$LR$60,MATCH(1,(GMW!$LQ$2:$LQ$60=AD$3)*(GMW!$LP$2:$LP$60=AD$4)*(GMW!$LR$2:$LR$60=AD$1),0),$C299-1966)</f>
        <v>264553.7</v>
      </c>
      <c r="AE299" s="4" cm="1">
        <f t="array" ref="AE299">INDEX(GMW!$A$2:$LR$60,MATCH(1,(GMW!$LQ$2:$LQ$60=AE$3)*(GMW!$LP$2:$LP$60=AE$4)*(GMW!$LR$2:$LR$60=AE$1),0),$C299-1966)</f>
        <v>295960.09999999998</v>
      </c>
      <c r="AF299" s="4" cm="1">
        <f t="array" ref="AF299">INDEX(GMW!$A$2:$LR$60,MATCH(1,(GMW!$LQ$2:$LQ$60=AF$3)*(GMW!$LP$2:$LP$60=AF$4)*(GMW!$LR$2:$LR$60=AF$1),0),$C299-1966)</f>
        <v>2.1064639999999999</v>
      </c>
      <c r="AG299" s="4" cm="1">
        <f t="array" ref="AG299">INDEX(GMW!$A$2:$LR$60,MATCH(1,(GMW!$LQ$2:$LQ$60=AG$3)*(GMW!$LP$2:$LP$60=AG$4)*(GMW!$LR$2:$LR$60=AG$1),0),$C299-1966)</f>
        <v>2.4334739999999999</v>
      </c>
    </row>
    <row r="300" spans="1:33" x14ac:dyDescent="0.25">
      <c r="B300" s="4">
        <f t="shared" si="9"/>
        <v>2046</v>
      </c>
      <c r="C300" s="4">
        <f t="shared" si="8"/>
        <v>2266</v>
      </c>
      <c r="D300" s="4" cm="1">
        <f t="array" ref="D300">INDEX(GMW!$A$2:$LR$60,MATCH(1,(GMW!$LQ$2:$LQ$60=D$3)*(GMW!$LP$2:$LP$60=D$4)*(GMW!$LR$2:$LR$60=D$1),0),$C300-1966)</f>
        <v>808151.9</v>
      </c>
      <c r="E300" s="4" cm="1">
        <f t="array" ref="E300">INDEX(GMW!$A$2:$LR$60,MATCH(1,(GMW!$LQ$2:$LQ$60=E$3)*(GMW!$LP$2:$LP$60=E$4)*(GMW!$LR$2:$LR$60=E$1),0),$C300-1966)</f>
        <v>795297.8</v>
      </c>
      <c r="F300" s="4" cm="1">
        <f t="array" ref="F300">INDEX(GMW!$A$2:$LR$60,MATCH(1,(GMW!$LQ$2:$LQ$60=F$3)*(GMW!$LP$2:$LP$60=F$4)*(GMW!$LR$2:$LR$60=F$1),0),$C300-1966)</f>
        <v>795595.3</v>
      </c>
      <c r="G300" s="4" cm="1">
        <f t="array" ref="G300">INDEX(GMW!$A$2:$LR$60,MATCH(1,(GMW!$LQ$2:$LQ$60=G$3)*(GMW!$LP$2:$LP$60=G$4)*(GMW!$LR$2:$LR$60=G$1),0),$C300-1966)</f>
        <v>795595.3</v>
      </c>
      <c r="H300" s="4" cm="1">
        <f t="array" ref="H300">INDEX(GMW!$A$2:$LR$60,MATCH(1,(GMW!$LQ$2:$LQ$60=H$3)*(GMW!$LP$2:$LP$60=H$4)*(GMW!$LR$2:$LR$60=H$1),0),$C300-1966)</f>
        <v>801080.5</v>
      </c>
      <c r="I300" s="4" cm="1">
        <f t="array" ref="I300">INDEX(GMW!$A$2:$LR$60,MATCH(1,(GMW!$LQ$2:$LQ$60=I$3)*(GMW!$LP$2:$LP$60=I$4)*(GMW!$LR$2:$LR$60=I$1),0),$C300-1966)</f>
        <v>801727.1</v>
      </c>
      <c r="J300" s="4" cm="1">
        <f t="array" ref="J300">INDEX(GMW!$A$2:$LR$60,MATCH(1,(GMW!$LQ$2:$LQ$60=J$3)*(GMW!$LP$2:$LP$60=J$4)*(GMW!$LR$2:$LR$60=J$1),0),$C300-1966)</f>
        <v>801692.3</v>
      </c>
      <c r="K300" s="4" cm="1">
        <f t="array" ref="K300">INDEX(GMW!$A$2:$LR$60,MATCH(1,(GMW!$LQ$2:$LQ$60=K$3)*(GMW!$LP$2:$LP$60=K$4)*(GMW!$LR$2:$LR$60=K$1),0),$C300-1966)</f>
        <v>801634.5</v>
      </c>
      <c r="L300" s="4" cm="1">
        <f t="array" ref="L300">INDEX(GMW!$A$2:$LR$60,MATCH(1,(GMW!$LQ$2:$LQ$60=L$3)*(GMW!$LP$2:$LP$60=L$4)*(GMW!$LR$2:$LR$60=L$1),0),$C300-1966)</f>
        <v>801678.3</v>
      </c>
      <c r="M300" s="4" cm="1">
        <f t="array" ref="M300">INDEX(GMW!$A$2:$LR$60,MATCH(1,(GMW!$LQ$2:$LQ$60=M$3)*(GMW!$LP$2:$LP$60=M$4)*(GMW!$LR$2:$LR$60=M$1),0),$C300-1966)</f>
        <v>801678.3</v>
      </c>
      <c r="N300" s="4" cm="1">
        <f t="array" ref="N300">INDEX(GMW!$A$2:$LR$60,MATCH(1,(GMW!$LQ$2:$LQ$60=N$3)*(GMW!$LP$2:$LP$60=N$4)*(GMW!$LR$2:$LR$60=N$1),0),$C300-1966)</f>
        <v>805941.6</v>
      </c>
      <c r="O300" s="4" cm="1">
        <f t="array" ref="O300">INDEX(GMW!$A$2:$LR$60,MATCH(1,(GMW!$LQ$2:$LQ$60=O$3)*(GMW!$LP$2:$LP$60=O$4)*(GMW!$LR$2:$LR$60=O$1),0),$C300-1966)</f>
        <v>807419.1</v>
      </c>
      <c r="P300" s="4" cm="1">
        <f t="array" ref="P300">INDEX(GMW!$A$2:$LR$60,MATCH(1,(GMW!$LQ$2:$LQ$60=P$3)*(GMW!$LP$2:$LP$60=P$4)*(GMW!$LR$2:$LR$60=P$1),0),$C300-1966)</f>
        <v>807681.7</v>
      </c>
      <c r="Q300" s="4" cm="1">
        <f t="array" ref="Q300">INDEX(GMW!$A$2:$LR$60,MATCH(1,(GMW!$LQ$2:$LQ$60=Q$3)*(GMW!$LP$2:$LP$60=Q$4)*(GMW!$LR$2:$LR$60=Q$1),0),$C300-1966)</f>
        <v>810688.8</v>
      </c>
      <c r="R300" s="4" cm="1">
        <f t="array" ref="R300">INDEX(GMW!$A$2:$LR$60,MATCH(1,(GMW!$LQ$2:$LQ$60=R$3)*(GMW!$LP$2:$LP$60=R$4)*(GMW!$LR$2:$LR$60=R$1),0),$C300-1966)</f>
        <v>812172.4</v>
      </c>
      <c r="S300" s="4" cm="1">
        <f t="array" ref="S300">INDEX(GMW!$A$2:$LR$60,MATCH(1,(GMW!$LQ$2:$LQ$60=S$3)*(GMW!$LP$2:$LP$60=S$4)*(GMW!$LR$2:$LR$60=S$1),0),$C300-1966)</f>
        <v>809264.3</v>
      </c>
      <c r="T300" s="4" cm="1">
        <f t="array" ref="T300">INDEX(GMW!$A$2:$LR$60,MATCH(1,(GMW!$LQ$2:$LQ$60=T$3)*(GMW!$LP$2:$LP$60=T$4)*(GMW!$LR$2:$LR$60=T$1),0),$C300-1966)</f>
        <v>809631.3</v>
      </c>
      <c r="U300" s="4" cm="1">
        <f t="array" ref="U300">INDEX(GMW!$A$2:$LR$60,MATCH(1,(GMW!$LQ$2:$LQ$60=U$3)*(GMW!$LP$2:$LP$60=U$4)*(GMW!$LR$2:$LR$60=U$1),0),$C300-1966)</f>
        <v>1333.7149999999999</v>
      </c>
      <c r="V300" s="4" cm="1">
        <f t="array" ref="V300">INDEX(GMW!$A$2:$LR$60,MATCH(1,(GMW!$LQ$2:$LQ$60=V$3)*(GMW!$LP$2:$LP$60=V$4)*(GMW!$LR$2:$LR$60=V$1),0),$C300-1966)</f>
        <v>208.76750000000001</v>
      </c>
      <c r="W300" s="4" cm="1">
        <f t="array" ref="W300">INDEX(GMW!$A$2:$LR$60,MATCH(1,(GMW!$LQ$2:$LQ$60=W$3)*(GMW!$LP$2:$LP$60=W$4)*(GMW!$LR$2:$LR$60=W$1),0),$C300-1966)</f>
        <v>193.31020000000001</v>
      </c>
      <c r="X300" s="4" cm="1">
        <f t="array" ref="X300">INDEX(GMW!$A$2:$LR$60,MATCH(1,(GMW!$LQ$2:$LQ$60=X$3)*(GMW!$LP$2:$LP$60=X$4)*(GMW!$LR$2:$LR$60=X$1),0),$C300-1966)</f>
        <v>127.3057</v>
      </c>
      <c r="Y300" s="4" cm="1">
        <f t="array" ref="Y300">INDEX(GMW!$A$2:$LR$60,MATCH(1,(GMW!$LQ$2:$LQ$60=Y$3)*(GMW!$LP$2:$LP$60=Y$4)*(GMW!$LR$2:$LR$60=Y$1),0),$C300-1966)</f>
        <v>297.4212</v>
      </c>
      <c r="Z300" s="4" cm="1">
        <f t="array" ref="Z300">INDEX(GMW!$A$2:$LR$60,MATCH(1,(GMW!$LQ$2:$LQ$60=Z$3)*(GMW!$LP$2:$LP$60=Z$4)*(GMW!$LR$2:$LR$60=Z$1),0),$C300-1966)</f>
        <v>210.56139999999999</v>
      </c>
      <c r="AA300" s="4" cm="1">
        <f t="array" ref="AA300">INDEX(GMW!$A$2:$LR$60,MATCH(1,(GMW!$LQ$2:$LQ$60=AA$3)*(GMW!$LP$2:$LP$60=AA$4)*(GMW!$LR$2:$LR$60=AA$1),0),$C300-1966)</f>
        <v>480676.3</v>
      </c>
      <c r="AB300" s="4" cm="1">
        <f t="array" ref="AB300">INDEX(GMW!$A$2:$LR$60,MATCH(1,(GMW!$LQ$2:$LQ$60=AB$3)*(GMW!$LP$2:$LP$60=AB$4)*(GMW!$LR$2:$LR$60=AB$1),0),$C300-1966)</f>
        <v>167656.6</v>
      </c>
      <c r="AC300" s="4" cm="1">
        <f t="array" ref="AC300">INDEX(GMW!$A$2:$LR$60,MATCH(1,(GMW!$LQ$2:$LQ$60=AC$3)*(GMW!$LP$2:$LP$60=AC$4)*(GMW!$LR$2:$LR$60=AC$1),0),$C300-1966)</f>
        <v>168448.6</v>
      </c>
      <c r="AD300" s="4" cm="1">
        <f t="array" ref="AD300">INDEX(GMW!$A$2:$LR$60,MATCH(1,(GMW!$LQ$2:$LQ$60=AD$3)*(GMW!$LP$2:$LP$60=AD$4)*(GMW!$LR$2:$LR$60=AD$1),0),$C300-1966)</f>
        <v>265818.40000000002</v>
      </c>
      <c r="AE300" s="4" cm="1">
        <f t="array" ref="AE300">INDEX(GMW!$A$2:$LR$60,MATCH(1,(GMW!$LQ$2:$LQ$60=AE$3)*(GMW!$LP$2:$LP$60=AE$4)*(GMW!$LR$2:$LR$60=AE$1),0),$C300-1966)</f>
        <v>297522.2</v>
      </c>
      <c r="AF300" s="4" cm="1">
        <f t="array" ref="AF300">INDEX(GMW!$A$2:$LR$60,MATCH(1,(GMW!$LQ$2:$LQ$60=AF$3)*(GMW!$LP$2:$LP$60=AF$4)*(GMW!$LR$2:$LR$60=AF$1),0),$C300-1966)</f>
        <v>2.1064639999999999</v>
      </c>
      <c r="AG300" s="4" cm="1">
        <f t="array" ref="AG300">INDEX(GMW!$A$2:$LR$60,MATCH(1,(GMW!$LQ$2:$LQ$60=AG$3)*(GMW!$LP$2:$LP$60=AG$4)*(GMW!$LR$2:$LR$60=AG$1),0),$C300-1966)</f>
        <v>2.4334739999999999</v>
      </c>
    </row>
    <row r="301" spans="1:33" x14ac:dyDescent="0.25">
      <c r="B301" s="4">
        <f t="shared" si="9"/>
        <v>2046</v>
      </c>
      <c r="C301" s="4">
        <f t="shared" si="8"/>
        <v>2267</v>
      </c>
      <c r="D301" s="4" cm="1">
        <f t="array" ref="D301">INDEX(GMW!$A$2:$LR$60,MATCH(1,(GMW!$LQ$2:$LQ$60=D$3)*(GMW!$LP$2:$LP$60=D$4)*(GMW!$LR$2:$LR$60=D$1),0),$C301-1966)</f>
        <v>811205.2</v>
      </c>
      <c r="E301" s="4" cm="1">
        <f t="array" ref="E301">INDEX(GMW!$A$2:$LR$60,MATCH(1,(GMW!$LQ$2:$LQ$60=E$3)*(GMW!$LP$2:$LP$60=E$4)*(GMW!$LR$2:$LR$60=E$1),0),$C301-1966)</f>
        <v>798242.6</v>
      </c>
      <c r="F301" s="4" cm="1">
        <f t="array" ref="F301">INDEX(GMW!$A$2:$LR$60,MATCH(1,(GMW!$LQ$2:$LQ$60=F$3)*(GMW!$LP$2:$LP$60=F$4)*(GMW!$LR$2:$LR$60=F$1),0),$C301-1966)</f>
        <v>798540.7</v>
      </c>
      <c r="G301" s="4" cm="1">
        <f t="array" ref="G301">INDEX(GMW!$A$2:$LR$60,MATCH(1,(GMW!$LQ$2:$LQ$60=G$3)*(GMW!$LP$2:$LP$60=G$4)*(GMW!$LR$2:$LR$60=G$1),0),$C301-1966)</f>
        <v>798540.7</v>
      </c>
      <c r="H301" s="4" cm="1">
        <f t="array" ref="H301">INDEX(GMW!$A$2:$LR$60,MATCH(1,(GMW!$LQ$2:$LQ$60=H$3)*(GMW!$LP$2:$LP$60=H$4)*(GMW!$LR$2:$LR$60=H$1),0),$C301-1966)</f>
        <v>804056.8</v>
      </c>
      <c r="I301" s="4" cm="1">
        <f t="array" ref="I301">INDEX(GMW!$A$2:$LR$60,MATCH(1,(GMW!$LQ$2:$LQ$60=I$3)*(GMW!$LP$2:$LP$60=I$4)*(GMW!$LR$2:$LR$60=I$1),0),$C301-1966)</f>
        <v>804684.4</v>
      </c>
      <c r="J301" s="4" cm="1">
        <f t="array" ref="J301">INDEX(GMW!$A$2:$LR$60,MATCH(1,(GMW!$LQ$2:$LQ$60=J$3)*(GMW!$LP$2:$LP$60=J$4)*(GMW!$LR$2:$LR$60=J$1),0),$C301-1966)</f>
        <v>804649.4</v>
      </c>
      <c r="K301" s="4" cm="1">
        <f t="array" ref="K301">INDEX(GMW!$A$2:$LR$60,MATCH(1,(GMW!$LQ$2:$LQ$60=K$3)*(GMW!$LP$2:$LP$60=K$4)*(GMW!$LR$2:$LR$60=K$1),0),$C301-1966)</f>
        <v>804593.4</v>
      </c>
      <c r="L301" s="4" cm="1">
        <f t="array" ref="L301">INDEX(GMW!$A$2:$LR$60,MATCH(1,(GMW!$LQ$2:$LQ$60=L$3)*(GMW!$LP$2:$LP$60=L$4)*(GMW!$LR$2:$LR$60=L$1),0),$C301-1966)</f>
        <v>804637.5</v>
      </c>
      <c r="M301" s="4" cm="1">
        <f t="array" ref="M301">INDEX(GMW!$A$2:$LR$60,MATCH(1,(GMW!$LQ$2:$LQ$60=M$3)*(GMW!$LP$2:$LP$60=M$4)*(GMW!$LR$2:$LR$60=M$1),0),$C301-1966)</f>
        <v>804637.5</v>
      </c>
      <c r="N301" s="4" cm="1">
        <f t="array" ref="N301">INDEX(GMW!$A$2:$LR$60,MATCH(1,(GMW!$LQ$2:$LQ$60=N$3)*(GMW!$LP$2:$LP$60=N$4)*(GMW!$LR$2:$LR$60=N$1),0),$C301-1966)</f>
        <v>808958</v>
      </c>
      <c r="O301" s="4" cm="1">
        <f t="array" ref="O301">INDEX(GMW!$A$2:$LR$60,MATCH(1,(GMW!$LQ$2:$LQ$60=O$3)*(GMW!$LP$2:$LP$60=O$4)*(GMW!$LR$2:$LR$60=O$1),0),$C301-1966)</f>
        <v>810465.6</v>
      </c>
      <c r="P301" s="4" cm="1">
        <f t="array" ref="P301">INDEX(GMW!$A$2:$LR$60,MATCH(1,(GMW!$LQ$2:$LQ$60=P$3)*(GMW!$LP$2:$LP$60=P$4)*(GMW!$LR$2:$LR$60=P$1),0),$C301-1966)</f>
        <v>810728</v>
      </c>
      <c r="Q301" s="4" cm="1">
        <f t="array" ref="Q301">INDEX(GMW!$A$2:$LR$60,MATCH(1,(GMW!$LQ$2:$LQ$60=Q$3)*(GMW!$LP$2:$LP$60=Q$4)*(GMW!$LR$2:$LR$60=Q$1),0),$C301-1966)</f>
        <v>813732.8</v>
      </c>
      <c r="R301" s="4" cm="1">
        <f t="array" ref="R301">INDEX(GMW!$A$2:$LR$60,MATCH(1,(GMW!$LQ$2:$LQ$60=R$3)*(GMW!$LP$2:$LP$60=R$4)*(GMW!$LR$2:$LR$60=R$1),0),$C301-1966)</f>
        <v>815246.8</v>
      </c>
      <c r="S301" s="4" cm="1">
        <f t="array" ref="S301">INDEX(GMW!$A$2:$LR$60,MATCH(1,(GMW!$LQ$2:$LQ$60=S$3)*(GMW!$LP$2:$LP$60=S$4)*(GMW!$LR$2:$LR$60=S$1),0),$C301-1966)</f>
        <v>812325.7</v>
      </c>
      <c r="T301" s="4" cm="1">
        <f t="array" ref="T301">INDEX(GMW!$A$2:$LR$60,MATCH(1,(GMW!$LQ$2:$LQ$60=T$3)*(GMW!$LP$2:$LP$60=T$4)*(GMW!$LR$2:$LR$60=T$1),0),$C301-1966)</f>
        <v>812688.6</v>
      </c>
      <c r="U301" s="4" cm="1">
        <f t="array" ref="U301">INDEX(GMW!$A$2:$LR$60,MATCH(1,(GMW!$LQ$2:$LQ$60=U$3)*(GMW!$LP$2:$LP$60=U$4)*(GMW!$LR$2:$LR$60=U$1),0),$C301-1966)</f>
        <v>1344.2159999999999</v>
      </c>
      <c r="V301" s="4" cm="1">
        <f t="array" ref="V301">INDEX(GMW!$A$2:$LR$60,MATCH(1,(GMW!$LQ$2:$LQ$60=V$3)*(GMW!$LP$2:$LP$60=V$4)*(GMW!$LR$2:$LR$60=V$1),0),$C301-1966)</f>
        <v>209.75739999999999</v>
      </c>
      <c r="W301" s="4" cm="1">
        <f t="array" ref="W301">INDEX(GMW!$A$2:$LR$60,MATCH(1,(GMW!$LQ$2:$LQ$60=W$3)*(GMW!$LP$2:$LP$60=W$4)*(GMW!$LR$2:$LR$60=W$1),0),$C301-1966)</f>
        <v>193.0727</v>
      </c>
      <c r="X301" s="4" cm="1">
        <f t="array" ref="X301">INDEX(GMW!$A$2:$LR$60,MATCH(1,(GMW!$LQ$2:$LQ$60=X$3)*(GMW!$LP$2:$LP$60=X$4)*(GMW!$LR$2:$LR$60=X$1),0),$C301-1966)</f>
        <v>127.357</v>
      </c>
      <c r="Y301" s="4" cm="1">
        <f t="array" ref="Y301">INDEX(GMW!$A$2:$LR$60,MATCH(1,(GMW!$LQ$2:$LQ$60=Y$3)*(GMW!$LP$2:$LP$60=Y$4)*(GMW!$LR$2:$LR$60=Y$1),0),$C301-1966)</f>
        <v>300.00130000000001</v>
      </c>
      <c r="Z301" s="4" cm="1">
        <f t="array" ref="Z301">INDEX(GMW!$A$2:$LR$60,MATCH(1,(GMW!$LQ$2:$LQ$60=Z$3)*(GMW!$LP$2:$LP$60=Z$4)*(GMW!$LR$2:$LR$60=Z$1),0),$C301-1966)</f>
        <v>211.79920000000001</v>
      </c>
      <c r="AA301" s="4" cm="1">
        <f t="array" ref="AA301">INDEX(GMW!$A$2:$LR$60,MATCH(1,(GMW!$LQ$2:$LQ$60=AA$3)*(GMW!$LP$2:$LP$60=AA$4)*(GMW!$LR$2:$LR$60=AA$1),0),$C301-1966)</f>
        <v>482497.1</v>
      </c>
      <c r="AB301" s="4" cm="1">
        <f t="array" ref="AB301">INDEX(GMW!$A$2:$LR$60,MATCH(1,(GMW!$LQ$2:$LQ$60=AB$3)*(GMW!$LP$2:$LP$60=AB$4)*(GMW!$LR$2:$LR$60=AB$1),0),$C301-1966)</f>
        <v>168471.3</v>
      </c>
      <c r="AC301" s="4" cm="1">
        <f t="array" ref="AC301">INDEX(GMW!$A$2:$LR$60,MATCH(1,(GMW!$LQ$2:$LQ$60=AC$3)*(GMW!$LP$2:$LP$60=AC$4)*(GMW!$LR$2:$LR$60=AC$1),0),$C301-1966)</f>
        <v>169093.4</v>
      </c>
      <c r="AD301" s="4" cm="1">
        <f t="array" ref="AD301">INDEX(GMW!$A$2:$LR$60,MATCH(1,(GMW!$LQ$2:$LQ$60=AD$3)*(GMW!$LP$2:$LP$60=AD$4)*(GMW!$LR$2:$LR$60=AD$1),0),$C301-1966)</f>
        <v>267088.3</v>
      </c>
      <c r="AE301" s="4" cm="1">
        <f t="array" ref="AE301">INDEX(GMW!$A$2:$LR$60,MATCH(1,(GMW!$LQ$2:$LQ$60=AE$3)*(GMW!$LP$2:$LP$60=AE$4)*(GMW!$LR$2:$LR$60=AE$1),0),$C301-1966)</f>
        <v>299091.40000000002</v>
      </c>
      <c r="AF301" s="4" cm="1">
        <f t="array" ref="AF301">INDEX(GMW!$A$2:$LR$60,MATCH(1,(GMW!$LQ$2:$LQ$60=AF$3)*(GMW!$LP$2:$LP$60=AF$4)*(GMW!$LR$2:$LR$60=AF$1),0),$C301-1966)</f>
        <v>2.1064639999999999</v>
      </c>
      <c r="AG301" s="4" cm="1">
        <f t="array" ref="AG301">INDEX(GMW!$A$2:$LR$60,MATCH(1,(GMW!$LQ$2:$LQ$60=AG$3)*(GMW!$LP$2:$LP$60=AG$4)*(GMW!$LR$2:$LR$60=AG$1),0),$C301-1966)</f>
        <v>2.4334739999999999</v>
      </c>
    </row>
    <row r="302" spans="1:33" x14ac:dyDescent="0.25">
      <c r="B302" s="4">
        <f t="shared" si="9"/>
        <v>2046</v>
      </c>
      <c r="C302" s="4">
        <f t="shared" si="8"/>
        <v>2268</v>
      </c>
      <c r="D302" s="4" cm="1">
        <f t="array" ref="D302">INDEX(GMW!$A$2:$LR$60,MATCH(1,(GMW!$LQ$2:$LQ$60=D$3)*(GMW!$LP$2:$LP$60=D$4)*(GMW!$LR$2:$LR$60=D$1),0),$C302-1966)</f>
        <v>814266.1</v>
      </c>
      <c r="E302" s="4" cm="1">
        <f t="array" ref="E302">INDEX(GMW!$A$2:$LR$60,MATCH(1,(GMW!$LQ$2:$LQ$60=E$3)*(GMW!$LP$2:$LP$60=E$4)*(GMW!$LR$2:$LR$60=E$1),0),$C302-1966)</f>
        <v>801194.3</v>
      </c>
      <c r="F302" s="4" cm="1">
        <f t="array" ref="F302">INDEX(GMW!$A$2:$LR$60,MATCH(1,(GMW!$LQ$2:$LQ$60=F$3)*(GMW!$LP$2:$LP$60=F$4)*(GMW!$LR$2:$LR$60=F$1),0),$C302-1966)</f>
        <v>801493</v>
      </c>
      <c r="G302" s="4" cm="1">
        <f t="array" ref="G302">INDEX(GMW!$A$2:$LR$60,MATCH(1,(GMW!$LQ$2:$LQ$60=G$3)*(GMW!$LP$2:$LP$60=G$4)*(GMW!$LR$2:$LR$60=G$1),0),$C302-1966)</f>
        <v>801493</v>
      </c>
      <c r="H302" s="4" cm="1">
        <f t="array" ref="H302">INDEX(GMW!$A$2:$LR$60,MATCH(1,(GMW!$LQ$2:$LQ$60=H$3)*(GMW!$LP$2:$LP$60=H$4)*(GMW!$LR$2:$LR$60=H$1),0),$C302-1966)</f>
        <v>807041</v>
      </c>
      <c r="I302" s="4" cm="1">
        <f t="array" ref="I302">INDEX(GMW!$A$2:$LR$60,MATCH(1,(GMW!$LQ$2:$LQ$60=I$3)*(GMW!$LP$2:$LP$60=I$4)*(GMW!$LR$2:$LR$60=I$1),0),$C302-1966)</f>
        <v>807649.1</v>
      </c>
      <c r="J302" s="4" cm="1">
        <f t="array" ref="J302">INDEX(GMW!$A$2:$LR$60,MATCH(1,(GMW!$LQ$2:$LQ$60=J$3)*(GMW!$LP$2:$LP$60=J$4)*(GMW!$LR$2:$LR$60=J$1),0),$C302-1966)</f>
        <v>807613.9</v>
      </c>
      <c r="K302" s="4" cm="1">
        <f t="array" ref="K302">INDEX(GMW!$A$2:$LR$60,MATCH(1,(GMW!$LQ$2:$LQ$60=K$3)*(GMW!$LP$2:$LP$60=K$4)*(GMW!$LR$2:$LR$60=K$1),0),$C302-1966)</f>
        <v>807559.6</v>
      </c>
      <c r="L302" s="4" cm="1">
        <f t="array" ref="L302">INDEX(GMW!$A$2:$LR$60,MATCH(1,(GMW!$LQ$2:$LQ$60=L$3)*(GMW!$LP$2:$LP$60=L$4)*(GMW!$LR$2:$LR$60=L$1),0),$C302-1966)</f>
        <v>807604.1</v>
      </c>
      <c r="M302" s="4" cm="1">
        <f t="array" ref="M302">INDEX(GMW!$A$2:$LR$60,MATCH(1,(GMW!$LQ$2:$LQ$60=M$3)*(GMW!$LP$2:$LP$60=M$4)*(GMW!$LR$2:$LR$60=M$1),0),$C302-1966)</f>
        <v>807604.1</v>
      </c>
      <c r="N302" s="4" cm="1">
        <f t="array" ref="N302">INDEX(GMW!$A$2:$LR$60,MATCH(1,(GMW!$LQ$2:$LQ$60=N$3)*(GMW!$LP$2:$LP$60=N$4)*(GMW!$LR$2:$LR$60=N$1),0),$C302-1966)</f>
        <v>811982.3</v>
      </c>
      <c r="O302" s="4" cm="1">
        <f t="array" ref="O302">INDEX(GMW!$A$2:$LR$60,MATCH(1,(GMW!$LQ$2:$LQ$60=O$3)*(GMW!$LP$2:$LP$60=O$4)*(GMW!$LR$2:$LR$60=O$1),0),$C302-1966)</f>
        <v>813520.5</v>
      </c>
      <c r="P302" s="4" cm="1">
        <f t="array" ref="P302">INDEX(GMW!$A$2:$LR$60,MATCH(1,(GMW!$LQ$2:$LQ$60=P$3)*(GMW!$LP$2:$LP$60=P$4)*(GMW!$LR$2:$LR$60=P$1),0),$C302-1966)</f>
        <v>813782.7</v>
      </c>
      <c r="Q302" s="4" cm="1">
        <f t="array" ref="Q302">INDEX(GMW!$A$2:$LR$60,MATCH(1,(GMW!$LQ$2:$LQ$60=Q$3)*(GMW!$LP$2:$LP$60=Q$4)*(GMW!$LR$2:$LR$60=Q$1),0),$C302-1966)</f>
        <v>816784.2</v>
      </c>
      <c r="R302" s="4" cm="1">
        <f t="array" ref="R302">INDEX(GMW!$A$2:$LR$60,MATCH(1,(GMW!$LQ$2:$LQ$60=R$3)*(GMW!$LP$2:$LP$60=R$4)*(GMW!$LR$2:$LR$60=R$1),0),$C302-1966)</f>
        <v>818328.6</v>
      </c>
      <c r="S302" s="4" cm="1">
        <f t="array" ref="S302">INDEX(GMW!$A$2:$LR$60,MATCH(1,(GMW!$LQ$2:$LQ$60=S$3)*(GMW!$LP$2:$LP$60=S$4)*(GMW!$LR$2:$LR$60=S$1),0),$C302-1966)</f>
        <v>815394.7</v>
      </c>
      <c r="T302" s="4" cm="1">
        <f t="array" ref="T302">INDEX(GMW!$A$2:$LR$60,MATCH(1,(GMW!$LQ$2:$LQ$60=T$3)*(GMW!$LP$2:$LP$60=T$4)*(GMW!$LR$2:$LR$60=T$1),0),$C302-1966)</f>
        <v>815753.4</v>
      </c>
      <c r="U302" s="4" cm="1">
        <f t="array" ref="U302">INDEX(GMW!$A$2:$LR$60,MATCH(1,(GMW!$LQ$2:$LQ$60=U$3)*(GMW!$LP$2:$LP$60=U$4)*(GMW!$LR$2:$LR$60=U$1),0),$C302-1966)</f>
        <v>1354.7950000000001</v>
      </c>
      <c r="V302" s="4" cm="1">
        <f t="array" ref="V302">INDEX(GMW!$A$2:$LR$60,MATCH(1,(GMW!$LQ$2:$LQ$60=V$3)*(GMW!$LP$2:$LP$60=V$4)*(GMW!$LR$2:$LR$60=V$1),0),$C302-1966)</f>
        <v>210.7688</v>
      </c>
      <c r="W302" s="4" cm="1">
        <f t="array" ref="W302">INDEX(GMW!$A$2:$LR$60,MATCH(1,(GMW!$LQ$2:$LQ$60=W$3)*(GMW!$LP$2:$LP$60=W$4)*(GMW!$LR$2:$LR$60=W$1),0),$C302-1966)</f>
        <v>193.94</v>
      </c>
      <c r="X302" s="4" cm="1">
        <f t="array" ref="X302">INDEX(GMW!$A$2:$LR$60,MATCH(1,(GMW!$LQ$2:$LQ$60=X$3)*(GMW!$LP$2:$LP$60=X$4)*(GMW!$LR$2:$LR$60=X$1),0),$C302-1966)</f>
        <v>127.4084</v>
      </c>
      <c r="Y302" s="4" cm="1">
        <f t="array" ref="Y302">INDEX(GMW!$A$2:$LR$60,MATCH(1,(GMW!$LQ$2:$LQ$60=Y$3)*(GMW!$LP$2:$LP$60=Y$4)*(GMW!$LR$2:$LR$60=Y$1),0),$C302-1966)</f>
        <v>302.62970000000001</v>
      </c>
      <c r="Z302" s="4" cm="1">
        <f t="array" ref="Z302">INDEX(GMW!$A$2:$LR$60,MATCH(1,(GMW!$LQ$2:$LQ$60=Z$3)*(GMW!$LP$2:$LP$60=Z$4)*(GMW!$LR$2:$LR$60=Z$1),0),$C302-1966)</f>
        <v>212.82740000000001</v>
      </c>
      <c r="AA302" s="4" cm="1">
        <f t="array" ref="AA302">INDEX(GMW!$A$2:$LR$60,MATCH(1,(GMW!$LQ$2:$LQ$60=AA$3)*(GMW!$LP$2:$LP$60=AA$4)*(GMW!$LR$2:$LR$60=AA$1),0),$C302-1966)</f>
        <v>484322.5</v>
      </c>
      <c r="AB302" s="4" cm="1">
        <f t="array" ref="AB302">INDEX(GMW!$A$2:$LR$60,MATCH(1,(GMW!$LQ$2:$LQ$60=AB$3)*(GMW!$LP$2:$LP$60=AB$4)*(GMW!$LR$2:$LR$60=AB$1),0),$C302-1966)</f>
        <v>169289.2</v>
      </c>
      <c r="AC302" s="4" cm="1">
        <f t="array" ref="AC302">INDEX(GMW!$A$2:$LR$60,MATCH(1,(GMW!$LQ$2:$LQ$60=AC$3)*(GMW!$LP$2:$LP$60=AC$4)*(GMW!$LR$2:$LR$60=AC$1),0),$C302-1966)</f>
        <v>169739.9</v>
      </c>
      <c r="AD302" s="4" cm="1">
        <f t="array" ref="AD302">INDEX(GMW!$A$2:$LR$60,MATCH(1,(GMW!$LQ$2:$LQ$60=AD$3)*(GMW!$LP$2:$LP$60=AD$4)*(GMW!$LR$2:$LR$60=AD$1),0),$C302-1966)</f>
        <v>268363.59999999998</v>
      </c>
      <c r="AE302" s="4" cm="1">
        <f t="array" ref="AE302">INDEX(GMW!$A$2:$LR$60,MATCH(1,(GMW!$LQ$2:$LQ$60=AE$3)*(GMW!$LP$2:$LP$60=AE$4)*(GMW!$LR$2:$LR$60=AE$1),0),$C302-1966)</f>
        <v>300667.90000000002</v>
      </c>
      <c r="AF302" s="4" cm="1">
        <f t="array" ref="AF302">INDEX(GMW!$A$2:$LR$60,MATCH(1,(GMW!$LQ$2:$LQ$60=AF$3)*(GMW!$LP$2:$LP$60=AF$4)*(GMW!$LR$2:$LR$60=AF$1),0),$C302-1966)</f>
        <v>2.1064639999999999</v>
      </c>
      <c r="AG302" s="4" cm="1">
        <f t="array" ref="AG302">INDEX(GMW!$A$2:$LR$60,MATCH(1,(GMW!$LQ$2:$LQ$60=AG$3)*(GMW!$LP$2:$LP$60=AG$4)*(GMW!$LR$2:$LR$60=AG$1),0),$C302-1966)</f>
        <v>2.4334739999999999</v>
      </c>
    </row>
    <row r="303" spans="1:33" x14ac:dyDescent="0.25">
      <c r="A303" s="4">
        <v>2047</v>
      </c>
      <c r="B303" s="4">
        <f t="shared" si="9"/>
        <v>2047</v>
      </c>
      <c r="C303" s="4">
        <f t="shared" si="8"/>
        <v>2269</v>
      </c>
      <c r="D303" s="4" cm="1">
        <f t="array" ref="D303">INDEX(GMW!$A$2:$LR$60,MATCH(1,(GMW!$LQ$2:$LQ$60=D$3)*(GMW!$LP$2:$LP$60=D$4)*(GMW!$LR$2:$LR$60=D$1),0),$C303-1966)</f>
        <v>817334.6</v>
      </c>
      <c r="E303" s="4" cm="1">
        <f t="array" ref="E303">INDEX(GMW!$A$2:$LR$60,MATCH(1,(GMW!$LQ$2:$LQ$60=E$3)*(GMW!$LP$2:$LP$60=E$4)*(GMW!$LR$2:$LR$60=E$1),0),$C303-1966)</f>
        <v>804152.6</v>
      </c>
      <c r="F303" s="4" cm="1">
        <f t="array" ref="F303">INDEX(GMW!$A$2:$LR$60,MATCH(1,(GMW!$LQ$2:$LQ$60=F$3)*(GMW!$LP$2:$LP$60=F$4)*(GMW!$LR$2:$LR$60=F$1),0),$C303-1966)</f>
        <v>804452.1</v>
      </c>
      <c r="G303" s="4" cm="1">
        <f t="array" ref="G303">INDEX(GMW!$A$2:$LR$60,MATCH(1,(GMW!$LQ$2:$LQ$60=G$3)*(GMW!$LP$2:$LP$60=G$4)*(GMW!$LR$2:$LR$60=G$1),0),$C303-1966)</f>
        <v>804452.1</v>
      </c>
      <c r="H303" s="4" cm="1">
        <f t="array" ref="H303">INDEX(GMW!$A$2:$LR$60,MATCH(1,(GMW!$LQ$2:$LQ$60=H$3)*(GMW!$LP$2:$LP$60=H$4)*(GMW!$LR$2:$LR$60=H$1),0),$C303-1966)</f>
        <v>810033</v>
      </c>
      <c r="I303" s="4" cm="1">
        <f t="array" ref="I303">INDEX(GMW!$A$2:$LR$60,MATCH(1,(GMW!$LQ$2:$LQ$60=I$3)*(GMW!$LP$2:$LP$60=I$4)*(GMW!$LR$2:$LR$60=I$1),0),$C303-1966)</f>
        <v>810621.1</v>
      </c>
      <c r="J303" s="4" cm="1">
        <f t="array" ref="J303">INDEX(GMW!$A$2:$LR$60,MATCH(1,(GMW!$LQ$2:$LQ$60=J$3)*(GMW!$LP$2:$LP$60=J$4)*(GMW!$LR$2:$LR$60=J$1),0),$C303-1966)</f>
        <v>810585.8</v>
      </c>
      <c r="K303" s="4" cm="1">
        <f t="array" ref="K303">INDEX(GMW!$A$2:$LR$60,MATCH(1,(GMW!$LQ$2:$LQ$60=K$3)*(GMW!$LP$2:$LP$60=K$4)*(GMW!$LR$2:$LR$60=K$1),0),$C303-1966)</f>
        <v>810533.3</v>
      </c>
      <c r="L303" s="4" cm="1">
        <f t="array" ref="L303">INDEX(GMW!$A$2:$LR$60,MATCH(1,(GMW!$LQ$2:$LQ$60=L$3)*(GMW!$LP$2:$LP$60=L$4)*(GMW!$LR$2:$LR$60=L$1),0),$C303-1966)</f>
        <v>810578.1</v>
      </c>
      <c r="M303" s="4" cm="1">
        <f t="array" ref="M303">INDEX(GMW!$A$2:$LR$60,MATCH(1,(GMW!$LQ$2:$LQ$60=M$3)*(GMW!$LP$2:$LP$60=M$4)*(GMW!$LR$2:$LR$60=M$1),0),$C303-1966)</f>
        <v>810578.1</v>
      </c>
      <c r="N303" s="4" cm="1">
        <f t="array" ref="N303">INDEX(GMW!$A$2:$LR$60,MATCH(1,(GMW!$LQ$2:$LQ$60=N$3)*(GMW!$LP$2:$LP$60=N$4)*(GMW!$LR$2:$LR$60=N$1),0),$C303-1966)</f>
        <v>815014.6</v>
      </c>
      <c r="O303" s="4" cm="1">
        <f t="array" ref="O303">INDEX(GMW!$A$2:$LR$60,MATCH(1,(GMW!$LQ$2:$LQ$60=O$3)*(GMW!$LP$2:$LP$60=O$4)*(GMW!$LR$2:$LR$60=O$1),0),$C303-1966)</f>
        <v>816583.6</v>
      </c>
      <c r="P303" s="4" cm="1">
        <f t="array" ref="P303">INDEX(GMW!$A$2:$LR$60,MATCH(1,(GMW!$LQ$2:$LQ$60=P$3)*(GMW!$LP$2:$LP$60=P$4)*(GMW!$LR$2:$LR$60=P$1),0),$C303-1966)</f>
        <v>816845.6</v>
      </c>
      <c r="Q303" s="4" cm="1">
        <f t="array" ref="Q303">INDEX(GMW!$A$2:$LR$60,MATCH(1,(GMW!$LQ$2:$LQ$60=Q$3)*(GMW!$LP$2:$LP$60=Q$4)*(GMW!$LR$2:$LR$60=Q$1),0),$C303-1966)</f>
        <v>819842.7</v>
      </c>
      <c r="R303" s="4" cm="1">
        <f t="array" ref="R303">INDEX(GMW!$A$2:$LR$60,MATCH(1,(GMW!$LQ$2:$LQ$60=R$3)*(GMW!$LP$2:$LP$60=R$4)*(GMW!$LR$2:$LR$60=R$1),0),$C303-1966)</f>
        <v>821417.9</v>
      </c>
      <c r="S303" s="4" cm="1">
        <f t="array" ref="S303">INDEX(GMW!$A$2:$LR$60,MATCH(1,(GMW!$LQ$2:$LQ$60=S$3)*(GMW!$LP$2:$LP$60=S$4)*(GMW!$LR$2:$LR$60=S$1),0),$C303-1966)</f>
        <v>818471.3</v>
      </c>
      <c r="T303" s="4" cm="1">
        <f t="array" ref="T303">INDEX(GMW!$A$2:$LR$60,MATCH(1,(GMW!$LQ$2:$LQ$60=T$3)*(GMW!$LP$2:$LP$60=T$4)*(GMW!$LR$2:$LR$60=T$1),0),$C303-1966)</f>
        <v>818825.9</v>
      </c>
      <c r="U303" s="4" cm="1">
        <f t="array" ref="U303">INDEX(GMW!$A$2:$LR$60,MATCH(1,(GMW!$LQ$2:$LQ$60=U$3)*(GMW!$LP$2:$LP$60=U$4)*(GMW!$LR$2:$LR$60=U$1),0),$C303-1966)</f>
        <v>1365.451</v>
      </c>
      <c r="V303" s="4" cm="1">
        <f t="array" ref="V303">INDEX(GMW!$A$2:$LR$60,MATCH(1,(GMW!$LQ$2:$LQ$60=V$3)*(GMW!$LP$2:$LP$60=V$4)*(GMW!$LR$2:$LR$60=V$1),0),$C303-1966)</f>
        <v>211.09899999999999</v>
      </c>
      <c r="W303" s="4" cm="1">
        <f t="array" ref="W303">INDEX(GMW!$A$2:$LR$60,MATCH(1,(GMW!$LQ$2:$LQ$60=W$3)*(GMW!$LP$2:$LP$60=W$4)*(GMW!$LR$2:$LR$60=W$1),0),$C303-1966)</f>
        <v>195.72550000000001</v>
      </c>
      <c r="X303" s="4" cm="1">
        <f t="array" ref="X303">INDEX(GMW!$A$2:$LR$60,MATCH(1,(GMW!$LQ$2:$LQ$60=X$3)*(GMW!$LP$2:$LP$60=X$4)*(GMW!$LR$2:$LR$60=X$1),0),$C303-1966)</f>
        <v>127.4479</v>
      </c>
      <c r="Y303" s="4" cm="1">
        <f t="array" ref="Y303">INDEX(GMW!$A$2:$LR$60,MATCH(1,(GMW!$LQ$2:$LQ$60=Y$3)*(GMW!$LP$2:$LP$60=Y$4)*(GMW!$LR$2:$LR$60=Y$1),0),$C303-1966)</f>
        <v>305.17809999999997</v>
      </c>
      <c r="Z303" s="4" cm="1">
        <f t="array" ref="Z303">INDEX(GMW!$A$2:$LR$60,MATCH(1,(GMW!$LQ$2:$LQ$60=Z$3)*(GMW!$LP$2:$LP$60=Z$4)*(GMW!$LR$2:$LR$60=Z$1),0),$C303-1966)</f>
        <v>212.77549999999999</v>
      </c>
      <c r="AA303" s="4" cm="1">
        <f t="array" ref="AA303">INDEX(GMW!$A$2:$LR$60,MATCH(1,(GMW!$LQ$2:$LQ$60=AA$3)*(GMW!$LP$2:$LP$60=AA$4)*(GMW!$LR$2:$LR$60=AA$1),0),$C303-1966)</f>
        <v>486152.6</v>
      </c>
      <c r="AB303" s="4" cm="1">
        <f t="array" ref="AB303">INDEX(GMW!$A$2:$LR$60,MATCH(1,(GMW!$LQ$2:$LQ$60=AB$3)*(GMW!$LP$2:$LP$60=AB$4)*(GMW!$LR$2:$LR$60=AB$1),0),$C303-1966)</f>
        <v>170110.3</v>
      </c>
      <c r="AC303" s="4" cm="1">
        <f t="array" ref="AC303">INDEX(GMW!$A$2:$LR$60,MATCH(1,(GMW!$LQ$2:$LQ$60=AC$3)*(GMW!$LP$2:$LP$60=AC$4)*(GMW!$LR$2:$LR$60=AC$1),0),$C303-1966)</f>
        <v>170388.1</v>
      </c>
      <c r="AD303" s="4" cm="1">
        <f t="array" ref="AD303">INDEX(GMW!$A$2:$LR$60,MATCH(1,(GMW!$LQ$2:$LQ$60=AD$3)*(GMW!$LP$2:$LP$60=AD$4)*(GMW!$LR$2:$LR$60=AD$1),0),$C303-1966)</f>
        <v>269643.90000000002</v>
      </c>
      <c r="AE303" s="4" cm="1">
        <f t="array" ref="AE303">INDEX(GMW!$A$2:$LR$60,MATCH(1,(GMW!$LQ$2:$LQ$60=AE$3)*(GMW!$LP$2:$LP$60=AE$4)*(GMW!$LR$2:$LR$60=AE$1),0),$C303-1966)</f>
        <v>302251.59999999998</v>
      </c>
      <c r="AF303" s="4" cm="1">
        <f t="array" ref="AF303">INDEX(GMW!$A$2:$LR$60,MATCH(1,(GMW!$LQ$2:$LQ$60=AF$3)*(GMW!$LP$2:$LP$60=AF$4)*(GMW!$LR$2:$LR$60=AF$1),0),$C303-1966)</f>
        <v>2.1064639999999999</v>
      </c>
      <c r="AG303" s="4" cm="1">
        <f t="array" ref="AG303">INDEX(GMW!$A$2:$LR$60,MATCH(1,(GMW!$LQ$2:$LQ$60=AG$3)*(GMW!$LP$2:$LP$60=AG$4)*(GMW!$LR$2:$LR$60=AG$1),0),$C303-1966)</f>
        <v>2.4334739999999999</v>
      </c>
    </row>
    <row r="304" spans="1:33" x14ac:dyDescent="0.25">
      <c r="B304" s="4">
        <f t="shared" si="9"/>
        <v>2047</v>
      </c>
      <c r="C304" s="4">
        <f t="shared" si="8"/>
        <v>2270</v>
      </c>
      <c r="D304" s="4" cm="1">
        <f t="array" ref="D304">INDEX(GMW!$A$2:$LR$60,MATCH(1,(GMW!$LQ$2:$LQ$60=D$3)*(GMW!$LP$2:$LP$60=D$4)*(GMW!$LR$2:$LR$60=D$1),0),$C304-1966)</f>
        <v>820410.7</v>
      </c>
      <c r="E304" s="4" cm="1">
        <f t="array" ref="E304">INDEX(GMW!$A$2:$LR$60,MATCH(1,(GMW!$LQ$2:$LQ$60=E$3)*(GMW!$LP$2:$LP$60=E$4)*(GMW!$LR$2:$LR$60=E$1),0),$C304-1966)</f>
        <v>807117.9</v>
      </c>
      <c r="F304" s="4" cm="1">
        <f t="array" ref="F304">INDEX(GMW!$A$2:$LR$60,MATCH(1,(GMW!$LQ$2:$LQ$60=F$3)*(GMW!$LP$2:$LP$60=F$4)*(GMW!$LR$2:$LR$60=F$1),0),$C304-1966)</f>
        <v>807417.9</v>
      </c>
      <c r="G304" s="4" cm="1">
        <f t="array" ref="G304">INDEX(GMW!$A$2:$LR$60,MATCH(1,(GMW!$LQ$2:$LQ$60=G$3)*(GMW!$LP$2:$LP$60=G$4)*(GMW!$LR$2:$LR$60=G$1),0),$C304-1966)</f>
        <v>807417.9</v>
      </c>
      <c r="H304" s="4" cm="1">
        <f t="array" ref="H304">INDEX(GMW!$A$2:$LR$60,MATCH(1,(GMW!$LQ$2:$LQ$60=H$3)*(GMW!$LP$2:$LP$60=H$4)*(GMW!$LR$2:$LR$60=H$1),0),$C304-1966)</f>
        <v>813032.9</v>
      </c>
      <c r="I304" s="4" cm="1">
        <f t="array" ref="I304">INDEX(GMW!$A$2:$LR$60,MATCH(1,(GMW!$LQ$2:$LQ$60=I$3)*(GMW!$LP$2:$LP$60=I$4)*(GMW!$LR$2:$LR$60=I$1),0),$C304-1966)</f>
        <v>813600.5</v>
      </c>
      <c r="J304" s="4" cm="1">
        <f t="array" ref="J304">INDEX(GMW!$A$2:$LR$60,MATCH(1,(GMW!$LQ$2:$LQ$60=J$3)*(GMW!$LP$2:$LP$60=J$4)*(GMW!$LR$2:$LR$60=J$1),0),$C304-1966)</f>
        <v>813564.9</v>
      </c>
      <c r="K304" s="4" cm="1">
        <f t="array" ref="K304">INDEX(GMW!$A$2:$LR$60,MATCH(1,(GMW!$LQ$2:$LQ$60=K$3)*(GMW!$LP$2:$LP$60=K$4)*(GMW!$LR$2:$LR$60=K$1),0),$C304-1966)</f>
        <v>813514.3</v>
      </c>
      <c r="L304" s="4" cm="1">
        <f t="array" ref="L304">INDEX(GMW!$A$2:$LR$60,MATCH(1,(GMW!$LQ$2:$LQ$60=L$3)*(GMW!$LP$2:$LP$60=L$4)*(GMW!$LR$2:$LR$60=L$1),0),$C304-1966)</f>
        <v>813559.5</v>
      </c>
      <c r="M304" s="4" cm="1">
        <f t="array" ref="M304">INDEX(GMW!$A$2:$LR$60,MATCH(1,(GMW!$LQ$2:$LQ$60=M$3)*(GMW!$LP$2:$LP$60=M$4)*(GMW!$LR$2:$LR$60=M$1),0),$C304-1966)</f>
        <v>813559.5</v>
      </c>
      <c r="N304" s="4" cm="1">
        <f t="array" ref="N304">INDEX(GMW!$A$2:$LR$60,MATCH(1,(GMW!$LQ$2:$LQ$60=N$3)*(GMW!$LP$2:$LP$60=N$4)*(GMW!$LR$2:$LR$60=N$1),0),$C304-1966)</f>
        <v>818054.8</v>
      </c>
      <c r="O304" s="4" cm="1">
        <f t="array" ref="O304">INDEX(GMW!$A$2:$LR$60,MATCH(1,(GMW!$LQ$2:$LQ$60=O$3)*(GMW!$LP$2:$LP$60=O$4)*(GMW!$LR$2:$LR$60=O$1),0),$C304-1966)</f>
        <v>819655.1</v>
      </c>
      <c r="P304" s="4" cm="1">
        <f t="array" ref="P304">INDEX(GMW!$A$2:$LR$60,MATCH(1,(GMW!$LQ$2:$LQ$60=P$3)*(GMW!$LP$2:$LP$60=P$4)*(GMW!$LR$2:$LR$60=P$1),0),$C304-1966)</f>
        <v>819916.9</v>
      </c>
      <c r="Q304" s="4" cm="1">
        <f t="array" ref="Q304">INDEX(GMW!$A$2:$LR$60,MATCH(1,(GMW!$LQ$2:$LQ$60=Q$3)*(GMW!$LP$2:$LP$60=Q$4)*(GMW!$LR$2:$LR$60=Q$1),0),$C304-1966)</f>
        <v>822908.6</v>
      </c>
      <c r="R304" s="4" cm="1">
        <f t="array" ref="R304">INDEX(GMW!$A$2:$LR$60,MATCH(1,(GMW!$LQ$2:$LQ$60=R$3)*(GMW!$LP$2:$LP$60=R$4)*(GMW!$LR$2:$LR$60=R$1),0),$C304-1966)</f>
        <v>824514.8</v>
      </c>
      <c r="S304" s="4" cm="1">
        <f t="array" ref="S304">INDEX(GMW!$A$2:$LR$60,MATCH(1,(GMW!$LQ$2:$LQ$60=S$3)*(GMW!$LP$2:$LP$60=S$4)*(GMW!$LR$2:$LR$60=S$1),0),$C304-1966)</f>
        <v>821555.3</v>
      </c>
      <c r="T304" s="4" cm="1">
        <f t="array" ref="T304">INDEX(GMW!$A$2:$LR$60,MATCH(1,(GMW!$LQ$2:$LQ$60=T$3)*(GMW!$LP$2:$LP$60=T$4)*(GMW!$LR$2:$LR$60=T$1),0),$C304-1966)</f>
        <v>821906</v>
      </c>
      <c r="U304" s="4" cm="1">
        <f t="array" ref="U304">INDEX(GMW!$A$2:$LR$60,MATCH(1,(GMW!$LQ$2:$LQ$60=U$3)*(GMW!$LP$2:$LP$60=U$4)*(GMW!$LR$2:$LR$60=U$1),0),$C304-1966)</f>
        <v>1376.1849999999999</v>
      </c>
      <c r="V304" s="4" cm="1">
        <f t="array" ref="V304">INDEX(GMW!$A$2:$LR$60,MATCH(1,(GMW!$LQ$2:$LQ$60=V$3)*(GMW!$LP$2:$LP$60=V$4)*(GMW!$LR$2:$LR$60=V$1),0),$C304-1966)</f>
        <v>212.94290000000001</v>
      </c>
      <c r="W304" s="4" cm="1">
        <f t="array" ref="W304">INDEX(GMW!$A$2:$LR$60,MATCH(1,(GMW!$LQ$2:$LQ$60=W$3)*(GMW!$LP$2:$LP$60=W$4)*(GMW!$LR$2:$LR$60=W$1),0),$C304-1966)</f>
        <v>196.1952</v>
      </c>
      <c r="X304" s="4" cm="1">
        <f t="array" ref="X304">INDEX(GMW!$A$2:$LR$60,MATCH(1,(GMW!$LQ$2:$LQ$60=X$3)*(GMW!$LP$2:$LP$60=X$4)*(GMW!$LR$2:$LR$60=X$1),0),$C304-1966)</f>
        <v>127.4992</v>
      </c>
      <c r="Y304" s="4" cm="1">
        <f t="array" ref="Y304">INDEX(GMW!$A$2:$LR$60,MATCH(1,(GMW!$LQ$2:$LQ$60=Y$3)*(GMW!$LP$2:$LP$60=Y$4)*(GMW!$LR$2:$LR$60=Y$1),0),$C304-1966)</f>
        <v>307.77620000000002</v>
      </c>
      <c r="Z304" s="4" cm="1">
        <f t="array" ref="Z304">INDEX(GMW!$A$2:$LR$60,MATCH(1,(GMW!$LQ$2:$LQ$60=Z$3)*(GMW!$LP$2:$LP$60=Z$4)*(GMW!$LR$2:$LR$60=Z$1),0),$C304-1966)</f>
        <v>214.9716</v>
      </c>
      <c r="AA304" s="4" cm="1">
        <f t="array" ref="AA304">INDEX(GMW!$A$2:$LR$60,MATCH(1,(GMW!$LQ$2:$LQ$60=AA$3)*(GMW!$LP$2:$LP$60=AA$4)*(GMW!$LR$2:$LR$60=AA$1),0),$C304-1966)</f>
        <v>487987.1</v>
      </c>
      <c r="AB304" s="4" cm="1">
        <f t="array" ref="AB304">INDEX(GMW!$A$2:$LR$60,MATCH(1,(GMW!$LQ$2:$LQ$60=AB$3)*(GMW!$LP$2:$LP$60=AB$4)*(GMW!$LR$2:$LR$60=AB$1),0),$C304-1966)</f>
        <v>170934.6</v>
      </c>
      <c r="AC304" s="4" cm="1">
        <f t="array" ref="AC304">INDEX(GMW!$A$2:$LR$60,MATCH(1,(GMW!$LQ$2:$LQ$60=AC$3)*(GMW!$LP$2:$LP$60=AC$4)*(GMW!$LR$2:$LR$60=AC$1),0),$C304-1966)</f>
        <v>171037.9</v>
      </c>
      <c r="AD304" s="4" cm="1">
        <f t="array" ref="AD304">INDEX(GMW!$A$2:$LR$60,MATCH(1,(GMW!$LQ$2:$LQ$60=AD$3)*(GMW!$LP$2:$LP$60=AD$4)*(GMW!$LR$2:$LR$60=AD$1),0),$C304-1966)</f>
        <v>270929.40000000002</v>
      </c>
      <c r="AE304" s="4" cm="1">
        <f t="array" ref="AE304">INDEX(GMW!$A$2:$LR$60,MATCH(1,(GMW!$LQ$2:$LQ$60=AE$3)*(GMW!$LP$2:$LP$60=AE$4)*(GMW!$LR$2:$LR$60=AE$1),0),$C304-1966)</f>
        <v>303842.59999999998</v>
      </c>
      <c r="AF304" s="4" cm="1">
        <f t="array" ref="AF304">INDEX(GMW!$A$2:$LR$60,MATCH(1,(GMW!$LQ$2:$LQ$60=AF$3)*(GMW!$LP$2:$LP$60=AF$4)*(GMW!$LR$2:$LR$60=AF$1),0),$C304-1966)</f>
        <v>2.1064639999999999</v>
      </c>
      <c r="AG304" s="4" cm="1">
        <f t="array" ref="AG304">INDEX(GMW!$A$2:$LR$60,MATCH(1,(GMW!$LQ$2:$LQ$60=AG$3)*(GMW!$LP$2:$LP$60=AG$4)*(GMW!$LR$2:$LR$60=AG$1),0),$C304-1966)</f>
        <v>2.4334739999999999</v>
      </c>
    </row>
    <row r="305" spans="1:33" x14ac:dyDescent="0.25">
      <c r="B305" s="4">
        <f t="shared" si="9"/>
        <v>2047</v>
      </c>
      <c r="C305" s="4">
        <f t="shared" ref="C305:C318" si="10">+C304+1</f>
        <v>2271</v>
      </c>
      <c r="D305" s="4" cm="1">
        <f t="array" ref="D305">INDEX(GMW!$A$2:$LR$60,MATCH(1,(GMW!$LQ$2:$LQ$60=D$3)*(GMW!$LP$2:$LP$60=D$4)*(GMW!$LR$2:$LR$60=D$1),0),$C305-1966)</f>
        <v>823494.4</v>
      </c>
      <c r="E305" s="4" cm="1">
        <f t="array" ref="E305">INDEX(GMW!$A$2:$LR$60,MATCH(1,(GMW!$LQ$2:$LQ$60=E$3)*(GMW!$LP$2:$LP$60=E$4)*(GMW!$LR$2:$LR$60=E$1),0),$C305-1966)</f>
        <v>810090</v>
      </c>
      <c r="F305" s="4" cm="1">
        <f t="array" ref="F305">INDEX(GMW!$A$2:$LR$60,MATCH(1,(GMW!$LQ$2:$LQ$60=F$3)*(GMW!$LP$2:$LP$60=F$4)*(GMW!$LR$2:$LR$60=F$1),0),$C305-1966)</f>
        <v>810390.7</v>
      </c>
      <c r="G305" s="4" cm="1">
        <f t="array" ref="G305">INDEX(GMW!$A$2:$LR$60,MATCH(1,(GMW!$LQ$2:$LQ$60=G$3)*(GMW!$LP$2:$LP$60=G$4)*(GMW!$LR$2:$LR$60=G$1),0),$C305-1966)</f>
        <v>810390.7</v>
      </c>
      <c r="H305" s="4" cm="1">
        <f t="array" ref="H305">INDEX(GMW!$A$2:$LR$60,MATCH(1,(GMW!$LQ$2:$LQ$60=H$3)*(GMW!$LP$2:$LP$60=H$4)*(GMW!$LR$2:$LR$60=H$1),0),$C305-1966)</f>
        <v>816040.9</v>
      </c>
      <c r="I305" s="4" cm="1">
        <f t="array" ref="I305">INDEX(GMW!$A$2:$LR$60,MATCH(1,(GMW!$LQ$2:$LQ$60=I$3)*(GMW!$LP$2:$LP$60=I$4)*(GMW!$LR$2:$LR$60=I$1),0),$C305-1966)</f>
        <v>816587.5</v>
      </c>
      <c r="J305" s="4" cm="1">
        <f t="array" ref="J305">INDEX(GMW!$A$2:$LR$60,MATCH(1,(GMW!$LQ$2:$LQ$60=J$3)*(GMW!$LP$2:$LP$60=J$4)*(GMW!$LR$2:$LR$60=J$1),0),$C305-1966)</f>
        <v>816551.7</v>
      </c>
      <c r="K305" s="4" cm="1">
        <f t="array" ref="K305">INDEX(GMW!$A$2:$LR$60,MATCH(1,(GMW!$LQ$2:$LQ$60=K$3)*(GMW!$LP$2:$LP$60=K$4)*(GMW!$LR$2:$LR$60=K$1),0),$C305-1966)</f>
        <v>816502.8</v>
      </c>
      <c r="L305" s="4" cm="1">
        <f t="array" ref="L305">INDEX(GMW!$A$2:$LR$60,MATCH(1,(GMW!$LQ$2:$LQ$60=L$3)*(GMW!$LP$2:$LP$60=L$4)*(GMW!$LR$2:$LR$60=L$1),0),$C305-1966)</f>
        <v>816548.4</v>
      </c>
      <c r="M305" s="4" cm="1">
        <f t="array" ref="M305">INDEX(GMW!$A$2:$LR$60,MATCH(1,(GMW!$LQ$2:$LQ$60=M$3)*(GMW!$LP$2:$LP$60=M$4)*(GMW!$LR$2:$LR$60=M$1),0),$C305-1966)</f>
        <v>816548.4</v>
      </c>
      <c r="N305" s="4" cm="1">
        <f t="array" ref="N305">INDEX(GMW!$A$2:$LR$60,MATCH(1,(GMW!$LQ$2:$LQ$60=N$3)*(GMW!$LP$2:$LP$60=N$4)*(GMW!$LR$2:$LR$60=N$1),0),$C305-1966)</f>
        <v>821103</v>
      </c>
      <c r="O305" s="4" cm="1">
        <f t="array" ref="O305">INDEX(GMW!$A$2:$LR$60,MATCH(1,(GMW!$LQ$2:$LQ$60=O$3)*(GMW!$LP$2:$LP$60=O$4)*(GMW!$LR$2:$LR$60=O$1),0),$C305-1966)</f>
        <v>822735.1</v>
      </c>
      <c r="P305" s="4" cm="1">
        <f t="array" ref="P305">INDEX(GMW!$A$2:$LR$60,MATCH(1,(GMW!$LQ$2:$LQ$60=P$3)*(GMW!$LP$2:$LP$60=P$4)*(GMW!$LR$2:$LR$60=P$1),0),$C305-1966)</f>
        <v>822996.8</v>
      </c>
      <c r="Q305" s="4" cm="1">
        <f t="array" ref="Q305">INDEX(GMW!$A$2:$LR$60,MATCH(1,(GMW!$LQ$2:$LQ$60=Q$3)*(GMW!$LP$2:$LP$60=Q$4)*(GMW!$LR$2:$LR$60=Q$1),0),$C305-1966)</f>
        <v>825981.9</v>
      </c>
      <c r="R305" s="4" cm="1">
        <f t="array" ref="R305">INDEX(GMW!$A$2:$LR$60,MATCH(1,(GMW!$LQ$2:$LQ$60=R$3)*(GMW!$LP$2:$LP$60=R$4)*(GMW!$LR$2:$LR$60=R$1),0),$C305-1966)</f>
        <v>827619.1</v>
      </c>
      <c r="S305" s="4" cm="1">
        <f t="array" ref="S305">INDEX(GMW!$A$2:$LR$60,MATCH(1,(GMW!$LQ$2:$LQ$60=S$3)*(GMW!$LP$2:$LP$60=S$4)*(GMW!$LR$2:$LR$60=S$1),0),$C305-1966)</f>
        <v>824647</v>
      </c>
      <c r="T305" s="4" cm="1">
        <f t="array" ref="T305">INDEX(GMW!$A$2:$LR$60,MATCH(1,(GMW!$LQ$2:$LQ$60=T$3)*(GMW!$LP$2:$LP$60=T$4)*(GMW!$LR$2:$LR$60=T$1),0),$C305-1966)</f>
        <v>824993.8</v>
      </c>
      <c r="U305" s="4" cm="1">
        <f t="array" ref="U305">INDEX(GMW!$A$2:$LR$60,MATCH(1,(GMW!$LQ$2:$LQ$60=U$3)*(GMW!$LP$2:$LP$60=U$4)*(GMW!$LR$2:$LR$60=U$1),0),$C305-1966)</f>
        <v>1386.998</v>
      </c>
      <c r="V305" s="4" cm="1">
        <f t="array" ref="V305">INDEX(GMW!$A$2:$LR$60,MATCH(1,(GMW!$LQ$2:$LQ$60=V$3)*(GMW!$LP$2:$LP$60=V$4)*(GMW!$LR$2:$LR$60=V$1),0),$C305-1966)</f>
        <v>213.95259999999999</v>
      </c>
      <c r="W305" s="4" cm="1">
        <f t="array" ref="W305">INDEX(GMW!$A$2:$LR$60,MATCH(1,(GMW!$LQ$2:$LQ$60=W$3)*(GMW!$LP$2:$LP$60=W$4)*(GMW!$LR$2:$LR$60=W$1),0),$C305-1966)</f>
        <v>195.95410000000001</v>
      </c>
      <c r="X305" s="4" cm="1">
        <f t="array" ref="X305">INDEX(GMW!$A$2:$LR$60,MATCH(1,(GMW!$LQ$2:$LQ$60=X$3)*(GMW!$LP$2:$LP$60=X$4)*(GMW!$LR$2:$LR$60=X$1),0),$C305-1966)</f>
        <v>127.5505</v>
      </c>
      <c r="Y305" s="4" cm="1">
        <f t="array" ref="Y305">INDEX(GMW!$A$2:$LR$60,MATCH(1,(GMW!$LQ$2:$LQ$60=Y$3)*(GMW!$LP$2:$LP$60=Y$4)*(GMW!$LR$2:$LR$60=Y$1),0),$C305-1966)</f>
        <v>310.44619999999998</v>
      </c>
      <c r="Z305" s="4" cm="1">
        <f t="array" ref="Z305">INDEX(GMW!$A$2:$LR$60,MATCH(1,(GMW!$LQ$2:$LQ$60=Z$3)*(GMW!$LP$2:$LP$60=Z$4)*(GMW!$LR$2:$LR$60=Z$1),0),$C305-1966)</f>
        <v>216.2354</v>
      </c>
      <c r="AA305" s="4" cm="1">
        <f t="array" ref="AA305">INDEX(GMW!$A$2:$LR$60,MATCH(1,(GMW!$LQ$2:$LQ$60=AA$3)*(GMW!$LP$2:$LP$60=AA$4)*(GMW!$LR$2:$LR$60=AA$1),0),$C305-1966)</f>
        <v>489826.2</v>
      </c>
      <c r="AB305" s="4" cm="1">
        <f t="array" ref="AB305">INDEX(GMW!$A$2:$LR$60,MATCH(1,(GMW!$LQ$2:$LQ$60=AB$3)*(GMW!$LP$2:$LP$60=AB$4)*(GMW!$LR$2:$LR$60=AB$1),0),$C305-1966)</f>
        <v>171762.2</v>
      </c>
      <c r="AC305" s="4" cm="1">
        <f t="array" ref="AC305">INDEX(GMW!$A$2:$LR$60,MATCH(1,(GMW!$LQ$2:$LQ$60=AC$3)*(GMW!$LP$2:$LP$60=AC$4)*(GMW!$LR$2:$LR$60=AC$1),0),$C305-1966)</f>
        <v>171689.3</v>
      </c>
      <c r="AD305" s="4" cm="1">
        <f t="array" ref="AD305">INDEX(GMW!$A$2:$LR$60,MATCH(1,(GMW!$LQ$2:$LQ$60=AD$3)*(GMW!$LP$2:$LP$60=AD$4)*(GMW!$LR$2:$LR$60=AD$1),0),$C305-1966)</f>
        <v>272220.2</v>
      </c>
      <c r="AE305" s="4" cm="1">
        <f t="array" ref="AE305">INDEX(GMW!$A$2:$LR$60,MATCH(1,(GMW!$LQ$2:$LQ$60=AE$3)*(GMW!$LP$2:$LP$60=AE$4)*(GMW!$LR$2:$LR$60=AE$1),0),$C305-1966)</f>
        <v>305440.8</v>
      </c>
      <c r="AF305" s="4" cm="1">
        <f t="array" ref="AF305">INDEX(GMW!$A$2:$LR$60,MATCH(1,(GMW!$LQ$2:$LQ$60=AF$3)*(GMW!$LP$2:$LP$60=AF$4)*(GMW!$LR$2:$LR$60=AF$1),0),$C305-1966)</f>
        <v>2.1064639999999999</v>
      </c>
      <c r="AG305" s="4" cm="1">
        <f t="array" ref="AG305">INDEX(GMW!$A$2:$LR$60,MATCH(1,(GMW!$LQ$2:$LQ$60=AG$3)*(GMW!$LP$2:$LP$60=AG$4)*(GMW!$LR$2:$LR$60=AG$1),0),$C305-1966)</f>
        <v>2.4334739999999999</v>
      </c>
    </row>
    <row r="306" spans="1:33" x14ac:dyDescent="0.25">
      <c r="B306" s="4">
        <f t="shared" si="9"/>
        <v>2047</v>
      </c>
      <c r="C306" s="4">
        <f t="shared" si="10"/>
        <v>2272</v>
      </c>
      <c r="D306" s="4" cm="1">
        <f t="array" ref="D306">INDEX(GMW!$A$2:$LR$60,MATCH(1,(GMW!$LQ$2:$LQ$60=D$3)*(GMW!$LP$2:$LP$60=D$4)*(GMW!$LR$2:$LR$60=D$1),0),$C306-1966)</f>
        <v>826586.3</v>
      </c>
      <c r="E306" s="4" cm="1">
        <f t="array" ref="E306">INDEX(GMW!$A$2:$LR$60,MATCH(1,(GMW!$LQ$2:$LQ$60=E$3)*(GMW!$LP$2:$LP$60=E$4)*(GMW!$LR$2:$LR$60=E$1),0),$C306-1966)</f>
        <v>813069</v>
      </c>
      <c r="F306" s="4" cm="1">
        <f t="array" ref="F306">INDEX(GMW!$A$2:$LR$60,MATCH(1,(GMW!$LQ$2:$LQ$60=F$3)*(GMW!$LP$2:$LP$60=F$4)*(GMW!$LR$2:$LR$60=F$1),0),$C306-1966)</f>
        <v>813370.3</v>
      </c>
      <c r="G306" s="4" cm="1">
        <f t="array" ref="G306">INDEX(GMW!$A$2:$LR$60,MATCH(1,(GMW!$LQ$2:$LQ$60=G$3)*(GMW!$LP$2:$LP$60=G$4)*(GMW!$LR$2:$LR$60=G$1),0),$C306-1966)</f>
        <v>813370.3</v>
      </c>
      <c r="H306" s="4" cm="1">
        <f t="array" ref="H306">INDEX(GMW!$A$2:$LR$60,MATCH(1,(GMW!$LQ$2:$LQ$60=H$3)*(GMW!$LP$2:$LP$60=H$4)*(GMW!$LR$2:$LR$60=H$1),0),$C306-1966)</f>
        <v>819056.9</v>
      </c>
      <c r="I306" s="4" cm="1">
        <f t="array" ref="I306">INDEX(GMW!$A$2:$LR$60,MATCH(1,(GMW!$LQ$2:$LQ$60=I$3)*(GMW!$LP$2:$LP$60=I$4)*(GMW!$LR$2:$LR$60=I$1),0),$C306-1966)</f>
        <v>819581.9</v>
      </c>
      <c r="J306" s="4" cm="1">
        <f t="array" ref="J306">INDEX(GMW!$A$2:$LR$60,MATCH(1,(GMW!$LQ$2:$LQ$60=J$3)*(GMW!$LP$2:$LP$60=J$4)*(GMW!$LR$2:$LR$60=J$1),0),$C306-1966)</f>
        <v>819545.9</v>
      </c>
      <c r="K306" s="4" cm="1">
        <f t="array" ref="K306">INDEX(GMW!$A$2:$LR$60,MATCH(1,(GMW!$LQ$2:$LQ$60=K$3)*(GMW!$LP$2:$LP$60=K$4)*(GMW!$LR$2:$LR$60=K$1),0),$C306-1966)</f>
        <v>819498.7</v>
      </c>
      <c r="L306" s="4" cm="1">
        <f t="array" ref="L306">INDEX(GMW!$A$2:$LR$60,MATCH(1,(GMW!$LQ$2:$LQ$60=L$3)*(GMW!$LP$2:$LP$60=L$4)*(GMW!$LR$2:$LR$60=L$1),0),$C306-1966)</f>
        <v>819544.6</v>
      </c>
      <c r="M306" s="4" cm="1">
        <f t="array" ref="M306">INDEX(GMW!$A$2:$LR$60,MATCH(1,(GMW!$LQ$2:$LQ$60=M$3)*(GMW!$LP$2:$LP$60=M$4)*(GMW!$LR$2:$LR$60=M$1),0),$C306-1966)</f>
        <v>819544.6</v>
      </c>
      <c r="N306" s="4" cm="1">
        <f t="array" ref="N306">INDEX(GMW!$A$2:$LR$60,MATCH(1,(GMW!$LQ$2:$LQ$60=N$3)*(GMW!$LP$2:$LP$60=N$4)*(GMW!$LR$2:$LR$60=N$1),0),$C306-1966)</f>
        <v>824159.2</v>
      </c>
      <c r="O306" s="4" cm="1">
        <f t="array" ref="O306">INDEX(GMW!$A$2:$LR$60,MATCH(1,(GMW!$LQ$2:$LQ$60=O$3)*(GMW!$LP$2:$LP$60=O$4)*(GMW!$LR$2:$LR$60=O$1),0),$C306-1966)</f>
        <v>825823.6</v>
      </c>
      <c r="P306" s="4" cm="1">
        <f t="array" ref="P306">INDEX(GMW!$A$2:$LR$60,MATCH(1,(GMW!$LQ$2:$LQ$60=P$3)*(GMW!$LP$2:$LP$60=P$4)*(GMW!$LR$2:$LR$60=P$1),0),$C306-1966)</f>
        <v>826085.1</v>
      </c>
      <c r="Q306" s="4" cm="1">
        <f t="array" ref="Q306">INDEX(GMW!$A$2:$LR$60,MATCH(1,(GMW!$LQ$2:$LQ$60=Q$3)*(GMW!$LP$2:$LP$60=Q$4)*(GMW!$LR$2:$LR$60=Q$1),0),$C306-1966)</f>
        <v>829062.6</v>
      </c>
      <c r="R306" s="4" cm="1">
        <f t="array" ref="R306">INDEX(GMW!$A$2:$LR$60,MATCH(1,(GMW!$LQ$2:$LQ$60=R$3)*(GMW!$LP$2:$LP$60=R$4)*(GMW!$LR$2:$LR$60=R$1),0),$C306-1966)</f>
        <v>830731.5</v>
      </c>
      <c r="S306" s="4" cm="1">
        <f t="array" ref="S306">INDEX(GMW!$A$2:$LR$60,MATCH(1,(GMW!$LQ$2:$LQ$60=S$3)*(GMW!$LP$2:$LP$60=S$4)*(GMW!$LR$2:$LR$60=S$1),0),$C306-1966)</f>
        <v>827746.8</v>
      </c>
      <c r="T306" s="4" cm="1">
        <f t="array" ref="T306">INDEX(GMW!$A$2:$LR$60,MATCH(1,(GMW!$LQ$2:$LQ$60=T$3)*(GMW!$LP$2:$LP$60=T$4)*(GMW!$LR$2:$LR$60=T$1),0),$C306-1966)</f>
        <v>828089.6</v>
      </c>
      <c r="U306" s="4" cm="1">
        <f t="array" ref="U306">INDEX(GMW!$A$2:$LR$60,MATCH(1,(GMW!$LQ$2:$LQ$60=U$3)*(GMW!$LP$2:$LP$60=U$4)*(GMW!$LR$2:$LR$60=U$1),0),$C306-1966)</f>
        <v>1397.8889999999999</v>
      </c>
      <c r="V306" s="4" cm="1">
        <f t="array" ref="V306">INDEX(GMW!$A$2:$LR$60,MATCH(1,(GMW!$LQ$2:$LQ$60=V$3)*(GMW!$LP$2:$LP$60=V$4)*(GMW!$LR$2:$LR$60=V$1),0),$C306-1966)</f>
        <v>214.98419999999999</v>
      </c>
      <c r="W306" s="4" cm="1">
        <f t="array" ref="W306">INDEX(GMW!$A$2:$LR$60,MATCH(1,(GMW!$LQ$2:$LQ$60=W$3)*(GMW!$LP$2:$LP$60=W$4)*(GMW!$LR$2:$LR$60=W$1),0),$C306-1966)</f>
        <v>196.83449999999999</v>
      </c>
      <c r="X306" s="4" cm="1">
        <f t="array" ref="X306">INDEX(GMW!$A$2:$LR$60,MATCH(1,(GMW!$LQ$2:$LQ$60=X$3)*(GMW!$LP$2:$LP$60=X$4)*(GMW!$LR$2:$LR$60=X$1),0),$C306-1966)</f>
        <v>127.602</v>
      </c>
      <c r="Y306" s="4" cm="1">
        <f t="array" ref="Y306">INDEX(GMW!$A$2:$LR$60,MATCH(1,(GMW!$LQ$2:$LQ$60=Y$3)*(GMW!$LP$2:$LP$60=Y$4)*(GMW!$LR$2:$LR$60=Y$1),0),$C306-1966)</f>
        <v>313.166</v>
      </c>
      <c r="Z306" s="4" cm="1">
        <f t="array" ref="Z306">INDEX(GMW!$A$2:$LR$60,MATCH(1,(GMW!$LQ$2:$LQ$60=Z$3)*(GMW!$LP$2:$LP$60=Z$4)*(GMW!$LR$2:$LR$60=Z$1),0),$C306-1966)</f>
        <v>217.285</v>
      </c>
      <c r="AA306" s="4" cm="1">
        <f t="array" ref="AA306">INDEX(GMW!$A$2:$LR$60,MATCH(1,(GMW!$LQ$2:$LQ$60=AA$3)*(GMW!$LP$2:$LP$60=AA$4)*(GMW!$LR$2:$LR$60=AA$1),0),$C306-1966)</f>
        <v>491670.2</v>
      </c>
      <c r="AB306" s="4" cm="1">
        <f t="array" ref="AB306">INDEX(GMW!$A$2:$LR$60,MATCH(1,(GMW!$LQ$2:$LQ$60=AB$3)*(GMW!$LP$2:$LP$60=AB$4)*(GMW!$LR$2:$LR$60=AB$1),0),$C306-1966)</f>
        <v>172593.1</v>
      </c>
      <c r="AC306" s="4" cm="1">
        <f t="array" ref="AC306">INDEX(GMW!$A$2:$LR$60,MATCH(1,(GMW!$LQ$2:$LQ$60=AC$3)*(GMW!$LP$2:$LP$60=AC$4)*(GMW!$LR$2:$LR$60=AC$1),0),$C306-1966)</f>
        <v>172342.5</v>
      </c>
      <c r="AD306" s="4" cm="1">
        <f t="array" ref="AD306">INDEX(GMW!$A$2:$LR$60,MATCH(1,(GMW!$LQ$2:$LQ$60=AD$3)*(GMW!$LP$2:$LP$60=AD$4)*(GMW!$LR$2:$LR$60=AD$1),0),$C306-1966)</f>
        <v>273516.3</v>
      </c>
      <c r="AE306" s="4" cm="1">
        <f t="array" ref="AE306">INDEX(GMW!$A$2:$LR$60,MATCH(1,(GMW!$LQ$2:$LQ$60=AE$3)*(GMW!$LP$2:$LP$60=AE$4)*(GMW!$LR$2:$LR$60=AE$1),0),$C306-1966)</f>
        <v>307046.59999999998</v>
      </c>
      <c r="AF306" s="4" cm="1">
        <f t="array" ref="AF306">INDEX(GMW!$A$2:$LR$60,MATCH(1,(GMW!$LQ$2:$LQ$60=AF$3)*(GMW!$LP$2:$LP$60=AF$4)*(GMW!$LR$2:$LR$60=AF$1),0),$C306-1966)</f>
        <v>2.1064639999999999</v>
      </c>
      <c r="AG306" s="4" cm="1">
        <f t="array" ref="AG306">INDEX(GMW!$A$2:$LR$60,MATCH(1,(GMW!$LQ$2:$LQ$60=AG$3)*(GMW!$LP$2:$LP$60=AG$4)*(GMW!$LR$2:$LR$60=AG$1),0),$C306-1966)</f>
        <v>2.4334739999999999</v>
      </c>
    </row>
    <row r="307" spans="1:33" x14ac:dyDescent="0.25">
      <c r="A307" s="4">
        <v>2048</v>
      </c>
      <c r="B307" s="4">
        <f t="shared" si="9"/>
        <v>2048</v>
      </c>
      <c r="C307" s="4">
        <f t="shared" si="10"/>
        <v>2273</v>
      </c>
      <c r="D307" s="4" cm="1">
        <f t="array" ref="D307">INDEX(GMW!$A$2:$LR$60,MATCH(1,(GMW!$LQ$2:$LQ$60=D$3)*(GMW!$LP$2:$LP$60=D$4)*(GMW!$LR$2:$LR$60=D$1),0),$C307-1966)</f>
        <v>829685.8</v>
      </c>
      <c r="E307" s="4" cm="1">
        <f t="array" ref="E307">INDEX(GMW!$A$2:$LR$60,MATCH(1,(GMW!$LQ$2:$LQ$60=E$3)*(GMW!$LP$2:$LP$60=E$4)*(GMW!$LR$2:$LR$60=E$1),0),$C307-1966)</f>
        <v>816055.1</v>
      </c>
      <c r="F307" s="4" cm="1">
        <f t="array" ref="F307">INDEX(GMW!$A$2:$LR$60,MATCH(1,(GMW!$LQ$2:$LQ$60=F$3)*(GMW!$LP$2:$LP$60=F$4)*(GMW!$LR$2:$LR$60=F$1),0),$C307-1966)</f>
        <v>816357</v>
      </c>
      <c r="G307" s="4" cm="1">
        <f t="array" ref="G307">INDEX(GMW!$A$2:$LR$60,MATCH(1,(GMW!$LQ$2:$LQ$60=G$3)*(GMW!$LP$2:$LP$60=G$4)*(GMW!$LR$2:$LR$60=G$1),0),$C307-1966)</f>
        <v>816357</v>
      </c>
      <c r="H307" s="4" cm="1">
        <f t="array" ref="H307">INDEX(GMW!$A$2:$LR$60,MATCH(1,(GMW!$LQ$2:$LQ$60=H$3)*(GMW!$LP$2:$LP$60=H$4)*(GMW!$LR$2:$LR$60=H$1),0),$C307-1966)</f>
        <v>822080.9</v>
      </c>
      <c r="I307" s="4" cm="1">
        <f t="array" ref="I307">INDEX(GMW!$A$2:$LR$60,MATCH(1,(GMW!$LQ$2:$LQ$60=I$3)*(GMW!$LP$2:$LP$60=I$4)*(GMW!$LR$2:$LR$60=I$1),0),$C307-1966)</f>
        <v>822583.8</v>
      </c>
      <c r="J307" s="4" cm="1">
        <f t="array" ref="J307">INDEX(GMW!$A$2:$LR$60,MATCH(1,(GMW!$LQ$2:$LQ$60=J$3)*(GMW!$LP$2:$LP$60=J$4)*(GMW!$LR$2:$LR$60=J$1),0),$C307-1966)</f>
        <v>822547.6</v>
      </c>
      <c r="K307" s="4" cm="1">
        <f t="array" ref="K307">INDEX(GMW!$A$2:$LR$60,MATCH(1,(GMW!$LQ$2:$LQ$60=K$3)*(GMW!$LP$2:$LP$60=K$4)*(GMW!$LR$2:$LR$60=K$1),0),$C307-1966)</f>
        <v>822502.2</v>
      </c>
      <c r="L307" s="4" cm="1">
        <f t="array" ref="L307">INDEX(GMW!$A$2:$LR$60,MATCH(1,(GMW!$LQ$2:$LQ$60=L$3)*(GMW!$LP$2:$LP$60=L$4)*(GMW!$LR$2:$LR$60=L$1),0),$C307-1966)</f>
        <v>822548.6</v>
      </c>
      <c r="M307" s="4" cm="1">
        <f t="array" ref="M307">INDEX(GMW!$A$2:$LR$60,MATCH(1,(GMW!$LQ$2:$LQ$60=M$3)*(GMW!$LP$2:$LP$60=M$4)*(GMW!$LR$2:$LR$60=M$1),0),$C307-1966)</f>
        <v>822548.6</v>
      </c>
      <c r="N307" s="4" cm="1">
        <f t="array" ref="N307">INDEX(GMW!$A$2:$LR$60,MATCH(1,(GMW!$LQ$2:$LQ$60=N$3)*(GMW!$LP$2:$LP$60=N$4)*(GMW!$LR$2:$LR$60=N$1),0),$C307-1966)</f>
        <v>827223.5</v>
      </c>
      <c r="O307" s="4" cm="1">
        <f t="array" ref="O307">INDEX(GMW!$A$2:$LR$60,MATCH(1,(GMW!$LQ$2:$LQ$60=O$3)*(GMW!$LP$2:$LP$60=O$4)*(GMW!$LR$2:$LR$60=O$1),0),$C307-1966)</f>
        <v>828920.8</v>
      </c>
      <c r="P307" s="4" cm="1">
        <f t="array" ref="P307">INDEX(GMW!$A$2:$LR$60,MATCH(1,(GMW!$LQ$2:$LQ$60=P$3)*(GMW!$LP$2:$LP$60=P$4)*(GMW!$LR$2:$LR$60=P$1),0),$C307-1966)</f>
        <v>829182.1</v>
      </c>
      <c r="Q307" s="4" cm="1">
        <f t="array" ref="Q307">INDEX(GMW!$A$2:$LR$60,MATCH(1,(GMW!$LQ$2:$LQ$60=Q$3)*(GMW!$LP$2:$LP$60=Q$4)*(GMW!$LR$2:$LR$60=Q$1),0),$C307-1966)</f>
        <v>832151.1</v>
      </c>
      <c r="R307" s="4" cm="1">
        <f t="array" ref="R307">INDEX(GMW!$A$2:$LR$60,MATCH(1,(GMW!$LQ$2:$LQ$60=R$3)*(GMW!$LP$2:$LP$60=R$4)*(GMW!$LR$2:$LR$60=R$1),0),$C307-1966)</f>
        <v>833851.4</v>
      </c>
      <c r="S307" s="4" cm="1">
        <f t="array" ref="S307">INDEX(GMW!$A$2:$LR$60,MATCH(1,(GMW!$LQ$2:$LQ$60=S$3)*(GMW!$LP$2:$LP$60=S$4)*(GMW!$LR$2:$LR$60=S$1),0),$C307-1966)</f>
        <v>830854.1</v>
      </c>
      <c r="T307" s="4" cm="1">
        <f t="array" ref="T307">INDEX(GMW!$A$2:$LR$60,MATCH(1,(GMW!$LQ$2:$LQ$60=T$3)*(GMW!$LP$2:$LP$60=T$4)*(GMW!$LR$2:$LR$60=T$1),0),$C307-1966)</f>
        <v>831192.9</v>
      </c>
      <c r="U307" s="4" cm="1">
        <f t="array" ref="U307">INDEX(GMW!$A$2:$LR$60,MATCH(1,(GMW!$LQ$2:$LQ$60=U$3)*(GMW!$LP$2:$LP$60=U$4)*(GMW!$LR$2:$LR$60=U$1),0),$C307-1966)</f>
        <v>1408.86</v>
      </c>
      <c r="V307" s="4" cm="1">
        <f t="array" ref="V307">INDEX(GMW!$A$2:$LR$60,MATCH(1,(GMW!$LQ$2:$LQ$60=V$3)*(GMW!$LP$2:$LP$60=V$4)*(GMW!$LR$2:$LR$60=V$1),0),$C307-1966)</f>
        <v>215.321</v>
      </c>
      <c r="W307" s="4" cm="1">
        <f t="array" ref="W307">INDEX(GMW!$A$2:$LR$60,MATCH(1,(GMW!$LQ$2:$LQ$60=W$3)*(GMW!$LP$2:$LP$60=W$4)*(GMW!$LR$2:$LR$60=W$1),0),$C307-1966)</f>
        <v>198.6465</v>
      </c>
      <c r="X307" s="4" cm="1">
        <f t="array" ref="X307">INDEX(GMW!$A$2:$LR$60,MATCH(1,(GMW!$LQ$2:$LQ$60=X$3)*(GMW!$LP$2:$LP$60=X$4)*(GMW!$LR$2:$LR$60=X$1),0),$C307-1966)</f>
        <v>127.64149999999999</v>
      </c>
      <c r="Y307" s="4" cm="1">
        <f t="array" ref="Y307">INDEX(GMW!$A$2:$LR$60,MATCH(1,(GMW!$LQ$2:$LQ$60=Y$3)*(GMW!$LP$2:$LP$60=Y$4)*(GMW!$LR$2:$LR$60=Y$1),0),$C307-1966)</f>
        <v>315.8032</v>
      </c>
      <c r="Z307" s="4" cm="1">
        <f t="array" ref="Z307">INDEX(GMW!$A$2:$LR$60,MATCH(1,(GMW!$LQ$2:$LQ$60=Z$3)*(GMW!$LP$2:$LP$60=Z$4)*(GMW!$LR$2:$LR$60=Z$1),0),$C307-1966)</f>
        <v>217.2321</v>
      </c>
      <c r="AA307" s="4" cm="1">
        <f t="array" ref="AA307">INDEX(GMW!$A$2:$LR$60,MATCH(1,(GMW!$LQ$2:$LQ$60=AA$3)*(GMW!$LP$2:$LP$60=AA$4)*(GMW!$LR$2:$LR$60=AA$1),0),$C307-1966)</f>
        <v>493524.6</v>
      </c>
      <c r="AB307" s="4" cm="1">
        <f t="array" ref="AB307">INDEX(GMW!$A$2:$LR$60,MATCH(1,(GMW!$LQ$2:$LQ$60=AB$3)*(GMW!$LP$2:$LP$60=AB$4)*(GMW!$LR$2:$LR$60=AB$1),0),$C307-1966)</f>
        <v>173427.20000000001</v>
      </c>
      <c r="AC307" s="4" cm="1">
        <f t="array" ref="AC307">INDEX(GMW!$A$2:$LR$60,MATCH(1,(GMW!$LQ$2:$LQ$60=AC$3)*(GMW!$LP$2:$LP$60=AC$4)*(GMW!$LR$2:$LR$60=AC$1),0),$C307-1966)</f>
        <v>172997.4</v>
      </c>
      <c r="AD307" s="4" cm="1">
        <f t="array" ref="AD307">INDEX(GMW!$A$2:$LR$60,MATCH(1,(GMW!$LQ$2:$LQ$60=AD$3)*(GMW!$LP$2:$LP$60=AD$4)*(GMW!$LR$2:$LR$60=AD$1),0),$C307-1966)</f>
        <v>274817.59999999998</v>
      </c>
      <c r="AE307" s="4" cm="1">
        <f t="array" ref="AE307">INDEX(GMW!$A$2:$LR$60,MATCH(1,(GMW!$LQ$2:$LQ$60=AE$3)*(GMW!$LP$2:$LP$60=AE$4)*(GMW!$LR$2:$LR$60=AE$1),0),$C307-1966)</f>
        <v>308659.7</v>
      </c>
      <c r="AF307" s="4" cm="1">
        <f t="array" ref="AF307">INDEX(GMW!$A$2:$LR$60,MATCH(1,(GMW!$LQ$2:$LQ$60=AF$3)*(GMW!$LP$2:$LP$60=AF$4)*(GMW!$LR$2:$LR$60=AF$1),0),$C307-1966)</f>
        <v>2.1064639999999999</v>
      </c>
      <c r="AG307" s="4" cm="1">
        <f t="array" ref="AG307">INDEX(GMW!$A$2:$LR$60,MATCH(1,(GMW!$LQ$2:$LQ$60=AG$3)*(GMW!$LP$2:$LP$60=AG$4)*(GMW!$LR$2:$LR$60=AG$1),0),$C307-1966)</f>
        <v>2.4334739999999999</v>
      </c>
    </row>
    <row r="308" spans="1:33" x14ac:dyDescent="0.25">
      <c r="B308" s="4">
        <f t="shared" si="9"/>
        <v>2048</v>
      </c>
      <c r="C308" s="4">
        <f t="shared" si="10"/>
        <v>2274</v>
      </c>
      <c r="D308" s="4" cm="1">
        <f t="array" ref="D308">INDEX(GMW!$A$2:$LR$60,MATCH(1,(GMW!$LQ$2:$LQ$60=D$3)*(GMW!$LP$2:$LP$60=D$4)*(GMW!$LR$2:$LR$60=D$1),0),$C308-1966)</f>
        <v>832793.2</v>
      </c>
      <c r="E308" s="4" cm="1">
        <f t="array" ref="E308">INDEX(GMW!$A$2:$LR$60,MATCH(1,(GMW!$LQ$2:$LQ$60=E$3)*(GMW!$LP$2:$LP$60=E$4)*(GMW!$LR$2:$LR$60=E$1),0),$C308-1966)</f>
        <v>819048</v>
      </c>
      <c r="F308" s="4" cm="1">
        <f t="array" ref="F308">INDEX(GMW!$A$2:$LR$60,MATCH(1,(GMW!$LQ$2:$LQ$60=F$3)*(GMW!$LP$2:$LP$60=F$4)*(GMW!$LR$2:$LR$60=F$1),0),$C308-1966)</f>
        <v>819350.6</v>
      </c>
      <c r="G308" s="4" cm="1">
        <f t="array" ref="G308">INDEX(GMW!$A$2:$LR$60,MATCH(1,(GMW!$LQ$2:$LQ$60=G$3)*(GMW!$LP$2:$LP$60=G$4)*(GMW!$LR$2:$LR$60=G$1),0),$C308-1966)</f>
        <v>819350.6</v>
      </c>
      <c r="H308" s="4" cm="1">
        <f t="array" ref="H308">INDEX(GMW!$A$2:$LR$60,MATCH(1,(GMW!$LQ$2:$LQ$60=H$3)*(GMW!$LP$2:$LP$60=H$4)*(GMW!$LR$2:$LR$60=H$1),0),$C308-1966)</f>
        <v>825113</v>
      </c>
      <c r="I308" s="4" cm="1">
        <f t="array" ref="I308">INDEX(GMW!$A$2:$LR$60,MATCH(1,(GMW!$LQ$2:$LQ$60=I$3)*(GMW!$LP$2:$LP$60=I$4)*(GMW!$LR$2:$LR$60=I$1),0),$C308-1966)</f>
        <v>825593.4</v>
      </c>
      <c r="J308" s="4" cm="1">
        <f t="array" ref="J308">INDEX(GMW!$A$2:$LR$60,MATCH(1,(GMW!$LQ$2:$LQ$60=J$3)*(GMW!$LP$2:$LP$60=J$4)*(GMW!$LR$2:$LR$60=J$1),0),$C308-1966)</f>
        <v>825557</v>
      </c>
      <c r="K308" s="4" cm="1">
        <f t="array" ref="K308">INDEX(GMW!$A$2:$LR$60,MATCH(1,(GMW!$LQ$2:$LQ$60=K$3)*(GMW!$LP$2:$LP$60=K$4)*(GMW!$LR$2:$LR$60=K$1),0),$C308-1966)</f>
        <v>825513.2</v>
      </c>
      <c r="L308" s="4" cm="1">
        <f t="array" ref="L308">INDEX(GMW!$A$2:$LR$60,MATCH(1,(GMW!$LQ$2:$LQ$60=L$3)*(GMW!$LP$2:$LP$60=L$4)*(GMW!$LR$2:$LR$60=L$1),0),$C308-1966)</f>
        <v>825559.9</v>
      </c>
      <c r="M308" s="4" cm="1">
        <f t="array" ref="M308">INDEX(GMW!$A$2:$LR$60,MATCH(1,(GMW!$LQ$2:$LQ$60=M$3)*(GMW!$LP$2:$LP$60=M$4)*(GMW!$LR$2:$LR$60=M$1),0),$C308-1966)</f>
        <v>825559.9</v>
      </c>
      <c r="N308" s="4" cm="1">
        <f t="array" ref="N308">INDEX(GMW!$A$2:$LR$60,MATCH(1,(GMW!$LQ$2:$LQ$60=N$3)*(GMW!$LP$2:$LP$60=N$4)*(GMW!$LR$2:$LR$60=N$1),0),$C308-1966)</f>
        <v>830295.8</v>
      </c>
      <c r="O308" s="4" cm="1">
        <f t="array" ref="O308">INDEX(GMW!$A$2:$LR$60,MATCH(1,(GMW!$LQ$2:$LQ$60=O$3)*(GMW!$LP$2:$LP$60=O$4)*(GMW!$LR$2:$LR$60=O$1),0),$C308-1966)</f>
        <v>832026.3</v>
      </c>
      <c r="P308" s="4" cm="1">
        <f t="array" ref="P308">INDEX(GMW!$A$2:$LR$60,MATCH(1,(GMW!$LQ$2:$LQ$60=P$3)*(GMW!$LP$2:$LP$60=P$4)*(GMW!$LR$2:$LR$60=P$1),0),$C308-1966)</f>
        <v>832287.4</v>
      </c>
      <c r="Q308" s="4" cm="1">
        <f t="array" ref="Q308">INDEX(GMW!$A$2:$LR$60,MATCH(1,(GMW!$LQ$2:$LQ$60=Q$3)*(GMW!$LP$2:$LP$60=Q$4)*(GMW!$LR$2:$LR$60=Q$1),0),$C308-1966)</f>
        <v>835246.8</v>
      </c>
      <c r="R308" s="4" cm="1">
        <f t="array" ref="R308">INDEX(GMW!$A$2:$LR$60,MATCH(1,(GMW!$LQ$2:$LQ$60=R$3)*(GMW!$LP$2:$LP$60=R$4)*(GMW!$LR$2:$LR$60=R$1),0),$C308-1966)</f>
        <v>836979.19999999995</v>
      </c>
      <c r="S308" s="4" cm="1">
        <f t="array" ref="S308">INDEX(GMW!$A$2:$LR$60,MATCH(1,(GMW!$LQ$2:$LQ$60=S$3)*(GMW!$LP$2:$LP$60=S$4)*(GMW!$LR$2:$LR$60=S$1),0),$C308-1966)</f>
        <v>833969.3</v>
      </c>
      <c r="T308" s="4" cm="1">
        <f t="array" ref="T308">INDEX(GMW!$A$2:$LR$60,MATCH(1,(GMW!$LQ$2:$LQ$60=T$3)*(GMW!$LP$2:$LP$60=T$4)*(GMW!$LR$2:$LR$60=T$1),0),$C308-1966)</f>
        <v>834304.4</v>
      </c>
      <c r="U308" s="4" cm="1">
        <f t="array" ref="U308">INDEX(GMW!$A$2:$LR$60,MATCH(1,(GMW!$LQ$2:$LQ$60=U$3)*(GMW!$LP$2:$LP$60=U$4)*(GMW!$LR$2:$LR$60=U$1),0),$C308-1966)</f>
        <v>1419.912</v>
      </c>
      <c r="V308" s="4" cm="1">
        <f t="array" ref="V308">INDEX(GMW!$A$2:$LR$60,MATCH(1,(GMW!$LQ$2:$LQ$60=V$3)*(GMW!$LP$2:$LP$60=V$4)*(GMW!$LR$2:$LR$60=V$1),0),$C308-1966)</f>
        <v>217.20179999999999</v>
      </c>
      <c r="W308" s="4" cm="1">
        <f t="array" ref="W308">INDEX(GMW!$A$2:$LR$60,MATCH(1,(GMW!$LQ$2:$LQ$60=W$3)*(GMW!$LP$2:$LP$60=W$4)*(GMW!$LR$2:$LR$60=W$1),0),$C308-1966)</f>
        <v>199.1233</v>
      </c>
      <c r="X308" s="4" cm="1">
        <f t="array" ref="X308">INDEX(GMW!$A$2:$LR$60,MATCH(1,(GMW!$LQ$2:$LQ$60=X$3)*(GMW!$LP$2:$LP$60=X$4)*(GMW!$LR$2:$LR$60=X$1),0),$C308-1966)</f>
        <v>127.69280000000001</v>
      </c>
      <c r="Y308" s="4" cm="1">
        <f t="array" ref="Y308">INDEX(GMW!$A$2:$LR$60,MATCH(1,(GMW!$LQ$2:$LQ$60=Y$3)*(GMW!$LP$2:$LP$60=Y$4)*(GMW!$LR$2:$LR$60=Y$1),0),$C308-1966)</f>
        <v>318.49180000000001</v>
      </c>
      <c r="Z308" s="4" cm="1">
        <f t="array" ref="Z308">INDEX(GMW!$A$2:$LR$60,MATCH(1,(GMW!$LQ$2:$LQ$60=Z$3)*(GMW!$LP$2:$LP$60=Z$4)*(GMW!$LR$2:$LR$60=Z$1),0),$C308-1966)</f>
        <v>219.4742</v>
      </c>
      <c r="AA308" s="4" cm="1">
        <f t="array" ref="AA308">INDEX(GMW!$A$2:$LR$60,MATCH(1,(GMW!$LQ$2:$LQ$60=AA$3)*(GMW!$LP$2:$LP$60=AA$4)*(GMW!$LR$2:$LR$60=AA$1),0),$C308-1966)</f>
        <v>495383.9</v>
      </c>
      <c r="AB308" s="4" cm="1">
        <f t="array" ref="AB308">INDEX(GMW!$A$2:$LR$60,MATCH(1,(GMW!$LQ$2:$LQ$60=AB$3)*(GMW!$LP$2:$LP$60=AB$4)*(GMW!$LR$2:$LR$60=AB$1),0),$C308-1966)</f>
        <v>174264.7</v>
      </c>
      <c r="AC308" s="4" cm="1">
        <f t="array" ref="AC308">INDEX(GMW!$A$2:$LR$60,MATCH(1,(GMW!$LQ$2:$LQ$60=AC$3)*(GMW!$LP$2:$LP$60=AC$4)*(GMW!$LR$2:$LR$60=AC$1),0),$C308-1966)</f>
        <v>173653.9</v>
      </c>
      <c r="AD308" s="4" cm="1">
        <f t="array" ref="AD308">INDEX(GMW!$A$2:$LR$60,MATCH(1,(GMW!$LQ$2:$LQ$60=AD$3)*(GMW!$LP$2:$LP$60=AD$4)*(GMW!$LR$2:$LR$60=AD$1),0),$C308-1966)</f>
        <v>276124.5</v>
      </c>
      <c r="AE308" s="4" cm="1">
        <f t="array" ref="AE308">INDEX(GMW!$A$2:$LR$60,MATCH(1,(GMW!$LQ$2:$LQ$60=AE$3)*(GMW!$LP$2:$LP$60=AE$4)*(GMW!$LR$2:$LR$60=AE$1),0),$C308-1966)</f>
        <v>310280.3</v>
      </c>
      <c r="AF308" s="4" cm="1">
        <f t="array" ref="AF308">INDEX(GMW!$A$2:$LR$60,MATCH(1,(GMW!$LQ$2:$LQ$60=AF$3)*(GMW!$LP$2:$LP$60=AF$4)*(GMW!$LR$2:$LR$60=AF$1),0),$C308-1966)</f>
        <v>2.1064639999999999</v>
      </c>
      <c r="AG308" s="4" cm="1">
        <f t="array" ref="AG308">INDEX(GMW!$A$2:$LR$60,MATCH(1,(GMW!$LQ$2:$LQ$60=AG$3)*(GMW!$LP$2:$LP$60=AG$4)*(GMW!$LR$2:$LR$60=AG$1),0),$C308-1966)</f>
        <v>2.4334739999999999</v>
      </c>
    </row>
    <row r="309" spans="1:33" x14ac:dyDescent="0.25">
      <c r="B309" s="4">
        <f t="shared" si="9"/>
        <v>2048</v>
      </c>
      <c r="C309" s="4">
        <f t="shared" si="10"/>
        <v>2275</v>
      </c>
      <c r="D309" s="4" cm="1">
        <f t="array" ref="D309">INDEX(GMW!$A$2:$LR$60,MATCH(1,(GMW!$LQ$2:$LQ$60=D$3)*(GMW!$LP$2:$LP$60=D$4)*(GMW!$LR$2:$LR$60=D$1),0),$C309-1966)</f>
        <v>835908.3</v>
      </c>
      <c r="E309" s="4" cm="1">
        <f t="array" ref="E309">INDEX(GMW!$A$2:$LR$60,MATCH(1,(GMW!$LQ$2:$LQ$60=E$3)*(GMW!$LP$2:$LP$60=E$4)*(GMW!$LR$2:$LR$60=E$1),0),$C309-1966)</f>
        <v>822047.8</v>
      </c>
      <c r="F309" s="4" cm="1">
        <f t="array" ref="F309">INDEX(GMW!$A$2:$LR$60,MATCH(1,(GMW!$LQ$2:$LQ$60=F$3)*(GMW!$LP$2:$LP$60=F$4)*(GMW!$LR$2:$LR$60=F$1),0),$C309-1966)</f>
        <v>822351.1</v>
      </c>
      <c r="G309" s="4" cm="1">
        <f t="array" ref="G309">INDEX(GMW!$A$2:$LR$60,MATCH(1,(GMW!$LQ$2:$LQ$60=G$3)*(GMW!$LP$2:$LP$60=G$4)*(GMW!$LR$2:$LR$60=G$1),0),$C309-1966)</f>
        <v>822351.1</v>
      </c>
      <c r="H309" s="4" cm="1">
        <f t="array" ref="H309">INDEX(GMW!$A$2:$LR$60,MATCH(1,(GMW!$LQ$2:$LQ$60=H$3)*(GMW!$LP$2:$LP$60=H$4)*(GMW!$LR$2:$LR$60=H$1),0),$C309-1966)</f>
        <v>828152.9</v>
      </c>
      <c r="I309" s="4" cm="1">
        <f t="array" ref="I309">INDEX(GMW!$A$2:$LR$60,MATCH(1,(GMW!$LQ$2:$LQ$60=I$3)*(GMW!$LP$2:$LP$60=I$4)*(GMW!$LR$2:$LR$60=I$1),0),$C309-1966)</f>
        <v>828610.2</v>
      </c>
      <c r="J309" s="4" cm="1">
        <f t="array" ref="J309">INDEX(GMW!$A$2:$LR$60,MATCH(1,(GMW!$LQ$2:$LQ$60=J$3)*(GMW!$LP$2:$LP$60=J$4)*(GMW!$LR$2:$LR$60=J$1),0),$C309-1966)</f>
        <v>828573.6</v>
      </c>
      <c r="K309" s="4" cm="1">
        <f t="array" ref="K309">INDEX(GMW!$A$2:$LR$60,MATCH(1,(GMW!$LQ$2:$LQ$60=K$3)*(GMW!$LP$2:$LP$60=K$4)*(GMW!$LR$2:$LR$60=K$1),0),$C309-1966)</f>
        <v>828531.7</v>
      </c>
      <c r="L309" s="4" cm="1">
        <f t="array" ref="L309">INDEX(GMW!$A$2:$LR$60,MATCH(1,(GMW!$LQ$2:$LQ$60=L$3)*(GMW!$LP$2:$LP$60=L$4)*(GMW!$LR$2:$LR$60=L$1),0),$C309-1966)</f>
        <v>828578.8</v>
      </c>
      <c r="M309" s="4" cm="1">
        <f t="array" ref="M309">INDEX(GMW!$A$2:$LR$60,MATCH(1,(GMW!$LQ$2:$LQ$60=M$3)*(GMW!$LP$2:$LP$60=M$4)*(GMW!$LR$2:$LR$60=M$1),0),$C309-1966)</f>
        <v>828578.8</v>
      </c>
      <c r="N309" s="4" cm="1">
        <f t="array" ref="N309">INDEX(GMW!$A$2:$LR$60,MATCH(1,(GMW!$LQ$2:$LQ$60=N$3)*(GMW!$LP$2:$LP$60=N$4)*(GMW!$LR$2:$LR$60=N$1),0),$C309-1966)</f>
        <v>833376.1</v>
      </c>
      <c r="O309" s="4" cm="1">
        <f t="array" ref="O309">INDEX(GMW!$A$2:$LR$60,MATCH(1,(GMW!$LQ$2:$LQ$60=O$3)*(GMW!$LP$2:$LP$60=O$4)*(GMW!$LR$2:$LR$60=O$1),0),$C309-1966)</f>
        <v>835140.3</v>
      </c>
      <c r="P309" s="4" cm="1">
        <f t="array" ref="P309">INDEX(GMW!$A$2:$LR$60,MATCH(1,(GMW!$LQ$2:$LQ$60=P$3)*(GMW!$LP$2:$LP$60=P$4)*(GMW!$LR$2:$LR$60=P$1),0),$C309-1966)</f>
        <v>835401.4</v>
      </c>
      <c r="Q309" s="4" cm="1">
        <f t="array" ref="Q309">INDEX(GMW!$A$2:$LR$60,MATCH(1,(GMW!$LQ$2:$LQ$60=Q$3)*(GMW!$LP$2:$LP$60=Q$4)*(GMW!$LR$2:$LR$60=Q$1),0),$C309-1966)</f>
        <v>838350.1</v>
      </c>
      <c r="R309" s="4" cm="1">
        <f t="array" ref="R309">INDEX(GMW!$A$2:$LR$60,MATCH(1,(GMW!$LQ$2:$LQ$60=R$3)*(GMW!$LP$2:$LP$60=R$4)*(GMW!$LR$2:$LR$60=R$1),0),$C309-1966)</f>
        <v>840114.6</v>
      </c>
      <c r="S309" s="4" cm="1">
        <f t="array" ref="S309">INDEX(GMW!$A$2:$LR$60,MATCH(1,(GMW!$LQ$2:$LQ$60=S$3)*(GMW!$LP$2:$LP$60=S$4)*(GMW!$LR$2:$LR$60=S$1),0),$C309-1966)</f>
        <v>837092.1</v>
      </c>
      <c r="T309" s="4" cm="1">
        <f t="array" ref="T309">INDEX(GMW!$A$2:$LR$60,MATCH(1,(GMW!$LQ$2:$LQ$60=T$3)*(GMW!$LP$2:$LP$60=T$4)*(GMW!$LR$2:$LR$60=T$1),0),$C309-1966)</f>
        <v>837423.4</v>
      </c>
      <c r="U309" s="4" cm="1">
        <f t="array" ref="U309">INDEX(GMW!$A$2:$LR$60,MATCH(1,(GMW!$LQ$2:$LQ$60=U$3)*(GMW!$LP$2:$LP$60=U$4)*(GMW!$LR$2:$LR$60=U$1),0),$C309-1966)</f>
        <v>1431.0450000000001</v>
      </c>
      <c r="V309" s="4" cm="1">
        <f t="array" ref="V309">INDEX(GMW!$A$2:$LR$60,MATCH(1,(GMW!$LQ$2:$LQ$60=V$3)*(GMW!$LP$2:$LP$60=V$4)*(GMW!$LR$2:$LR$60=V$1),0),$C309-1966)</f>
        <v>218.23159999999999</v>
      </c>
      <c r="W309" s="4" cm="1">
        <f t="array" ref="W309">INDEX(GMW!$A$2:$LR$60,MATCH(1,(GMW!$LQ$2:$LQ$60=W$3)*(GMW!$LP$2:$LP$60=W$4)*(GMW!$LR$2:$LR$60=W$1),0),$C309-1966)</f>
        <v>198.87860000000001</v>
      </c>
      <c r="X309" s="4" cm="1">
        <f t="array" ref="X309">INDEX(GMW!$A$2:$LR$60,MATCH(1,(GMW!$LQ$2:$LQ$60=X$3)*(GMW!$LP$2:$LP$60=X$4)*(GMW!$LR$2:$LR$60=X$1),0),$C309-1966)</f>
        <v>127.7443</v>
      </c>
      <c r="Y309" s="4" cm="1">
        <f t="array" ref="Y309">INDEX(GMW!$A$2:$LR$60,MATCH(1,(GMW!$LQ$2:$LQ$60=Y$3)*(GMW!$LP$2:$LP$60=Y$4)*(GMW!$LR$2:$LR$60=Y$1),0),$C309-1966)</f>
        <v>321.25470000000001</v>
      </c>
      <c r="Z309" s="4" cm="1">
        <f t="array" ref="Z309">INDEX(GMW!$A$2:$LR$60,MATCH(1,(GMW!$LQ$2:$LQ$60=Z$3)*(GMW!$LP$2:$LP$60=Z$4)*(GMW!$LR$2:$LR$60=Z$1),0),$C309-1966)</f>
        <v>220.76429999999999</v>
      </c>
      <c r="AA309" s="4" cm="1">
        <f t="array" ref="AA309">INDEX(GMW!$A$2:$LR$60,MATCH(1,(GMW!$LQ$2:$LQ$60=AA$3)*(GMW!$LP$2:$LP$60=AA$4)*(GMW!$LR$2:$LR$60=AA$1),0),$C309-1966)</f>
        <v>497247.8</v>
      </c>
      <c r="AB309" s="4" cm="1">
        <f t="array" ref="AB309">INDEX(GMW!$A$2:$LR$60,MATCH(1,(GMW!$LQ$2:$LQ$60=AB$3)*(GMW!$LP$2:$LP$60=AB$4)*(GMW!$LR$2:$LR$60=AB$1),0),$C309-1966)</f>
        <v>175105.4</v>
      </c>
      <c r="AC309" s="4" cm="1">
        <f t="array" ref="AC309">INDEX(GMW!$A$2:$LR$60,MATCH(1,(GMW!$LQ$2:$LQ$60=AC$3)*(GMW!$LP$2:$LP$60=AC$4)*(GMW!$LR$2:$LR$60=AC$1),0),$C309-1966)</f>
        <v>174312.2</v>
      </c>
      <c r="AD309" s="4" cm="1">
        <f t="array" ref="AD309">INDEX(GMW!$A$2:$LR$60,MATCH(1,(GMW!$LQ$2:$LQ$60=AD$3)*(GMW!$LP$2:$LP$60=AD$4)*(GMW!$LR$2:$LR$60=AD$1),0),$C309-1966)</f>
        <v>277436.40000000002</v>
      </c>
      <c r="AE309" s="4" cm="1">
        <f t="array" ref="AE309">INDEX(GMW!$A$2:$LR$60,MATCH(1,(GMW!$LQ$2:$LQ$60=AE$3)*(GMW!$LP$2:$LP$60=AE$4)*(GMW!$LR$2:$LR$60=AE$1),0),$C309-1966)</f>
        <v>311908.3</v>
      </c>
      <c r="AF309" s="4" cm="1">
        <f t="array" ref="AF309">INDEX(GMW!$A$2:$LR$60,MATCH(1,(GMW!$LQ$2:$LQ$60=AF$3)*(GMW!$LP$2:$LP$60=AF$4)*(GMW!$LR$2:$LR$60=AF$1),0),$C309-1966)</f>
        <v>2.1064639999999999</v>
      </c>
      <c r="AG309" s="4" cm="1">
        <f t="array" ref="AG309">INDEX(GMW!$A$2:$LR$60,MATCH(1,(GMW!$LQ$2:$LQ$60=AG$3)*(GMW!$LP$2:$LP$60=AG$4)*(GMW!$LR$2:$LR$60=AG$1),0),$C309-1966)</f>
        <v>2.4334739999999999</v>
      </c>
    </row>
    <row r="310" spans="1:33" x14ac:dyDescent="0.25">
      <c r="B310" s="4">
        <f t="shared" si="9"/>
        <v>2048</v>
      </c>
      <c r="C310" s="4">
        <f t="shared" si="10"/>
        <v>2276</v>
      </c>
      <c r="D310" s="4" cm="1">
        <f t="array" ref="D310">INDEX(GMW!$A$2:$LR$60,MATCH(1,(GMW!$LQ$2:$LQ$60=D$3)*(GMW!$LP$2:$LP$60=D$4)*(GMW!$LR$2:$LR$60=D$1),0),$C310-1966)</f>
        <v>839031.4</v>
      </c>
      <c r="E310" s="4" cm="1">
        <f t="array" ref="E310">INDEX(GMW!$A$2:$LR$60,MATCH(1,(GMW!$LQ$2:$LQ$60=E$3)*(GMW!$LP$2:$LP$60=E$4)*(GMW!$LR$2:$LR$60=E$1),0),$C310-1966)</f>
        <v>825054.7</v>
      </c>
      <c r="F310" s="4" cm="1">
        <f t="array" ref="F310">INDEX(GMW!$A$2:$LR$60,MATCH(1,(GMW!$LQ$2:$LQ$60=F$3)*(GMW!$LP$2:$LP$60=F$4)*(GMW!$LR$2:$LR$60=F$1),0),$C310-1966)</f>
        <v>825358.6</v>
      </c>
      <c r="G310" s="4" cm="1">
        <f t="array" ref="G310">INDEX(GMW!$A$2:$LR$60,MATCH(1,(GMW!$LQ$2:$LQ$60=G$3)*(GMW!$LP$2:$LP$60=G$4)*(GMW!$LR$2:$LR$60=G$1),0),$C310-1966)</f>
        <v>825358.6</v>
      </c>
      <c r="H310" s="4" cm="1">
        <f t="array" ref="H310">INDEX(GMW!$A$2:$LR$60,MATCH(1,(GMW!$LQ$2:$LQ$60=H$3)*(GMW!$LP$2:$LP$60=H$4)*(GMW!$LR$2:$LR$60=H$1),0),$C310-1966)</f>
        <v>831200.9</v>
      </c>
      <c r="I310" s="4" cm="1">
        <f t="array" ref="I310">INDEX(GMW!$A$2:$LR$60,MATCH(1,(GMW!$LQ$2:$LQ$60=I$3)*(GMW!$LP$2:$LP$60=I$4)*(GMW!$LR$2:$LR$60=I$1),0),$C310-1966)</f>
        <v>831634.6</v>
      </c>
      <c r="J310" s="4" cm="1">
        <f t="array" ref="J310">INDEX(GMW!$A$2:$LR$60,MATCH(1,(GMW!$LQ$2:$LQ$60=J$3)*(GMW!$LP$2:$LP$60=J$4)*(GMW!$LR$2:$LR$60=J$1),0),$C310-1966)</f>
        <v>831597.9</v>
      </c>
      <c r="K310" s="4" cm="1">
        <f t="array" ref="K310">INDEX(GMW!$A$2:$LR$60,MATCH(1,(GMW!$LQ$2:$LQ$60=K$3)*(GMW!$LP$2:$LP$60=K$4)*(GMW!$LR$2:$LR$60=K$1),0),$C310-1966)</f>
        <v>831557.7</v>
      </c>
      <c r="L310" s="4" cm="1">
        <f t="array" ref="L310">INDEX(GMW!$A$2:$LR$60,MATCH(1,(GMW!$LQ$2:$LQ$60=L$3)*(GMW!$LP$2:$LP$60=L$4)*(GMW!$LR$2:$LR$60=L$1),0),$C310-1966)</f>
        <v>831605.1</v>
      </c>
      <c r="M310" s="4" cm="1">
        <f t="array" ref="M310">INDEX(GMW!$A$2:$LR$60,MATCH(1,(GMW!$LQ$2:$LQ$60=M$3)*(GMW!$LP$2:$LP$60=M$4)*(GMW!$LR$2:$LR$60=M$1),0),$C310-1966)</f>
        <v>831605.1</v>
      </c>
      <c r="N310" s="4" cm="1">
        <f t="array" ref="N310">INDEX(GMW!$A$2:$LR$60,MATCH(1,(GMW!$LQ$2:$LQ$60=N$3)*(GMW!$LP$2:$LP$60=N$4)*(GMW!$LR$2:$LR$60=N$1),0),$C310-1966)</f>
        <v>836464.5</v>
      </c>
      <c r="O310" s="4" cm="1">
        <f t="array" ref="O310">INDEX(GMW!$A$2:$LR$60,MATCH(1,(GMW!$LQ$2:$LQ$60=O$3)*(GMW!$LP$2:$LP$60=O$4)*(GMW!$LR$2:$LR$60=O$1),0),$C310-1966)</f>
        <v>838262.9</v>
      </c>
      <c r="P310" s="4" cm="1">
        <f t="array" ref="P310">INDEX(GMW!$A$2:$LR$60,MATCH(1,(GMW!$LQ$2:$LQ$60=P$3)*(GMW!$LP$2:$LP$60=P$4)*(GMW!$LR$2:$LR$60=P$1),0),$C310-1966)</f>
        <v>838523.8</v>
      </c>
      <c r="Q310" s="4" cm="1">
        <f t="array" ref="Q310">INDEX(GMW!$A$2:$LR$60,MATCH(1,(GMW!$LQ$2:$LQ$60=Q$3)*(GMW!$LP$2:$LP$60=Q$4)*(GMW!$LR$2:$LR$60=Q$1),0),$C310-1966)</f>
        <v>841460.9</v>
      </c>
      <c r="R310" s="4" cm="1">
        <f t="array" ref="R310">INDEX(GMW!$A$2:$LR$60,MATCH(1,(GMW!$LQ$2:$LQ$60=R$3)*(GMW!$LP$2:$LP$60=R$4)*(GMW!$LR$2:$LR$60=R$1),0),$C310-1966)</f>
        <v>843257.8</v>
      </c>
      <c r="S310" s="4" cm="1">
        <f t="array" ref="S310">INDEX(GMW!$A$2:$LR$60,MATCH(1,(GMW!$LQ$2:$LQ$60=S$3)*(GMW!$LP$2:$LP$60=S$4)*(GMW!$LR$2:$LR$60=S$1),0),$C310-1966)</f>
        <v>840222.9</v>
      </c>
      <c r="T310" s="4" cm="1">
        <f t="array" ref="T310">INDEX(GMW!$A$2:$LR$60,MATCH(1,(GMW!$LQ$2:$LQ$60=T$3)*(GMW!$LP$2:$LP$60=T$4)*(GMW!$LR$2:$LR$60=T$1),0),$C310-1966)</f>
        <v>840550.5</v>
      </c>
      <c r="U310" s="4" cm="1">
        <f t="array" ref="U310">INDEX(GMW!$A$2:$LR$60,MATCH(1,(GMW!$LQ$2:$LQ$60=U$3)*(GMW!$LP$2:$LP$60=U$4)*(GMW!$LR$2:$LR$60=U$1),0),$C310-1966)</f>
        <v>1442.259</v>
      </c>
      <c r="V310" s="4" cm="1">
        <f t="array" ref="V310">INDEX(GMW!$A$2:$LR$60,MATCH(1,(GMW!$LQ$2:$LQ$60=V$3)*(GMW!$LP$2:$LP$60=V$4)*(GMW!$LR$2:$LR$60=V$1),0),$C310-1966)</f>
        <v>219.28389999999999</v>
      </c>
      <c r="W310" s="4" cm="1">
        <f t="array" ref="W310">INDEX(GMW!$A$2:$LR$60,MATCH(1,(GMW!$LQ$2:$LQ$60=W$3)*(GMW!$LP$2:$LP$60=W$4)*(GMW!$LR$2:$LR$60=W$1),0),$C310-1966)</f>
        <v>199.77199999999999</v>
      </c>
      <c r="X310" s="4" cm="1">
        <f t="array" ref="X310">INDEX(GMW!$A$2:$LR$60,MATCH(1,(GMW!$LQ$2:$LQ$60=X$3)*(GMW!$LP$2:$LP$60=X$4)*(GMW!$LR$2:$LR$60=X$1),0),$C310-1966)</f>
        <v>127.7958</v>
      </c>
      <c r="Y310" s="4" cm="1">
        <f t="array" ref="Y310">INDEX(GMW!$A$2:$LR$60,MATCH(1,(GMW!$LQ$2:$LQ$60=Y$3)*(GMW!$LP$2:$LP$60=Y$4)*(GMW!$LR$2:$LR$60=Y$1),0),$C310-1966)</f>
        <v>324.06920000000002</v>
      </c>
      <c r="Z310" s="4" cm="1">
        <f t="array" ref="Z310">INDEX(GMW!$A$2:$LR$60,MATCH(1,(GMW!$LQ$2:$LQ$60=Z$3)*(GMW!$LP$2:$LP$60=Z$4)*(GMW!$LR$2:$LR$60=Z$1),0),$C310-1966)</f>
        <v>221.83600000000001</v>
      </c>
      <c r="AA310" s="4" cm="1">
        <f t="array" ref="AA310">INDEX(GMW!$A$2:$LR$60,MATCH(1,(GMW!$LQ$2:$LQ$60=AA$3)*(GMW!$LP$2:$LP$60=AA$4)*(GMW!$LR$2:$LR$60=AA$1),0),$C310-1966)</f>
        <v>499116.5</v>
      </c>
      <c r="AB310" s="4" cm="1">
        <f t="array" ref="AB310">INDEX(GMW!$A$2:$LR$60,MATCH(1,(GMW!$LQ$2:$LQ$60=AB$3)*(GMW!$LP$2:$LP$60=AB$4)*(GMW!$LR$2:$LR$60=AB$1),0),$C310-1966)</f>
        <v>175949.5</v>
      </c>
      <c r="AC310" s="4" cm="1">
        <f t="array" ref="AC310">INDEX(GMW!$A$2:$LR$60,MATCH(1,(GMW!$LQ$2:$LQ$60=AC$3)*(GMW!$LP$2:$LP$60=AC$4)*(GMW!$LR$2:$LR$60=AC$1),0),$C310-1966)</f>
        <v>174972.2</v>
      </c>
      <c r="AD310" s="4" cm="1">
        <f t="array" ref="AD310">INDEX(GMW!$A$2:$LR$60,MATCH(1,(GMW!$LQ$2:$LQ$60=AD$3)*(GMW!$LP$2:$LP$60=AD$4)*(GMW!$LR$2:$LR$60=AD$1),0),$C310-1966)</f>
        <v>278753.90000000002</v>
      </c>
      <c r="AE310" s="4" cm="1">
        <f t="array" ref="AE310">INDEX(GMW!$A$2:$LR$60,MATCH(1,(GMW!$LQ$2:$LQ$60=AE$3)*(GMW!$LP$2:$LP$60=AE$4)*(GMW!$LR$2:$LR$60=AE$1),0),$C310-1966)</f>
        <v>313544</v>
      </c>
      <c r="AF310" s="4" cm="1">
        <f t="array" ref="AF310">INDEX(GMW!$A$2:$LR$60,MATCH(1,(GMW!$LQ$2:$LQ$60=AF$3)*(GMW!$LP$2:$LP$60=AF$4)*(GMW!$LR$2:$LR$60=AF$1),0),$C310-1966)</f>
        <v>2.1064639999999999</v>
      </c>
      <c r="AG310" s="4" cm="1">
        <f t="array" ref="AG310">INDEX(GMW!$A$2:$LR$60,MATCH(1,(GMW!$LQ$2:$LQ$60=AG$3)*(GMW!$LP$2:$LP$60=AG$4)*(GMW!$LR$2:$LR$60=AG$1),0),$C310-1966)</f>
        <v>2.4334739999999999</v>
      </c>
    </row>
    <row r="311" spans="1:33" x14ac:dyDescent="0.25">
      <c r="A311" s="4">
        <v>2049</v>
      </c>
      <c r="B311" s="4">
        <f t="shared" si="9"/>
        <v>2049</v>
      </c>
      <c r="C311" s="4">
        <f t="shared" si="10"/>
        <v>2277</v>
      </c>
      <c r="D311" s="4" cm="1">
        <f t="array" ref="D311">INDEX(GMW!$A$2:$LR$60,MATCH(1,(GMW!$LQ$2:$LQ$60=D$3)*(GMW!$LP$2:$LP$60=D$4)*(GMW!$LR$2:$LR$60=D$1),0),$C311-1966)</f>
        <v>842162.3</v>
      </c>
      <c r="E311" s="4" cm="1">
        <f t="array" ref="E311">INDEX(GMW!$A$2:$LR$60,MATCH(1,(GMW!$LQ$2:$LQ$60=E$3)*(GMW!$LP$2:$LP$60=E$4)*(GMW!$LR$2:$LR$60=E$1),0),$C311-1966)</f>
        <v>828068.3</v>
      </c>
      <c r="F311" s="4" cm="1">
        <f t="array" ref="F311">INDEX(GMW!$A$2:$LR$60,MATCH(1,(GMW!$LQ$2:$LQ$60=F$3)*(GMW!$LP$2:$LP$60=F$4)*(GMW!$LR$2:$LR$60=F$1),0),$C311-1966)</f>
        <v>828372.8</v>
      </c>
      <c r="G311" s="4" cm="1">
        <f t="array" ref="G311">INDEX(GMW!$A$2:$LR$60,MATCH(1,(GMW!$LQ$2:$LQ$60=G$3)*(GMW!$LP$2:$LP$60=G$4)*(GMW!$LR$2:$LR$60=G$1),0),$C311-1966)</f>
        <v>828372.8</v>
      </c>
      <c r="H311" s="4" cm="1">
        <f t="array" ref="H311">INDEX(GMW!$A$2:$LR$60,MATCH(1,(GMW!$LQ$2:$LQ$60=H$3)*(GMW!$LP$2:$LP$60=H$4)*(GMW!$LR$2:$LR$60=H$1),0),$C311-1966)</f>
        <v>834257.1</v>
      </c>
      <c r="I311" s="4" cm="1">
        <f t="array" ref="I311">INDEX(GMW!$A$2:$LR$60,MATCH(1,(GMW!$LQ$2:$LQ$60=I$3)*(GMW!$LP$2:$LP$60=I$4)*(GMW!$LR$2:$LR$60=I$1),0),$C311-1966)</f>
        <v>834666.7</v>
      </c>
      <c r="J311" s="4" cm="1">
        <f t="array" ref="J311">INDEX(GMW!$A$2:$LR$60,MATCH(1,(GMW!$LQ$2:$LQ$60=J$3)*(GMW!$LP$2:$LP$60=J$4)*(GMW!$LR$2:$LR$60=J$1),0),$C311-1966)</f>
        <v>834629.7</v>
      </c>
      <c r="K311" s="4" cm="1">
        <f t="array" ref="K311">INDEX(GMW!$A$2:$LR$60,MATCH(1,(GMW!$LQ$2:$LQ$60=K$3)*(GMW!$LP$2:$LP$60=K$4)*(GMW!$LR$2:$LR$60=K$1),0),$C311-1966)</f>
        <v>834591.2</v>
      </c>
      <c r="L311" s="4" cm="1">
        <f t="array" ref="L311">INDEX(GMW!$A$2:$LR$60,MATCH(1,(GMW!$LQ$2:$LQ$60=L$3)*(GMW!$LP$2:$LP$60=L$4)*(GMW!$LR$2:$LR$60=L$1),0),$C311-1966)</f>
        <v>834638.9</v>
      </c>
      <c r="M311" s="4" cm="1">
        <f t="array" ref="M311">INDEX(GMW!$A$2:$LR$60,MATCH(1,(GMW!$LQ$2:$LQ$60=M$3)*(GMW!$LP$2:$LP$60=M$4)*(GMW!$LR$2:$LR$60=M$1),0),$C311-1966)</f>
        <v>834638.9</v>
      </c>
      <c r="N311" s="4" cm="1">
        <f t="array" ref="N311">INDEX(GMW!$A$2:$LR$60,MATCH(1,(GMW!$LQ$2:$LQ$60=N$3)*(GMW!$LP$2:$LP$60=N$4)*(GMW!$LR$2:$LR$60=N$1),0),$C311-1966)</f>
        <v>839560.9</v>
      </c>
      <c r="O311" s="4" cm="1">
        <f t="array" ref="O311">INDEX(GMW!$A$2:$LR$60,MATCH(1,(GMW!$LQ$2:$LQ$60=O$3)*(GMW!$LP$2:$LP$60=O$4)*(GMW!$LR$2:$LR$60=O$1),0),$C311-1966)</f>
        <v>841394.1</v>
      </c>
      <c r="P311" s="4" cm="1">
        <f t="array" ref="P311">INDEX(GMW!$A$2:$LR$60,MATCH(1,(GMW!$LQ$2:$LQ$60=P$3)*(GMW!$LP$2:$LP$60=P$4)*(GMW!$LR$2:$LR$60=P$1),0),$C311-1966)</f>
        <v>841654.9</v>
      </c>
      <c r="Q311" s="4" cm="1">
        <f t="array" ref="Q311">INDEX(GMW!$A$2:$LR$60,MATCH(1,(GMW!$LQ$2:$LQ$60=Q$3)*(GMW!$LP$2:$LP$60=Q$4)*(GMW!$LR$2:$LR$60=Q$1),0),$C311-1966)</f>
        <v>844579.3</v>
      </c>
      <c r="R311" s="4" cm="1">
        <f t="array" ref="R311">INDEX(GMW!$A$2:$LR$60,MATCH(1,(GMW!$LQ$2:$LQ$60=R$3)*(GMW!$LP$2:$LP$60=R$4)*(GMW!$LR$2:$LR$60=R$1),0),$C311-1966)</f>
        <v>846408.6</v>
      </c>
      <c r="S311" s="4" cm="1">
        <f t="array" ref="S311">INDEX(GMW!$A$2:$LR$60,MATCH(1,(GMW!$LQ$2:$LQ$60=S$3)*(GMW!$LP$2:$LP$60=S$4)*(GMW!$LR$2:$LR$60=S$1),0),$C311-1966)</f>
        <v>843361.3</v>
      </c>
      <c r="T311" s="4" cm="1">
        <f t="array" ref="T311">INDEX(GMW!$A$2:$LR$60,MATCH(1,(GMW!$LQ$2:$LQ$60=T$3)*(GMW!$LP$2:$LP$60=T$4)*(GMW!$LR$2:$LR$60=T$1),0),$C311-1966)</f>
        <v>843685.3</v>
      </c>
      <c r="U311" s="4" cm="1">
        <f t="array" ref="U311">INDEX(GMW!$A$2:$LR$60,MATCH(1,(GMW!$LQ$2:$LQ$60=U$3)*(GMW!$LP$2:$LP$60=U$4)*(GMW!$LR$2:$LR$60=U$1),0),$C311-1966)</f>
        <v>1453.5540000000001</v>
      </c>
      <c r="V311" s="4" cm="1">
        <f t="array" ref="V311">INDEX(GMW!$A$2:$LR$60,MATCH(1,(GMW!$LQ$2:$LQ$60=V$3)*(GMW!$LP$2:$LP$60=V$4)*(GMW!$LR$2:$LR$60=V$1),0),$C311-1966)</f>
        <v>219.62739999999999</v>
      </c>
      <c r="W311" s="4" cm="1">
        <f t="array" ref="W311">INDEX(GMW!$A$2:$LR$60,MATCH(1,(GMW!$LQ$2:$LQ$60=W$3)*(GMW!$LP$2:$LP$60=W$4)*(GMW!$LR$2:$LR$60=W$1),0),$C311-1966)</f>
        <v>201.6112</v>
      </c>
      <c r="X311" s="4" cm="1">
        <f t="array" ref="X311">INDEX(GMW!$A$2:$LR$60,MATCH(1,(GMW!$LQ$2:$LQ$60=X$3)*(GMW!$LP$2:$LP$60=X$4)*(GMW!$LR$2:$LR$60=X$1),0),$C311-1966)</f>
        <v>127.83540000000001</v>
      </c>
      <c r="Y311" s="4" cm="1">
        <f t="array" ref="Y311">INDEX(GMW!$A$2:$LR$60,MATCH(1,(GMW!$LQ$2:$LQ$60=Y$3)*(GMW!$LP$2:$LP$60=Y$4)*(GMW!$LR$2:$LR$60=Y$1),0),$C311-1966)</f>
        <v>326.79820000000001</v>
      </c>
      <c r="Z311" s="4" cm="1">
        <f t="array" ref="Z311">INDEX(GMW!$A$2:$LR$60,MATCH(1,(GMW!$LQ$2:$LQ$60=Z$3)*(GMW!$LP$2:$LP$60=Z$4)*(GMW!$LR$2:$LR$60=Z$1),0),$C311-1966)</f>
        <v>221.78190000000001</v>
      </c>
      <c r="AA311" s="4" cm="1">
        <f t="array" ref="AA311">INDEX(GMW!$A$2:$LR$60,MATCH(1,(GMW!$LQ$2:$LQ$60=AA$3)*(GMW!$LP$2:$LP$60=AA$4)*(GMW!$LR$2:$LR$60=AA$1),0),$C311-1966)</f>
        <v>500989.9</v>
      </c>
      <c r="AB311" s="4" cm="1">
        <f t="array" ref="AB311">INDEX(GMW!$A$2:$LR$60,MATCH(1,(GMW!$LQ$2:$LQ$60=AB$3)*(GMW!$LP$2:$LP$60=AB$4)*(GMW!$LR$2:$LR$60=AB$1),0),$C311-1966)</f>
        <v>176796.9</v>
      </c>
      <c r="AC311" s="4" cm="1">
        <f t="array" ref="AC311">INDEX(GMW!$A$2:$LR$60,MATCH(1,(GMW!$LQ$2:$LQ$60=AC$3)*(GMW!$LP$2:$LP$60=AC$4)*(GMW!$LR$2:$LR$60=AC$1),0),$C311-1966)</f>
        <v>175633.8</v>
      </c>
      <c r="AD311" s="4" cm="1">
        <f t="array" ref="AD311">INDEX(GMW!$A$2:$LR$60,MATCH(1,(GMW!$LQ$2:$LQ$60=AD$3)*(GMW!$LP$2:$LP$60=AD$4)*(GMW!$LR$2:$LR$60=AD$1),0),$C311-1966)</f>
        <v>280076.59999999998</v>
      </c>
      <c r="AE311" s="4" cm="1">
        <f t="array" ref="AE311">INDEX(GMW!$A$2:$LR$60,MATCH(1,(GMW!$LQ$2:$LQ$60=AE$3)*(GMW!$LP$2:$LP$60=AE$4)*(GMW!$LR$2:$LR$60=AE$1),0),$C311-1966)</f>
        <v>315187</v>
      </c>
      <c r="AF311" s="4" cm="1">
        <f t="array" ref="AF311">INDEX(GMW!$A$2:$LR$60,MATCH(1,(GMW!$LQ$2:$LQ$60=AF$3)*(GMW!$LP$2:$LP$60=AF$4)*(GMW!$LR$2:$LR$60=AF$1),0),$C311-1966)</f>
        <v>2.1064639999999999</v>
      </c>
      <c r="AG311" s="4" cm="1">
        <f t="array" ref="AG311">INDEX(GMW!$A$2:$LR$60,MATCH(1,(GMW!$LQ$2:$LQ$60=AG$3)*(GMW!$LP$2:$LP$60=AG$4)*(GMW!$LR$2:$LR$60=AG$1),0),$C311-1966)</f>
        <v>2.4334739999999999</v>
      </c>
    </row>
    <row r="312" spans="1:33" x14ac:dyDescent="0.25">
      <c r="B312" s="4">
        <f t="shared" si="9"/>
        <v>2049</v>
      </c>
      <c r="C312" s="4">
        <f t="shared" si="10"/>
        <v>2278</v>
      </c>
      <c r="D312" s="4" cm="1">
        <f t="array" ref="D312">INDEX(GMW!$A$2:$LR$60,MATCH(1,(GMW!$LQ$2:$LQ$60=D$3)*(GMW!$LP$2:$LP$60=D$4)*(GMW!$LR$2:$LR$60=D$1),0),$C312-1966)</f>
        <v>845301.1</v>
      </c>
      <c r="E312" s="4" cm="1">
        <f t="array" ref="E312">INDEX(GMW!$A$2:$LR$60,MATCH(1,(GMW!$LQ$2:$LQ$60=E$3)*(GMW!$LP$2:$LP$60=E$4)*(GMW!$LR$2:$LR$60=E$1),0),$C312-1966)</f>
        <v>831088.9</v>
      </c>
      <c r="F312" s="4" cm="1">
        <f t="array" ref="F312">INDEX(GMW!$A$2:$LR$60,MATCH(1,(GMW!$LQ$2:$LQ$60=F$3)*(GMW!$LP$2:$LP$60=F$4)*(GMW!$LR$2:$LR$60=F$1),0),$C312-1966)</f>
        <v>831394</v>
      </c>
      <c r="G312" s="4" cm="1">
        <f t="array" ref="G312">INDEX(GMW!$A$2:$LR$60,MATCH(1,(GMW!$LQ$2:$LQ$60=G$3)*(GMW!$LP$2:$LP$60=G$4)*(GMW!$LR$2:$LR$60=G$1),0),$C312-1966)</f>
        <v>831394</v>
      </c>
      <c r="H312" s="4" cm="1">
        <f t="array" ref="H312">INDEX(GMW!$A$2:$LR$60,MATCH(1,(GMW!$LQ$2:$LQ$60=H$3)*(GMW!$LP$2:$LP$60=H$4)*(GMW!$LR$2:$LR$60=H$1),0),$C312-1966)</f>
        <v>837320.9</v>
      </c>
      <c r="I312" s="4" cm="1">
        <f t="array" ref="I312">INDEX(GMW!$A$2:$LR$60,MATCH(1,(GMW!$LQ$2:$LQ$60=I$3)*(GMW!$LP$2:$LP$60=I$4)*(GMW!$LR$2:$LR$60=I$1),0),$C312-1966)</f>
        <v>837706.1</v>
      </c>
      <c r="J312" s="4" cm="1">
        <f t="array" ref="J312">INDEX(GMW!$A$2:$LR$60,MATCH(1,(GMW!$LQ$2:$LQ$60=J$3)*(GMW!$LP$2:$LP$60=J$4)*(GMW!$LR$2:$LR$60=J$1),0),$C312-1966)</f>
        <v>837668.9</v>
      </c>
      <c r="K312" s="4" cm="1">
        <f t="array" ref="K312">INDEX(GMW!$A$2:$LR$60,MATCH(1,(GMW!$LQ$2:$LQ$60=K$3)*(GMW!$LP$2:$LP$60=K$4)*(GMW!$LR$2:$LR$60=K$1),0),$C312-1966)</f>
        <v>837632.3</v>
      </c>
      <c r="L312" s="4" cm="1">
        <f t="array" ref="L312">INDEX(GMW!$A$2:$LR$60,MATCH(1,(GMW!$LQ$2:$LQ$60=L$3)*(GMW!$LP$2:$LP$60=L$4)*(GMW!$LR$2:$LR$60=L$1),0),$C312-1966)</f>
        <v>837680.4</v>
      </c>
      <c r="M312" s="4" cm="1">
        <f t="array" ref="M312">INDEX(GMW!$A$2:$LR$60,MATCH(1,(GMW!$LQ$2:$LQ$60=M$3)*(GMW!$LP$2:$LP$60=M$4)*(GMW!$LR$2:$LR$60=M$1),0),$C312-1966)</f>
        <v>837680.4</v>
      </c>
      <c r="N312" s="4" cm="1">
        <f t="array" ref="N312">INDEX(GMW!$A$2:$LR$60,MATCH(1,(GMW!$LQ$2:$LQ$60=N$3)*(GMW!$LP$2:$LP$60=N$4)*(GMW!$LR$2:$LR$60=N$1),0),$C312-1966)</f>
        <v>842665.4</v>
      </c>
      <c r="O312" s="4" cm="1">
        <f t="array" ref="O312">INDEX(GMW!$A$2:$LR$60,MATCH(1,(GMW!$LQ$2:$LQ$60=O$3)*(GMW!$LP$2:$LP$60=O$4)*(GMW!$LR$2:$LR$60=O$1),0),$C312-1966)</f>
        <v>844533.8</v>
      </c>
      <c r="P312" s="4" cm="1">
        <f t="array" ref="P312">INDEX(GMW!$A$2:$LR$60,MATCH(1,(GMW!$LQ$2:$LQ$60=P$3)*(GMW!$LP$2:$LP$60=P$4)*(GMW!$LR$2:$LR$60=P$1),0),$C312-1966)</f>
        <v>844794.5</v>
      </c>
      <c r="Q312" s="4" cm="1">
        <f t="array" ref="Q312">INDEX(GMW!$A$2:$LR$60,MATCH(1,(GMW!$LQ$2:$LQ$60=Q$3)*(GMW!$LP$2:$LP$60=Q$4)*(GMW!$LR$2:$LR$60=Q$1),0),$C312-1966)</f>
        <v>847705.3</v>
      </c>
      <c r="R312" s="4" cm="1">
        <f t="array" ref="R312">INDEX(GMW!$A$2:$LR$60,MATCH(1,(GMW!$LQ$2:$LQ$60=R$3)*(GMW!$LP$2:$LP$60=R$4)*(GMW!$LR$2:$LR$60=R$1),0),$C312-1966)</f>
        <v>849567.4</v>
      </c>
      <c r="S312" s="4" cm="1">
        <f t="array" ref="S312">INDEX(GMW!$A$2:$LR$60,MATCH(1,(GMW!$LQ$2:$LQ$60=S$3)*(GMW!$LP$2:$LP$60=S$4)*(GMW!$LR$2:$LR$60=S$1),0),$C312-1966)</f>
        <v>846507.7</v>
      </c>
      <c r="T312" s="4" cm="1">
        <f t="array" ref="T312">INDEX(GMW!$A$2:$LR$60,MATCH(1,(GMW!$LQ$2:$LQ$60=T$3)*(GMW!$LP$2:$LP$60=T$4)*(GMW!$LR$2:$LR$60=T$1),0),$C312-1966)</f>
        <v>846828.1</v>
      </c>
      <c r="U312" s="4" cm="1">
        <f t="array" ref="U312">INDEX(GMW!$A$2:$LR$60,MATCH(1,(GMW!$LQ$2:$LQ$60=U$3)*(GMW!$LP$2:$LP$60=U$4)*(GMW!$LR$2:$LR$60=U$1),0),$C312-1966)</f>
        <v>1464.933</v>
      </c>
      <c r="V312" s="4" cm="1">
        <f t="array" ref="V312">INDEX(GMW!$A$2:$LR$60,MATCH(1,(GMW!$LQ$2:$LQ$60=V$3)*(GMW!$LP$2:$LP$60=V$4)*(GMW!$LR$2:$LR$60=V$1),0),$C312-1966)</f>
        <v>221.54580000000001</v>
      </c>
      <c r="W312" s="4" cm="1">
        <f t="array" ref="W312">INDEX(GMW!$A$2:$LR$60,MATCH(1,(GMW!$LQ$2:$LQ$60=W$3)*(GMW!$LP$2:$LP$60=W$4)*(GMW!$LR$2:$LR$60=W$1),0),$C312-1966)</f>
        <v>202.0951</v>
      </c>
      <c r="X312" s="4" cm="1">
        <f t="array" ref="X312">INDEX(GMW!$A$2:$LR$60,MATCH(1,(GMW!$LQ$2:$LQ$60=X$3)*(GMW!$LP$2:$LP$60=X$4)*(GMW!$LR$2:$LR$60=X$1),0),$C312-1966)</f>
        <v>127.88679999999999</v>
      </c>
      <c r="Y312" s="4" cm="1">
        <f t="array" ref="Y312">INDEX(GMW!$A$2:$LR$60,MATCH(1,(GMW!$LQ$2:$LQ$60=Y$3)*(GMW!$LP$2:$LP$60=Y$4)*(GMW!$LR$2:$LR$60=Y$1),0),$C312-1966)</f>
        <v>329.5804</v>
      </c>
      <c r="Z312" s="4" cm="1">
        <f t="array" ref="Z312">INDEX(GMW!$A$2:$LR$60,MATCH(1,(GMW!$LQ$2:$LQ$60=Z$3)*(GMW!$LP$2:$LP$60=Z$4)*(GMW!$LR$2:$LR$60=Z$1),0),$C312-1966)</f>
        <v>224.07089999999999</v>
      </c>
      <c r="AA312" s="4" cm="1">
        <f t="array" ref="AA312">INDEX(GMW!$A$2:$LR$60,MATCH(1,(GMW!$LQ$2:$LQ$60=AA$3)*(GMW!$LP$2:$LP$60=AA$4)*(GMW!$LR$2:$LR$60=AA$1),0),$C312-1966)</f>
        <v>502868.2</v>
      </c>
      <c r="AB312" s="4" cm="1">
        <f t="array" ref="AB312">INDEX(GMW!$A$2:$LR$60,MATCH(1,(GMW!$LQ$2:$LQ$60=AB$3)*(GMW!$LP$2:$LP$60=AB$4)*(GMW!$LR$2:$LR$60=AB$1),0),$C312-1966)</f>
        <v>177647.5</v>
      </c>
      <c r="AC312" s="4" cm="1">
        <f t="array" ref="AC312">INDEX(GMW!$A$2:$LR$60,MATCH(1,(GMW!$LQ$2:$LQ$60=AC$3)*(GMW!$LP$2:$LP$60=AC$4)*(GMW!$LR$2:$LR$60=AC$1),0),$C312-1966)</f>
        <v>176297.2</v>
      </c>
      <c r="AD312" s="4" cm="1">
        <f t="array" ref="AD312">INDEX(GMW!$A$2:$LR$60,MATCH(1,(GMW!$LQ$2:$LQ$60=AD$3)*(GMW!$LP$2:$LP$60=AD$4)*(GMW!$LR$2:$LR$60=AD$1),0),$C312-1966)</f>
        <v>281404.7</v>
      </c>
      <c r="AE312" s="4" cm="1">
        <f t="array" ref="AE312">INDEX(GMW!$A$2:$LR$60,MATCH(1,(GMW!$LQ$2:$LQ$60=AE$3)*(GMW!$LP$2:$LP$60=AE$4)*(GMW!$LR$2:$LR$60=AE$1),0),$C312-1966)</f>
        <v>316837.59999999998</v>
      </c>
      <c r="AF312" s="4" cm="1">
        <f t="array" ref="AF312">INDEX(GMW!$A$2:$LR$60,MATCH(1,(GMW!$LQ$2:$LQ$60=AF$3)*(GMW!$LP$2:$LP$60=AF$4)*(GMW!$LR$2:$LR$60=AF$1),0),$C312-1966)</f>
        <v>2.1064639999999999</v>
      </c>
      <c r="AG312" s="4" cm="1">
        <f t="array" ref="AG312">INDEX(GMW!$A$2:$LR$60,MATCH(1,(GMW!$LQ$2:$LQ$60=AG$3)*(GMW!$LP$2:$LP$60=AG$4)*(GMW!$LR$2:$LR$60=AG$1),0),$C312-1966)</f>
        <v>2.4334739999999999</v>
      </c>
    </row>
    <row r="313" spans="1:33" x14ac:dyDescent="0.25">
      <c r="B313" s="4">
        <f t="shared" si="9"/>
        <v>2049</v>
      </c>
      <c r="C313" s="4">
        <f t="shared" si="10"/>
        <v>2279</v>
      </c>
      <c r="D313" s="4" cm="1">
        <f t="array" ref="D313">INDEX(GMW!$A$2:$LR$60,MATCH(1,(GMW!$LQ$2:$LQ$60=D$3)*(GMW!$LP$2:$LP$60=D$4)*(GMW!$LR$2:$LR$60=D$1),0),$C313-1966)</f>
        <v>848447.4</v>
      </c>
      <c r="E313" s="4" cm="1">
        <f t="array" ref="E313">INDEX(GMW!$A$2:$LR$60,MATCH(1,(GMW!$LQ$2:$LQ$60=E$3)*(GMW!$LP$2:$LP$60=E$4)*(GMW!$LR$2:$LR$60=E$1),0),$C313-1966)</f>
        <v>834116.1</v>
      </c>
      <c r="F313" s="4" cm="1">
        <f t="array" ref="F313">INDEX(GMW!$A$2:$LR$60,MATCH(1,(GMW!$LQ$2:$LQ$60=F$3)*(GMW!$LP$2:$LP$60=F$4)*(GMW!$LR$2:$LR$60=F$1),0),$C313-1966)</f>
        <v>834421.9</v>
      </c>
      <c r="G313" s="4" cm="1">
        <f t="array" ref="G313">INDEX(GMW!$A$2:$LR$60,MATCH(1,(GMW!$LQ$2:$LQ$60=G$3)*(GMW!$LP$2:$LP$60=G$4)*(GMW!$LR$2:$LR$60=G$1),0),$C313-1966)</f>
        <v>834421.9</v>
      </c>
      <c r="H313" s="4" cm="1">
        <f t="array" ref="H313">INDEX(GMW!$A$2:$LR$60,MATCH(1,(GMW!$LQ$2:$LQ$60=H$3)*(GMW!$LP$2:$LP$60=H$4)*(GMW!$LR$2:$LR$60=H$1),0),$C313-1966)</f>
        <v>840392.8</v>
      </c>
      <c r="I313" s="4" cm="1">
        <f t="array" ref="I313">INDEX(GMW!$A$2:$LR$60,MATCH(1,(GMW!$LQ$2:$LQ$60=I$3)*(GMW!$LP$2:$LP$60=I$4)*(GMW!$LR$2:$LR$60=I$1),0),$C313-1966)</f>
        <v>840752.9</v>
      </c>
      <c r="J313" s="4" cm="1">
        <f t="array" ref="J313">INDEX(GMW!$A$2:$LR$60,MATCH(1,(GMW!$LQ$2:$LQ$60=J$3)*(GMW!$LP$2:$LP$60=J$4)*(GMW!$LR$2:$LR$60=J$1),0),$C313-1966)</f>
        <v>840715.5</v>
      </c>
      <c r="K313" s="4" cm="1">
        <f t="array" ref="K313">INDEX(GMW!$A$2:$LR$60,MATCH(1,(GMW!$LQ$2:$LQ$60=K$3)*(GMW!$LP$2:$LP$60=K$4)*(GMW!$LR$2:$LR$60=K$1),0),$C313-1966)</f>
        <v>840680.7</v>
      </c>
      <c r="L313" s="4" cm="1">
        <f t="array" ref="L313">INDEX(GMW!$A$2:$LR$60,MATCH(1,(GMW!$LQ$2:$LQ$60=L$3)*(GMW!$LP$2:$LP$60=L$4)*(GMW!$LR$2:$LR$60=L$1),0),$C313-1966)</f>
        <v>840729.1</v>
      </c>
      <c r="M313" s="4" cm="1">
        <f t="array" ref="M313">INDEX(GMW!$A$2:$LR$60,MATCH(1,(GMW!$LQ$2:$LQ$60=M$3)*(GMW!$LP$2:$LP$60=M$4)*(GMW!$LR$2:$LR$60=M$1),0),$C313-1966)</f>
        <v>840729.1</v>
      </c>
      <c r="N313" s="4" cm="1">
        <f t="array" ref="N313">INDEX(GMW!$A$2:$LR$60,MATCH(1,(GMW!$LQ$2:$LQ$60=N$3)*(GMW!$LP$2:$LP$60=N$4)*(GMW!$LR$2:$LR$60=N$1),0),$C313-1966)</f>
        <v>845777.8</v>
      </c>
      <c r="O313" s="4" cm="1">
        <f t="array" ref="O313">INDEX(GMW!$A$2:$LR$60,MATCH(1,(GMW!$LQ$2:$LQ$60=O$3)*(GMW!$LP$2:$LP$60=O$4)*(GMW!$LR$2:$LR$60=O$1),0),$C313-1966)</f>
        <v>847681.8</v>
      </c>
      <c r="P313" s="4" cm="1">
        <f t="array" ref="P313">INDEX(GMW!$A$2:$LR$60,MATCH(1,(GMW!$LQ$2:$LQ$60=P$3)*(GMW!$LP$2:$LP$60=P$4)*(GMW!$LR$2:$LR$60=P$1),0),$C313-1966)</f>
        <v>847942.4</v>
      </c>
      <c r="Q313" s="4" cm="1">
        <f t="array" ref="Q313">INDEX(GMW!$A$2:$LR$60,MATCH(1,(GMW!$LQ$2:$LQ$60=Q$3)*(GMW!$LP$2:$LP$60=Q$4)*(GMW!$LR$2:$LR$60=Q$1),0),$C313-1966)</f>
        <v>850838.5</v>
      </c>
      <c r="R313" s="4" cm="1">
        <f t="array" ref="R313">INDEX(GMW!$A$2:$LR$60,MATCH(1,(GMW!$LQ$2:$LQ$60=R$3)*(GMW!$LP$2:$LP$60=R$4)*(GMW!$LR$2:$LR$60=R$1),0),$C313-1966)</f>
        <v>852733.7</v>
      </c>
      <c r="S313" s="4" cm="1">
        <f t="array" ref="S313">INDEX(GMW!$A$2:$LR$60,MATCH(1,(GMW!$LQ$2:$LQ$60=S$3)*(GMW!$LP$2:$LP$60=S$4)*(GMW!$LR$2:$LR$60=S$1),0),$C313-1966)</f>
        <v>849661.6</v>
      </c>
      <c r="T313" s="4" cm="1">
        <f t="array" ref="T313">INDEX(GMW!$A$2:$LR$60,MATCH(1,(GMW!$LQ$2:$LQ$60=T$3)*(GMW!$LP$2:$LP$60=T$4)*(GMW!$LR$2:$LR$60=T$1),0),$C313-1966)</f>
        <v>849978.4</v>
      </c>
      <c r="U313" s="4" cm="1">
        <f t="array" ref="U313">INDEX(GMW!$A$2:$LR$60,MATCH(1,(GMW!$LQ$2:$LQ$60=U$3)*(GMW!$LP$2:$LP$60=U$4)*(GMW!$LR$2:$LR$60=U$1),0),$C313-1966)</f>
        <v>1476.395</v>
      </c>
      <c r="V313" s="4" cm="1">
        <f t="array" ref="V313">INDEX(GMW!$A$2:$LR$60,MATCH(1,(GMW!$LQ$2:$LQ$60=V$3)*(GMW!$LP$2:$LP$60=V$4)*(GMW!$LR$2:$LR$60=V$1),0),$C313-1966)</f>
        <v>222.59620000000001</v>
      </c>
      <c r="W313" s="4" cm="1">
        <f t="array" ref="W313">INDEX(GMW!$A$2:$LR$60,MATCH(1,(GMW!$LQ$2:$LQ$60=W$3)*(GMW!$LP$2:$LP$60=W$4)*(GMW!$LR$2:$LR$60=W$1),0),$C313-1966)</f>
        <v>201.8467</v>
      </c>
      <c r="X313" s="4" cm="1">
        <f t="array" ref="X313">INDEX(GMW!$A$2:$LR$60,MATCH(1,(GMW!$LQ$2:$LQ$60=X$3)*(GMW!$LP$2:$LP$60=X$4)*(GMW!$LR$2:$LR$60=X$1),0),$C313-1966)</f>
        <v>127.9384</v>
      </c>
      <c r="Y313" s="4" cm="1">
        <f t="array" ref="Y313">INDEX(GMW!$A$2:$LR$60,MATCH(1,(GMW!$LQ$2:$LQ$60=Y$3)*(GMW!$LP$2:$LP$60=Y$4)*(GMW!$LR$2:$LR$60=Y$1),0),$C313-1966)</f>
        <v>332.43950000000001</v>
      </c>
      <c r="Z313" s="4" cm="1">
        <f t="array" ref="Z313">INDEX(GMW!$A$2:$LR$60,MATCH(1,(GMW!$LQ$2:$LQ$60=Z$3)*(GMW!$LP$2:$LP$60=Z$4)*(GMW!$LR$2:$LR$60=Z$1),0),$C313-1966)</f>
        <v>225.38810000000001</v>
      </c>
      <c r="AA313" s="4" cm="1">
        <f t="array" ref="AA313">INDEX(GMW!$A$2:$LR$60,MATCH(1,(GMW!$LQ$2:$LQ$60=AA$3)*(GMW!$LP$2:$LP$60=AA$4)*(GMW!$LR$2:$LR$60=AA$1),0),$C313-1966)</f>
        <v>504751</v>
      </c>
      <c r="AB313" s="4" cm="1">
        <f t="array" ref="AB313">INDEX(GMW!$A$2:$LR$60,MATCH(1,(GMW!$LQ$2:$LQ$60=AB$3)*(GMW!$LP$2:$LP$60=AB$4)*(GMW!$LR$2:$LR$60=AB$1),0),$C313-1966)</f>
        <v>178501.6</v>
      </c>
      <c r="AC313" s="4" cm="1">
        <f t="array" ref="AC313">INDEX(GMW!$A$2:$LR$60,MATCH(1,(GMW!$LQ$2:$LQ$60=AC$3)*(GMW!$LP$2:$LP$60=AC$4)*(GMW!$LR$2:$LR$60=AC$1),0),$C313-1966)</f>
        <v>176962.2</v>
      </c>
      <c r="AD313" s="4" cm="1">
        <f t="array" ref="AD313">INDEX(GMW!$A$2:$LR$60,MATCH(1,(GMW!$LQ$2:$LQ$60=AD$3)*(GMW!$LP$2:$LP$60=AD$4)*(GMW!$LR$2:$LR$60=AD$1),0),$C313-1966)</f>
        <v>282738.2</v>
      </c>
      <c r="AE313" s="4" cm="1">
        <f t="array" ref="AE313">INDEX(GMW!$A$2:$LR$60,MATCH(1,(GMW!$LQ$2:$LQ$60=AE$3)*(GMW!$LP$2:$LP$60=AE$4)*(GMW!$LR$2:$LR$60=AE$1),0),$C313-1966)</f>
        <v>318495.8</v>
      </c>
      <c r="AF313" s="4" cm="1">
        <f t="array" ref="AF313">INDEX(GMW!$A$2:$LR$60,MATCH(1,(GMW!$LQ$2:$LQ$60=AF$3)*(GMW!$LP$2:$LP$60=AF$4)*(GMW!$LR$2:$LR$60=AF$1),0),$C313-1966)</f>
        <v>2.1064639999999999</v>
      </c>
      <c r="AG313" s="4" cm="1">
        <f t="array" ref="AG313">INDEX(GMW!$A$2:$LR$60,MATCH(1,(GMW!$LQ$2:$LQ$60=AG$3)*(GMW!$LP$2:$LP$60=AG$4)*(GMW!$LR$2:$LR$60=AG$1),0),$C313-1966)</f>
        <v>2.4334739999999999</v>
      </c>
    </row>
    <row r="314" spans="1:33" x14ac:dyDescent="0.25">
      <c r="B314" s="4">
        <f t="shared" si="9"/>
        <v>2049</v>
      </c>
      <c r="C314" s="4">
        <f t="shared" si="10"/>
        <v>2280</v>
      </c>
      <c r="D314" s="4" cm="1">
        <f t="array" ref="D314">INDEX(GMW!$A$2:$LR$60,MATCH(1,(GMW!$LQ$2:$LQ$60=D$3)*(GMW!$LP$2:$LP$60=D$4)*(GMW!$LR$2:$LR$60=D$1),0),$C314-1966)</f>
        <v>851601.7</v>
      </c>
      <c r="E314" s="4" cm="1">
        <f t="array" ref="E314">INDEX(GMW!$A$2:$LR$60,MATCH(1,(GMW!$LQ$2:$LQ$60=E$3)*(GMW!$LP$2:$LP$60=E$4)*(GMW!$LR$2:$LR$60=E$1),0),$C314-1966)</f>
        <v>837150.2</v>
      </c>
      <c r="F314" s="4" cm="1">
        <f t="array" ref="F314">INDEX(GMW!$A$2:$LR$60,MATCH(1,(GMW!$LQ$2:$LQ$60=F$3)*(GMW!$LP$2:$LP$60=F$4)*(GMW!$LR$2:$LR$60=F$1),0),$C314-1966)</f>
        <v>837456.6</v>
      </c>
      <c r="G314" s="4" cm="1">
        <f t="array" ref="G314">INDEX(GMW!$A$2:$LR$60,MATCH(1,(GMW!$LQ$2:$LQ$60=G$3)*(GMW!$LP$2:$LP$60=G$4)*(GMW!$LR$2:$LR$60=G$1),0),$C314-1966)</f>
        <v>837456.6</v>
      </c>
      <c r="H314" s="4" cm="1">
        <f t="array" ref="H314">INDEX(GMW!$A$2:$LR$60,MATCH(1,(GMW!$LQ$2:$LQ$60=H$3)*(GMW!$LP$2:$LP$60=H$4)*(GMW!$LR$2:$LR$60=H$1),0),$C314-1966)</f>
        <v>843472.7</v>
      </c>
      <c r="I314" s="4" cm="1">
        <f t="array" ref="I314">INDEX(GMW!$A$2:$LR$60,MATCH(1,(GMW!$LQ$2:$LQ$60=I$3)*(GMW!$LP$2:$LP$60=I$4)*(GMW!$LR$2:$LR$60=I$1),0),$C314-1966)</f>
        <v>843807.2</v>
      </c>
      <c r="J314" s="4" cm="1">
        <f t="array" ref="J314">INDEX(GMW!$A$2:$LR$60,MATCH(1,(GMW!$LQ$2:$LQ$60=J$3)*(GMW!$LP$2:$LP$60=J$4)*(GMW!$LR$2:$LR$60=J$1),0),$C314-1966)</f>
        <v>843769.6</v>
      </c>
      <c r="K314" s="4" cm="1">
        <f t="array" ref="K314">INDEX(GMW!$A$2:$LR$60,MATCH(1,(GMW!$LQ$2:$LQ$60=K$3)*(GMW!$LP$2:$LP$60=K$4)*(GMW!$LR$2:$LR$60=K$1),0),$C314-1966)</f>
        <v>843736.4</v>
      </c>
      <c r="L314" s="4" cm="1">
        <f t="array" ref="L314">INDEX(GMW!$A$2:$LR$60,MATCH(1,(GMW!$LQ$2:$LQ$60=L$3)*(GMW!$LP$2:$LP$60=L$4)*(GMW!$LR$2:$LR$60=L$1),0),$C314-1966)</f>
        <v>843785.1</v>
      </c>
      <c r="M314" s="4" cm="1">
        <f t="array" ref="M314">INDEX(GMW!$A$2:$LR$60,MATCH(1,(GMW!$LQ$2:$LQ$60=M$3)*(GMW!$LP$2:$LP$60=M$4)*(GMW!$LR$2:$LR$60=M$1),0),$C314-1966)</f>
        <v>843785.1</v>
      </c>
      <c r="N314" s="4" cm="1">
        <f t="array" ref="N314">INDEX(GMW!$A$2:$LR$60,MATCH(1,(GMW!$LQ$2:$LQ$60=N$3)*(GMW!$LP$2:$LP$60=N$4)*(GMW!$LR$2:$LR$60=N$1),0),$C314-1966)</f>
        <v>848897.9</v>
      </c>
      <c r="O314" s="4" cm="1">
        <f t="array" ref="O314">INDEX(GMW!$A$2:$LR$60,MATCH(1,(GMW!$LQ$2:$LQ$60=O$3)*(GMW!$LP$2:$LP$60=O$4)*(GMW!$LR$2:$LR$60=O$1),0),$C314-1966)</f>
        <v>850838.3</v>
      </c>
      <c r="P314" s="4" cm="1">
        <f t="array" ref="P314">INDEX(GMW!$A$2:$LR$60,MATCH(1,(GMW!$LQ$2:$LQ$60=P$3)*(GMW!$LP$2:$LP$60=P$4)*(GMW!$LR$2:$LR$60=P$1),0),$C314-1966)</f>
        <v>851098.8</v>
      </c>
      <c r="Q314" s="4" cm="1">
        <f t="array" ref="Q314">INDEX(GMW!$A$2:$LR$60,MATCH(1,(GMW!$LQ$2:$LQ$60=Q$3)*(GMW!$LP$2:$LP$60=Q$4)*(GMW!$LR$2:$LR$60=Q$1),0),$C314-1966)</f>
        <v>853979.4</v>
      </c>
      <c r="R314" s="4" cm="1">
        <f t="array" ref="R314">INDEX(GMW!$A$2:$LR$60,MATCH(1,(GMW!$LQ$2:$LQ$60=R$3)*(GMW!$LP$2:$LP$60=R$4)*(GMW!$LR$2:$LR$60=R$1),0),$C314-1966)</f>
        <v>855907.8</v>
      </c>
      <c r="S314" s="4" cm="1">
        <f t="array" ref="S314">INDEX(GMW!$A$2:$LR$60,MATCH(1,(GMW!$LQ$2:$LQ$60=S$3)*(GMW!$LP$2:$LP$60=S$4)*(GMW!$LR$2:$LR$60=S$1),0),$C314-1966)</f>
        <v>852823.4</v>
      </c>
      <c r="T314" s="4" cm="1">
        <f t="array" ref="T314">INDEX(GMW!$A$2:$LR$60,MATCH(1,(GMW!$LQ$2:$LQ$60=T$3)*(GMW!$LP$2:$LP$60=T$4)*(GMW!$LR$2:$LR$60=T$1),0),$C314-1966)</f>
        <v>853136.6</v>
      </c>
      <c r="U314" s="4" cm="1">
        <f t="array" ref="U314">INDEX(GMW!$A$2:$LR$60,MATCH(1,(GMW!$LQ$2:$LQ$60=U$3)*(GMW!$LP$2:$LP$60=U$4)*(GMW!$LR$2:$LR$60=U$1),0),$C314-1966)</f>
        <v>1487.94</v>
      </c>
      <c r="V314" s="4" cm="1">
        <f t="array" ref="V314">INDEX(GMW!$A$2:$LR$60,MATCH(1,(GMW!$LQ$2:$LQ$60=V$3)*(GMW!$LP$2:$LP$60=V$4)*(GMW!$LR$2:$LR$60=V$1),0),$C314-1966)</f>
        <v>223.6696</v>
      </c>
      <c r="W314" s="4" cm="1">
        <f t="array" ref="W314">INDEX(GMW!$A$2:$LR$60,MATCH(1,(GMW!$LQ$2:$LQ$60=W$3)*(GMW!$LP$2:$LP$60=W$4)*(GMW!$LR$2:$LR$60=W$1),0),$C314-1966)</f>
        <v>202.7535</v>
      </c>
      <c r="X314" s="4" cm="1">
        <f t="array" ref="X314">INDEX(GMW!$A$2:$LR$60,MATCH(1,(GMW!$LQ$2:$LQ$60=X$3)*(GMW!$LP$2:$LP$60=X$4)*(GMW!$LR$2:$LR$60=X$1),0),$C314-1966)</f>
        <v>127.99</v>
      </c>
      <c r="Y314" s="4" cm="1">
        <f t="array" ref="Y314">INDEX(GMW!$A$2:$LR$60,MATCH(1,(GMW!$LQ$2:$LQ$60=Y$3)*(GMW!$LP$2:$LP$60=Y$4)*(GMW!$LR$2:$LR$60=Y$1),0),$C314-1966)</f>
        <v>335.35199999999998</v>
      </c>
      <c r="Z314" s="4" cm="1">
        <f t="array" ref="Z314">INDEX(GMW!$A$2:$LR$60,MATCH(1,(GMW!$LQ$2:$LQ$60=Z$3)*(GMW!$LP$2:$LP$60=Z$4)*(GMW!$LR$2:$LR$60=Z$1),0),$C314-1966)</f>
        <v>226.48230000000001</v>
      </c>
      <c r="AA314" s="4" cm="1">
        <f t="array" ref="AA314">INDEX(GMW!$A$2:$LR$60,MATCH(1,(GMW!$LQ$2:$LQ$60=AA$3)*(GMW!$LP$2:$LP$60=AA$4)*(GMW!$LR$2:$LR$60=AA$1),0),$C314-1966)</f>
        <v>506638.7</v>
      </c>
      <c r="AB314" s="4" cm="1">
        <f t="array" ref="AB314">INDEX(GMW!$A$2:$LR$60,MATCH(1,(GMW!$LQ$2:$LQ$60=AB$3)*(GMW!$LP$2:$LP$60=AB$4)*(GMW!$LR$2:$LR$60=AB$1),0),$C314-1966)</f>
        <v>179359</v>
      </c>
      <c r="AC314" s="4" cm="1">
        <f t="array" ref="AC314">INDEX(GMW!$A$2:$LR$60,MATCH(1,(GMW!$LQ$2:$LQ$60=AC$3)*(GMW!$LP$2:$LP$60=AC$4)*(GMW!$LR$2:$LR$60=AC$1),0),$C314-1966)</f>
        <v>177629</v>
      </c>
      <c r="AD314" s="4" cm="1">
        <f t="array" ref="AD314">INDEX(GMW!$A$2:$LR$60,MATCH(1,(GMW!$LQ$2:$LQ$60=AD$3)*(GMW!$LP$2:$LP$60=AD$4)*(GMW!$LR$2:$LR$60=AD$1),0),$C314-1966)</f>
        <v>284077.09999999998</v>
      </c>
      <c r="AE314" s="4" cm="1">
        <f t="array" ref="AE314">INDEX(GMW!$A$2:$LR$60,MATCH(1,(GMW!$LQ$2:$LQ$60=AE$3)*(GMW!$LP$2:$LP$60=AE$4)*(GMW!$LR$2:$LR$60=AE$1),0),$C314-1966)</f>
        <v>320161.7</v>
      </c>
      <c r="AF314" s="4" cm="1">
        <f t="array" ref="AF314">INDEX(GMW!$A$2:$LR$60,MATCH(1,(GMW!$LQ$2:$LQ$60=AF$3)*(GMW!$LP$2:$LP$60=AF$4)*(GMW!$LR$2:$LR$60=AF$1),0),$C314-1966)</f>
        <v>2.1064639999999999</v>
      </c>
      <c r="AG314" s="4" cm="1">
        <f t="array" ref="AG314">INDEX(GMW!$A$2:$LR$60,MATCH(1,(GMW!$LQ$2:$LQ$60=AG$3)*(GMW!$LP$2:$LP$60=AG$4)*(GMW!$LR$2:$LR$60=AG$1),0),$C314-1966)</f>
        <v>2.4334739999999999</v>
      </c>
    </row>
    <row r="315" spans="1:33" x14ac:dyDescent="0.25">
      <c r="A315" s="4">
        <v>2050</v>
      </c>
      <c r="B315" s="4">
        <f t="shared" si="9"/>
        <v>2050</v>
      </c>
      <c r="C315" s="4">
        <f t="shared" si="10"/>
        <v>2281</v>
      </c>
      <c r="D315" s="4" cm="1">
        <f t="array" ref="D315">INDEX(GMW!$A$2:$LR$60,MATCH(1,(GMW!$LQ$2:$LQ$60=D$3)*(GMW!$LP$2:$LP$60=D$4)*(GMW!$LR$2:$LR$60=D$1),0),$C315-1966)</f>
        <v>854763.5</v>
      </c>
      <c r="E315" s="4" cm="1">
        <f t="array" ref="E315">INDEX(GMW!$A$2:$LR$60,MATCH(1,(GMW!$LQ$2:$LQ$60=E$3)*(GMW!$LP$2:$LP$60=E$4)*(GMW!$LR$2:$LR$60=E$1),0),$C315-1966)</f>
        <v>840191</v>
      </c>
      <c r="F315" s="4" cm="1">
        <f t="array" ref="F315">INDEX(GMW!$A$2:$LR$60,MATCH(1,(GMW!$LQ$2:$LQ$60=F$3)*(GMW!$LP$2:$LP$60=F$4)*(GMW!$LR$2:$LR$60=F$1),0),$C315-1966)</f>
        <v>840498</v>
      </c>
      <c r="G315" s="4" cm="1">
        <f t="array" ref="G315">INDEX(GMW!$A$2:$LR$60,MATCH(1,(GMW!$LQ$2:$LQ$60=G$3)*(GMW!$LP$2:$LP$60=G$4)*(GMW!$LR$2:$LR$60=G$1),0),$C315-1966)</f>
        <v>840498</v>
      </c>
      <c r="H315" s="4" cm="1">
        <f t="array" ref="H315">INDEX(GMW!$A$2:$LR$60,MATCH(1,(GMW!$LQ$2:$LQ$60=H$3)*(GMW!$LP$2:$LP$60=H$4)*(GMW!$LR$2:$LR$60=H$1),0),$C315-1966)</f>
        <v>846560.2</v>
      </c>
      <c r="I315" s="4" cm="1">
        <f t="array" ref="I315">INDEX(GMW!$A$2:$LR$60,MATCH(1,(GMW!$LQ$2:$LQ$60=I$3)*(GMW!$LP$2:$LP$60=I$4)*(GMW!$LR$2:$LR$60=I$1),0),$C315-1966)</f>
        <v>846868.7</v>
      </c>
      <c r="J315" s="4" cm="1">
        <f t="array" ref="J315">INDEX(GMW!$A$2:$LR$60,MATCH(1,(GMW!$LQ$2:$LQ$60=J$3)*(GMW!$LP$2:$LP$60=J$4)*(GMW!$LR$2:$LR$60=J$1),0),$C315-1966)</f>
        <v>846831</v>
      </c>
      <c r="K315" s="4" cm="1">
        <f t="array" ref="K315">INDEX(GMW!$A$2:$LR$60,MATCH(1,(GMW!$LQ$2:$LQ$60=K$3)*(GMW!$LP$2:$LP$60=K$4)*(GMW!$LR$2:$LR$60=K$1),0),$C315-1966)</f>
        <v>846799.6</v>
      </c>
      <c r="L315" s="4" cm="1">
        <f t="array" ref="L315">INDEX(GMW!$A$2:$LR$60,MATCH(1,(GMW!$LQ$2:$LQ$60=L$3)*(GMW!$LP$2:$LP$60=L$4)*(GMW!$LR$2:$LR$60=L$1),0),$C315-1966)</f>
        <v>846848.7</v>
      </c>
      <c r="M315" s="4" cm="1">
        <f t="array" ref="M315">INDEX(GMW!$A$2:$LR$60,MATCH(1,(GMW!$LQ$2:$LQ$60=M$3)*(GMW!$LP$2:$LP$60=M$4)*(GMW!$LR$2:$LR$60=M$1),0),$C315-1966)</f>
        <v>846848.7</v>
      </c>
      <c r="N315" s="4" cm="1">
        <f t="array" ref="N315">INDEX(GMW!$A$2:$LR$60,MATCH(1,(GMW!$LQ$2:$LQ$60=N$3)*(GMW!$LP$2:$LP$60=N$4)*(GMW!$LR$2:$LR$60=N$1),0),$C315-1966)</f>
        <v>852026.1</v>
      </c>
      <c r="O315" s="4" cm="1">
        <f t="array" ref="O315">INDEX(GMW!$A$2:$LR$60,MATCH(1,(GMW!$LQ$2:$LQ$60=O$3)*(GMW!$LP$2:$LP$60=O$4)*(GMW!$LR$2:$LR$60=O$1),0),$C315-1966)</f>
        <v>854003.3</v>
      </c>
      <c r="P315" s="4" cm="1">
        <f t="array" ref="P315">INDEX(GMW!$A$2:$LR$60,MATCH(1,(GMW!$LQ$2:$LQ$60=P$3)*(GMW!$LP$2:$LP$60=P$4)*(GMW!$LR$2:$LR$60=P$1),0),$C315-1966)</f>
        <v>854263.6</v>
      </c>
      <c r="Q315" s="4" cm="1">
        <f t="array" ref="Q315">INDEX(GMW!$A$2:$LR$60,MATCH(1,(GMW!$LQ$2:$LQ$60=Q$3)*(GMW!$LP$2:$LP$60=Q$4)*(GMW!$LR$2:$LR$60=Q$1),0),$C315-1966)</f>
        <v>857127.6</v>
      </c>
      <c r="R315" s="4" cm="1">
        <f t="array" ref="R315">INDEX(GMW!$A$2:$LR$60,MATCH(1,(GMW!$LQ$2:$LQ$60=R$3)*(GMW!$LP$2:$LP$60=R$4)*(GMW!$LR$2:$LR$60=R$1),0),$C315-1966)</f>
        <v>859089.3</v>
      </c>
      <c r="S315" s="4" cm="1">
        <f t="array" ref="S315">INDEX(GMW!$A$2:$LR$60,MATCH(1,(GMW!$LQ$2:$LQ$60=S$3)*(GMW!$LP$2:$LP$60=S$4)*(GMW!$LR$2:$LR$60=S$1),0),$C315-1966)</f>
        <v>855992.7</v>
      </c>
      <c r="T315" s="4" cm="1">
        <f t="array" ref="T315">INDEX(GMW!$A$2:$LR$60,MATCH(1,(GMW!$LQ$2:$LQ$60=T$3)*(GMW!$LP$2:$LP$60=T$4)*(GMW!$LR$2:$LR$60=T$1),0),$C315-1966)</f>
        <v>856302.4</v>
      </c>
      <c r="U315" s="4" cm="1">
        <f t="array" ref="U315">INDEX(GMW!$A$2:$LR$60,MATCH(1,(GMW!$LQ$2:$LQ$60=U$3)*(GMW!$LP$2:$LP$60=U$4)*(GMW!$LR$2:$LR$60=U$1),0),$C315-1966)</f>
        <v>1499.57</v>
      </c>
      <c r="V315" s="4" cm="1">
        <f t="array" ref="V315">INDEX(GMW!$A$2:$LR$60,MATCH(1,(GMW!$LQ$2:$LQ$60=V$3)*(GMW!$LP$2:$LP$60=V$4)*(GMW!$LR$2:$LR$60=V$1),0),$C315-1966)</f>
        <v>224.01990000000001</v>
      </c>
      <c r="W315" s="4" cm="1">
        <f t="array" ref="W315">INDEX(GMW!$A$2:$LR$60,MATCH(1,(GMW!$LQ$2:$LQ$60=W$3)*(GMW!$LP$2:$LP$60=W$4)*(GMW!$LR$2:$LR$60=W$1),0),$C315-1966)</f>
        <v>204.62010000000001</v>
      </c>
      <c r="X315" s="4" cm="1">
        <f t="array" ref="X315">INDEX(GMW!$A$2:$LR$60,MATCH(1,(GMW!$LQ$2:$LQ$60=X$3)*(GMW!$LP$2:$LP$60=X$4)*(GMW!$LR$2:$LR$60=X$1),0),$C315-1966)</f>
        <v>128.02959999999999</v>
      </c>
      <c r="Y315" s="4" cm="1">
        <f t="array" ref="Y315">INDEX(GMW!$A$2:$LR$60,MATCH(1,(GMW!$LQ$2:$LQ$60=Y$3)*(GMW!$LP$2:$LP$60=Y$4)*(GMW!$LR$2:$LR$60=Y$1),0),$C315-1966)</f>
        <v>338.17599999999999</v>
      </c>
      <c r="Z315" s="4" cm="1">
        <f t="array" ref="Z315">INDEX(GMW!$A$2:$LR$60,MATCH(1,(GMW!$LQ$2:$LQ$60=Z$3)*(GMW!$LP$2:$LP$60=Z$4)*(GMW!$LR$2:$LR$60=Z$1),0),$C315-1966)</f>
        <v>226.42689999999999</v>
      </c>
      <c r="AA315" s="4" cm="1">
        <f t="array" ref="AA315">INDEX(GMW!$A$2:$LR$60,MATCH(1,(GMW!$LQ$2:$LQ$60=AA$3)*(GMW!$LP$2:$LP$60=AA$4)*(GMW!$LR$2:$LR$60=AA$1),0),$C315-1966)</f>
        <v>508530.8</v>
      </c>
      <c r="AB315" s="4" cm="1">
        <f t="array" ref="AB315">INDEX(GMW!$A$2:$LR$60,MATCH(1,(GMW!$LQ$2:$LQ$60=AB$3)*(GMW!$LP$2:$LP$60=AB$4)*(GMW!$LR$2:$LR$60=AB$1),0),$C315-1966)</f>
        <v>180219.7</v>
      </c>
      <c r="AC315" s="4" cm="1">
        <f t="array" ref="AC315">INDEX(GMW!$A$2:$LR$60,MATCH(1,(GMW!$LQ$2:$LQ$60=AC$3)*(GMW!$LP$2:$LP$60=AC$4)*(GMW!$LR$2:$LR$60=AC$1),0),$C315-1966)</f>
        <v>178297.3</v>
      </c>
      <c r="AD315" s="4" cm="1">
        <f t="array" ref="AD315">INDEX(GMW!$A$2:$LR$60,MATCH(1,(GMW!$LQ$2:$LQ$60=AD$3)*(GMW!$LP$2:$LP$60=AD$4)*(GMW!$LR$2:$LR$60=AD$1),0),$C315-1966)</f>
        <v>285421.3</v>
      </c>
      <c r="AE315" s="4" cm="1">
        <f t="array" ref="AE315">INDEX(GMW!$A$2:$LR$60,MATCH(1,(GMW!$LQ$2:$LQ$60=AE$3)*(GMW!$LP$2:$LP$60=AE$4)*(GMW!$LR$2:$LR$60=AE$1),0),$C315-1966)</f>
        <v>321835</v>
      </c>
      <c r="AF315" s="4" cm="1">
        <f t="array" ref="AF315">INDEX(GMW!$A$2:$LR$60,MATCH(1,(GMW!$LQ$2:$LQ$60=AF$3)*(GMW!$LP$2:$LP$60=AF$4)*(GMW!$LR$2:$LR$60=AF$1),0),$C315-1966)</f>
        <v>2.1064639999999999</v>
      </c>
      <c r="AG315" s="4" cm="1">
        <f t="array" ref="AG315">INDEX(GMW!$A$2:$LR$60,MATCH(1,(GMW!$LQ$2:$LQ$60=AG$3)*(GMW!$LP$2:$LP$60=AG$4)*(GMW!$LR$2:$LR$60=AG$1),0),$C315-1966)</f>
        <v>2.4334739999999999</v>
      </c>
    </row>
    <row r="316" spans="1:33" x14ac:dyDescent="0.25">
      <c r="B316" s="4">
        <f t="shared" si="9"/>
        <v>2050</v>
      </c>
      <c r="C316" s="4">
        <f t="shared" si="10"/>
        <v>2282</v>
      </c>
      <c r="D316" s="4" cm="1">
        <f t="array" ref="D316">INDEX(GMW!$A$2:$LR$60,MATCH(1,(GMW!$LQ$2:$LQ$60=D$3)*(GMW!$LP$2:$LP$60=D$4)*(GMW!$LR$2:$LR$60=D$1),0),$C316-1966)</f>
        <v>857933.4</v>
      </c>
      <c r="E316" s="4" cm="1">
        <f t="array" ref="E316">INDEX(GMW!$A$2:$LR$60,MATCH(1,(GMW!$LQ$2:$LQ$60=E$3)*(GMW!$LP$2:$LP$60=E$4)*(GMW!$LR$2:$LR$60=E$1),0),$C316-1966)</f>
        <v>843238.9</v>
      </c>
      <c r="F316" s="4" cm="1">
        <f t="array" ref="F316">INDEX(GMW!$A$2:$LR$60,MATCH(1,(GMW!$LQ$2:$LQ$60=F$3)*(GMW!$LP$2:$LP$60=F$4)*(GMW!$LR$2:$LR$60=F$1),0),$C316-1966)</f>
        <v>843546.4</v>
      </c>
      <c r="G316" s="4" cm="1">
        <f t="array" ref="G316">INDEX(GMW!$A$2:$LR$60,MATCH(1,(GMW!$LQ$2:$LQ$60=G$3)*(GMW!$LP$2:$LP$60=G$4)*(GMW!$LR$2:$LR$60=G$1),0),$C316-1966)</f>
        <v>843546.4</v>
      </c>
      <c r="H316" s="4" cm="1">
        <f t="array" ref="H316">INDEX(GMW!$A$2:$LR$60,MATCH(1,(GMW!$LQ$2:$LQ$60=H$3)*(GMW!$LP$2:$LP$60=H$4)*(GMW!$LR$2:$LR$60=H$1),0),$C316-1966)</f>
        <v>849655.8</v>
      </c>
      <c r="I316" s="4" cm="1">
        <f t="array" ref="I316">INDEX(GMW!$A$2:$LR$60,MATCH(1,(GMW!$LQ$2:$LQ$60=I$3)*(GMW!$LP$2:$LP$60=I$4)*(GMW!$LR$2:$LR$60=I$1),0),$C316-1966)</f>
        <v>849937.8</v>
      </c>
      <c r="J316" s="4" cm="1">
        <f t="array" ref="J316">INDEX(GMW!$A$2:$LR$60,MATCH(1,(GMW!$LQ$2:$LQ$60=J$3)*(GMW!$LP$2:$LP$60=J$4)*(GMW!$LR$2:$LR$60=J$1),0),$C316-1966)</f>
        <v>849899.9</v>
      </c>
      <c r="K316" s="4" cm="1">
        <f t="array" ref="K316">INDEX(GMW!$A$2:$LR$60,MATCH(1,(GMW!$LQ$2:$LQ$60=K$3)*(GMW!$LP$2:$LP$60=K$4)*(GMW!$LR$2:$LR$60=K$1),0),$C316-1966)</f>
        <v>849870.1</v>
      </c>
      <c r="L316" s="4" cm="1">
        <f t="array" ref="L316">INDEX(GMW!$A$2:$LR$60,MATCH(1,(GMW!$LQ$2:$LQ$60=L$3)*(GMW!$LP$2:$LP$60=L$4)*(GMW!$LR$2:$LR$60=L$1),0),$C316-1966)</f>
        <v>849919.5</v>
      </c>
      <c r="M316" s="4" cm="1">
        <f t="array" ref="M316">INDEX(GMW!$A$2:$LR$60,MATCH(1,(GMW!$LQ$2:$LQ$60=M$3)*(GMW!$LP$2:$LP$60=M$4)*(GMW!$LR$2:$LR$60=M$1),0),$C316-1966)</f>
        <v>849919.5</v>
      </c>
      <c r="N316" s="4" cm="1">
        <f t="array" ref="N316">INDEX(GMW!$A$2:$LR$60,MATCH(1,(GMW!$LQ$2:$LQ$60=N$3)*(GMW!$LP$2:$LP$60=N$4)*(GMW!$LR$2:$LR$60=N$1),0),$C316-1966)</f>
        <v>855162.1</v>
      </c>
      <c r="O316" s="4" cm="1">
        <f t="array" ref="O316">INDEX(GMW!$A$2:$LR$60,MATCH(1,(GMW!$LQ$2:$LQ$60=O$3)*(GMW!$LP$2:$LP$60=O$4)*(GMW!$LR$2:$LR$60=O$1),0),$C316-1966)</f>
        <v>857176.6</v>
      </c>
      <c r="P316" s="4" cm="1">
        <f t="array" ref="P316">INDEX(GMW!$A$2:$LR$60,MATCH(1,(GMW!$LQ$2:$LQ$60=P$3)*(GMW!$LP$2:$LP$60=P$4)*(GMW!$LR$2:$LR$60=P$1),0),$C316-1966)</f>
        <v>857437</v>
      </c>
      <c r="Q316" s="4" cm="1">
        <f t="array" ref="Q316">INDEX(GMW!$A$2:$LR$60,MATCH(1,(GMW!$LQ$2:$LQ$60=Q$3)*(GMW!$LP$2:$LP$60=Q$4)*(GMW!$LR$2:$LR$60=Q$1),0),$C316-1966)</f>
        <v>860283.3</v>
      </c>
      <c r="R316" s="4" cm="1">
        <f t="array" ref="R316">INDEX(GMW!$A$2:$LR$60,MATCH(1,(GMW!$LQ$2:$LQ$60=R$3)*(GMW!$LP$2:$LP$60=R$4)*(GMW!$LR$2:$LR$60=R$1),0),$C316-1966)</f>
        <v>862278.8</v>
      </c>
      <c r="S316" s="4" cm="1">
        <f t="array" ref="S316">INDEX(GMW!$A$2:$LR$60,MATCH(1,(GMW!$LQ$2:$LQ$60=S$3)*(GMW!$LP$2:$LP$60=S$4)*(GMW!$LR$2:$LR$60=S$1),0),$C316-1966)</f>
        <v>859169.9</v>
      </c>
      <c r="T316" s="4" cm="1">
        <f t="array" ref="T316">INDEX(GMW!$A$2:$LR$60,MATCH(1,(GMW!$LQ$2:$LQ$60=T$3)*(GMW!$LP$2:$LP$60=T$4)*(GMW!$LR$2:$LR$60=T$1),0),$C316-1966)</f>
        <v>859476.2</v>
      </c>
      <c r="U316" s="4" cm="1">
        <f t="array" ref="U316">INDEX(GMW!$A$2:$LR$60,MATCH(1,(GMW!$LQ$2:$LQ$60=U$3)*(GMW!$LP$2:$LP$60=U$4)*(GMW!$LR$2:$LR$60=U$1),0),$C316-1966)</f>
        <v>1511.2840000000001</v>
      </c>
      <c r="V316" s="4" cm="1">
        <f t="array" ref="V316">INDEX(GMW!$A$2:$LR$60,MATCH(1,(GMW!$LQ$2:$LQ$60=V$3)*(GMW!$LP$2:$LP$60=V$4)*(GMW!$LR$2:$LR$60=V$1),0),$C316-1966)</f>
        <v>225.97669999999999</v>
      </c>
      <c r="W316" s="4" cm="1">
        <f t="array" ref="W316">INDEX(GMW!$A$2:$LR$60,MATCH(1,(GMW!$LQ$2:$LQ$60=W$3)*(GMW!$LP$2:$LP$60=W$4)*(GMW!$LR$2:$LR$60=W$1),0),$C316-1966)</f>
        <v>205.1112</v>
      </c>
      <c r="X316" s="4" cm="1">
        <f t="array" ref="X316">INDEX(GMW!$A$2:$LR$60,MATCH(1,(GMW!$LQ$2:$LQ$60=X$3)*(GMW!$LP$2:$LP$60=X$4)*(GMW!$LR$2:$LR$60=X$1),0),$C316-1966)</f>
        <v>128.08109999999999</v>
      </c>
      <c r="Y316" s="4" cm="1">
        <f t="array" ref="Y316">INDEX(GMW!$A$2:$LR$60,MATCH(1,(GMW!$LQ$2:$LQ$60=Y$3)*(GMW!$LP$2:$LP$60=Y$4)*(GMW!$LR$2:$LR$60=Y$1),0),$C316-1966)</f>
        <v>341.05509999999998</v>
      </c>
      <c r="Z316" s="4" cm="1">
        <f t="array" ref="Z316">INDEX(GMW!$A$2:$LR$60,MATCH(1,(GMW!$LQ$2:$LQ$60=Z$3)*(GMW!$LP$2:$LP$60=Z$4)*(GMW!$LR$2:$LR$60=Z$1),0),$C316-1966)</f>
        <v>228.76390000000001</v>
      </c>
      <c r="AA316" s="4" cm="1">
        <f t="array" ref="AA316">INDEX(GMW!$A$2:$LR$60,MATCH(1,(GMW!$LQ$2:$LQ$60=AA$3)*(GMW!$LP$2:$LP$60=AA$4)*(GMW!$LR$2:$LR$60=AA$1),0),$C316-1966)</f>
        <v>510427.9</v>
      </c>
      <c r="AB316" s="4" cm="1">
        <f t="array" ref="AB316">INDEX(GMW!$A$2:$LR$60,MATCH(1,(GMW!$LQ$2:$LQ$60=AB$3)*(GMW!$LP$2:$LP$60=AB$4)*(GMW!$LR$2:$LR$60=AB$1),0),$C316-1966)</f>
        <v>181083.7</v>
      </c>
      <c r="AC316" s="4" cm="1">
        <f t="array" ref="AC316">INDEX(GMW!$A$2:$LR$60,MATCH(1,(GMW!$LQ$2:$LQ$60=AC$3)*(GMW!$LP$2:$LP$60=AC$4)*(GMW!$LR$2:$LR$60=AC$1),0),$C316-1966)</f>
        <v>178967.5</v>
      </c>
      <c r="AD316" s="4" cm="1">
        <f t="array" ref="AD316">INDEX(GMW!$A$2:$LR$60,MATCH(1,(GMW!$LQ$2:$LQ$60=AD$3)*(GMW!$LP$2:$LP$60=AD$4)*(GMW!$LR$2:$LR$60=AD$1),0),$C316-1966)</f>
        <v>286771</v>
      </c>
      <c r="AE316" s="4" cm="1">
        <f t="array" ref="AE316">INDEX(GMW!$A$2:$LR$60,MATCH(1,(GMW!$LQ$2:$LQ$60=AE$3)*(GMW!$LP$2:$LP$60=AE$4)*(GMW!$LR$2:$LR$60=AE$1),0),$C316-1966)</f>
        <v>323516.09999999998</v>
      </c>
      <c r="AF316" s="4" cm="1">
        <f t="array" ref="AF316">INDEX(GMW!$A$2:$LR$60,MATCH(1,(GMW!$LQ$2:$LQ$60=AF$3)*(GMW!$LP$2:$LP$60=AF$4)*(GMW!$LR$2:$LR$60=AF$1),0),$C316-1966)</f>
        <v>2.1064639999999999</v>
      </c>
      <c r="AG316" s="4" cm="1">
        <f t="array" ref="AG316">INDEX(GMW!$A$2:$LR$60,MATCH(1,(GMW!$LQ$2:$LQ$60=AG$3)*(GMW!$LP$2:$LP$60=AG$4)*(GMW!$LR$2:$LR$60=AG$1),0),$C316-1966)</f>
        <v>2.4334739999999999</v>
      </c>
    </row>
    <row r="317" spans="1:33" x14ac:dyDescent="0.25">
      <c r="B317" s="4">
        <f t="shared" si="9"/>
        <v>2050</v>
      </c>
      <c r="C317" s="4">
        <f t="shared" si="10"/>
        <v>2283</v>
      </c>
      <c r="D317" s="4" cm="1">
        <f t="array" ref="D317">INDEX(GMW!$A$2:$LR$60,MATCH(1,(GMW!$LQ$2:$LQ$60=D$3)*(GMW!$LP$2:$LP$60=D$4)*(GMW!$LR$2:$LR$60=D$1),0),$C317-1966)</f>
        <v>861110.8</v>
      </c>
      <c r="E317" s="4" cm="1">
        <f t="array" ref="E317">INDEX(GMW!$A$2:$LR$60,MATCH(1,(GMW!$LQ$2:$LQ$60=E$3)*(GMW!$LP$2:$LP$60=E$4)*(GMW!$LR$2:$LR$60=E$1),0),$C317-1966)</f>
        <v>846293.1</v>
      </c>
      <c r="F317" s="4" cm="1">
        <f t="array" ref="F317">INDEX(GMW!$A$2:$LR$60,MATCH(1,(GMW!$LQ$2:$LQ$60=F$3)*(GMW!$LP$2:$LP$60=F$4)*(GMW!$LR$2:$LR$60=F$1),0),$C317-1966)</f>
        <v>846601.3</v>
      </c>
      <c r="G317" s="4" cm="1">
        <f t="array" ref="G317">INDEX(GMW!$A$2:$LR$60,MATCH(1,(GMW!$LQ$2:$LQ$60=G$3)*(GMW!$LP$2:$LP$60=G$4)*(GMW!$LR$2:$LR$60=G$1),0),$C317-1966)</f>
        <v>846601.3</v>
      </c>
      <c r="H317" s="4" cm="1">
        <f t="array" ref="H317">INDEX(GMW!$A$2:$LR$60,MATCH(1,(GMW!$LQ$2:$LQ$60=H$3)*(GMW!$LP$2:$LP$60=H$4)*(GMW!$LR$2:$LR$60=H$1),0),$C317-1966)</f>
        <v>852759.1</v>
      </c>
      <c r="I317" s="4" cm="1">
        <f t="array" ref="I317">INDEX(GMW!$A$2:$LR$60,MATCH(1,(GMW!$LQ$2:$LQ$60=I$3)*(GMW!$LP$2:$LP$60=I$4)*(GMW!$LR$2:$LR$60=I$1),0),$C317-1966)</f>
        <v>853014.1</v>
      </c>
      <c r="J317" s="4" cm="1">
        <f t="array" ref="J317">INDEX(GMW!$A$2:$LR$60,MATCH(1,(GMW!$LQ$2:$LQ$60=J$3)*(GMW!$LP$2:$LP$60=J$4)*(GMW!$LR$2:$LR$60=J$1),0),$C317-1966)</f>
        <v>852976.1</v>
      </c>
      <c r="K317" s="4" cm="1">
        <f t="array" ref="K317">INDEX(GMW!$A$2:$LR$60,MATCH(1,(GMW!$LQ$2:$LQ$60=K$3)*(GMW!$LP$2:$LP$60=K$4)*(GMW!$LR$2:$LR$60=K$1),0),$C317-1966)</f>
        <v>852947.9</v>
      </c>
      <c r="L317" s="4" cm="1">
        <f t="array" ref="L317">INDEX(GMW!$A$2:$LR$60,MATCH(1,(GMW!$LQ$2:$LQ$60=L$3)*(GMW!$LP$2:$LP$60=L$4)*(GMW!$LR$2:$LR$60=L$1),0),$C317-1966)</f>
        <v>852997.8</v>
      </c>
      <c r="M317" s="4" cm="1">
        <f t="array" ref="M317">INDEX(GMW!$A$2:$LR$60,MATCH(1,(GMW!$LQ$2:$LQ$60=M$3)*(GMW!$LP$2:$LP$60=M$4)*(GMW!$LR$2:$LR$60=M$1),0),$C317-1966)</f>
        <v>852997.8</v>
      </c>
      <c r="N317" s="4" cm="1">
        <f t="array" ref="N317">INDEX(GMW!$A$2:$LR$60,MATCH(1,(GMW!$LQ$2:$LQ$60=N$3)*(GMW!$LP$2:$LP$60=N$4)*(GMW!$LR$2:$LR$60=N$1),0),$C317-1966)</f>
        <v>858306.1</v>
      </c>
      <c r="O317" s="4" cm="1">
        <f t="array" ref="O317">INDEX(GMW!$A$2:$LR$60,MATCH(1,(GMW!$LQ$2:$LQ$60=O$3)*(GMW!$LP$2:$LP$60=O$4)*(GMW!$LR$2:$LR$60=O$1),0),$C317-1966)</f>
        <v>860358.4</v>
      </c>
      <c r="P317" s="4" cm="1">
        <f t="array" ref="P317">INDEX(GMW!$A$2:$LR$60,MATCH(1,(GMW!$LQ$2:$LQ$60=P$3)*(GMW!$LP$2:$LP$60=P$4)*(GMW!$LR$2:$LR$60=P$1),0),$C317-1966)</f>
        <v>860618.7</v>
      </c>
      <c r="Q317" s="4" cm="1">
        <f t="array" ref="Q317">INDEX(GMW!$A$2:$LR$60,MATCH(1,(GMW!$LQ$2:$LQ$60=Q$3)*(GMW!$LP$2:$LP$60=Q$4)*(GMW!$LR$2:$LR$60=Q$1),0),$C317-1966)</f>
        <v>863446.4</v>
      </c>
      <c r="R317" s="4" cm="1">
        <f t="array" ref="R317">INDEX(GMW!$A$2:$LR$60,MATCH(1,(GMW!$LQ$2:$LQ$60=R$3)*(GMW!$LP$2:$LP$60=R$4)*(GMW!$LR$2:$LR$60=R$1),0),$C317-1966)</f>
        <v>865475.8</v>
      </c>
      <c r="S317" s="4" cm="1">
        <f t="array" ref="S317">INDEX(GMW!$A$2:$LR$60,MATCH(1,(GMW!$LQ$2:$LQ$60=S$3)*(GMW!$LP$2:$LP$60=S$4)*(GMW!$LR$2:$LR$60=S$1),0),$C317-1966)</f>
        <v>862354.7</v>
      </c>
      <c r="T317" s="4" cm="1">
        <f t="array" ref="T317">INDEX(GMW!$A$2:$LR$60,MATCH(1,(GMW!$LQ$2:$LQ$60=T$3)*(GMW!$LP$2:$LP$60=T$4)*(GMW!$LR$2:$LR$60=T$1),0),$C317-1966)</f>
        <v>862657.6</v>
      </c>
      <c r="U317" s="4" cm="1">
        <f t="array" ref="U317">INDEX(GMW!$A$2:$LR$60,MATCH(1,(GMW!$LQ$2:$LQ$60=U$3)*(GMW!$LP$2:$LP$60=U$4)*(GMW!$LR$2:$LR$60=U$1),0),$C317-1966)</f>
        <v>1523.085</v>
      </c>
      <c r="V317" s="4" cm="1">
        <f t="array" ref="V317">INDEX(GMW!$A$2:$LR$60,MATCH(1,(GMW!$LQ$2:$LQ$60=V$3)*(GMW!$LP$2:$LP$60=V$4)*(GMW!$LR$2:$LR$60=V$1),0),$C317-1966)</f>
        <v>227.04820000000001</v>
      </c>
      <c r="W317" s="4" cm="1">
        <f t="array" ref="W317">INDEX(GMW!$A$2:$LR$60,MATCH(1,(GMW!$LQ$2:$LQ$60=W$3)*(GMW!$LP$2:$LP$60=W$4)*(GMW!$LR$2:$LR$60=W$1),0),$C317-1966)</f>
        <v>204.85910000000001</v>
      </c>
      <c r="X317" s="4" cm="1">
        <f t="array" ref="X317">INDEX(GMW!$A$2:$LR$60,MATCH(1,(GMW!$LQ$2:$LQ$60=X$3)*(GMW!$LP$2:$LP$60=X$4)*(GMW!$LR$2:$LR$60=X$1),0),$C317-1966)</f>
        <v>128.1328</v>
      </c>
      <c r="Y317" s="4" cm="1">
        <f t="array" ref="Y317">INDEX(GMW!$A$2:$LR$60,MATCH(1,(GMW!$LQ$2:$LQ$60=Y$3)*(GMW!$LP$2:$LP$60=Y$4)*(GMW!$LR$2:$LR$60=Y$1),0),$C317-1966)</f>
        <v>344.01369999999997</v>
      </c>
      <c r="Z317" s="4" cm="1">
        <f t="array" ref="Z317">INDEX(GMW!$A$2:$LR$60,MATCH(1,(GMW!$LQ$2:$LQ$60=Z$3)*(GMW!$LP$2:$LP$60=Z$4)*(GMW!$LR$2:$LR$60=Z$1),0),$C317-1966)</f>
        <v>230.1088</v>
      </c>
      <c r="AA317" s="4" cm="1">
        <f t="array" ref="AA317">INDEX(GMW!$A$2:$LR$60,MATCH(1,(GMW!$LQ$2:$LQ$60=AA$3)*(GMW!$LP$2:$LP$60=AA$4)*(GMW!$LR$2:$LR$60=AA$1),0),$C317-1966)</f>
        <v>512329.5</v>
      </c>
      <c r="AB317" s="4" cm="1">
        <f t="array" ref="AB317">INDEX(GMW!$A$2:$LR$60,MATCH(1,(GMW!$LQ$2:$LQ$60=AB$3)*(GMW!$LP$2:$LP$60=AB$4)*(GMW!$LR$2:$LR$60=AB$1),0),$C317-1966)</f>
        <v>181951.1</v>
      </c>
      <c r="AC317" s="4" cm="1">
        <f t="array" ref="AC317">INDEX(GMW!$A$2:$LR$60,MATCH(1,(GMW!$LQ$2:$LQ$60=AC$3)*(GMW!$LP$2:$LP$60=AC$4)*(GMW!$LR$2:$LR$60=AC$1),0),$C317-1966)</f>
        <v>179639.3</v>
      </c>
      <c r="AD317" s="4" cm="1">
        <f t="array" ref="AD317">INDEX(GMW!$A$2:$LR$60,MATCH(1,(GMW!$LQ$2:$LQ$60=AD$3)*(GMW!$LP$2:$LP$60=AD$4)*(GMW!$LR$2:$LR$60=AD$1),0),$C317-1966)</f>
        <v>288126.09999999998</v>
      </c>
      <c r="AE317" s="4" cm="1">
        <f t="array" ref="AE317">INDEX(GMW!$A$2:$LR$60,MATCH(1,(GMW!$LQ$2:$LQ$60=AE$3)*(GMW!$LP$2:$LP$60=AE$4)*(GMW!$LR$2:$LR$60=AE$1),0),$C317-1966)</f>
        <v>325204.8</v>
      </c>
      <c r="AF317" s="4" cm="1">
        <f t="array" ref="AF317">INDEX(GMW!$A$2:$LR$60,MATCH(1,(GMW!$LQ$2:$LQ$60=AF$3)*(GMW!$LP$2:$LP$60=AF$4)*(GMW!$LR$2:$LR$60=AF$1),0),$C317-1966)</f>
        <v>2.1064639999999999</v>
      </c>
      <c r="AG317" s="4" cm="1">
        <f t="array" ref="AG317">INDEX(GMW!$A$2:$LR$60,MATCH(1,(GMW!$LQ$2:$LQ$60=AG$3)*(GMW!$LP$2:$LP$60=AG$4)*(GMW!$LR$2:$LR$60=AG$1),0),$C317-1966)</f>
        <v>2.4334739999999999</v>
      </c>
    </row>
    <row r="318" spans="1:33" x14ac:dyDescent="0.25">
      <c r="B318" s="4">
        <f t="shared" si="9"/>
        <v>2050</v>
      </c>
      <c r="C318" s="4">
        <f t="shared" si="10"/>
        <v>2284</v>
      </c>
      <c r="D318" s="4" cm="1">
        <f t="array" ref="D318">INDEX(GMW!$A$2:$LR$60,MATCH(1,(GMW!$LQ$2:$LQ$60=D$3)*(GMW!$LP$2:$LP$60=D$4)*(GMW!$LR$2:$LR$60=D$1),0),$C318-1966)</f>
        <v>864296.1</v>
      </c>
      <c r="E318" s="4" cm="1">
        <f t="array" ref="E318">INDEX(GMW!$A$2:$LR$60,MATCH(1,(GMW!$LQ$2:$LQ$60=E$3)*(GMW!$LP$2:$LP$60=E$4)*(GMW!$LR$2:$LR$60=E$1),0),$C318-1966)</f>
        <v>849354.3</v>
      </c>
      <c r="F318" s="4" cm="1">
        <f t="array" ref="F318">INDEX(GMW!$A$2:$LR$60,MATCH(1,(GMW!$LQ$2:$LQ$60=F$3)*(GMW!$LP$2:$LP$60=F$4)*(GMW!$LR$2:$LR$60=F$1),0),$C318-1966)</f>
        <v>849663.2</v>
      </c>
      <c r="G318" s="4" cm="1">
        <f t="array" ref="G318">INDEX(GMW!$A$2:$LR$60,MATCH(1,(GMW!$LQ$2:$LQ$60=G$3)*(GMW!$LP$2:$LP$60=G$4)*(GMW!$LR$2:$LR$60=G$1),0),$C318-1966)</f>
        <v>849663.2</v>
      </c>
      <c r="H318" s="4" cm="1">
        <f t="array" ref="H318">INDEX(GMW!$A$2:$LR$60,MATCH(1,(GMW!$LQ$2:$LQ$60=H$3)*(GMW!$LP$2:$LP$60=H$4)*(GMW!$LR$2:$LR$60=H$1),0),$C318-1966)</f>
        <v>855870.4</v>
      </c>
      <c r="I318" s="4" cm="1">
        <f t="array" ref="I318">INDEX(GMW!$A$2:$LR$60,MATCH(1,(GMW!$LQ$2:$LQ$60=I$3)*(GMW!$LP$2:$LP$60=I$4)*(GMW!$LR$2:$LR$60=I$1),0),$C318-1966)</f>
        <v>856097.9</v>
      </c>
      <c r="J318" s="4" cm="1">
        <f t="array" ref="J318">INDEX(GMW!$A$2:$LR$60,MATCH(1,(GMW!$LQ$2:$LQ$60=J$3)*(GMW!$LP$2:$LP$60=J$4)*(GMW!$LR$2:$LR$60=J$1),0),$C318-1966)</f>
        <v>856059.6</v>
      </c>
      <c r="K318" s="4" cm="1">
        <f t="array" ref="K318">INDEX(GMW!$A$2:$LR$60,MATCH(1,(GMW!$LQ$2:$LQ$60=K$3)*(GMW!$LP$2:$LP$60=K$4)*(GMW!$LR$2:$LR$60=K$1),0),$C318-1966)</f>
        <v>856033.3</v>
      </c>
      <c r="L318" s="4" cm="1">
        <f t="array" ref="L318">INDEX(GMW!$A$2:$LR$60,MATCH(1,(GMW!$LQ$2:$LQ$60=L$3)*(GMW!$LP$2:$LP$60=L$4)*(GMW!$LR$2:$LR$60=L$1),0),$C318-1966)</f>
        <v>856083.4</v>
      </c>
      <c r="M318" s="4" cm="1">
        <f t="array" ref="M318">INDEX(GMW!$A$2:$LR$60,MATCH(1,(GMW!$LQ$2:$LQ$60=M$3)*(GMW!$LP$2:$LP$60=M$4)*(GMW!$LR$2:$LR$60=M$1),0),$C318-1966)</f>
        <v>856083.4</v>
      </c>
      <c r="N318" s="4" cm="1">
        <f t="array" ref="N318">INDEX(GMW!$A$2:$LR$60,MATCH(1,(GMW!$LQ$2:$LQ$60=N$3)*(GMW!$LP$2:$LP$60=N$4)*(GMW!$LR$2:$LR$60=N$1),0),$C318-1966)</f>
        <v>861458</v>
      </c>
      <c r="O318" s="4" cm="1">
        <f t="array" ref="O318">INDEX(GMW!$A$2:$LR$60,MATCH(1,(GMW!$LQ$2:$LQ$60=O$3)*(GMW!$LP$2:$LP$60=O$4)*(GMW!$LR$2:$LR$60=O$1),0),$C318-1966)</f>
        <v>863548.7</v>
      </c>
      <c r="P318" s="4" cm="1">
        <f t="array" ref="P318">INDEX(GMW!$A$2:$LR$60,MATCH(1,(GMW!$LQ$2:$LQ$60=P$3)*(GMW!$LP$2:$LP$60=P$4)*(GMW!$LR$2:$LR$60=P$1),0),$C318-1966)</f>
        <v>863808.9</v>
      </c>
      <c r="Q318" s="4" cm="1">
        <f t="array" ref="Q318">INDEX(GMW!$A$2:$LR$60,MATCH(1,(GMW!$LQ$2:$LQ$60=Q$3)*(GMW!$LP$2:$LP$60=Q$4)*(GMW!$LR$2:$LR$60=Q$1),0),$C318-1966)</f>
        <v>866617.1</v>
      </c>
      <c r="R318" s="4" cm="1">
        <f t="array" ref="R318">INDEX(GMW!$A$2:$LR$60,MATCH(1,(GMW!$LQ$2:$LQ$60=R$3)*(GMW!$LP$2:$LP$60=R$4)*(GMW!$LR$2:$LR$60=R$1),0),$C318-1966)</f>
        <v>868680.6</v>
      </c>
      <c r="S318" s="4" cm="1">
        <f t="array" ref="S318">INDEX(GMW!$A$2:$LR$60,MATCH(1,(GMW!$LQ$2:$LQ$60=S$3)*(GMW!$LP$2:$LP$60=S$4)*(GMW!$LR$2:$LR$60=S$1),0),$C318-1966)</f>
        <v>865547.4</v>
      </c>
      <c r="T318" s="4" cm="1">
        <f t="array" ref="T318">INDEX(GMW!$A$2:$LR$60,MATCH(1,(GMW!$LQ$2:$LQ$60=T$3)*(GMW!$LP$2:$LP$60=T$4)*(GMW!$LR$2:$LR$60=T$1),0),$C318-1966)</f>
        <v>865846.9</v>
      </c>
      <c r="U318" s="4" cm="1">
        <f t="array" ref="U318">INDEX(GMW!$A$2:$LR$60,MATCH(1,(GMW!$LQ$2:$LQ$60=U$3)*(GMW!$LP$2:$LP$60=U$4)*(GMW!$LR$2:$LR$60=U$1),0),$C318-1966)</f>
        <v>1534.971</v>
      </c>
      <c r="V318" s="4" cm="1">
        <f t="array" ref="V318">INDEX(GMW!$A$2:$LR$60,MATCH(1,(GMW!$LQ$2:$LQ$60=V$3)*(GMW!$LP$2:$LP$60=V$4)*(GMW!$LR$2:$LR$60=V$1),0),$C318-1966)</f>
        <v>228.143</v>
      </c>
      <c r="W318" s="4" cm="1">
        <f t="array" ref="W318">INDEX(GMW!$A$2:$LR$60,MATCH(1,(GMW!$LQ$2:$LQ$60=W$3)*(GMW!$LP$2:$LP$60=W$4)*(GMW!$LR$2:$LR$60=W$1),0),$C318-1966)</f>
        <v>205.77940000000001</v>
      </c>
      <c r="X318" s="4" cm="1">
        <f t="array" ref="X318">INDEX(GMW!$A$2:$LR$60,MATCH(1,(GMW!$LQ$2:$LQ$60=X$3)*(GMW!$LP$2:$LP$60=X$4)*(GMW!$LR$2:$LR$60=X$1),0),$C318-1966)</f>
        <v>128.18440000000001</v>
      </c>
      <c r="Y318" s="4" cm="1">
        <f t="array" ref="Y318">INDEX(GMW!$A$2:$LR$60,MATCH(1,(GMW!$LQ$2:$LQ$60=Y$3)*(GMW!$LP$2:$LP$60=Y$4)*(GMW!$LR$2:$LR$60=Y$1),0),$C318-1966)</f>
        <v>347.02760000000001</v>
      </c>
      <c r="Z318" s="4" cm="1">
        <f t="array" ref="Z318">INDEX(GMW!$A$2:$LR$60,MATCH(1,(GMW!$LQ$2:$LQ$60=Z$3)*(GMW!$LP$2:$LP$60=Z$4)*(GMW!$LR$2:$LR$60=Z$1),0),$C318-1966)</f>
        <v>231.2259</v>
      </c>
      <c r="AA318" s="4" cm="1">
        <f t="array" ref="AA318">INDEX(GMW!$A$2:$LR$60,MATCH(1,(GMW!$LQ$2:$LQ$60=AA$3)*(GMW!$LP$2:$LP$60=AA$4)*(GMW!$LR$2:$LR$60=AA$1),0),$C318-1966)</f>
        <v>514236</v>
      </c>
      <c r="AB318" s="4" cm="1">
        <f t="array" ref="AB318">INDEX(GMW!$A$2:$LR$60,MATCH(1,(GMW!$LQ$2:$LQ$60=AB$3)*(GMW!$LP$2:$LP$60=AB$4)*(GMW!$LR$2:$LR$60=AB$1),0),$C318-1966)</f>
        <v>182821.8</v>
      </c>
      <c r="AC318" s="4" cm="1">
        <f t="array" ref="AC318">INDEX(GMW!$A$2:$LR$60,MATCH(1,(GMW!$LQ$2:$LQ$60=AC$3)*(GMW!$LP$2:$LP$60=AC$4)*(GMW!$LR$2:$LR$60=AC$1),0),$C318-1966)</f>
        <v>180312.7</v>
      </c>
      <c r="AD318" s="4" cm="1">
        <f t="array" ref="AD318">INDEX(GMW!$A$2:$LR$60,MATCH(1,(GMW!$LQ$2:$LQ$60=AD$3)*(GMW!$LP$2:$LP$60=AD$4)*(GMW!$LR$2:$LR$60=AD$1),0),$C318-1966)</f>
        <v>289486.5</v>
      </c>
      <c r="AE318" s="4" cm="1">
        <f t="array" ref="AE318">INDEX(GMW!$A$2:$LR$60,MATCH(1,(GMW!$LQ$2:$LQ$60=AE$3)*(GMW!$LP$2:$LP$60=AE$4)*(GMW!$LR$2:$LR$60=AE$1),0),$C318-1966)</f>
        <v>326901.2</v>
      </c>
      <c r="AF318" s="4" cm="1">
        <f t="array" ref="AF318">INDEX(GMW!$A$2:$LR$60,MATCH(1,(GMW!$LQ$2:$LQ$60=AF$3)*(GMW!$LP$2:$LP$60=AF$4)*(GMW!$LR$2:$LR$60=AF$1),0),$C318-1966)</f>
        <v>2.1064639999999999</v>
      </c>
      <c r="AG318" s="4" cm="1">
        <f t="array" ref="AG318">INDEX(GMW!$A$2:$LR$60,MATCH(1,(GMW!$LQ$2:$LQ$60=AG$3)*(GMW!$LP$2:$LP$60=AG$4)*(GMW!$LR$2:$LR$60=AG$1),0),$C318-1966)</f>
        <v>2.4334739999999999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65E2C-E1C7-4EE8-A84E-600F77DAE2CC}">
  <dimension ref="A1:LR47"/>
  <sheetViews>
    <sheetView workbookViewId="0">
      <pane xSplit="6" ySplit="1" topLeftCell="LI2" activePane="bottomRight" state="frozen"/>
      <selection pane="topRight" activeCell="G1" sqref="G1"/>
      <selection pane="bottomLeft" activeCell="A2" sqref="A2"/>
      <selection pane="bottomRight" activeCell="A49" sqref="A49"/>
    </sheetView>
  </sheetViews>
  <sheetFormatPr defaultRowHeight="15" x14ac:dyDescent="0.25"/>
  <cols>
    <col min="1" max="1" width="15.7109375" customWidth="1"/>
    <col min="2" max="3" width="20.7109375" customWidth="1"/>
    <col min="4" max="5" width="10.7109375" customWidth="1"/>
    <col min="6" max="6" width="15.7109375" customWidth="1"/>
    <col min="7" max="319" width="10.7109375" customWidth="1"/>
    <col min="320" max="320" width="20.7109375" customWidth="1"/>
    <col min="321" max="322" width="15.7109375" customWidth="1"/>
    <col min="323" max="324" width="20.7109375" customWidth="1"/>
    <col min="325" max="325" width="18.7109375" customWidth="1"/>
    <col min="326" max="327" width="22.7109375" customWidth="1"/>
    <col min="328" max="328" width="13.7109375" customWidth="1"/>
    <col min="329" max="329" width="14.7109375" customWidth="1"/>
    <col min="330" max="359" width="10.7109375" customWidth="1"/>
    <col min="360" max="360" width="20.7109375" customWidth="1"/>
    <col min="361" max="362" width="15.7109375" customWidth="1"/>
    <col min="363" max="364" width="20.7109375" customWidth="1"/>
    <col min="365" max="365" width="18.7109375" customWidth="1"/>
    <col min="366" max="367" width="22.7109375" customWidth="1"/>
    <col min="368" max="368" width="13.7109375" customWidth="1"/>
    <col min="369" max="369" width="14.7109375" customWidth="1"/>
    <col min="370" max="370" width="10.7109375" customWidth="1"/>
  </cols>
  <sheetData>
    <row r="1" spans="1:330" ht="30" x14ac:dyDescent="0.2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25" t="s">
        <v>20</v>
      </c>
      <c r="V1" s="25" t="s">
        <v>21</v>
      </c>
      <c r="W1" s="25" t="s">
        <v>22</v>
      </c>
      <c r="X1" s="25" t="s">
        <v>23</v>
      </c>
      <c r="Y1" s="25" t="s">
        <v>24</v>
      </c>
      <c r="Z1" s="25" t="s">
        <v>25</v>
      </c>
      <c r="AA1" s="25" t="s">
        <v>26</v>
      </c>
      <c r="AB1" s="25" t="s">
        <v>27</v>
      </c>
      <c r="AC1" s="25" t="s">
        <v>28</v>
      </c>
      <c r="AD1" s="25" t="s">
        <v>29</v>
      </c>
      <c r="AE1" s="25" t="s">
        <v>30</v>
      </c>
      <c r="AF1" s="25" t="s">
        <v>31</v>
      </c>
      <c r="AG1" s="25" t="s">
        <v>32</v>
      </c>
      <c r="AH1" s="25" t="s">
        <v>33</v>
      </c>
      <c r="AI1" s="25" t="s">
        <v>34</v>
      </c>
      <c r="AJ1" s="25" t="s">
        <v>35</v>
      </c>
      <c r="AK1" s="25" t="s">
        <v>36</v>
      </c>
      <c r="AL1" s="25" t="s">
        <v>37</v>
      </c>
      <c r="AM1" s="25" t="s">
        <v>38</v>
      </c>
      <c r="AN1" s="25" t="s">
        <v>39</v>
      </c>
      <c r="AO1" s="25" t="s">
        <v>40</v>
      </c>
      <c r="AP1" s="25" t="s">
        <v>41</v>
      </c>
      <c r="AQ1" s="25" t="s">
        <v>42</v>
      </c>
      <c r="AR1" s="25" t="s">
        <v>43</v>
      </c>
      <c r="AS1" s="25" t="s">
        <v>44</v>
      </c>
      <c r="AT1" s="25" t="s">
        <v>45</v>
      </c>
      <c r="AU1" s="25" t="s">
        <v>46</v>
      </c>
      <c r="AV1" s="25" t="s">
        <v>47</v>
      </c>
      <c r="AW1" s="25" t="s">
        <v>48</v>
      </c>
      <c r="AX1" s="25" t="s">
        <v>49</v>
      </c>
      <c r="AY1" s="25" t="s">
        <v>50</v>
      </c>
      <c r="AZ1" s="25" t="s">
        <v>51</v>
      </c>
      <c r="BA1" s="25" t="s">
        <v>52</v>
      </c>
      <c r="BB1" s="25" t="s">
        <v>53</v>
      </c>
      <c r="BC1" s="25" t="s">
        <v>54</v>
      </c>
      <c r="BD1" s="25" t="s">
        <v>55</v>
      </c>
      <c r="BE1" s="25" t="s">
        <v>56</v>
      </c>
      <c r="BF1" s="25" t="s">
        <v>57</v>
      </c>
      <c r="BG1" s="25" t="s">
        <v>58</v>
      </c>
      <c r="BH1" s="25" t="s">
        <v>59</v>
      </c>
      <c r="BI1" s="25" t="s">
        <v>60</v>
      </c>
      <c r="BJ1" s="25" t="s">
        <v>61</v>
      </c>
      <c r="BK1" s="25" t="s">
        <v>62</v>
      </c>
      <c r="BL1" s="25" t="s">
        <v>63</v>
      </c>
      <c r="BM1" s="25" t="s">
        <v>64</v>
      </c>
      <c r="BN1" s="25" t="s">
        <v>65</v>
      </c>
      <c r="BO1" s="25" t="s">
        <v>66</v>
      </c>
      <c r="BP1" s="25" t="s">
        <v>67</v>
      </c>
      <c r="BQ1" s="25" t="s">
        <v>68</v>
      </c>
      <c r="BR1" s="25" t="s">
        <v>69</v>
      </c>
      <c r="BS1" s="25" t="s">
        <v>70</v>
      </c>
      <c r="BT1" s="25" t="s">
        <v>71</v>
      </c>
      <c r="BU1" s="25" t="s">
        <v>72</v>
      </c>
      <c r="BV1" s="25" t="s">
        <v>73</v>
      </c>
      <c r="BW1" s="25" t="s">
        <v>74</v>
      </c>
      <c r="BX1" s="25" t="s">
        <v>75</v>
      </c>
      <c r="BY1" s="25" t="s">
        <v>76</v>
      </c>
      <c r="BZ1" s="25" t="s">
        <v>77</v>
      </c>
      <c r="CA1" s="25" t="s">
        <v>78</v>
      </c>
      <c r="CB1" s="25" t="s">
        <v>79</v>
      </c>
      <c r="CC1" s="25" t="s">
        <v>80</v>
      </c>
      <c r="CD1" s="25" t="s">
        <v>81</v>
      </c>
      <c r="CE1" s="25" t="s">
        <v>82</v>
      </c>
      <c r="CF1" s="25" t="s">
        <v>83</v>
      </c>
      <c r="CG1" s="25" t="s">
        <v>84</v>
      </c>
      <c r="CH1" s="25" t="s">
        <v>85</v>
      </c>
      <c r="CI1" s="25" t="s">
        <v>86</v>
      </c>
      <c r="CJ1" s="25" t="s">
        <v>87</v>
      </c>
      <c r="CK1" s="25" t="s">
        <v>88</v>
      </c>
      <c r="CL1" s="25" t="s">
        <v>89</v>
      </c>
      <c r="CM1" s="25" t="s">
        <v>90</v>
      </c>
      <c r="CN1" s="25" t="s">
        <v>91</v>
      </c>
      <c r="CO1" s="25" t="s">
        <v>92</v>
      </c>
      <c r="CP1" s="25" t="s">
        <v>93</v>
      </c>
      <c r="CQ1" s="25" t="s">
        <v>94</v>
      </c>
      <c r="CR1" s="25" t="s">
        <v>95</v>
      </c>
      <c r="CS1" s="25" t="s">
        <v>96</v>
      </c>
      <c r="CT1" s="25" t="s">
        <v>97</v>
      </c>
      <c r="CU1" s="25" t="s">
        <v>98</v>
      </c>
      <c r="CV1" s="25" t="s">
        <v>99</v>
      </c>
      <c r="CW1" s="25" t="s">
        <v>100</v>
      </c>
      <c r="CX1" s="25" t="s">
        <v>101</v>
      </c>
      <c r="CY1" s="25" t="s">
        <v>102</v>
      </c>
      <c r="CZ1" s="25" t="s">
        <v>103</v>
      </c>
      <c r="DA1" s="25" t="s">
        <v>104</v>
      </c>
      <c r="DB1" s="25" t="s">
        <v>105</v>
      </c>
      <c r="DC1" s="25" t="s">
        <v>106</v>
      </c>
      <c r="DD1" s="25" t="s">
        <v>107</v>
      </c>
      <c r="DE1" s="25" t="s">
        <v>108</v>
      </c>
      <c r="DF1" s="25" t="s">
        <v>109</v>
      </c>
      <c r="DG1" s="25" t="s">
        <v>110</v>
      </c>
      <c r="DH1" s="25" t="s">
        <v>111</v>
      </c>
      <c r="DI1" s="25" t="s">
        <v>112</v>
      </c>
      <c r="DJ1" s="25" t="s">
        <v>113</v>
      </c>
      <c r="DK1" s="25" t="s">
        <v>114</v>
      </c>
      <c r="DL1" s="25" t="s">
        <v>115</v>
      </c>
      <c r="DM1" s="25" t="s">
        <v>116</v>
      </c>
      <c r="DN1" s="25" t="s">
        <v>117</v>
      </c>
      <c r="DO1" s="25" t="s">
        <v>118</v>
      </c>
      <c r="DP1" s="25" t="s">
        <v>119</v>
      </c>
      <c r="DQ1" s="25" t="s">
        <v>120</v>
      </c>
      <c r="DR1" s="25" t="s">
        <v>121</v>
      </c>
      <c r="DS1" s="25" t="s">
        <v>122</v>
      </c>
      <c r="DT1" s="25" t="s">
        <v>123</v>
      </c>
      <c r="DU1" s="25" t="s">
        <v>124</v>
      </c>
      <c r="DV1" s="25" t="s">
        <v>125</v>
      </c>
      <c r="DW1" s="25" t="s">
        <v>126</v>
      </c>
      <c r="DX1" s="25" t="s">
        <v>127</v>
      </c>
      <c r="DY1" s="25" t="s">
        <v>128</v>
      </c>
      <c r="DZ1" s="25" t="s">
        <v>129</v>
      </c>
      <c r="EA1" s="25" t="s">
        <v>130</v>
      </c>
      <c r="EB1" s="25" t="s">
        <v>131</v>
      </c>
      <c r="EC1" s="25" t="s">
        <v>132</v>
      </c>
      <c r="ED1" s="25" t="s">
        <v>133</v>
      </c>
      <c r="EE1" s="25" t="s">
        <v>134</v>
      </c>
      <c r="EF1" s="25" t="s">
        <v>135</v>
      </c>
      <c r="EG1" s="25" t="s">
        <v>136</v>
      </c>
      <c r="EH1" s="25" t="s">
        <v>137</v>
      </c>
      <c r="EI1" s="25" t="s">
        <v>138</v>
      </c>
      <c r="EJ1" s="25" t="s">
        <v>139</v>
      </c>
      <c r="EK1" s="25" t="s">
        <v>140</v>
      </c>
      <c r="EL1" s="25" t="s">
        <v>141</v>
      </c>
      <c r="EM1" s="25" t="s">
        <v>142</v>
      </c>
      <c r="EN1" s="25" t="s">
        <v>143</v>
      </c>
      <c r="EO1" s="25" t="s">
        <v>144</v>
      </c>
      <c r="EP1" s="25" t="s">
        <v>145</v>
      </c>
      <c r="EQ1" s="25" t="s">
        <v>146</v>
      </c>
      <c r="ER1" s="25" t="s">
        <v>147</v>
      </c>
      <c r="ES1" s="25" t="s">
        <v>148</v>
      </c>
      <c r="ET1" s="25" t="s">
        <v>149</v>
      </c>
      <c r="EU1" s="25" t="s">
        <v>150</v>
      </c>
      <c r="EV1" s="25" t="s">
        <v>151</v>
      </c>
      <c r="EW1" s="25" t="s">
        <v>152</v>
      </c>
      <c r="EX1" s="25" t="s">
        <v>153</v>
      </c>
      <c r="EY1" s="25" t="s">
        <v>154</v>
      </c>
      <c r="EZ1" s="25" t="s">
        <v>155</v>
      </c>
      <c r="FA1" s="25" t="s">
        <v>156</v>
      </c>
      <c r="FB1" s="25" t="s">
        <v>157</v>
      </c>
      <c r="FC1" s="25" t="s">
        <v>158</v>
      </c>
      <c r="FD1" s="25" t="s">
        <v>159</v>
      </c>
      <c r="FE1" s="25" t="s">
        <v>160</v>
      </c>
      <c r="FF1" s="25" t="s">
        <v>161</v>
      </c>
      <c r="FG1" s="25" t="s">
        <v>162</v>
      </c>
      <c r="FH1" s="25" t="s">
        <v>163</v>
      </c>
      <c r="FI1" s="25" t="s">
        <v>164</v>
      </c>
      <c r="FJ1" s="25" t="s">
        <v>165</v>
      </c>
      <c r="FK1" s="25" t="s">
        <v>166</v>
      </c>
      <c r="FL1" s="25" t="s">
        <v>167</v>
      </c>
      <c r="FM1" s="25" t="s">
        <v>168</v>
      </c>
      <c r="FN1" s="25" t="s">
        <v>169</v>
      </c>
      <c r="FO1" s="25" t="s">
        <v>170</v>
      </c>
      <c r="FP1" s="25" t="s">
        <v>171</v>
      </c>
      <c r="FQ1" s="25" t="s">
        <v>172</v>
      </c>
      <c r="FR1" s="25" t="s">
        <v>173</v>
      </c>
      <c r="FS1" s="25" t="s">
        <v>174</v>
      </c>
      <c r="FT1" s="25" t="s">
        <v>175</v>
      </c>
      <c r="FU1" s="25" t="s">
        <v>176</v>
      </c>
      <c r="FV1" s="25" t="s">
        <v>177</v>
      </c>
      <c r="FW1" s="25" t="s">
        <v>178</v>
      </c>
      <c r="FX1" s="25" t="s">
        <v>179</v>
      </c>
      <c r="FY1" s="25" t="s">
        <v>180</v>
      </c>
      <c r="FZ1" s="25" t="s">
        <v>181</v>
      </c>
      <c r="GA1" s="25" t="s">
        <v>182</v>
      </c>
      <c r="GB1" s="25" t="s">
        <v>183</v>
      </c>
      <c r="GC1" s="25" t="s">
        <v>184</v>
      </c>
      <c r="GD1" s="25" t="s">
        <v>185</v>
      </c>
      <c r="GE1" s="25" t="s">
        <v>186</v>
      </c>
      <c r="GF1" s="25" t="s">
        <v>187</v>
      </c>
      <c r="GG1" s="25" t="s">
        <v>188</v>
      </c>
      <c r="GH1" s="25" t="s">
        <v>189</v>
      </c>
      <c r="GI1" s="25" t="s">
        <v>190</v>
      </c>
      <c r="GJ1" s="25" t="s">
        <v>191</v>
      </c>
      <c r="GK1" s="25" t="s">
        <v>192</v>
      </c>
      <c r="GL1" s="25" t="s">
        <v>193</v>
      </c>
      <c r="GM1" s="25" t="s">
        <v>194</v>
      </c>
      <c r="GN1" s="25" t="s">
        <v>195</v>
      </c>
      <c r="GO1" s="25" t="s">
        <v>196</v>
      </c>
      <c r="GP1" s="25" t="s">
        <v>197</v>
      </c>
      <c r="GQ1" s="25" t="s">
        <v>198</v>
      </c>
      <c r="GR1" s="25" t="s">
        <v>199</v>
      </c>
      <c r="GS1" s="25" t="s">
        <v>200</v>
      </c>
      <c r="GT1" s="25" t="s">
        <v>201</v>
      </c>
      <c r="GU1" s="25" t="s">
        <v>202</v>
      </c>
      <c r="GV1" s="25" t="s">
        <v>203</v>
      </c>
      <c r="GW1" s="25" t="s">
        <v>204</v>
      </c>
      <c r="GX1" s="25" t="s">
        <v>205</v>
      </c>
      <c r="GY1" s="25" t="s">
        <v>206</v>
      </c>
      <c r="GZ1" s="25" t="s">
        <v>207</v>
      </c>
      <c r="HA1" s="25" t="s">
        <v>208</v>
      </c>
      <c r="HB1" s="25" t="s">
        <v>209</v>
      </c>
      <c r="HC1" s="25" t="s">
        <v>210</v>
      </c>
      <c r="HD1" s="25" t="s">
        <v>211</v>
      </c>
      <c r="HE1" s="25" t="s">
        <v>212</v>
      </c>
      <c r="HF1" s="25" t="s">
        <v>213</v>
      </c>
      <c r="HG1" s="25" t="s">
        <v>214</v>
      </c>
      <c r="HH1" s="25" t="s">
        <v>215</v>
      </c>
      <c r="HI1" s="25" t="s">
        <v>216</v>
      </c>
      <c r="HJ1" s="25" t="s">
        <v>217</v>
      </c>
      <c r="HK1" s="25" t="s">
        <v>218</v>
      </c>
      <c r="HL1" s="25" t="s">
        <v>219</v>
      </c>
      <c r="HM1" s="25" t="s">
        <v>220</v>
      </c>
      <c r="HN1" s="25" t="s">
        <v>221</v>
      </c>
      <c r="HO1" s="25" t="s">
        <v>222</v>
      </c>
      <c r="HP1" s="25" t="s">
        <v>223</v>
      </c>
      <c r="HQ1" s="25" t="s">
        <v>224</v>
      </c>
      <c r="HR1" s="25" t="s">
        <v>225</v>
      </c>
      <c r="HS1" s="25" t="s">
        <v>226</v>
      </c>
      <c r="HT1" s="25" t="s">
        <v>227</v>
      </c>
      <c r="HU1" s="25" t="s">
        <v>228</v>
      </c>
      <c r="HV1" s="25" t="s">
        <v>229</v>
      </c>
      <c r="HW1" s="25" t="s">
        <v>230</v>
      </c>
      <c r="HX1" s="25" t="s">
        <v>231</v>
      </c>
      <c r="HY1" s="25" t="s">
        <v>232</v>
      </c>
      <c r="HZ1" s="25" t="s">
        <v>233</v>
      </c>
      <c r="IA1" s="25" t="s">
        <v>234</v>
      </c>
      <c r="IB1" s="25" t="s">
        <v>235</v>
      </c>
      <c r="IC1" s="25" t="s">
        <v>236</v>
      </c>
      <c r="ID1" s="25" t="s">
        <v>237</v>
      </c>
      <c r="IE1" s="25" t="s">
        <v>238</v>
      </c>
      <c r="IF1" s="25" t="s">
        <v>239</v>
      </c>
      <c r="IG1" s="25" t="s">
        <v>240</v>
      </c>
      <c r="IH1" s="25" t="s">
        <v>241</v>
      </c>
      <c r="II1" s="25" t="s">
        <v>242</v>
      </c>
      <c r="IJ1" s="25" t="s">
        <v>243</v>
      </c>
      <c r="IK1" s="25" t="s">
        <v>244</v>
      </c>
      <c r="IL1" s="25" t="s">
        <v>245</v>
      </c>
      <c r="IM1" s="25" t="s">
        <v>246</v>
      </c>
      <c r="IN1" s="25" t="s">
        <v>247</v>
      </c>
      <c r="IO1" s="25" t="s">
        <v>248</v>
      </c>
      <c r="IP1" s="25" t="s">
        <v>249</v>
      </c>
      <c r="IQ1" s="25" t="s">
        <v>250</v>
      </c>
      <c r="IR1" s="25" t="s">
        <v>251</v>
      </c>
      <c r="IS1" s="25" t="s">
        <v>252</v>
      </c>
      <c r="IT1" s="25" t="s">
        <v>253</v>
      </c>
      <c r="IU1" s="25" t="s">
        <v>254</v>
      </c>
      <c r="IV1" s="25" t="s">
        <v>255</v>
      </c>
      <c r="IW1" s="25" t="s">
        <v>256</v>
      </c>
      <c r="IX1" s="25" t="s">
        <v>257</v>
      </c>
      <c r="IY1" s="25" t="s">
        <v>258</v>
      </c>
      <c r="IZ1" s="25" t="s">
        <v>259</v>
      </c>
      <c r="JA1" s="25" t="s">
        <v>260</v>
      </c>
      <c r="JB1" s="25" t="s">
        <v>261</v>
      </c>
      <c r="JC1" s="25" t="s">
        <v>262</v>
      </c>
      <c r="JD1" s="25" t="s">
        <v>263</v>
      </c>
      <c r="JE1" s="25" t="s">
        <v>264</v>
      </c>
      <c r="JF1" s="25" t="s">
        <v>265</v>
      </c>
      <c r="JG1" s="25" t="s">
        <v>266</v>
      </c>
      <c r="JH1" s="25" t="s">
        <v>267</v>
      </c>
      <c r="JI1" s="25" t="s">
        <v>268</v>
      </c>
      <c r="JJ1" s="25" t="s">
        <v>269</v>
      </c>
      <c r="JK1" s="25" t="s">
        <v>270</v>
      </c>
      <c r="JL1" s="25" t="s">
        <v>271</v>
      </c>
      <c r="JM1" s="25" t="s">
        <v>272</v>
      </c>
      <c r="JN1" s="25" t="s">
        <v>273</v>
      </c>
      <c r="JO1" s="25" t="s">
        <v>274</v>
      </c>
      <c r="JP1" s="25" t="s">
        <v>275</v>
      </c>
      <c r="JQ1" s="25" t="s">
        <v>276</v>
      </c>
      <c r="JR1" s="25" t="s">
        <v>277</v>
      </c>
      <c r="JS1" s="25" t="s">
        <v>278</v>
      </c>
      <c r="JT1" s="25" t="s">
        <v>279</v>
      </c>
      <c r="JU1" s="25" t="s">
        <v>280</v>
      </c>
      <c r="JV1" s="25" t="s">
        <v>281</v>
      </c>
      <c r="JW1" s="25" t="s">
        <v>282</v>
      </c>
      <c r="JX1" s="25" t="s">
        <v>283</v>
      </c>
      <c r="JY1" s="25" t="s">
        <v>284</v>
      </c>
      <c r="JZ1" s="25" t="s">
        <v>285</v>
      </c>
      <c r="KA1" s="25" t="s">
        <v>286</v>
      </c>
      <c r="KB1" s="25" t="s">
        <v>287</v>
      </c>
      <c r="KC1" s="25" t="s">
        <v>288</v>
      </c>
      <c r="KD1" s="25" t="s">
        <v>289</v>
      </c>
      <c r="KE1" s="25" t="s">
        <v>290</v>
      </c>
      <c r="KF1" s="25" t="s">
        <v>291</v>
      </c>
      <c r="KG1" s="25" t="s">
        <v>292</v>
      </c>
      <c r="KH1" s="25" t="s">
        <v>293</v>
      </c>
      <c r="KI1" s="25" t="s">
        <v>294</v>
      </c>
      <c r="KJ1" s="25" t="s">
        <v>295</v>
      </c>
      <c r="KK1" s="25" t="s">
        <v>296</v>
      </c>
      <c r="KL1" s="25" t="s">
        <v>297</v>
      </c>
      <c r="KM1" s="25" t="s">
        <v>298</v>
      </c>
      <c r="KN1" s="25" t="s">
        <v>299</v>
      </c>
      <c r="KO1" s="25" t="s">
        <v>300</v>
      </c>
      <c r="KP1" s="25" t="s">
        <v>301</v>
      </c>
      <c r="KQ1" s="25" t="s">
        <v>302</v>
      </c>
      <c r="KR1" s="25" t="s">
        <v>303</v>
      </c>
      <c r="KS1" s="25" t="s">
        <v>304</v>
      </c>
      <c r="KT1" s="25" t="s">
        <v>305</v>
      </c>
      <c r="KU1" s="25" t="s">
        <v>306</v>
      </c>
      <c r="KV1" s="25" t="s">
        <v>307</v>
      </c>
      <c r="KW1" s="25" t="s">
        <v>308</v>
      </c>
      <c r="KX1" s="25" t="s">
        <v>309</v>
      </c>
      <c r="KY1" s="25" t="s">
        <v>310</v>
      </c>
      <c r="KZ1" s="25" t="s">
        <v>311</v>
      </c>
      <c r="LA1" s="25" t="s">
        <v>312</v>
      </c>
      <c r="LB1" s="25" t="s">
        <v>313</v>
      </c>
      <c r="LC1" s="25" t="s">
        <v>314</v>
      </c>
      <c r="LD1" s="25" t="s">
        <v>315</v>
      </c>
      <c r="LE1" s="25" t="s">
        <v>316</v>
      </c>
      <c r="LF1" s="25" t="s">
        <v>317</v>
      </c>
      <c r="LG1" s="25" t="s">
        <v>318</v>
      </c>
      <c r="LH1" s="25" t="s">
        <v>319</v>
      </c>
      <c r="LI1" s="25" t="s">
        <v>320</v>
      </c>
      <c r="LJ1" s="25" t="s">
        <v>321</v>
      </c>
      <c r="LK1" s="25" t="s">
        <v>322</v>
      </c>
      <c r="LL1" s="25" t="s">
        <v>323</v>
      </c>
      <c r="LM1" s="25" t="s">
        <v>324</v>
      </c>
      <c r="LN1" s="25" t="s">
        <v>325</v>
      </c>
      <c r="LO1" s="25" t="s">
        <v>326</v>
      </c>
      <c r="LP1" s="25" t="s">
        <v>327</v>
      </c>
      <c r="LQ1" s="25" t="s">
        <v>328</v>
      </c>
      <c r="LR1" s="25" t="s">
        <v>329</v>
      </c>
    </row>
    <row r="2" spans="1:330" x14ac:dyDescent="0.25">
      <c r="A2" t="s">
        <v>330</v>
      </c>
      <c r="B2" t="s">
        <v>331</v>
      </c>
      <c r="C2" s="1" t="s">
        <v>1042</v>
      </c>
      <c r="D2" t="s">
        <v>332</v>
      </c>
      <c r="E2" t="s">
        <v>333</v>
      </c>
      <c r="F2" t="s">
        <v>334</v>
      </c>
      <c r="G2" s="2">
        <v>223780</v>
      </c>
      <c r="H2" s="2">
        <v>224213</v>
      </c>
      <c r="I2" s="2">
        <v>222122</v>
      </c>
      <c r="J2" s="2">
        <v>221266</v>
      </c>
      <c r="K2" s="2">
        <v>215122</v>
      </c>
      <c r="L2" s="2">
        <v>218215</v>
      </c>
      <c r="M2" s="2">
        <v>219517</v>
      </c>
      <c r="N2" s="2">
        <v>216301</v>
      </c>
      <c r="O2" s="2">
        <v>216390</v>
      </c>
      <c r="P2" s="2">
        <v>212882</v>
      </c>
      <c r="Q2" s="2">
        <v>212192</v>
      </c>
      <c r="R2" s="2">
        <v>214585</v>
      </c>
      <c r="S2" s="2">
        <v>218180</v>
      </c>
      <c r="T2" s="2">
        <v>217883</v>
      </c>
      <c r="U2" s="2">
        <v>220587</v>
      </c>
      <c r="V2" s="2">
        <v>225228</v>
      </c>
      <c r="W2" s="2">
        <v>225362</v>
      </c>
      <c r="X2" s="2">
        <v>223815</v>
      </c>
      <c r="Y2" s="2">
        <v>225295</v>
      </c>
      <c r="Z2" s="2">
        <v>229115</v>
      </c>
      <c r="AA2" s="2">
        <v>231258</v>
      </c>
      <c r="AB2" s="2">
        <v>233910</v>
      </c>
      <c r="AC2" s="2">
        <v>237107</v>
      </c>
      <c r="AD2" s="2">
        <v>239186</v>
      </c>
      <c r="AE2" s="2">
        <v>238472</v>
      </c>
      <c r="AF2" s="2">
        <v>248867</v>
      </c>
      <c r="AG2" s="2">
        <v>243369</v>
      </c>
      <c r="AH2" s="2">
        <v>245858</v>
      </c>
      <c r="AI2" s="2">
        <v>243513</v>
      </c>
      <c r="AJ2" s="2">
        <v>238722</v>
      </c>
      <c r="AK2" s="2">
        <v>238432</v>
      </c>
      <c r="AL2" s="2">
        <v>235866</v>
      </c>
      <c r="AM2" s="2">
        <v>235712</v>
      </c>
      <c r="AN2" s="2">
        <v>236272</v>
      </c>
      <c r="AO2" s="2">
        <v>238846</v>
      </c>
      <c r="AP2" s="2">
        <v>239131</v>
      </c>
      <c r="AQ2" s="2">
        <v>239578</v>
      </c>
      <c r="AR2" s="2">
        <v>242095</v>
      </c>
      <c r="AS2" s="2">
        <v>242639</v>
      </c>
      <c r="AT2" s="2">
        <v>244317</v>
      </c>
      <c r="AU2" s="2">
        <v>249032</v>
      </c>
      <c r="AV2" s="2">
        <v>250761</v>
      </c>
      <c r="AW2" s="2">
        <v>253655</v>
      </c>
      <c r="AX2" s="2">
        <v>255533</v>
      </c>
      <c r="AY2" s="2">
        <v>257683</v>
      </c>
      <c r="AZ2" s="2">
        <v>255100</v>
      </c>
      <c r="BA2" s="2">
        <v>256975</v>
      </c>
      <c r="BB2" s="2">
        <v>261627</v>
      </c>
      <c r="BC2" s="2">
        <v>264127</v>
      </c>
      <c r="BD2" s="2">
        <v>269787</v>
      </c>
      <c r="BE2" s="2">
        <v>269737</v>
      </c>
      <c r="BF2" s="2">
        <v>269896</v>
      </c>
      <c r="BG2" s="2">
        <v>272720</v>
      </c>
      <c r="BH2" s="2">
        <v>275136</v>
      </c>
      <c r="BI2" s="2">
        <v>276863</v>
      </c>
      <c r="BJ2" s="2">
        <v>282193</v>
      </c>
      <c r="BK2" s="2">
        <v>284172</v>
      </c>
      <c r="BL2" s="2">
        <v>288385</v>
      </c>
      <c r="BM2" s="2">
        <v>295493</v>
      </c>
      <c r="BN2" s="2">
        <v>298855</v>
      </c>
      <c r="BO2" s="2">
        <v>303698</v>
      </c>
      <c r="BP2" s="2">
        <v>305281</v>
      </c>
      <c r="BQ2" s="2">
        <v>309097</v>
      </c>
      <c r="BR2" s="2">
        <v>311574</v>
      </c>
      <c r="BS2" s="2">
        <v>313083</v>
      </c>
      <c r="BT2" s="2">
        <v>315039</v>
      </c>
      <c r="BU2" s="2">
        <v>315554</v>
      </c>
      <c r="BV2" s="2">
        <v>315515</v>
      </c>
      <c r="BW2" s="2">
        <v>317117</v>
      </c>
      <c r="BX2" s="2">
        <v>319239</v>
      </c>
      <c r="BY2" s="2">
        <v>315744</v>
      </c>
      <c r="BZ2" s="2">
        <v>314148</v>
      </c>
      <c r="CA2" s="2">
        <v>312596</v>
      </c>
      <c r="CB2" s="2">
        <v>312235</v>
      </c>
      <c r="CC2" s="2">
        <v>311624</v>
      </c>
      <c r="CD2" s="2">
        <v>312006</v>
      </c>
      <c r="CE2" s="2">
        <v>311904</v>
      </c>
      <c r="CF2" s="2">
        <v>311418</v>
      </c>
      <c r="CG2" s="2">
        <v>312896</v>
      </c>
      <c r="CH2" s="2">
        <v>315307</v>
      </c>
      <c r="CI2" s="2">
        <v>316882</v>
      </c>
      <c r="CJ2" s="2">
        <v>318302</v>
      </c>
      <c r="CK2" s="2">
        <v>321218</v>
      </c>
      <c r="CL2" s="2">
        <v>323400</v>
      </c>
      <c r="CM2" s="2">
        <v>326585</v>
      </c>
      <c r="CN2" s="2">
        <v>329584</v>
      </c>
      <c r="CO2" s="2">
        <v>332911</v>
      </c>
      <c r="CP2" s="2">
        <v>334363</v>
      </c>
      <c r="CQ2" s="2">
        <v>336090</v>
      </c>
      <c r="CR2" s="2">
        <v>336789</v>
      </c>
      <c r="CS2" s="2">
        <v>340542</v>
      </c>
      <c r="CT2" s="2">
        <v>341602</v>
      </c>
      <c r="CU2" s="2">
        <v>343859</v>
      </c>
      <c r="CV2" s="2">
        <v>344979</v>
      </c>
      <c r="CW2" s="2">
        <v>348214</v>
      </c>
      <c r="CX2" s="2">
        <v>352958</v>
      </c>
      <c r="CY2" s="2">
        <v>358611</v>
      </c>
      <c r="CZ2" s="2">
        <v>362573</v>
      </c>
      <c r="DA2" s="2">
        <v>365942</v>
      </c>
      <c r="DB2" s="2">
        <v>371341</v>
      </c>
      <c r="DC2" s="2">
        <v>374037</v>
      </c>
      <c r="DD2" s="2">
        <v>376421</v>
      </c>
      <c r="DE2" s="2">
        <v>377650</v>
      </c>
      <c r="DF2" s="2">
        <v>380155</v>
      </c>
      <c r="DG2" s="2">
        <v>382789</v>
      </c>
      <c r="DH2" s="2">
        <v>384605</v>
      </c>
      <c r="DI2" s="2">
        <v>390758</v>
      </c>
      <c r="DJ2" s="2">
        <v>396357</v>
      </c>
      <c r="DK2" s="2">
        <v>401242</v>
      </c>
      <c r="DL2" s="2">
        <v>404196</v>
      </c>
      <c r="DM2" s="2">
        <v>406795</v>
      </c>
      <c r="DN2" s="2">
        <v>409411</v>
      </c>
      <c r="DO2" s="2">
        <v>413054</v>
      </c>
      <c r="DP2" s="2">
        <v>414878</v>
      </c>
      <c r="DQ2" s="2">
        <v>417085</v>
      </c>
      <c r="DR2" s="2">
        <v>418445</v>
      </c>
      <c r="DS2" s="2">
        <v>419534</v>
      </c>
      <c r="DT2" s="2">
        <v>421587</v>
      </c>
      <c r="DU2" s="2">
        <v>424425</v>
      </c>
      <c r="DV2" s="2">
        <v>427725</v>
      </c>
      <c r="DW2" s="2">
        <v>430832</v>
      </c>
      <c r="DX2" s="2">
        <v>434837</v>
      </c>
      <c r="DY2" s="2">
        <v>438710</v>
      </c>
      <c r="DZ2" s="2">
        <v>442172</v>
      </c>
      <c r="EA2" s="2">
        <v>443853</v>
      </c>
      <c r="EB2" s="2">
        <v>446443</v>
      </c>
      <c r="EC2" s="2">
        <v>448171</v>
      </c>
      <c r="ED2" s="2">
        <v>450464</v>
      </c>
      <c r="EE2" s="2">
        <v>453784</v>
      </c>
      <c r="EF2" s="2">
        <v>457557</v>
      </c>
      <c r="EG2" s="2">
        <v>461135</v>
      </c>
      <c r="EH2" s="2">
        <v>465451</v>
      </c>
      <c r="EI2" s="2">
        <v>467840</v>
      </c>
      <c r="EJ2" s="2">
        <v>469655</v>
      </c>
      <c r="EK2" s="2">
        <v>470918</v>
      </c>
      <c r="EL2" s="2">
        <v>473372</v>
      </c>
      <c r="EM2" s="2">
        <v>477823</v>
      </c>
      <c r="EN2" s="2">
        <v>481314</v>
      </c>
      <c r="EO2" s="2">
        <v>484544</v>
      </c>
      <c r="EP2" s="2">
        <v>487413</v>
      </c>
      <c r="EQ2" s="2">
        <v>489783</v>
      </c>
      <c r="ER2" s="2">
        <v>487386</v>
      </c>
      <c r="ES2" s="2">
        <v>479872</v>
      </c>
      <c r="ET2" s="2">
        <v>469694</v>
      </c>
      <c r="EU2" s="2">
        <v>460105</v>
      </c>
      <c r="EV2" s="2">
        <v>458599</v>
      </c>
      <c r="EW2" s="2">
        <v>458875</v>
      </c>
      <c r="EX2" s="2">
        <v>460238</v>
      </c>
      <c r="EY2" s="2">
        <v>464543</v>
      </c>
      <c r="EZ2" s="2">
        <v>469606</v>
      </c>
      <c r="FA2" s="2">
        <v>472199</v>
      </c>
      <c r="FB2" s="2">
        <v>472612</v>
      </c>
      <c r="FC2" s="2">
        <v>473819</v>
      </c>
      <c r="FD2" s="2">
        <v>474365</v>
      </c>
      <c r="FE2" s="2">
        <v>475813</v>
      </c>
      <c r="FF2" s="2">
        <v>476479</v>
      </c>
      <c r="FG2" s="2">
        <v>480632</v>
      </c>
      <c r="FH2" s="2">
        <v>479979</v>
      </c>
      <c r="FI2" s="2">
        <v>484579</v>
      </c>
      <c r="FJ2" s="2">
        <v>484039</v>
      </c>
      <c r="FK2" s="2">
        <v>485409</v>
      </c>
      <c r="FL2" s="2">
        <v>488930</v>
      </c>
      <c r="FM2" s="2">
        <v>493002</v>
      </c>
      <c r="FN2" s="2">
        <v>496466</v>
      </c>
      <c r="FO2" s="2">
        <v>500552</v>
      </c>
      <c r="FP2" s="2">
        <v>504939</v>
      </c>
      <c r="FQ2" s="2">
        <v>508741</v>
      </c>
      <c r="FR2" s="2">
        <v>512334</v>
      </c>
      <c r="FS2" s="2">
        <v>513850</v>
      </c>
      <c r="FT2" s="2">
        <v>516876</v>
      </c>
      <c r="FU2" s="2">
        <v>518915</v>
      </c>
      <c r="FV2" s="2">
        <v>521920</v>
      </c>
      <c r="FW2" s="2">
        <v>523813</v>
      </c>
      <c r="FX2" s="2">
        <v>526750</v>
      </c>
      <c r="FY2" s="2">
        <v>528712</v>
      </c>
      <c r="FZ2" s="2">
        <v>532082</v>
      </c>
      <c r="GA2" s="2">
        <v>536566</v>
      </c>
      <c r="GB2" s="2">
        <v>540020</v>
      </c>
      <c r="GC2" s="2">
        <v>543452</v>
      </c>
      <c r="GD2" s="2">
        <v>547377</v>
      </c>
      <c r="GE2" s="2">
        <v>547688</v>
      </c>
      <c r="GF2" s="2">
        <v>548600</v>
      </c>
      <c r="GG2" s="2">
        <v>550425</v>
      </c>
      <c r="GH2" s="2">
        <v>551128</v>
      </c>
      <c r="GI2" s="2">
        <v>555141</v>
      </c>
      <c r="GJ2" s="2">
        <v>556932</v>
      </c>
      <c r="GK2" s="2">
        <v>560987</v>
      </c>
      <c r="GL2" s="2">
        <v>560861</v>
      </c>
      <c r="GM2" s="2">
        <v>545597</v>
      </c>
      <c r="GN2" s="2">
        <v>434718</v>
      </c>
      <c r="GO2" s="2">
        <v>507643</v>
      </c>
      <c r="GP2" s="2">
        <v>514531</v>
      </c>
      <c r="GQ2" s="2">
        <v>509261</v>
      </c>
      <c r="GR2" s="2">
        <v>546579</v>
      </c>
      <c r="GS2" s="2">
        <v>555956</v>
      </c>
      <c r="GT2" s="2">
        <v>564407</v>
      </c>
      <c r="GU2" s="2">
        <v>567396</v>
      </c>
      <c r="GV2" s="2">
        <v>567889</v>
      </c>
      <c r="GW2" s="2">
        <v>567445</v>
      </c>
      <c r="GX2" s="2">
        <v>568034</v>
      </c>
      <c r="GY2" s="2">
        <v>569027</v>
      </c>
      <c r="GZ2" s="2">
        <v>569076</v>
      </c>
      <c r="HA2" s="2">
        <v>568397</v>
      </c>
      <c r="HB2" s="2">
        <v>566626</v>
      </c>
      <c r="HC2" s="2">
        <v>570694</v>
      </c>
      <c r="HD2" s="2">
        <v>573956</v>
      </c>
      <c r="HE2" s="3">
        <v>576074.6</v>
      </c>
      <c r="HF2" s="3">
        <v>578342.6</v>
      </c>
      <c r="HG2" s="3">
        <v>580724.9</v>
      </c>
      <c r="HH2" s="3">
        <v>583280.6</v>
      </c>
      <c r="HI2" s="3">
        <v>585788.9</v>
      </c>
      <c r="HJ2" s="3">
        <v>588395.1</v>
      </c>
      <c r="HK2" s="3">
        <v>591043.1</v>
      </c>
      <c r="HL2" s="3">
        <v>593644.6</v>
      </c>
      <c r="HM2" s="3">
        <v>596078.6</v>
      </c>
      <c r="HN2" s="3">
        <v>598492.4</v>
      </c>
      <c r="HO2" s="3">
        <v>600946.30000000005</v>
      </c>
      <c r="HP2" s="3">
        <v>603410.19999999995</v>
      </c>
      <c r="HQ2" s="3">
        <v>605854.19999999995</v>
      </c>
      <c r="HR2" s="3">
        <v>608398.6</v>
      </c>
      <c r="HS2" s="3">
        <v>610893.1</v>
      </c>
      <c r="HT2" s="3">
        <v>613397.80000000005</v>
      </c>
      <c r="HU2" s="3">
        <v>615851.30000000005</v>
      </c>
      <c r="HV2" s="3">
        <v>618314.80000000005</v>
      </c>
      <c r="HW2" s="3">
        <v>620757.1</v>
      </c>
      <c r="HX2" s="3">
        <v>623178</v>
      </c>
      <c r="HY2" s="3">
        <v>625546.1</v>
      </c>
      <c r="HZ2" s="3">
        <v>627923.19999999995</v>
      </c>
      <c r="IA2" s="3">
        <v>630309.30000000005</v>
      </c>
      <c r="IB2" s="3">
        <v>632672.9</v>
      </c>
      <c r="IC2" s="3">
        <v>635045.4</v>
      </c>
      <c r="ID2" s="3">
        <v>637426.9</v>
      </c>
      <c r="IE2" s="3">
        <v>639817.30000000005</v>
      </c>
      <c r="IF2" s="3">
        <v>642216.6</v>
      </c>
      <c r="IG2" s="3">
        <v>644624.9</v>
      </c>
      <c r="IH2" s="3">
        <v>647042.19999999995</v>
      </c>
      <c r="II2" s="3">
        <v>649436.30000000005</v>
      </c>
      <c r="IJ2" s="3">
        <v>651871.6</v>
      </c>
      <c r="IK2" s="3">
        <v>654251</v>
      </c>
      <c r="IL2" s="3">
        <v>656639</v>
      </c>
      <c r="IM2" s="3">
        <v>659179.1</v>
      </c>
      <c r="IN2" s="3">
        <v>661688.6</v>
      </c>
      <c r="IO2" s="3">
        <v>664138.30000000005</v>
      </c>
      <c r="IP2" s="3">
        <v>666596.30000000005</v>
      </c>
      <c r="IQ2" s="3">
        <v>669111.19999999995</v>
      </c>
      <c r="IR2" s="3">
        <v>671638.1</v>
      </c>
      <c r="IS2" s="3">
        <v>674077.1</v>
      </c>
      <c r="IT2" s="3">
        <v>676533.3</v>
      </c>
      <c r="IU2" s="3">
        <v>679077</v>
      </c>
      <c r="IV2" s="3">
        <v>681630.5</v>
      </c>
      <c r="IW2" s="3">
        <v>684193.6</v>
      </c>
      <c r="IX2" s="3">
        <v>686765.9</v>
      </c>
      <c r="IY2" s="3">
        <v>689409.9</v>
      </c>
      <c r="IZ2" s="3">
        <v>692066.5</v>
      </c>
      <c r="JA2" s="3">
        <v>694735.8</v>
      </c>
      <c r="JB2" s="3">
        <v>697417.4</v>
      </c>
      <c r="JC2" s="3">
        <v>700111.9</v>
      </c>
      <c r="JD2" s="3">
        <v>702818.7</v>
      </c>
      <c r="JE2" s="3">
        <v>705538.3</v>
      </c>
      <c r="JF2" s="3">
        <v>708270.7</v>
      </c>
      <c r="JG2" s="3">
        <v>711077.4</v>
      </c>
      <c r="JH2" s="3">
        <v>713897.8</v>
      </c>
      <c r="JI2" s="3">
        <v>716732.6</v>
      </c>
      <c r="JJ2" s="3">
        <v>719581.7</v>
      </c>
      <c r="JK2" s="3">
        <v>722445</v>
      </c>
      <c r="JL2" s="3">
        <v>725322.8</v>
      </c>
      <c r="JM2" s="3">
        <v>728215.1</v>
      </c>
      <c r="JN2" s="3">
        <v>731122</v>
      </c>
      <c r="JO2" s="3">
        <v>734043.5</v>
      </c>
      <c r="JP2" s="3">
        <v>736973.8</v>
      </c>
      <c r="JQ2" s="3">
        <v>739913.2</v>
      </c>
      <c r="JR2" s="3">
        <v>742861.4</v>
      </c>
      <c r="JS2" s="3">
        <v>745748.5</v>
      </c>
      <c r="JT2" s="3">
        <v>748643.5</v>
      </c>
      <c r="JU2" s="3">
        <v>751546.3</v>
      </c>
      <c r="JV2" s="3">
        <v>754457.2</v>
      </c>
      <c r="JW2" s="3">
        <v>757375.9</v>
      </c>
      <c r="JX2" s="3">
        <v>760302.5</v>
      </c>
      <c r="JY2" s="3">
        <v>763237.1</v>
      </c>
      <c r="JZ2" s="3">
        <v>766179.6</v>
      </c>
      <c r="KA2" s="3">
        <v>769129.9</v>
      </c>
      <c r="KB2" s="3">
        <v>772088</v>
      </c>
      <c r="KC2" s="3">
        <v>775053.1</v>
      </c>
      <c r="KD2" s="3">
        <v>778025.8</v>
      </c>
      <c r="KE2" s="3">
        <v>781005.4</v>
      </c>
      <c r="KF2" s="3">
        <v>783992.4</v>
      </c>
      <c r="KG2" s="3">
        <v>786986.7</v>
      </c>
      <c r="KH2" s="3">
        <v>789988.3</v>
      </c>
      <c r="KI2" s="3">
        <v>792997.1</v>
      </c>
      <c r="KJ2" s="3">
        <v>796013.3</v>
      </c>
      <c r="KK2" s="3">
        <v>799036.9</v>
      </c>
      <c r="KL2" s="3">
        <v>802067.8</v>
      </c>
      <c r="KM2" s="3">
        <v>805106.1</v>
      </c>
      <c r="KN2" s="3">
        <v>808151.9</v>
      </c>
      <c r="KO2" s="3">
        <v>811205.2</v>
      </c>
      <c r="KP2" s="3">
        <v>814266.1</v>
      </c>
      <c r="KQ2" s="3">
        <v>817334.6</v>
      </c>
      <c r="KR2" s="3">
        <v>820410.7</v>
      </c>
      <c r="KS2" s="3">
        <v>823494.4</v>
      </c>
      <c r="KT2" s="3">
        <v>826586.3</v>
      </c>
      <c r="KU2" s="3">
        <v>829685.8</v>
      </c>
      <c r="KV2" s="3">
        <v>832793.2</v>
      </c>
      <c r="KW2" s="3">
        <v>835908.3</v>
      </c>
      <c r="KX2" s="3">
        <v>839031.4</v>
      </c>
      <c r="KY2" s="3">
        <v>842162.3</v>
      </c>
      <c r="KZ2" s="3">
        <v>845301.1</v>
      </c>
      <c r="LA2" s="3">
        <v>848447.4</v>
      </c>
      <c r="LB2" s="3">
        <v>851601.7</v>
      </c>
      <c r="LC2" s="3">
        <v>854763.5</v>
      </c>
      <c r="LD2" s="3">
        <v>857933.4</v>
      </c>
      <c r="LE2" s="3">
        <v>861110.8</v>
      </c>
      <c r="LF2" s="3">
        <v>864296.1</v>
      </c>
      <c r="LG2" t="s">
        <v>335</v>
      </c>
      <c r="LH2" t="b">
        <v>1</v>
      </c>
      <c r="LI2" s="1" t="s">
        <v>336</v>
      </c>
      <c r="LJ2" t="s">
        <v>337</v>
      </c>
      <c r="LK2">
        <v>2024</v>
      </c>
      <c r="LL2">
        <v>2</v>
      </c>
      <c r="LM2" t="s">
        <v>337</v>
      </c>
      <c r="LN2" t="s">
        <v>338</v>
      </c>
      <c r="LO2" s="1" t="s">
        <v>339</v>
      </c>
      <c r="LP2" t="s">
        <v>340</v>
      </c>
      <c r="LQ2" t="s">
        <v>341</v>
      </c>
      <c r="LR2" s="1" t="s">
        <v>1043</v>
      </c>
    </row>
    <row r="3" spans="1:330" x14ac:dyDescent="0.25">
      <c r="A3" t="s">
        <v>330</v>
      </c>
      <c r="B3" t="s">
        <v>342</v>
      </c>
      <c r="C3" s="1" t="s">
        <v>1042</v>
      </c>
      <c r="D3" t="s">
        <v>343</v>
      </c>
      <c r="E3" t="s">
        <v>337</v>
      </c>
      <c r="F3" t="s">
        <v>334</v>
      </c>
      <c r="G3" s="2">
        <v>11.88749</v>
      </c>
      <c r="H3" s="2">
        <v>12.304600000000001</v>
      </c>
      <c r="I3" s="2">
        <v>12.51315</v>
      </c>
      <c r="J3" s="2">
        <v>13.008459999999999</v>
      </c>
      <c r="K3" s="2">
        <v>13.47771</v>
      </c>
      <c r="L3" s="2">
        <v>14.23371</v>
      </c>
      <c r="M3" s="2">
        <v>14.572609999999999</v>
      </c>
      <c r="N3" s="2">
        <v>15.250400000000001</v>
      </c>
      <c r="O3" s="2">
        <v>16.058540000000001</v>
      </c>
      <c r="P3" s="2">
        <v>17.466270000000002</v>
      </c>
      <c r="Q3" s="2">
        <v>18.222280000000001</v>
      </c>
      <c r="R3" s="2">
        <v>18.847930000000002</v>
      </c>
      <c r="S3" s="2">
        <v>19.42145</v>
      </c>
      <c r="T3" s="2">
        <v>20.125319999999999</v>
      </c>
      <c r="U3" s="2">
        <v>20.594560000000001</v>
      </c>
      <c r="V3" s="2">
        <v>21.506979999999999</v>
      </c>
      <c r="W3" s="2">
        <v>22.471530000000001</v>
      </c>
      <c r="X3" s="2">
        <v>23.410019999999999</v>
      </c>
      <c r="Y3" s="2">
        <v>23.82713</v>
      </c>
      <c r="Z3" s="2">
        <v>24.139949999999999</v>
      </c>
      <c r="AA3" s="2">
        <v>24.452780000000001</v>
      </c>
      <c r="AB3" s="2">
        <v>25.078440000000001</v>
      </c>
      <c r="AC3" s="2">
        <v>25.469480000000001</v>
      </c>
      <c r="AD3" s="2">
        <v>25.860510000000001</v>
      </c>
      <c r="AE3" s="2">
        <v>26.43403</v>
      </c>
      <c r="AF3" s="2">
        <v>27.268239999999999</v>
      </c>
      <c r="AG3" s="2">
        <v>28.910589999999999</v>
      </c>
      <c r="AH3" s="2">
        <v>29.718730000000001</v>
      </c>
      <c r="AI3" s="2">
        <v>30.605080000000001</v>
      </c>
      <c r="AJ3" s="2">
        <v>32.247430000000001</v>
      </c>
      <c r="AK3" s="2">
        <v>32.951300000000003</v>
      </c>
      <c r="AL3" s="2">
        <v>33.550879999999999</v>
      </c>
      <c r="AM3" s="2">
        <v>34.385100000000001</v>
      </c>
      <c r="AN3" s="2">
        <v>36.079590000000003</v>
      </c>
      <c r="AO3" s="2">
        <v>36.731310000000001</v>
      </c>
      <c r="AP3" s="2">
        <v>37.435180000000003</v>
      </c>
      <c r="AQ3" s="2">
        <v>37.878349999999998</v>
      </c>
      <c r="AR3" s="2">
        <v>39.181800000000003</v>
      </c>
      <c r="AS3" s="2">
        <v>39.416420000000002</v>
      </c>
      <c r="AT3" s="2">
        <v>39.885669999999998</v>
      </c>
      <c r="AU3" s="2">
        <v>40.172429999999999</v>
      </c>
      <c r="AV3" s="2">
        <v>40.85022</v>
      </c>
      <c r="AW3" s="2">
        <v>41.293399999999998</v>
      </c>
      <c r="AX3" s="2">
        <v>41.762639999999998</v>
      </c>
      <c r="AY3" s="2">
        <v>41.86692</v>
      </c>
      <c r="AZ3" s="2">
        <v>42.779339999999998</v>
      </c>
      <c r="BA3" s="2">
        <v>42.98789</v>
      </c>
      <c r="BB3" s="2">
        <v>43.431060000000002</v>
      </c>
      <c r="BC3" s="2">
        <v>43.874229999999997</v>
      </c>
      <c r="BD3" s="2">
        <v>44.995199999999997</v>
      </c>
      <c r="BE3" s="2">
        <v>45.125549999999997</v>
      </c>
      <c r="BF3" s="2">
        <v>45.490519999999997</v>
      </c>
      <c r="BG3" s="2">
        <v>45.646929999999998</v>
      </c>
      <c r="BH3" s="2">
        <v>46.3508</v>
      </c>
      <c r="BI3" s="2">
        <v>46.533279999999998</v>
      </c>
      <c r="BJ3" s="2">
        <v>46.924320000000002</v>
      </c>
      <c r="BK3" s="2">
        <v>47.237139999999997</v>
      </c>
      <c r="BL3" s="2">
        <v>47.836730000000003</v>
      </c>
      <c r="BM3" s="2">
        <v>47.888869999999997</v>
      </c>
      <c r="BN3" s="2">
        <v>48.436320000000002</v>
      </c>
      <c r="BO3" s="2">
        <v>48.566670000000002</v>
      </c>
      <c r="BP3" s="2">
        <v>49.5</v>
      </c>
      <c r="BQ3" s="2">
        <v>49.9</v>
      </c>
      <c r="BR3" s="2">
        <v>50.466670000000001</v>
      </c>
      <c r="BS3" s="2">
        <v>51</v>
      </c>
      <c r="BT3" s="2">
        <v>52.133339999999997</v>
      </c>
      <c r="BU3" s="2">
        <v>52.466670000000001</v>
      </c>
      <c r="BV3" s="2">
        <v>53.266669999999998</v>
      </c>
      <c r="BW3" s="2">
        <v>53.933329999999998</v>
      </c>
      <c r="BX3" s="2">
        <v>55.6</v>
      </c>
      <c r="BY3" s="2">
        <v>56.4</v>
      </c>
      <c r="BZ3" s="2">
        <v>57.466670000000001</v>
      </c>
      <c r="CA3" s="2">
        <v>57.666670000000003</v>
      </c>
      <c r="CB3" s="2">
        <v>60.266669999999998</v>
      </c>
      <c r="CC3" s="2">
        <v>60.833329999999997</v>
      </c>
      <c r="CD3" s="2">
        <v>61.466670000000001</v>
      </c>
      <c r="CE3" s="2">
        <v>61.7</v>
      </c>
      <c r="CF3" s="2">
        <v>62.833329999999997</v>
      </c>
      <c r="CG3" s="2">
        <v>62.733330000000002</v>
      </c>
      <c r="CH3" s="2">
        <v>63.133339999999997</v>
      </c>
      <c r="CI3" s="2">
        <v>63.2</v>
      </c>
      <c r="CJ3" s="2">
        <v>64.433329999999998</v>
      </c>
      <c r="CK3" s="2">
        <v>64.5</v>
      </c>
      <c r="CL3" s="2">
        <v>64.666659999999993</v>
      </c>
      <c r="CM3" s="2">
        <v>64.766670000000005</v>
      </c>
      <c r="CN3" s="2">
        <v>65.7</v>
      </c>
      <c r="CO3" s="2">
        <v>65.633330000000001</v>
      </c>
      <c r="CP3" s="2">
        <v>65.8</v>
      </c>
      <c r="CQ3" s="2">
        <v>66.333340000000007</v>
      </c>
      <c r="CR3" s="2">
        <v>67.266670000000005</v>
      </c>
      <c r="CS3" s="2">
        <v>67.400000000000006</v>
      </c>
      <c r="CT3" s="2">
        <v>67.733329999999995</v>
      </c>
      <c r="CU3" s="2">
        <v>68.099999999999994</v>
      </c>
      <c r="CV3" s="2">
        <v>68.866669999999999</v>
      </c>
      <c r="CW3" s="2">
        <v>68.933329999999998</v>
      </c>
      <c r="CX3" s="2">
        <v>69.366669999999999</v>
      </c>
      <c r="CY3" s="2">
        <v>69.366669999999999</v>
      </c>
      <c r="CZ3" s="2">
        <v>70</v>
      </c>
      <c r="DA3" s="2">
        <v>70.266670000000005</v>
      </c>
      <c r="DB3" s="2">
        <v>70.633330000000001</v>
      </c>
      <c r="DC3" s="2">
        <v>70.5</v>
      </c>
      <c r="DD3" s="2">
        <v>71.266670000000005</v>
      </c>
      <c r="DE3" s="2">
        <v>71.233329999999995</v>
      </c>
      <c r="DF3" s="2">
        <v>71.633330000000001</v>
      </c>
      <c r="DG3" s="2">
        <v>71.599999999999994</v>
      </c>
      <c r="DH3" s="2">
        <v>72.3</v>
      </c>
      <c r="DI3" s="2">
        <v>72.133330000000001</v>
      </c>
      <c r="DJ3" s="2">
        <v>72.433329999999998</v>
      </c>
      <c r="DK3" s="2">
        <v>72.133330000000001</v>
      </c>
      <c r="DL3" s="2">
        <v>72.766670000000005</v>
      </c>
      <c r="DM3" s="2">
        <v>72.7</v>
      </c>
      <c r="DN3" s="2">
        <v>73.166659999999993</v>
      </c>
      <c r="DO3" s="2">
        <v>72.766670000000005</v>
      </c>
      <c r="DP3" s="2">
        <v>73.833340000000007</v>
      </c>
      <c r="DQ3" s="2">
        <v>73.866669999999999</v>
      </c>
      <c r="DR3" s="2">
        <v>73.900000000000006</v>
      </c>
      <c r="DS3" s="2">
        <v>73.866669999999999</v>
      </c>
      <c r="DT3" s="2">
        <v>74.533330000000007</v>
      </c>
      <c r="DU3" s="2">
        <v>74.599999999999994</v>
      </c>
      <c r="DV3" s="2">
        <v>75</v>
      </c>
      <c r="DW3" s="2">
        <v>75</v>
      </c>
      <c r="DX3" s="2">
        <v>75.466669999999993</v>
      </c>
      <c r="DY3" s="2">
        <v>75.599999999999994</v>
      </c>
      <c r="DZ3" s="2">
        <v>76.033330000000007</v>
      </c>
      <c r="EA3" s="2">
        <v>75.966669999999993</v>
      </c>
      <c r="EB3" s="2">
        <v>76.533330000000007</v>
      </c>
      <c r="EC3" s="2">
        <v>76.566670000000002</v>
      </c>
      <c r="ED3" s="2">
        <v>77.099999999999994</v>
      </c>
      <c r="EE3" s="2">
        <v>77.233329999999995</v>
      </c>
      <c r="EF3" s="2">
        <v>78</v>
      </c>
      <c r="EG3" s="2">
        <v>78.400000000000006</v>
      </c>
      <c r="EH3" s="2">
        <v>78.766670000000005</v>
      </c>
      <c r="EI3" s="2">
        <v>78.733329999999995</v>
      </c>
      <c r="EJ3" s="2">
        <v>79.8</v>
      </c>
      <c r="EK3" s="2">
        <v>80.3</v>
      </c>
      <c r="EL3" s="2">
        <v>80.900000000000006</v>
      </c>
      <c r="EM3" s="2">
        <v>81</v>
      </c>
      <c r="EN3" s="2">
        <v>81.8</v>
      </c>
      <c r="EO3" s="2">
        <v>81.733329999999995</v>
      </c>
      <c r="EP3" s="2">
        <v>82.6</v>
      </c>
      <c r="EQ3" s="2">
        <v>82.933329999999998</v>
      </c>
      <c r="ER3" s="2">
        <v>84.6</v>
      </c>
      <c r="ES3" s="2">
        <v>85.633330000000001</v>
      </c>
      <c r="ET3" s="2">
        <v>85.733329999999995</v>
      </c>
      <c r="EU3" s="2">
        <v>85.433329999999998</v>
      </c>
      <c r="EV3" s="2">
        <v>86.366669999999999</v>
      </c>
      <c r="EW3" s="2">
        <v>86.933329999999998</v>
      </c>
      <c r="EX3" s="2">
        <v>87.566670000000002</v>
      </c>
      <c r="EY3" s="2">
        <v>88.233329999999995</v>
      </c>
      <c r="EZ3" s="2">
        <v>89.366669999999999</v>
      </c>
      <c r="FA3" s="2">
        <v>89.633330000000001</v>
      </c>
      <c r="FB3" s="2">
        <v>90.5</v>
      </c>
      <c r="FC3" s="2">
        <v>91.833340000000007</v>
      </c>
      <c r="FD3" s="2">
        <v>93.3</v>
      </c>
      <c r="FE3" s="2">
        <v>93.833340000000007</v>
      </c>
      <c r="FF3" s="2">
        <v>94.733329999999995</v>
      </c>
      <c r="FG3" s="2">
        <v>95.033330000000007</v>
      </c>
      <c r="FH3" s="2">
        <v>95.8</v>
      </c>
      <c r="FI3" s="2">
        <v>96.066670000000002</v>
      </c>
      <c r="FJ3" s="2">
        <v>97.266670000000005</v>
      </c>
      <c r="FK3" s="2">
        <v>97.666659999999993</v>
      </c>
      <c r="FL3" s="2">
        <v>98.366669999999999</v>
      </c>
      <c r="FM3" s="2">
        <v>98.7</v>
      </c>
      <c r="FN3" s="2">
        <v>99.3</v>
      </c>
      <c r="FO3" s="2">
        <v>99.4</v>
      </c>
      <c r="FP3" s="2">
        <v>100.1</v>
      </c>
      <c r="FQ3" s="2">
        <v>100.13330000000001</v>
      </c>
      <c r="FR3" s="2">
        <v>100.2</v>
      </c>
      <c r="FS3" s="2">
        <v>99.5</v>
      </c>
      <c r="FT3" s="2">
        <v>100.0667</v>
      </c>
      <c r="FU3" s="2">
        <v>100.16670000000001</v>
      </c>
      <c r="FV3" s="2">
        <v>100.3</v>
      </c>
      <c r="FW3" s="2">
        <v>99.833340000000007</v>
      </c>
      <c r="FX3" s="2">
        <v>100.4</v>
      </c>
      <c r="FY3" s="2">
        <v>100.86669999999999</v>
      </c>
      <c r="FZ3" s="2">
        <v>101.5</v>
      </c>
      <c r="GA3" s="2">
        <v>102</v>
      </c>
      <c r="GB3" s="2">
        <v>103.16670000000001</v>
      </c>
      <c r="GC3" s="2">
        <v>103.7</v>
      </c>
      <c r="GD3" s="2">
        <v>104.5667</v>
      </c>
      <c r="GE3" s="2">
        <v>104.7667</v>
      </c>
      <c r="GF3" s="2">
        <v>105.66670000000001</v>
      </c>
      <c r="GG3" s="2">
        <v>106.3</v>
      </c>
      <c r="GH3" s="2">
        <v>106.9333</v>
      </c>
      <c r="GI3" s="2">
        <v>106.7</v>
      </c>
      <c r="GJ3" s="2">
        <v>107.8</v>
      </c>
      <c r="GK3" s="2">
        <v>108.2667</v>
      </c>
      <c r="GL3" s="2">
        <v>108.4333</v>
      </c>
      <c r="GM3" s="2">
        <v>108.4667</v>
      </c>
      <c r="GN3" s="2">
        <v>108.5333</v>
      </c>
      <c r="GO3" s="2">
        <v>108.9333</v>
      </c>
      <c r="GP3" s="2">
        <v>109.0667</v>
      </c>
      <c r="GQ3" s="2">
        <v>109.16670000000001</v>
      </c>
      <c r="GR3" s="2">
        <v>110.7333</v>
      </c>
      <c r="GS3" s="2">
        <v>111.9333</v>
      </c>
      <c r="GT3" s="2">
        <v>114.4</v>
      </c>
      <c r="GU3" s="2">
        <v>115.9333</v>
      </c>
      <c r="GV3" s="2">
        <v>120.86669999999999</v>
      </c>
      <c r="GW3" s="2">
        <v>123.13330000000001</v>
      </c>
      <c r="GX3" s="2">
        <v>126.7</v>
      </c>
      <c r="GY3" s="2">
        <v>127.7333</v>
      </c>
      <c r="GZ3" s="2">
        <v>131.0667</v>
      </c>
      <c r="HA3" s="2">
        <v>131.4</v>
      </c>
      <c r="HB3" s="2">
        <v>131.9667</v>
      </c>
      <c r="HC3" s="2">
        <v>132.26669999999999</v>
      </c>
      <c r="HD3" s="2">
        <v>133.83330000000001</v>
      </c>
      <c r="HE3" s="3">
        <v>134.1499</v>
      </c>
      <c r="HF3" s="3">
        <v>135.34280000000001</v>
      </c>
      <c r="HG3" s="3">
        <v>135.86340000000001</v>
      </c>
      <c r="HH3" s="3">
        <v>137.16139999999999</v>
      </c>
      <c r="HI3" s="3">
        <v>137.8509</v>
      </c>
      <c r="HJ3" s="3">
        <v>138.71680000000001</v>
      </c>
      <c r="HK3" s="3">
        <v>138.94399999999999</v>
      </c>
      <c r="HL3" s="3">
        <v>140.2252</v>
      </c>
      <c r="HM3" s="3">
        <v>140.87790000000001</v>
      </c>
      <c r="HN3" s="3">
        <v>141.63480000000001</v>
      </c>
      <c r="HO3" s="3">
        <v>141.88990000000001</v>
      </c>
      <c r="HP3" s="3">
        <v>143.14769999999999</v>
      </c>
      <c r="HQ3" s="3">
        <v>143.80350000000001</v>
      </c>
      <c r="HR3" s="3">
        <v>144.5335</v>
      </c>
      <c r="HS3" s="3">
        <v>144.8142</v>
      </c>
      <c r="HT3" s="3">
        <v>146.11410000000001</v>
      </c>
      <c r="HU3" s="3">
        <v>146.81379999999999</v>
      </c>
      <c r="HV3" s="3">
        <v>147.56790000000001</v>
      </c>
      <c r="HW3" s="3">
        <v>147.80510000000001</v>
      </c>
      <c r="HX3" s="3">
        <v>149.0986</v>
      </c>
      <c r="HY3" s="3">
        <v>149.7962</v>
      </c>
      <c r="HZ3" s="3">
        <v>150.53200000000001</v>
      </c>
      <c r="IA3" s="3">
        <v>150.75899999999999</v>
      </c>
      <c r="IB3" s="3">
        <v>152.07579999999999</v>
      </c>
      <c r="IC3" s="3">
        <v>152.79689999999999</v>
      </c>
      <c r="ID3" s="3">
        <v>153.53370000000001</v>
      </c>
      <c r="IE3" s="3">
        <v>153.77420000000001</v>
      </c>
      <c r="IF3" s="3">
        <v>155.1174</v>
      </c>
      <c r="IG3" s="3">
        <v>155.8528</v>
      </c>
      <c r="IH3" s="3">
        <v>156.6044</v>
      </c>
      <c r="II3" s="3">
        <v>156.84970000000001</v>
      </c>
      <c r="IJ3" s="3">
        <v>158.21969999999999</v>
      </c>
      <c r="IK3" s="3">
        <v>158.9699</v>
      </c>
      <c r="IL3" s="3">
        <v>159.7364</v>
      </c>
      <c r="IM3" s="3">
        <v>159.98660000000001</v>
      </c>
      <c r="IN3" s="3">
        <v>161.38409999999999</v>
      </c>
      <c r="IO3" s="3">
        <v>162.14930000000001</v>
      </c>
      <c r="IP3" s="3">
        <v>162.93119999999999</v>
      </c>
      <c r="IQ3" s="3">
        <v>163.18639999999999</v>
      </c>
      <c r="IR3" s="3">
        <v>164.61179999999999</v>
      </c>
      <c r="IS3" s="3">
        <v>165.39230000000001</v>
      </c>
      <c r="IT3" s="3">
        <v>166.18979999999999</v>
      </c>
      <c r="IU3" s="3">
        <v>166.45009999999999</v>
      </c>
      <c r="IV3" s="3">
        <v>167.904</v>
      </c>
      <c r="IW3" s="3">
        <v>168.70009999999999</v>
      </c>
      <c r="IX3" s="3">
        <v>169.5136</v>
      </c>
      <c r="IY3" s="3">
        <v>169.7791</v>
      </c>
      <c r="IZ3" s="3">
        <v>171.2621</v>
      </c>
      <c r="JA3" s="3">
        <v>172.07409999999999</v>
      </c>
      <c r="JB3" s="3">
        <v>172.90389999999999</v>
      </c>
      <c r="JC3" s="3">
        <v>173.1747</v>
      </c>
      <c r="JD3" s="3">
        <v>174.68729999999999</v>
      </c>
      <c r="JE3" s="3">
        <v>175.51560000000001</v>
      </c>
      <c r="JF3" s="3">
        <v>176.36189999999999</v>
      </c>
      <c r="JG3" s="3">
        <v>176.63820000000001</v>
      </c>
      <c r="JH3" s="3">
        <v>178.18109999999999</v>
      </c>
      <c r="JI3" s="3">
        <v>179.02590000000001</v>
      </c>
      <c r="JJ3" s="3">
        <v>179.88919999999999</v>
      </c>
      <c r="JK3" s="3">
        <v>180.17099999999999</v>
      </c>
      <c r="JL3" s="3">
        <v>181.74469999999999</v>
      </c>
      <c r="JM3" s="3">
        <v>182.60640000000001</v>
      </c>
      <c r="JN3" s="3">
        <v>183.48699999999999</v>
      </c>
      <c r="JO3" s="3">
        <v>183.77440000000001</v>
      </c>
      <c r="JP3" s="3">
        <v>185.37960000000001</v>
      </c>
      <c r="JQ3" s="3">
        <v>186.2586</v>
      </c>
      <c r="JR3" s="3">
        <v>187.1567</v>
      </c>
      <c r="JS3" s="3">
        <v>187.44990000000001</v>
      </c>
      <c r="JT3" s="3">
        <v>189.0872</v>
      </c>
      <c r="JU3" s="3">
        <v>189.9837</v>
      </c>
      <c r="JV3" s="3">
        <v>190.8998</v>
      </c>
      <c r="JW3" s="3">
        <v>191.19890000000001</v>
      </c>
      <c r="JX3" s="3">
        <v>192.8689</v>
      </c>
      <c r="JY3" s="3">
        <v>193.7834</v>
      </c>
      <c r="JZ3" s="3">
        <v>194.71780000000001</v>
      </c>
      <c r="KA3" s="3">
        <v>195.02279999999999</v>
      </c>
      <c r="KB3" s="3">
        <v>196.72630000000001</v>
      </c>
      <c r="KC3" s="3">
        <v>197.6591</v>
      </c>
      <c r="KD3" s="3">
        <v>198.6122</v>
      </c>
      <c r="KE3" s="3">
        <v>198.92330000000001</v>
      </c>
      <c r="KF3" s="3">
        <v>200.66079999999999</v>
      </c>
      <c r="KG3" s="3">
        <v>201.6123</v>
      </c>
      <c r="KH3" s="3">
        <v>202.58439999999999</v>
      </c>
      <c r="KI3" s="3">
        <v>202.90180000000001</v>
      </c>
      <c r="KJ3" s="3">
        <v>204.67410000000001</v>
      </c>
      <c r="KK3" s="3">
        <v>205.64449999999999</v>
      </c>
      <c r="KL3" s="3">
        <v>206.6361</v>
      </c>
      <c r="KM3" s="3">
        <v>206.9598</v>
      </c>
      <c r="KN3" s="3">
        <v>208.76750000000001</v>
      </c>
      <c r="KO3" s="3">
        <v>209.75739999999999</v>
      </c>
      <c r="KP3" s="3">
        <v>210.7688</v>
      </c>
      <c r="KQ3" s="3">
        <v>211.09899999999999</v>
      </c>
      <c r="KR3" s="3">
        <v>212.94290000000001</v>
      </c>
      <c r="KS3" s="3">
        <v>213.95259999999999</v>
      </c>
      <c r="KT3" s="3">
        <v>214.98419999999999</v>
      </c>
      <c r="KU3" s="3">
        <v>215.321</v>
      </c>
      <c r="KV3" s="3">
        <v>217.20179999999999</v>
      </c>
      <c r="KW3" s="3">
        <v>218.23159999999999</v>
      </c>
      <c r="KX3" s="3">
        <v>219.28389999999999</v>
      </c>
      <c r="KY3" s="3">
        <v>219.62739999999999</v>
      </c>
      <c r="KZ3" s="3">
        <v>221.54580000000001</v>
      </c>
      <c r="LA3" s="3">
        <v>222.59620000000001</v>
      </c>
      <c r="LB3" s="3">
        <v>223.6696</v>
      </c>
      <c r="LC3" s="3">
        <v>224.01990000000001</v>
      </c>
      <c r="LD3" s="3">
        <v>225.97669999999999</v>
      </c>
      <c r="LE3" s="3">
        <v>227.04820000000001</v>
      </c>
      <c r="LF3" s="3">
        <v>228.143</v>
      </c>
      <c r="LG3" t="s">
        <v>335</v>
      </c>
      <c r="LH3" t="b">
        <v>0</v>
      </c>
      <c r="LI3" t="s">
        <v>337</v>
      </c>
      <c r="LJ3">
        <v>2015</v>
      </c>
      <c r="LK3">
        <v>2024</v>
      </c>
      <c r="LL3">
        <v>2</v>
      </c>
      <c r="LM3" t="s">
        <v>337</v>
      </c>
      <c r="LN3" s="1" t="s">
        <v>344</v>
      </c>
      <c r="LO3" s="1" t="s">
        <v>345</v>
      </c>
      <c r="LP3" t="s">
        <v>340</v>
      </c>
      <c r="LQ3" t="s">
        <v>346</v>
      </c>
      <c r="LR3" s="1" t="s">
        <v>1043</v>
      </c>
    </row>
    <row r="4" spans="1:330" x14ac:dyDescent="0.25">
      <c r="A4" t="s">
        <v>330</v>
      </c>
      <c r="B4" t="s">
        <v>398</v>
      </c>
      <c r="C4" s="1" t="s">
        <v>1042</v>
      </c>
      <c r="D4" t="s">
        <v>399</v>
      </c>
      <c r="E4" t="s">
        <v>337</v>
      </c>
      <c r="F4" t="s">
        <v>334</v>
      </c>
      <c r="G4" s="2">
        <v>14.851150000000001</v>
      </c>
      <c r="H4" s="2">
        <v>15.597429999999999</v>
      </c>
      <c r="I4" s="2">
        <v>16.407070000000001</v>
      </c>
      <c r="J4" s="2">
        <v>16.907609999999998</v>
      </c>
      <c r="K4" s="2">
        <v>16.780860000000001</v>
      </c>
      <c r="L4" s="2">
        <v>18.253409999999999</v>
      </c>
      <c r="M4" s="2">
        <v>20.242899999999999</v>
      </c>
      <c r="N4" s="2">
        <v>21.924240000000001</v>
      </c>
      <c r="O4" s="2">
        <v>23.39659</v>
      </c>
      <c r="P4" s="2">
        <v>24.964189999999999</v>
      </c>
      <c r="Q4" s="2">
        <v>27.02938</v>
      </c>
      <c r="R4" s="2">
        <v>28.37567</v>
      </c>
      <c r="S4" s="2">
        <v>29.357140000000001</v>
      </c>
      <c r="T4" s="2">
        <v>30.793579999999999</v>
      </c>
      <c r="U4" s="2">
        <v>32.301470000000002</v>
      </c>
      <c r="V4" s="2">
        <v>33.18535</v>
      </c>
      <c r="W4" s="2">
        <v>33.540489999999998</v>
      </c>
      <c r="X4" s="2">
        <v>34.543460000000003</v>
      </c>
      <c r="Y4" s="2">
        <v>35.597639999999998</v>
      </c>
      <c r="Z4" s="2">
        <v>36.685519999999997</v>
      </c>
      <c r="AA4" s="2">
        <v>37.643259999999998</v>
      </c>
      <c r="AB4" s="2">
        <v>39.864730000000002</v>
      </c>
      <c r="AC4" s="2">
        <v>42.09901</v>
      </c>
      <c r="AD4" s="2">
        <v>43.30621</v>
      </c>
      <c r="AE4" s="2">
        <v>43.965009999999999</v>
      </c>
      <c r="AF4" s="2">
        <v>46.838419999999999</v>
      </c>
      <c r="AG4" s="2">
        <v>50.12706</v>
      </c>
      <c r="AH4" s="2">
        <v>52.644150000000003</v>
      </c>
      <c r="AI4" s="2">
        <v>54.906700000000001</v>
      </c>
      <c r="AJ4" s="2">
        <v>59.170099999999998</v>
      </c>
      <c r="AK4" s="2">
        <v>63.642139999999998</v>
      </c>
      <c r="AL4" s="2">
        <v>66.771739999999994</v>
      </c>
      <c r="AM4" s="2">
        <v>67.327690000000004</v>
      </c>
      <c r="AN4" s="2">
        <v>69.614490000000004</v>
      </c>
      <c r="AO4" s="2">
        <v>73.352940000000004</v>
      </c>
      <c r="AP4" s="2">
        <v>76.177090000000007</v>
      </c>
      <c r="AQ4" s="2">
        <v>76.586519999999993</v>
      </c>
      <c r="AR4" s="2">
        <v>78.919120000000007</v>
      </c>
      <c r="AS4" s="2">
        <v>82.158659999999998</v>
      </c>
      <c r="AT4" s="2">
        <v>83.439229999999995</v>
      </c>
      <c r="AU4" s="2">
        <v>84.922520000000006</v>
      </c>
      <c r="AV4" s="2">
        <v>88.039339999999996</v>
      </c>
      <c r="AW4" s="2">
        <v>90.437579999999997</v>
      </c>
      <c r="AX4" s="2">
        <v>91.531840000000003</v>
      </c>
      <c r="AY4" s="2">
        <v>92.079539999999994</v>
      </c>
      <c r="AZ4" s="2">
        <v>94.127579999999995</v>
      </c>
      <c r="BA4" s="2">
        <v>96.732339999999994</v>
      </c>
      <c r="BB4" s="2">
        <v>99.446349999999995</v>
      </c>
      <c r="BC4" s="2">
        <v>100.12390000000001</v>
      </c>
      <c r="BD4" s="2">
        <v>104.4909</v>
      </c>
      <c r="BE4" s="2">
        <v>107.6677</v>
      </c>
      <c r="BF4" s="2">
        <v>109.6371</v>
      </c>
      <c r="BG4" s="2">
        <v>110.8912</v>
      </c>
      <c r="BH4" s="2">
        <v>115.3305</v>
      </c>
      <c r="BI4" s="2">
        <v>118.2911</v>
      </c>
      <c r="BJ4" s="2">
        <v>120.3198</v>
      </c>
      <c r="BK4" s="2">
        <v>121.41079999999999</v>
      </c>
      <c r="BL4" s="2">
        <v>125.7916</v>
      </c>
      <c r="BM4" s="2">
        <v>130.0642</v>
      </c>
      <c r="BN4" s="2">
        <v>132.7039</v>
      </c>
      <c r="BO4" s="2">
        <v>134.46860000000001</v>
      </c>
      <c r="BP4" s="2">
        <v>139.05330000000001</v>
      </c>
      <c r="BQ4" s="2">
        <v>144.16399999999999</v>
      </c>
      <c r="BR4" s="2">
        <v>148.042</v>
      </c>
      <c r="BS4" s="2">
        <v>150.62790000000001</v>
      </c>
      <c r="BT4" s="2">
        <v>155.5334</v>
      </c>
      <c r="BU4" s="2">
        <v>160.64189999999999</v>
      </c>
      <c r="BV4" s="2">
        <v>165.39500000000001</v>
      </c>
      <c r="BW4" s="2">
        <v>167.1534</v>
      </c>
      <c r="BX4" s="2">
        <v>174.4332</v>
      </c>
      <c r="BY4" s="2">
        <v>181.6447</v>
      </c>
      <c r="BZ4" s="2">
        <v>185.41390000000001</v>
      </c>
      <c r="CA4" s="2">
        <v>187.09540000000001</v>
      </c>
      <c r="CB4" s="2">
        <v>192.89080000000001</v>
      </c>
      <c r="CC4" s="2">
        <v>198.7286</v>
      </c>
      <c r="CD4" s="2">
        <v>202.2243</v>
      </c>
      <c r="CE4" s="2">
        <v>203.99180000000001</v>
      </c>
      <c r="CF4" s="2">
        <v>209.3937</v>
      </c>
      <c r="CG4" s="2">
        <v>213.14080000000001</v>
      </c>
      <c r="CH4" s="2">
        <v>215.0164</v>
      </c>
      <c r="CI4" s="2">
        <v>213.95429999999999</v>
      </c>
      <c r="CJ4" s="2">
        <v>217.78450000000001</v>
      </c>
      <c r="CK4" s="2">
        <v>221.5908</v>
      </c>
      <c r="CL4" s="2">
        <v>222.90620000000001</v>
      </c>
      <c r="CM4" s="2">
        <v>222.8023</v>
      </c>
      <c r="CN4" s="2">
        <v>227.5204</v>
      </c>
      <c r="CO4" s="2">
        <v>232.0582</v>
      </c>
      <c r="CP4" s="2">
        <v>233.2474</v>
      </c>
      <c r="CQ4" s="2">
        <v>232.66929999999999</v>
      </c>
      <c r="CR4" s="2">
        <v>237.69069999999999</v>
      </c>
      <c r="CS4" s="2">
        <v>240.27940000000001</v>
      </c>
      <c r="CT4" s="2">
        <v>241.90459999999999</v>
      </c>
      <c r="CU4" s="2">
        <v>241.40309999999999</v>
      </c>
      <c r="CV4" s="2">
        <v>247.31559999999999</v>
      </c>
      <c r="CW4" s="2">
        <v>251.52930000000001</v>
      </c>
      <c r="CX4" s="2">
        <v>253.94390000000001</v>
      </c>
      <c r="CY4" s="2">
        <v>253.93029999999999</v>
      </c>
      <c r="CZ4" s="2">
        <v>259.93700000000001</v>
      </c>
      <c r="DA4" s="2">
        <v>264.79160000000002</v>
      </c>
      <c r="DB4" s="2">
        <v>268.61829999999998</v>
      </c>
      <c r="DC4" s="2">
        <v>269.56689999999998</v>
      </c>
      <c r="DD4" s="2">
        <v>278.03019999999998</v>
      </c>
      <c r="DE4" s="2">
        <v>282.88189999999997</v>
      </c>
      <c r="DF4" s="2">
        <v>285.15710000000001</v>
      </c>
      <c r="DG4" s="2">
        <v>284.69069999999999</v>
      </c>
      <c r="DH4" s="2">
        <v>293.50729999999999</v>
      </c>
      <c r="DI4" s="2">
        <v>299.82389999999998</v>
      </c>
      <c r="DJ4" s="2">
        <v>303.68020000000001</v>
      </c>
      <c r="DK4" s="2">
        <v>305.33330000000001</v>
      </c>
      <c r="DL4" s="2">
        <v>310.33330000000001</v>
      </c>
      <c r="DM4" s="2">
        <v>315</v>
      </c>
      <c r="DN4" s="2">
        <v>320.33330000000001</v>
      </c>
      <c r="DO4" s="2">
        <v>324</v>
      </c>
      <c r="DP4" s="2">
        <v>327</v>
      </c>
      <c r="DQ4" s="2">
        <v>330</v>
      </c>
      <c r="DR4" s="2">
        <v>333.66669999999999</v>
      </c>
      <c r="DS4" s="2">
        <v>333.66669999999999</v>
      </c>
      <c r="DT4" s="2">
        <v>339</v>
      </c>
      <c r="DU4" s="2">
        <v>341.33330000000001</v>
      </c>
      <c r="DV4" s="2">
        <v>342.66669999999999</v>
      </c>
      <c r="DW4" s="2">
        <v>343</v>
      </c>
      <c r="DX4" s="2">
        <v>348</v>
      </c>
      <c r="DY4" s="2">
        <v>352.66669999999999</v>
      </c>
      <c r="DZ4" s="2">
        <v>357</v>
      </c>
      <c r="EA4" s="2">
        <v>359</v>
      </c>
      <c r="EB4" s="2">
        <v>363</v>
      </c>
      <c r="EC4" s="2">
        <v>367</v>
      </c>
      <c r="ED4" s="2">
        <v>372.33330000000001</v>
      </c>
      <c r="EE4" s="2">
        <v>375.33330000000001</v>
      </c>
      <c r="EF4" s="2">
        <v>379.66669999999999</v>
      </c>
      <c r="EG4" s="2">
        <v>385.33330000000001</v>
      </c>
      <c r="EH4" s="2">
        <v>389.33330000000001</v>
      </c>
      <c r="EI4" s="2">
        <v>393.66669999999999</v>
      </c>
      <c r="EJ4" s="2">
        <v>397.66669999999999</v>
      </c>
      <c r="EK4" s="2">
        <v>401.33330000000001</v>
      </c>
      <c r="EL4" s="2">
        <v>408</v>
      </c>
      <c r="EM4" s="2">
        <v>417</v>
      </c>
      <c r="EN4" s="2">
        <v>415.33330000000001</v>
      </c>
      <c r="EO4" s="2">
        <v>422</v>
      </c>
      <c r="EP4" s="2">
        <v>425</v>
      </c>
      <c r="EQ4" s="2">
        <v>433.66669999999999</v>
      </c>
      <c r="ER4" s="2">
        <v>433</v>
      </c>
      <c r="ES4" s="2">
        <v>434.66669999999999</v>
      </c>
      <c r="ET4" s="2">
        <v>436.33330000000001</v>
      </c>
      <c r="EU4" s="2">
        <v>421</v>
      </c>
      <c r="EV4" s="2">
        <v>437.66669999999999</v>
      </c>
      <c r="EW4" s="2">
        <v>438</v>
      </c>
      <c r="EX4" s="2">
        <v>439.66669999999999</v>
      </c>
      <c r="EY4" s="2">
        <v>442</v>
      </c>
      <c r="EZ4" s="2">
        <v>442</v>
      </c>
      <c r="FA4" s="2">
        <v>444.66669999999999</v>
      </c>
      <c r="FB4" s="2">
        <v>448</v>
      </c>
      <c r="FC4" s="2">
        <v>454.66669999999999</v>
      </c>
      <c r="FD4" s="2">
        <v>453.33330000000001</v>
      </c>
      <c r="FE4" s="2">
        <v>454.66669999999999</v>
      </c>
      <c r="FF4" s="2">
        <v>456.66669999999999</v>
      </c>
      <c r="FG4" s="2">
        <v>457</v>
      </c>
      <c r="FH4" s="2">
        <v>460.66669999999999</v>
      </c>
      <c r="FI4" s="2">
        <v>463</v>
      </c>
      <c r="FJ4" s="2">
        <v>462</v>
      </c>
      <c r="FK4" s="2">
        <v>459.33330000000001</v>
      </c>
      <c r="FL4" s="2">
        <v>470.33330000000001</v>
      </c>
      <c r="FM4" s="2">
        <v>466</v>
      </c>
      <c r="FN4" s="2">
        <v>466.66669999999999</v>
      </c>
      <c r="FO4" s="2">
        <v>467.33330000000001</v>
      </c>
      <c r="FP4" s="2">
        <v>469.33330000000001</v>
      </c>
      <c r="FQ4" s="2">
        <v>470</v>
      </c>
      <c r="FR4" s="2">
        <v>476</v>
      </c>
      <c r="FS4" s="2">
        <v>478</v>
      </c>
      <c r="FT4" s="2">
        <v>481.33330000000001</v>
      </c>
      <c r="FU4" s="2">
        <v>483.66669999999999</v>
      </c>
      <c r="FV4" s="2">
        <v>485</v>
      </c>
      <c r="FW4" s="2">
        <v>488.33330000000001</v>
      </c>
      <c r="FX4" s="2">
        <v>493.66669999999999</v>
      </c>
      <c r="FY4" s="2">
        <v>495</v>
      </c>
      <c r="FZ4" s="2">
        <v>497</v>
      </c>
      <c r="GA4" s="2">
        <v>499</v>
      </c>
      <c r="GB4" s="2">
        <v>504.33330000000001</v>
      </c>
      <c r="GC4" s="2">
        <v>506.66669999999999</v>
      </c>
      <c r="GD4" s="2">
        <v>510.33330000000001</v>
      </c>
      <c r="GE4" s="2">
        <v>512</v>
      </c>
      <c r="GF4" s="2">
        <v>516.66669999999999</v>
      </c>
      <c r="GG4" s="2">
        <v>522.33330000000001</v>
      </c>
      <c r="GH4" s="2">
        <v>528</v>
      </c>
      <c r="GI4" s="2">
        <v>528.66669999999999</v>
      </c>
      <c r="GJ4" s="2">
        <v>537</v>
      </c>
      <c r="GK4" s="2">
        <v>542.33330000000001</v>
      </c>
      <c r="GL4" s="2">
        <v>542.33330000000001</v>
      </c>
      <c r="GM4" s="2">
        <v>540.33330000000001</v>
      </c>
      <c r="GN4" s="2">
        <v>531</v>
      </c>
      <c r="GO4" s="2">
        <v>550.33330000000001</v>
      </c>
      <c r="GP4" s="2">
        <v>567</v>
      </c>
      <c r="GQ4" s="2">
        <v>563</v>
      </c>
      <c r="GR4" s="2">
        <v>578</v>
      </c>
      <c r="GS4" s="2">
        <v>583.66669999999999</v>
      </c>
      <c r="GT4" s="2">
        <v>592.66669999999999</v>
      </c>
      <c r="GU4" s="2">
        <v>602.33330000000001</v>
      </c>
      <c r="GV4" s="2">
        <v>607.66669999999999</v>
      </c>
      <c r="GW4" s="2">
        <v>618</v>
      </c>
      <c r="GX4" s="2">
        <v>630.33330000000001</v>
      </c>
      <c r="GY4" s="2">
        <v>640.33330000000001</v>
      </c>
      <c r="GZ4" s="2">
        <v>658</v>
      </c>
      <c r="HA4" s="2">
        <v>667.33330000000001</v>
      </c>
      <c r="HB4" s="2">
        <v>666.66669999999999</v>
      </c>
      <c r="HC4" s="2">
        <v>678.33330000000001</v>
      </c>
      <c r="HD4" s="2">
        <v>688</v>
      </c>
      <c r="HE4" s="3">
        <v>694.90650000000005</v>
      </c>
      <c r="HF4" s="3">
        <v>702.13369999999998</v>
      </c>
      <c r="HG4" s="3">
        <v>707.8202</v>
      </c>
      <c r="HH4" s="3">
        <v>712.70460000000003</v>
      </c>
      <c r="HI4" s="3">
        <v>717.62199999999996</v>
      </c>
      <c r="HJ4" s="3">
        <v>722.60720000000003</v>
      </c>
      <c r="HK4" s="3">
        <v>727.5444</v>
      </c>
      <c r="HL4" s="3">
        <v>732.36789999999996</v>
      </c>
      <c r="HM4" s="3">
        <v>737.12009999999998</v>
      </c>
      <c r="HN4" s="3">
        <v>741.74810000000002</v>
      </c>
      <c r="HO4" s="3">
        <v>746.6146</v>
      </c>
      <c r="HP4" s="3">
        <v>751.63549999999998</v>
      </c>
      <c r="HQ4" s="3">
        <v>756.84609999999998</v>
      </c>
      <c r="HR4" s="3">
        <v>762.18219999999997</v>
      </c>
      <c r="HS4" s="3">
        <v>767.51419999999996</v>
      </c>
      <c r="HT4" s="3">
        <v>772.86659999999995</v>
      </c>
      <c r="HU4" s="3">
        <v>778.23249999999996</v>
      </c>
      <c r="HV4" s="3">
        <v>783.57590000000005</v>
      </c>
      <c r="HW4" s="3">
        <v>788.93269999999995</v>
      </c>
      <c r="HX4" s="3">
        <v>794.30259999999998</v>
      </c>
      <c r="HY4" s="3">
        <v>799.70370000000003</v>
      </c>
      <c r="HZ4" s="3">
        <v>805.13310000000001</v>
      </c>
      <c r="IA4" s="3">
        <v>810.59699999999998</v>
      </c>
      <c r="IB4" s="3">
        <v>816.13070000000005</v>
      </c>
      <c r="IC4" s="3">
        <v>821.75160000000005</v>
      </c>
      <c r="ID4" s="3">
        <v>827.43489999999997</v>
      </c>
      <c r="IE4" s="3">
        <v>833.19870000000003</v>
      </c>
      <c r="IF4" s="3">
        <v>839.0444</v>
      </c>
      <c r="IG4" s="3">
        <v>844.97370000000001</v>
      </c>
      <c r="IH4" s="3">
        <v>850.98800000000006</v>
      </c>
      <c r="II4" s="3">
        <v>857.08749999999998</v>
      </c>
      <c r="IJ4" s="3">
        <v>863.27359999999999</v>
      </c>
      <c r="IK4" s="3">
        <v>869.54750000000001</v>
      </c>
      <c r="IL4" s="3">
        <v>875.91039999999998</v>
      </c>
      <c r="IM4" s="3">
        <v>882.36440000000005</v>
      </c>
      <c r="IN4" s="3">
        <v>888.90419999999995</v>
      </c>
      <c r="IO4" s="3">
        <v>895.5326</v>
      </c>
      <c r="IP4" s="3">
        <v>902.2319</v>
      </c>
      <c r="IQ4" s="3">
        <v>909.02030000000002</v>
      </c>
      <c r="IR4" s="3">
        <v>915.88080000000002</v>
      </c>
      <c r="IS4" s="3">
        <v>922.82119999999998</v>
      </c>
      <c r="IT4" s="3">
        <v>929.84079999999994</v>
      </c>
      <c r="IU4" s="3">
        <v>936.93700000000001</v>
      </c>
      <c r="IV4" s="3">
        <v>944.11080000000004</v>
      </c>
      <c r="IW4" s="3">
        <v>951.35860000000002</v>
      </c>
      <c r="IX4" s="3">
        <v>958.67759999999998</v>
      </c>
      <c r="IY4" s="3">
        <v>966.07590000000005</v>
      </c>
      <c r="IZ4" s="3">
        <v>973.55349999999999</v>
      </c>
      <c r="JA4" s="3">
        <v>981.11440000000005</v>
      </c>
      <c r="JB4" s="3">
        <v>988.75840000000005</v>
      </c>
      <c r="JC4" s="3">
        <v>996.46579999999994</v>
      </c>
      <c r="JD4" s="3">
        <v>1004.237</v>
      </c>
      <c r="JE4" s="3">
        <v>1012.073</v>
      </c>
      <c r="JF4" s="3">
        <v>1019.973</v>
      </c>
      <c r="JG4" s="3">
        <v>1027.962</v>
      </c>
      <c r="JH4" s="3">
        <v>1036.039</v>
      </c>
      <c r="JI4" s="3">
        <v>1044.2070000000001</v>
      </c>
      <c r="JJ4" s="3">
        <v>1052.4659999999999</v>
      </c>
      <c r="JK4" s="3">
        <v>1060.796</v>
      </c>
      <c r="JL4" s="3">
        <v>1069.1969999999999</v>
      </c>
      <c r="JM4" s="3">
        <v>1077.67</v>
      </c>
      <c r="JN4" s="3">
        <v>1086.2139999999999</v>
      </c>
      <c r="JO4" s="3">
        <v>1094.8320000000001</v>
      </c>
      <c r="JP4" s="3">
        <v>1103.521</v>
      </c>
      <c r="JQ4" s="3">
        <v>1112.28</v>
      </c>
      <c r="JR4" s="3">
        <v>1121.106</v>
      </c>
      <c r="JS4" s="3">
        <v>1130.011</v>
      </c>
      <c r="JT4" s="3">
        <v>1138.992</v>
      </c>
      <c r="JU4" s="3">
        <v>1148.0519999999999</v>
      </c>
      <c r="JV4" s="3">
        <v>1157.191</v>
      </c>
      <c r="JW4" s="3">
        <v>1166.3969999999999</v>
      </c>
      <c r="JX4" s="3">
        <v>1175.672</v>
      </c>
      <c r="JY4" s="3">
        <v>1185.0160000000001</v>
      </c>
      <c r="JZ4" s="3">
        <v>1194.43</v>
      </c>
      <c r="KA4" s="3">
        <v>1203.913</v>
      </c>
      <c r="KB4" s="3">
        <v>1213.4659999999999</v>
      </c>
      <c r="KC4" s="3">
        <v>1223.0909999999999</v>
      </c>
      <c r="KD4" s="3">
        <v>1232.7860000000001</v>
      </c>
      <c r="KE4" s="3">
        <v>1242.5519999999999</v>
      </c>
      <c r="KF4" s="3">
        <v>1252.3900000000001</v>
      </c>
      <c r="KG4" s="3">
        <v>1262.299</v>
      </c>
      <c r="KH4" s="3">
        <v>1272.2809999999999</v>
      </c>
      <c r="KI4" s="3">
        <v>1282.3340000000001</v>
      </c>
      <c r="KJ4" s="3">
        <v>1292.461</v>
      </c>
      <c r="KK4" s="3">
        <v>1302.663</v>
      </c>
      <c r="KL4" s="3">
        <v>1312.9390000000001</v>
      </c>
      <c r="KM4" s="3">
        <v>1323.289</v>
      </c>
      <c r="KN4" s="3">
        <v>1333.7149999999999</v>
      </c>
      <c r="KO4" s="3">
        <v>1344.2159999999999</v>
      </c>
      <c r="KP4" s="3">
        <v>1354.7950000000001</v>
      </c>
      <c r="KQ4" s="3">
        <v>1365.451</v>
      </c>
      <c r="KR4" s="3">
        <v>1376.1849999999999</v>
      </c>
      <c r="KS4" s="3">
        <v>1386.998</v>
      </c>
      <c r="KT4" s="3">
        <v>1397.8889999999999</v>
      </c>
      <c r="KU4" s="3">
        <v>1408.86</v>
      </c>
      <c r="KV4" s="3">
        <v>1419.912</v>
      </c>
      <c r="KW4" s="3">
        <v>1431.0450000000001</v>
      </c>
      <c r="KX4" s="3">
        <v>1442.259</v>
      </c>
      <c r="KY4" s="3">
        <v>1453.5540000000001</v>
      </c>
      <c r="KZ4" s="3">
        <v>1464.933</v>
      </c>
      <c r="LA4" s="3">
        <v>1476.395</v>
      </c>
      <c r="LB4" s="3">
        <v>1487.94</v>
      </c>
      <c r="LC4" s="3">
        <v>1499.57</v>
      </c>
      <c r="LD4" s="3">
        <v>1511.2840000000001</v>
      </c>
      <c r="LE4" s="3">
        <v>1523.085</v>
      </c>
      <c r="LF4" s="3">
        <v>1534.971</v>
      </c>
      <c r="LG4" t="s">
        <v>335</v>
      </c>
      <c r="LH4" t="b">
        <v>1</v>
      </c>
      <c r="LI4" t="s">
        <v>337</v>
      </c>
      <c r="LJ4" t="s">
        <v>337</v>
      </c>
      <c r="LK4">
        <v>2024</v>
      </c>
      <c r="LL4">
        <v>2</v>
      </c>
      <c r="LM4" t="s">
        <v>337</v>
      </c>
      <c r="LN4" s="1" t="s">
        <v>400</v>
      </c>
      <c r="LO4" t="s">
        <v>401</v>
      </c>
      <c r="LP4" t="s">
        <v>340</v>
      </c>
      <c r="LQ4" t="s">
        <v>402</v>
      </c>
      <c r="LR4" s="1" t="s">
        <v>1043</v>
      </c>
    </row>
    <row r="5" spans="1:330" x14ac:dyDescent="0.25">
      <c r="A5" t="s">
        <v>330</v>
      </c>
      <c r="B5" t="s">
        <v>407</v>
      </c>
      <c r="C5" s="1" t="s">
        <v>1042</v>
      </c>
      <c r="D5" t="s">
        <v>343</v>
      </c>
      <c r="E5" t="s">
        <v>337</v>
      </c>
      <c r="F5" t="s">
        <v>334</v>
      </c>
      <c r="G5" s="2">
        <v>1E-3</v>
      </c>
      <c r="H5" s="2">
        <v>1E-3</v>
      </c>
      <c r="I5" s="2">
        <v>1E-3</v>
      </c>
      <c r="J5" s="2">
        <v>1E-3</v>
      </c>
      <c r="K5" s="2">
        <v>1E-3</v>
      </c>
      <c r="L5" s="2">
        <v>1E-3</v>
      </c>
      <c r="M5" s="2">
        <v>1E-3</v>
      </c>
      <c r="N5" s="2">
        <v>1E-3</v>
      </c>
      <c r="O5" s="2">
        <v>1E-3</v>
      </c>
      <c r="P5" s="2">
        <v>1E-3</v>
      </c>
      <c r="Q5" s="2">
        <v>1E-3</v>
      </c>
      <c r="R5" s="2">
        <v>1E-3</v>
      </c>
      <c r="S5" s="2">
        <v>1E-3</v>
      </c>
      <c r="T5" s="2">
        <v>1E-3</v>
      </c>
      <c r="U5" s="2">
        <v>1E-3</v>
      </c>
      <c r="V5" s="2">
        <v>1E-3</v>
      </c>
      <c r="W5" s="2">
        <v>1E-3</v>
      </c>
      <c r="X5" s="2">
        <v>1E-3</v>
      </c>
      <c r="Y5" s="2">
        <v>1E-3</v>
      </c>
      <c r="Z5" s="2">
        <v>1E-3</v>
      </c>
      <c r="AA5" s="2">
        <v>1E-3</v>
      </c>
      <c r="AB5" s="2">
        <v>1E-3</v>
      </c>
      <c r="AC5" s="2">
        <v>1E-3</v>
      </c>
      <c r="AD5" s="2">
        <v>1E-3</v>
      </c>
      <c r="AE5" s="2">
        <v>1E-3</v>
      </c>
      <c r="AF5" s="2">
        <v>1E-3</v>
      </c>
      <c r="AG5" s="2">
        <v>1E-3</v>
      </c>
      <c r="AH5" s="2">
        <v>1E-3</v>
      </c>
      <c r="AI5" s="2">
        <v>1E-3</v>
      </c>
      <c r="AJ5" s="2">
        <v>1E-3</v>
      </c>
      <c r="AK5" s="2">
        <v>1E-3</v>
      </c>
      <c r="AL5" s="2">
        <v>1E-3</v>
      </c>
      <c r="AM5" s="2">
        <v>1E-3</v>
      </c>
      <c r="AN5" s="2">
        <v>1E-3</v>
      </c>
      <c r="AO5" s="2">
        <v>1E-3</v>
      </c>
      <c r="AP5" s="2">
        <v>1E-3</v>
      </c>
      <c r="AQ5" s="2">
        <v>1E-3</v>
      </c>
      <c r="AR5" s="2">
        <v>1E-3</v>
      </c>
      <c r="AS5" s="2">
        <v>1E-3</v>
      </c>
      <c r="AT5" s="2">
        <v>1E-3</v>
      </c>
      <c r="AU5" s="2">
        <v>1E-3</v>
      </c>
      <c r="AV5" s="2">
        <v>1E-3</v>
      </c>
      <c r="AW5" s="2">
        <v>1E-3</v>
      </c>
      <c r="AX5" s="2">
        <v>1E-3</v>
      </c>
      <c r="AY5" s="2">
        <v>1E-3</v>
      </c>
      <c r="AZ5" s="2">
        <v>1E-3</v>
      </c>
      <c r="BA5" s="2">
        <v>1E-3</v>
      </c>
      <c r="BB5" s="2">
        <v>1E-3</v>
      </c>
      <c r="BC5" s="2">
        <v>1E-3</v>
      </c>
      <c r="BD5" s="2">
        <v>1E-3</v>
      </c>
      <c r="BE5" s="2">
        <v>1E-3</v>
      </c>
      <c r="BF5" s="2">
        <v>1E-3</v>
      </c>
      <c r="BG5" s="2">
        <v>1E-3</v>
      </c>
      <c r="BH5" s="2">
        <v>1E-3</v>
      </c>
      <c r="BI5" s="2">
        <v>1E-3</v>
      </c>
      <c r="BJ5" s="2">
        <v>1E-3</v>
      </c>
      <c r="BK5" s="2">
        <v>1E-3</v>
      </c>
      <c r="BL5" s="2">
        <v>1E-3</v>
      </c>
      <c r="BM5" s="2">
        <v>1E-3</v>
      </c>
      <c r="BN5" s="2">
        <v>1E-3</v>
      </c>
      <c r="BO5" s="2">
        <v>40.666670000000003</v>
      </c>
      <c r="BP5" s="2">
        <v>41.2</v>
      </c>
      <c r="BQ5" s="2">
        <v>41.166670000000003</v>
      </c>
      <c r="BR5" s="2">
        <v>41.6</v>
      </c>
      <c r="BS5" s="2">
        <v>42.333329999999997</v>
      </c>
      <c r="BT5" s="2">
        <v>43.1</v>
      </c>
      <c r="BU5" s="2">
        <v>43.266669999999998</v>
      </c>
      <c r="BV5" s="2">
        <v>44.266669999999998</v>
      </c>
      <c r="BW5" s="2">
        <v>45.333329999999997</v>
      </c>
      <c r="BX5" s="2">
        <v>46.766669999999998</v>
      </c>
      <c r="BY5" s="2">
        <v>46.966670000000001</v>
      </c>
      <c r="BZ5" s="2">
        <v>47.5</v>
      </c>
      <c r="CA5" s="2">
        <v>48.466670000000001</v>
      </c>
      <c r="CB5" s="2">
        <v>50.5</v>
      </c>
      <c r="CC5" s="2">
        <v>50.466670000000001</v>
      </c>
      <c r="CD5" s="2">
        <v>50.766669999999998</v>
      </c>
      <c r="CE5" s="2">
        <v>51.666670000000003</v>
      </c>
      <c r="CF5" s="2">
        <v>52.4</v>
      </c>
      <c r="CG5" s="2">
        <v>51.966670000000001</v>
      </c>
      <c r="CH5" s="2">
        <v>52.166670000000003</v>
      </c>
      <c r="CI5" s="2">
        <v>53.066670000000002</v>
      </c>
      <c r="CJ5" s="2">
        <v>53.933329999999998</v>
      </c>
      <c r="CK5" s="2">
        <v>53.966670000000001</v>
      </c>
      <c r="CL5" s="2">
        <v>53.5</v>
      </c>
      <c r="CM5" s="2">
        <v>54.266669999999998</v>
      </c>
      <c r="CN5" s="2">
        <v>54.933329999999998</v>
      </c>
      <c r="CO5" s="2">
        <v>54.766669999999998</v>
      </c>
      <c r="CP5" s="2">
        <v>54.6</v>
      </c>
      <c r="CQ5" s="2">
        <v>56.1</v>
      </c>
      <c r="CR5" s="2">
        <v>56.966670000000001</v>
      </c>
      <c r="CS5" s="2">
        <v>57.266669999999998</v>
      </c>
      <c r="CT5" s="2">
        <v>57.166670000000003</v>
      </c>
      <c r="CU5" s="2">
        <v>58.6</v>
      </c>
      <c r="CV5" s="2">
        <v>59.366660000000003</v>
      </c>
      <c r="CW5" s="2">
        <v>59.133339999999997</v>
      </c>
      <c r="CX5" s="2">
        <v>58.533329999999999</v>
      </c>
      <c r="CY5" s="2">
        <v>59.066670000000002</v>
      </c>
      <c r="CZ5" s="2">
        <v>59.6</v>
      </c>
      <c r="DA5" s="2">
        <v>59.933329999999998</v>
      </c>
      <c r="DB5" s="2">
        <v>59.833329999999997</v>
      </c>
      <c r="DC5" s="2">
        <v>60.366660000000003</v>
      </c>
      <c r="DD5" s="2">
        <v>61</v>
      </c>
      <c r="DE5" s="2">
        <v>61.333329999999997</v>
      </c>
      <c r="DF5" s="2">
        <v>61.566670000000002</v>
      </c>
      <c r="DG5" s="2">
        <v>62.466670000000001</v>
      </c>
      <c r="DH5" s="2">
        <v>62.6</v>
      </c>
      <c r="DI5" s="2">
        <v>62.266669999999998</v>
      </c>
      <c r="DJ5" s="2">
        <v>62.166670000000003</v>
      </c>
      <c r="DK5" s="2">
        <v>62.266669999999998</v>
      </c>
      <c r="DL5" s="2">
        <v>62.966670000000001</v>
      </c>
      <c r="DM5" s="2">
        <v>63.433329999999998</v>
      </c>
      <c r="DN5" s="2">
        <v>63.633339999999997</v>
      </c>
      <c r="DO5" s="2">
        <v>64.3</v>
      </c>
      <c r="DP5" s="2">
        <v>65.966669999999993</v>
      </c>
      <c r="DQ5" s="2">
        <v>65.566670000000002</v>
      </c>
      <c r="DR5" s="2">
        <v>65.633330000000001</v>
      </c>
      <c r="DS5" s="2">
        <v>66.233329999999995</v>
      </c>
      <c r="DT5" s="2">
        <v>66.133330000000001</v>
      </c>
      <c r="DU5" s="2">
        <v>66</v>
      </c>
      <c r="DV5" s="2">
        <v>66</v>
      </c>
      <c r="DW5" s="2">
        <v>66.3</v>
      </c>
      <c r="DX5" s="2">
        <v>67.033330000000007</v>
      </c>
      <c r="DY5" s="2">
        <v>67.166659999999993</v>
      </c>
      <c r="DZ5" s="2">
        <v>67.566670000000002</v>
      </c>
      <c r="EA5" s="2">
        <v>67.7</v>
      </c>
      <c r="EB5" s="2">
        <v>67.900000000000006</v>
      </c>
      <c r="EC5" s="2">
        <v>67.5</v>
      </c>
      <c r="ED5" s="2">
        <v>67.833340000000007</v>
      </c>
      <c r="EE5" s="2">
        <v>68.666659999999993</v>
      </c>
      <c r="EF5" s="2">
        <v>69.099999999999994</v>
      </c>
      <c r="EG5" s="2">
        <v>68.766670000000005</v>
      </c>
      <c r="EH5" s="2">
        <v>69.066670000000002</v>
      </c>
      <c r="EI5" s="2">
        <v>69.400000000000006</v>
      </c>
      <c r="EJ5" s="2">
        <v>70.166659999999993</v>
      </c>
      <c r="EK5" s="2">
        <v>71.133330000000001</v>
      </c>
      <c r="EL5" s="2">
        <v>71.966669999999993</v>
      </c>
      <c r="EM5" s="2">
        <v>72.466669999999993</v>
      </c>
      <c r="EN5" s="2">
        <v>73.633330000000001</v>
      </c>
      <c r="EO5" s="2">
        <v>73.433329999999998</v>
      </c>
      <c r="EP5" s="2">
        <v>75.099999999999994</v>
      </c>
      <c r="EQ5" s="2">
        <v>75.933329999999998</v>
      </c>
      <c r="ER5" s="2">
        <v>78.7</v>
      </c>
      <c r="ES5" s="2">
        <v>80.666659999999993</v>
      </c>
      <c r="ET5" s="2">
        <v>81.599999999999994</v>
      </c>
      <c r="EU5" s="2">
        <v>83</v>
      </c>
      <c r="EV5" s="2">
        <v>83.566670000000002</v>
      </c>
      <c r="EW5" s="2">
        <v>83.133330000000001</v>
      </c>
      <c r="EX5" s="2">
        <v>83.6</v>
      </c>
      <c r="EY5" s="2">
        <v>85.233329999999995</v>
      </c>
      <c r="EZ5" s="2">
        <v>86.2</v>
      </c>
      <c r="FA5" s="2">
        <v>86.8</v>
      </c>
      <c r="FB5" s="2">
        <v>88.266670000000005</v>
      </c>
      <c r="FC5" s="2">
        <v>90.166659999999993</v>
      </c>
      <c r="FD5" s="2">
        <v>91.966669999999993</v>
      </c>
      <c r="FE5" s="2">
        <v>93.066670000000002</v>
      </c>
      <c r="FF5" s="2">
        <v>93.2</v>
      </c>
      <c r="FG5" s="2">
        <v>94.566670000000002</v>
      </c>
      <c r="FH5" s="2">
        <v>95.466669999999993</v>
      </c>
      <c r="FI5" s="2">
        <v>95.933329999999998</v>
      </c>
      <c r="FJ5" s="2">
        <v>97.233329999999995</v>
      </c>
      <c r="FK5" s="2">
        <v>99.166659999999993</v>
      </c>
      <c r="FL5" s="2">
        <v>100.0667</v>
      </c>
      <c r="FM5" s="2">
        <v>100.4667</v>
      </c>
      <c r="FN5" s="2">
        <v>100.86669999999999</v>
      </c>
      <c r="FO5" s="2">
        <v>101.7667</v>
      </c>
      <c r="FP5" s="2">
        <v>101.2667</v>
      </c>
      <c r="FQ5" s="2">
        <v>101</v>
      </c>
      <c r="FR5" s="2">
        <v>101.0667</v>
      </c>
      <c r="FS5" s="2">
        <v>100.63330000000001</v>
      </c>
      <c r="FT5" s="2">
        <v>100.33329999999999</v>
      </c>
      <c r="FU5" s="2">
        <v>99.733329999999995</v>
      </c>
      <c r="FV5" s="2">
        <v>99.3</v>
      </c>
      <c r="FW5" s="2">
        <v>99.133330000000001</v>
      </c>
      <c r="FX5" s="2">
        <v>98.633330000000001</v>
      </c>
      <c r="FY5" s="2">
        <v>98.533330000000007</v>
      </c>
      <c r="FZ5" s="2">
        <v>98.6</v>
      </c>
      <c r="GA5" s="2">
        <v>100.3</v>
      </c>
      <c r="GB5" s="2">
        <v>101.4</v>
      </c>
      <c r="GC5" s="2">
        <v>101.66670000000001</v>
      </c>
      <c r="GD5" s="2">
        <v>102.7667</v>
      </c>
      <c r="GE5" s="2">
        <v>104.0333</v>
      </c>
      <c r="GF5" s="2">
        <v>104.2333</v>
      </c>
      <c r="GG5" s="2">
        <v>104.33329999999999</v>
      </c>
      <c r="GH5" s="2">
        <v>104.63330000000001</v>
      </c>
      <c r="GI5" s="2">
        <v>106.16670000000001</v>
      </c>
      <c r="GJ5" s="2">
        <v>106.13330000000001</v>
      </c>
      <c r="GK5" s="2">
        <v>106.5667</v>
      </c>
      <c r="GL5" s="2">
        <v>106.6</v>
      </c>
      <c r="GM5" s="2">
        <v>107.5667</v>
      </c>
      <c r="GN5" s="2">
        <v>107.9667</v>
      </c>
      <c r="GO5" s="2">
        <v>107.4667</v>
      </c>
      <c r="GP5" s="2">
        <v>107.0333</v>
      </c>
      <c r="GQ5" s="2">
        <v>107.7</v>
      </c>
      <c r="GR5" s="2">
        <v>108</v>
      </c>
      <c r="GS5" s="2">
        <v>108.3</v>
      </c>
      <c r="GT5" s="2">
        <v>110.1</v>
      </c>
      <c r="GU5" s="2">
        <v>112.8</v>
      </c>
      <c r="GV5" s="2">
        <v>115.86669999999999</v>
      </c>
      <c r="GW5" s="2">
        <v>120.2</v>
      </c>
      <c r="GX5" s="2">
        <v>124.3</v>
      </c>
      <c r="GY5" s="2">
        <v>128.80000000000001</v>
      </c>
      <c r="GZ5" s="2">
        <v>133.83330000000001</v>
      </c>
      <c r="HA5" s="2">
        <v>135.30000000000001</v>
      </c>
      <c r="HB5" s="2">
        <v>136.33330000000001</v>
      </c>
      <c r="HC5" s="2">
        <v>137.76669999999999</v>
      </c>
      <c r="HD5" s="2">
        <v>138.5</v>
      </c>
      <c r="HE5" s="3">
        <v>138.71440000000001</v>
      </c>
      <c r="HF5" s="3">
        <v>139.18379999999999</v>
      </c>
      <c r="HG5" s="3">
        <v>140.45320000000001</v>
      </c>
      <c r="HH5" s="3">
        <v>140.97069999999999</v>
      </c>
      <c r="HI5" s="3">
        <v>141.0155</v>
      </c>
      <c r="HJ5" s="3">
        <v>142.01679999999999</v>
      </c>
      <c r="HK5" s="3">
        <v>143.59299999999999</v>
      </c>
      <c r="HL5" s="3">
        <v>144.12639999999999</v>
      </c>
      <c r="HM5" s="3">
        <v>144.01660000000001</v>
      </c>
      <c r="HN5" s="3">
        <v>144.66460000000001</v>
      </c>
      <c r="HO5" s="3">
        <v>145.97669999999999</v>
      </c>
      <c r="HP5" s="3">
        <v>146.2979</v>
      </c>
      <c r="HQ5" s="3">
        <v>146.0839</v>
      </c>
      <c r="HR5" s="3">
        <v>146.70359999999999</v>
      </c>
      <c r="HS5" s="3">
        <v>148.0223</v>
      </c>
      <c r="HT5" s="3">
        <v>148.34620000000001</v>
      </c>
      <c r="HU5" s="3">
        <v>148.13310000000001</v>
      </c>
      <c r="HV5" s="3">
        <v>148.7687</v>
      </c>
      <c r="HW5" s="3">
        <v>150.1146</v>
      </c>
      <c r="HX5" s="3">
        <v>150.45189999999999</v>
      </c>
      <c r="HY5" s="3">
        <v>150.24420000000001</v>
      </c>
      <c r="HZ5" s="3">
        <v>150.89670000000001</v>
      </c>
      <c r="IA5" s="3">
        <v>152.26939999999999</v>
      </c>
      <c r="IB5" s="3">
        <v>152.6189</v>
      </c>
      <c r="IC5" s="3">
        <v>152.41550000000001</v>
      </c>
      <c r="ID5" s="3">
        <v>153.0847</v>
      </c>
      <c r="IE5" s="3">
        <v>154.4845</v>
      </c>
      <c r="IF5" s="3">
        <v>154.84630000000001</v>
      </c>
      <c r="IG5" s="3">
        <v>154.6472</v>
      </c>
      <c r="IH5" s="3">
        <v>155.33330000000001</v>
      </c>
      <c r="II5" s="3">
        <v>156.76079999999999</v>
      </c>
      <c r="IJ5" s="3">
        <v>157.13460000000001</v>
      </c>
      <c r="IK5" s="3">
        <v>156.93809999999999</v>
      </c>
      <c r="IL5" s="3">
        <v>157.6387</v>
      </c>
      <c r="IM5" s="3">
        <v>159.0899</v>
      </c>
      <c r="IN5" s="3">
        <v>159.47</v>
      </c>
      <c r="IO5" s="3">
        <v>159.27029999999999</v>
      </c>
      <c r="IP5" s="3">
        <v>159.98009999999999</v>
      </c>
      <c r="IQ5" s="3">
        <v>161.45160000000001</v>
      </c>
      <c r="IR5" s="3">
        <v>161.8366</v>
      </c>
      <c r="IS5" s="3">
        <v>161.6336</v>
      </c>
      <c r="IT5" s="3">
        <v>162.3544</v>
      </c>
      <c r="IU5" s="3">
        <v>163.84909999999999</v>
      </c>
      <c r="IV5" s="3">
        <v>164.2423</v>
      </c>
      <c r="IW5" s="3">
        <v>164.04050000000001</v>
      </c>
      <c r="IX5" s="3">
        <v>164.7774</v>
      </c>
      <c r="IY5" s="3">
        <v>166.2944</v>
      </c>
      <c r="IZ5" s="3">
        <v>166.6935</v>
      </c>
      <c r="JA5" s="3">
        <v>166.48859999999999</v>
      </c>
      <c r="JB5" s="3">
        <v>167.23660000000001</v>
      </c>
      <c r="JC5" s="3">
        <v>168.77619999999999</v>
      </c>
      <c r="JD5" s="3">
        <v>169.18129999999999</v>
      </c>
      <c r="JE5" s="3">
        <v>168.9734</v>
      </c>
      <c r="JF5" s="3">
        <v>169.73249999999999</v>
      </c>
      <c r="JG5" s="3">
        <v>171.29509999999999</v>
      </c>
      <c r="JH5" s="3">
        <v>171.7062</v>
      </c>
      <c r="JI5" s="3">
        <v>171.49510000000001</v>
      </c>
      <c r="JJ5" s="3">
        <v>172.26560000000001</v>
      </c>
      <c r="JK5" s="3">
        <v>173.85149999999999</v>
      </c>
      <c r="JL5" s="3">
        <v>174.2688</v>
      </c>
      <c r="JM5" s="3">
        <v>174.05459999999999</v>
      </c>
      <c r="JN5" s="3">
        <v>174.8365</v>
      </c>
      <c r="JO5" s="3">
        <v>176.4461</v>
      </c>
      <c r="JP5" s="3">
        <v>176.86959999999999</v>
      </c>
      <c r="JQ5" s="3">
        <v>176.65219999999999</v>
      </c>
      <c r="JR5" s="3">
        <v>177.44579999999999</v>
      </c>
      <c r="JS5" s="3">
        <v>179.07939999999999</v>
      </c>
      <c r="JT5" s="3">
        <v>179.50919999999999</v>
      </c>
      <c r="JU5" s="3">
        <v>179.2886</v>
      </c>
      <c r="JV5" s="3">
        <v>180.0941</v>
      </c>
      <c r="JW5" s="3">
        <v>181.75210000000001</v>
      </c>
      <c r="JX5" s="3">
        <v>182.1883</v>
      </c>
      <c r="JY5" s="3">
        <v>181.96430000000001</v>
      </c>
      <c r="JZ5" s="3">
        <v>182.7818</v>
      </c>
      <c r="KA5" s="3">
        <v>184.46459999999999</v>
      </c>
      <c r="KB5" s="3">
        <v>184.90729999999999</v>
      </c>
      <c r="KC5" s="3">
        <v>184.68</v>
      </c>
      <c r="KD5" s="3">
        <v>185.50970000000001</v>
      </c>
      <c r="KE5" s="3">
        <v>187.2175</v>
      </c>
      <c r="KF5" s="3">
        <v>187.6669</v>
      </c>
      <c r="KG5" s="3">
        <v>187.43620000000001</v>
      </c>
      <c r="KH5" s="3">
        <v>188.2783</v>
      </c>
      <c r="KI5" s="3">
        <v>190.01159999999999</v>
      </c>
      <c r="KJ5" s="3">
        <v>190.46770000000001</v>
      </c>
      <c r="KK5" s="3">
        <v>190.2336</v>
      </c>
      <c r="KL5" s="3">
        <v>191.0882</v>
      </c>
      <c r="KM5" s="3">
        <v>192.84739999999999</v>
      </c>
      <c r="KN5" s="3">
        <v>193.31020000000001</v>
      </c>
      <c r="KO5" s="3">
        <v>193.0727</v>
      </c>
      <c r="KP5" s="3">
        <v>193.94</v>
      </c>
      <c r="KQ5" s="3">
        <v>195.72550000000001</v>
      </c>
      <c r="KR5" s="3">
        <v>196.1952</v>
      </c>
      <c r="KS5" s="3">
        <v>195.95410000000001</v>
      </c>
      <c r="KT5" s="3">
        <v>196.83449999999999</v>
      </c>
      <c r="KU5" s="3">
        <v>198.6465</v>
      </c>
      <c r="KV5" s="3">
        <v>199.1233</v>
      </c>
      <c r="KW5" s="3">
        <v>198.87860000000001</v>
      </c>
      <c r="KX5" s="3">
        <v>199.77199999999999</v>
      </c>
      <c r="KY5" s="3">
        <v>201.6112</v>
      </c>
      <c r="KZ5" s="3">
        <v>202.0951</v>
      </c>
      <c r="LA5" s="3">
        <v>201.8467</v>
      </c>
      <c r="LB5" s="3">
        <v>202.7535</v>
      </c>
      <c r="LC5" s="3">
        <v>204.62010000000001</v>
      </c>
      <c r="LD5" s="3">
        <v>205.1112</v>
      </c>
      <c r="LE5" s="3">
        <v>204.85910000000001</v>
      </c>
      <c r="LF5" s="3">
        <v>205.77940000000001</v>
      </c>
      <c r="LG5" s="1" t="s">
        <v>408</v>
      </c>
      <c r="LH5" t="b">
        <v>0</v>
      </c>
      <c r="LI5" t="s">
        <v>337</v>
      </c>
      <c r="LJ5">
        <v>2015</v>
      </c>
      <c r="LK5">
        <v>2024</v>
      </c>
      <c r="LL5">
        <v>2</v>
      </c>
      <c r="LM5" t="s">
        <v>337</v>
      </c>
      <c r="LN5" s="1" t="s">
        <v>409</v>
      </c>
      <c r="LO5" s="1" t="s">
        <v>410</v>
      </c>
      <c r="LP5" t="s">
        <v>340</v>
      </c>
      <c r="LQ5" t="s">
        <v>411</v>
      </c>
      <c r="LR5" s="1" t="s">
        <v>1043</v>
      </c>
    </row>
    <row r="6" spans="1:330" x14ac:dyDescent="0.25">
      <c r="A6" t="s">
        <v>330</v>
      </c>
      <c r="B6" t="s">
        <v>412</v>
      </c>
      <c r="C6" s="1" t="s">
        <v>1042</v>
      </c>
      <c r="D6" t="s">
        <v>343</v>
      </c>
      <c r="E6" t="s">
        <v>337</v>
      </c>
      <c r="F6" t="s">
        <v>334</v>
      </c>
      <c r="G6" s="2">
        <v>1E-3</v>
      </c>
      <c r="H6" s="2">
        <v>1E-3</v>
      </c>
      <c r="I6" s="2">
        <v>1E-3</v>
      </c>
      <c r="J6" s="2">
        <v>1E-3</v>
      </c>
      <c r="K6" s="2">
        <v>1E-3</v>
      </c>
      <c r="L6" s="2">
        <v>1E-3</v>
      </c>
      <c r="M6" s="2">
        <v>1E-3</v>
      </c>
      <c r="N6" s="2">
        <v>1E-3</v>
      </c>
      <c r="O6" s="2">
        <v>1E-3</v>
      </c>
      <c r="P6" s="2">
        <v>1E-3</v>
      </c>
      <c r="Q6" s="2">
        <v>1E-3</v>
      </c>
      <c r="R6" s="2">
        <v>1E-3</v>
      </c>
      <c r="S6" s="2">
        <v>1E-3</v>
      </c>
      <c r="T6" s="2">
        <v>1E-3</v>
      </c>
      <c r="U6" s="2">
        <v>1E-3</v>
      </c>
      <c r="V6" s="2">
        <v>1E-3</v>
      </c>
      <c r="W6" s="2">
        <v>1E-3</v>
      </c>
      <c r="X6" s="2">
        <v>1E-3</v>
      </c>
      <c r="Y6" s="2">
        <v>1E-3</v>
      </c>
      <c r="Z6" s="2">
        <v>1E-3</v>
      </c>
      <c r="AA6" s="2">
        <v>1E-3</v>
      </c>
      <c r="AB6" s="2">
        <v>1E-3</v>
      </c>
      <c r="AC6" s="2">
        <v>1E-3</v>
      </c>
      <c r="AD6" s="2">
        <v>1E-3</v>
      </c>
      <c r="AE6" s="2">
        <v>1E-3</v>
      </c>
      <c r="AF6" s="2">
        <v>1E-3</v>
      </c>
      <c r="AG6" s="2">
        <v>1E-3</v>
      </c>
      <c r="AH6" s="2">
        <v>1E-3</v>
      </c>
      <c r="AI6" s="2">
        <v>1E-3</v>
      </c>
      <c r="AJ6" s="2">
        <v>1E-3</v>
      </c>
      <c r="AK6" s="2">
        <v>1E-3</v>
      </c>
      <c r="AL6" s="2">
        <v>1E-3</v>
      </c>
      <c r="AM6" s="2">
        <v>1E-3</v>
      </c>
      <c r="AN6" s="2">
        <v>1E-3</v>
      </c>
      <c r="AO6" s="2">
        <v>1E-3</v>
      </c>
      <c r="AP6" s="2">
        <v>1E-3</v>
      </c>
      <c r="AQ6" s="2">
        <v>1E-3</v>
      </c>
      <c r="AR6" s="2">
        <v>1E-3</v>
      </c>
      <c r="AS6" s="2">
        <v>1E-3</v>
      </c>
      <c r="AT6" s="2">
        <v>1E-3</v>
      </c>
      <c r="AU6" s="2">
        <v>1E-3</v>
      </c>
      <c r="AV6" s="2">
        <v>1E-3</v>
      </c>
      <c r="AW6" s="2">
        <v>1E-3</v>
      </c>
      <c r="AX6" s="2">
        <v>1E-3</v>
      </c>
      <c r="AY6" s="2">
        <v>1E-3</v>
      </c>
      <c r="AZ6" s="2">
        <v>1E-3</v>
      </c>
      <c r="BA6" s="2">
        <v>1E-3</v>
      </c>
      <c r="BB6" s="2">
        <v>1E-3</v>
      </c>
      <c r="BC6" s="2">
        <v>1E-3</v>
      </c>
      <c r="BD6" s="2">
        <v>1E-3</v>
      </c>
      <c r="BE6" s="2">
        <v>1E-3</v>
      </c>
      <c r="BF6" s="2">
        <v>1E-3</v>
      </c>
      <c r="BG6" s="2">
        <v>1E-3</v>
      </c>
      <c r="BH6" s="2">
        <v>1E-3</v>
      </c>
      <c r="BI6" s="2">
        <v>1E-3</v>
      </c>
      <c r="BJ6" s="2">
        <v>1E-3</v>
      </c>
      <c r="BK6" s="2">
        <v>1E-3</v>
      </c>
      <c r="BL6" s="2">
        <v>1E-3</v>
      </c>
      <c r="BM6" s="2">
        <v>1E-3</v>
      </c>
      <c r="BN6" s="2">
        <v>1E-3</v>
      </c>
      <c r="BO6" s="2">
        <v>30.2</v>
      </c>
      <c r="BP6" s="2">
        <v>30.8</v>
      </c>
      <c r="BQ6" s="2">
        <v>30.966670000000001</v>
      </c>
      <c r="BR6" s="2">
        <v>30.733329999999999</v>
      </c>
      <c r="BS6" s="2">
        <v>31.16667</v>
      </c>
      <c r="BT6" s="2">
        <v>33.966670000000001</v>
      </c>
      <c r="BU6" s="2">
        <v>33.266669999999998</v>
      </c>
      <c r="BV6" s="2">
        <v>33.166670000000003</v>
      </c>
      <c r="BW6" s="2">
        <v>33.433329999999998</v>
      </c>
      <c r="BX6" s="2">
        <v>35.666670000000003</v>
      </c>
      <c r="BY6" s="2">
        <v>38.033329999999999</v>
      </c>
      <c r="BZ6" s="2">
        <v>39.633339999999997</v>
      </c>
      <c r="CA6" s="2">
        <v>36.200000000000003</v>
      </c>
      <c r="CB6" s="2">
        <v>40.466670000000001</v>
      </c>
      <c r="CC6" s="2">
        <v>40.733330000000002</v>
      </c>
      <c r="CD6" s="2">
        <v>40.299999999999997</v>
      </c>
      <c r="CE6" s="2">
        <v>38.766669999999998</v>
      </c>
      <c r="CF6" s="2">
        <v>41</v>
      </c>
      <c r="CG6" s="2">
        <v>40.533329999999999</v>
      </c>
      <c r="CH6" s="2">
        <v>41.966670000000001</v>
      </c>
      <c r="CI6" s="2">
        <v>41.966670000000001</v>
      </c>
      <c r="CJ6" s="2">
        <v>44.566670000000002</v>
      </c>
      <c r="CK6" s="2">
        <v>44.266669999999998</v>
      </c>
      <c r="CL6" s="2">
        <v>44.3</v>
      </c>
      <c r="CM6" s="2">
        <v>45.066670000000002</v>
      </c>
      <c r="CN6" s="2">
        <v>45.566670000000002</v>
      </c>
      <c r="CO6" s="2">
        <v>46.4</v>
      </c>
      <c r="CP6" s="2">
        <v>46.066670000000002</v>
      </c>
      <c r="CQ6" s="2">
        <v>47.633339999999997</v>
      </c>
      <c r="CR6" s="2">
        <v>48.6</v>
      </c>
      <c r="CS6" s="2">
        <v>48.4</v>
      </c>
      <c r="CT6" s="2">
        <v>47.966670000000001</v>
      </c>
      <c r="CU6" s="2">
        <v>49.266669999999998</v>
      </c>
      <c r="CV6" s="2">
        <v>49.2</v>
      </c>
      <c r="CW6" s="2">
        <v>50.066670000000002</v>
      </c>
      <c r="CX6" s="2">
        <v>53.333329999999997</v>
      </c>
      <c r="CY6" s="2">
        <v>54</v>
      </c>
      <c r="CZ6" s="2">
        <v>53.566670000000002</v>
      </c>
      <c r="DA6" s="2">
        <v>57.1</v>
      </c>
      <c r="DB6" s="2">
        <v>57.266669999999998</v>
      </c>
      <c r="DC6" s="2">
        <v>56.266669999999998</v>
      </c>
      <c r="DD6" s="2">
        <v>59.166670000000003</v>
      </c>
      <c r="DE6" s="2">
        <v>59.3</v>
      </c>
      <c r="DF6" s="2">
        <v>58.3</v>
      </c>
      <c r="DG6" s="2">
        <v>58</v>
      </c>
      <c r="DH6" s="2">
        <v>63.166670000000003</v>
      </c>
      <c r="DI6" s="2">
        <v>65.033330000000007</v>
      </c>
      <c r="DJ6" s="2">
        <v>66.466669999999993</v>
      </c>
      <c r="DK6" s="2">
        <v>68.166659999999993</v>
      </c>
      <c r="DL6" s="2">
        <v>72.2</v>
      </c>
      <c r="DM6" s="2">
        <v>73.333340000000007</v>
      </c>
      <c r="DN6" s="2">
        <v>72.2</v>
      </c>
      <c r="DO6" s="2">
        <v>68.5</v>
      </c>
      <c r="DP6" s="2">
        <v>69.366669999999999</v>
      </c>
      <c r="DQ6" s="2">
        <v>68.8</v>
      </c>
      <c r="DR6" s="2">
        <v>64.566670000000002</v>
      </c>
      <c r="DS6" s="2">
        <v>63.5</v>
      </c>
      <c r="DT6" s="2">
        <v>66.766670000000005</v>
      </c>
      <c r="DU6" s="2">
        <v>66.099999999999994</v>
      </c>
      <c r="DV6" s="2">
        <v>66.333340000000007</v>
      </c>
      <c r="DW6" s="2">
        <v>68.7</v>
      </c>
      <c r="DX6" s="2">
        <v>68.099999999999994</v>
      </c>
      <c r="DY6" s="2">
        <v>67.533330000000007</v>
      </c>
      <c r="DZ6" s="2">
        <v>67.866669999999999</v>
      </c>
      <c r="EA6" s="2">
        <v>68.599999999999994</v>
      </c>
      <c r="EB6" s="2">
        <v>71.833340000000007</v>
      </c>
      <c r="EC6" s="2">
        <v>72.433329999999998</v>
      </c>
      <c r="ED6" s="2">
        <v>74.533330000000007</v>
      </c>
      <c r="EE6" s="2">
        <v>72.433329999999998</v>
      </c>
      <c r="EF6" s="2">
        <v>76.633330000000001</v>
      </c>
      <c r="EG6" s="2">
        <v>82.033330000000007</v>
      </c>
      <c r="EH6" s="2">
        <v>81.466669999999993</v>
      </c>
      <c r="EI6" s="2">
        <v>80.433329999999998</v>
      </c>
      <c r="EJ6" s="2">
        <v>85.3</v>
      </c>
      <c r="EK6" s="2">
        <v>85.733329999999995</v>
      </c>
      <c r="EL6" s="2">
        <v>78.3</v>
      </c>
      <c r="EM6" s="2">
        <v>78.733329999999995</v>
      </c>
      <c r="EN6" s="2">
        <v>84.833340000000007</v>
      </c>
      <c r="EO6" s="2">
        <v>85.566670000000002</v>
      </c>
      <c r="EP6" s="2">
        <v>90.2</v>
      </c>
      <c r="EQ6" s="2">
        <v>94.5</v>
      </c>
      <c r="ER6" s="2">
        <v>102.4333</v>
      </c>
      <c r="ES6" s="2">
        <v>104.4333</v>
      </c>
      <c r="ET6" s="2">
        <v>88.333340000000007</v>
      </c>
      <c r="EU6" s="2">
        <v>81.333340000000007</v>
      </c>
      <c r="EV6" s="2">
        <v>88.366669999999999</v>
      </c>
      <c r="EW6" s="2">
        <v>93.266670000000005</v>
      </c>
      <c r="EX6" s="2">
        <v>96.2</v>
      </c>
      <c r="EY6" s="2">
        <v>100.83329999999999</v>
      </c>
      <c r="EZ6" s="2">
        <v>107.0667</v>
      </c>
      <c r="FA6" s="2">
        <v>104.13330000000001</v>
      </c>
      <c r="FB6" s="2">
        <v>107.2333</v>
      </c>
      <c r="FC6" s="2">
        <v>116.7</v>
      </c>
      <c r="FD6" s="2">
        <v>121.86669999999999</v>
      </c>
      <c r="FE6" s="2">
        <v>121.4667</v>
      </c>
      <c r="FF6" s="2">
        <v>120.7333</v>
      </c>
      <c r="FG6" s="2">
        <v>122.66670000000001</v>
      </c>
      <c r="FH6" s="2">
        <v>123.7</v>
      </c>
      <c r="FI6" s="2">
        <v>121.7667</v>
      </c>
      <c r="FJ6" s="2">
        <v>122</v>
      </c>
      <c r="FK6" s="2">
        <v>122.7</v>
      </c>
      <c r="FL6" s="2">
        <v>121.2667</v>
      </c>
      <c r="FM6" s="2">
        <v>122.5333</v>
      </c>
      <c r="FN6" s="2">
        <v>118.3</v>
      </c>
      <c r="FO6" s="2">
        <v>117.1</v>
      </c>
      <c r="FP6" s="2">
        <v>117</v>
      </c>
      <c r="FQ6" s="2">
        <v>116.5333</v>
      </c>
      <c r="FR6" s="2">
        <v>109.9333</v>
      </c>
      <c r="FS6" s="2">
        <v>98.933329999999998</v>
      </c>
      <c r="FT6" s="2">
        <v>103.83329999999999</v>
      </c>
      <c r="FU6" s="2">
        <v>101.36669999999999</v>
      </c>
      <c r="FV6" s="2">
        <v>95.866669999999999</v>
      </c>
      <c r="FW6" s="2">
        <v>91.066670000000002</v>
      </c>
      <c r="FX6" s="2">
        <v>97</v>
      </c>
      <c r="FY6" s="2">
        <v>99.466669999999993</v>
      </c>
      <c r="FZ6" s="2">
        <v>102.9333</v>
      </c>
      <c r="GA6" s="2">
        <v>107.2333</v>
      </c>
      <c r="GB6" s="2">
        <v>104.4</v>
      </c>
      <c r="GC6" s="2">
        <v>103.86669999999999</v>
      </c>
      <c r="GD6" s="2">
        <v>106.9</v>
      </c>
      <c r="GE6" s="2">
        <v>108.36669999999999</v>
      </c>
      <c r="GF6" s="2">
        <v>112.2667</v>
      </c>
      <c r="GG6" s="2">
        <v>115.9333</v>
      </c>
      <c r="GH6" s="2">
        <v>115.4667</v>
      </c>
      <c r="GI6" s="2">
        <v>109.86669999999999</v>
      </c>
      <c r="GJ6" s="2">
        <v>115.36669999999999</v>
      </c>
      <c r="GK6" s="2">
        <v>115.1</v>
      </c>
      <c r="GL6" s="2">
        <v>113.4</v>
      </c>
      <c r="GM6" s="2">
        <v>111.7333</v>
      </c>
      <c r="GN6" s="2">
        <v>97.9</v>
      </c>
      <c r="GO6" s="2">
        <v>102.0667</v>
      </c>
      <c r="GP6" s="2">
        <v>102.6</v>
      </c>
      <c r="GQ6" s="2">
        <v>108.5333</v>
      </c>
      <c r="GR6" s="2">
        <v>114.7667</v>
      </c>
      <c r="GS6" s="2">
        <v>120.2333</v>
      </c>
      <c r="GT6" s="2">
        <v>128.86670000000001</v>
      </c>
      <c r="GU6" s="2">
        <v>136.33330000000001</v>
      </c>
      <c r="GV6" s="2">
        <v>155.6</v>
      </c>
      <c r="GW6" s="2">
        <v>161.16669999999999</v>
      </c>
      <c r="GX6" s="2">
        <v>150.5667</v>
      </c>
      <c r="GY6" s="2">
        <v>138.83330000000001</v>
      </c>
      <c r="GZ6" s="2">
        <v>132</v>
      </c>
      <c r="HA6" s="2">
        <v>133.33330000000001</v>
      </c>
      <c r="HB6" s="2">
        <v>136</v>
      </c>
      <c r="HC6" s="2">
        <v>129.86670000000001</v>
      </c>
      <c r="HD6" s="2">
        <v>134</v>
      </c>
      <c r="HE6" s="3">
        <v>129.12739999999999</v>
      </c>
      <c r="HF6" s="3">
        <v>128.24639999999999</v>
      </c>
      <c r="HG6" s="3">
        <v>128.02340000000001</v>
      </c>
      <c r="HH6" s="3">
        <v>127.3245</v>
      </c>
      <c r="HI6" s="3">
        <v>126.7389</v>
      </c>
      <c r="HJ6" s="3">
        <v>126.4188</v>
      </c>
      <c r="HK6" s="3">
        <v>126.25660000000001</v>
      </c>
      <c r="HL6" s="3">
        <v>126.1519</v>
      </c>
      <c r="HM6" s="3">
        <v>126.0654</v>
      </c>
      <c r="HN6" s="3">
        <v>125.9845</v>
      </c>
      <c r="HO6" s="3">
        <v>125.9055</v>
      </c>
      <c r="HP6" s="3">
        <v>125.8274</v>
      </c>
      <c r="HQ6" s="3">
        <v>125.75020000000001</v>
      </c>
      <c r="HR6" s="3">
        <v>125.6738</v>
      </c>
      <c r="HS6" s="3">
        <v>125.59820000000001</v>
      </c>
      <c r="HT6" s="3">
        <v>125.5235</v>
      </c>
      <c r="HU6" s="3">
        <v>125.46550000000001</v>
      </c>
      <c r="HV6" s="3">
        <v>125.4161</v>
      </c>
      <c r="HW6" s="3">
        <v>125.3673</v>
      </c>
      <c r="HX6" s="3">
        <v>125.3189</v>
      </c>
      <c r="HY6" s="3">
        <v>125.2734</v>
      </c>
      <c r="HZ6" s="3">
        <v>125.24509999999999</v>
      </c>
      <c r="IA6" s="3">
        <v>125.2274</v>
      </c>
      <c r="IB6" s="3">
        <v>125.2114</v>
      </c>
      <c r="IC6" s="3">
        <v>125.1957</v>
      </c>
      <c r="ID6" s="3">
        <v>125.18049999999999</v>
      </c>
      <c r="IE6" s="3">
        <v>125.1657</v>
      </c>
      <c r="IF6" s="3">
        <v>125.1514</v>
      </c>
      <c r="IG6" s="3">
        <v>125.1375</v>
      </c>
      <c r="IH6" s="3">
        <v>125.124</v>
      </c>
      <c r="II6" s="3">
        <v>125.111</v>
      </c>
      <c r="IJ6" s="3">
        <v>125.0984</v>
      </c>
      <c r="IK6" s="3">
        <v>125.08620000000001</v>
      </c>
      <c r="IL6" s="3">
        <v>125.0745</v>
      </c>
      <c r="IM6" s="3">
        <v>125.06310000000001</v>
      </c>
      <c r="IN6" s="3">
        <v>125.0522</v>
      </c>
      <c r="IO6" s="3">
        <v>125.04170000000001</v>
      </c>
      <c r="IP6" s="3">
        <v>125.048</v>
      </c>
      <c r="IQ6" s="3">
        <v>125.06270000000001</v>
      </c>
      <c r="IR6" s="3">
        <v>125.07769999999999</v>
      </c>
      <c r="IS6" s="3">
        <v>125.0929</v>
      </c>
      <c r="IT6" s="3">
        <v>125.1084</v>
      </c>
      <c r="IU6" s="3">
        <v>125.1472</v>
      </c>
      <c r="IV6" s="3">
        <v>125.19750000000001</v>
      </c>
      <c r="IW6" s="3">
        <v>125.248</v>
      </c>
      <c r="IX6" s="3">
        <v>125.2985</v>
      </c>
      <c r="IY6" s="3">
        <v>125.3373</v>
      </c>
      <c r="IZ6" s="3">
        <v>125.3877</v>
      </c>
      <c r="JA6" s="3">
        <v>125.4383</v>
      </c>
      <c r="JB6" s="3">
        <v>125.4889</v>
      </c>
      <c r="JC6" s="3">
        <v>125.5277</v>
      </c>
      <c r="JD6" s="3">
        <v>125.5782</v>
      </c>
      <c r="JE6" s="3">
        <v>125.6288</v>
      </c>
      <c r="JF6" s="3">
        <v>125.6795</v>
      </c>
      <c r="JG6" s="3">
        <v>125.7184</v>
      </c>
      <c r="JH6" s="3">
        <v>125.76900000000001</v>
      </c>
      <c r="JI6" s="3">
        <v>125.8197</v>
      </c>
      <c r="JJ6" s="3">
        <v>125.8704</v>
      </c>
      <c r="JK6" s="3">
        <v>125.90940000000001</v>
      </c>
      <c r="JL6" s="3">
        <v>125.9601</v>
      </c>
      <c r="JM6" s="3">
        <v>126.0108</v>
      </c>
      <c r="JN6" s="3">
        <v>126.0617</v>
      </c>
      <c r="JO6" s="3">
        <v>126.1007</v>
      </c>
      <c r="JP6" s="3">
        <v>126.1514</v>
      </c>
      <c r="JQ6" s="3">
        <v>126.20229999999999</v>
      </c>
      <c r="JR6" s="3">
        <v>126.25320000000001</v>
      </c>
      <c r="JS6" s="3">
        <v>126.2923</v>
      </c>
      <c r="JT6" s="3">
        <v>126.34310000000001</v>
      </c>
      <c r="JU6" s="3">
        <v>126.39400000000001</v>
      </c>
      <c r="JV6" s="3">
        <v>126.44499999999999</v>
      </c>
      <c r="JW6" s="3">
        <v>126.4842</v>
      </c>
      <c r="JX6" s="3">
        <v>126.535</v>
      </c>
      <c r="JY6" s="3">
        <v>126.586</v>
      </c>
      <c r="JZ6" s="3">
        <v>126.6371</v>
      </c>
      <c r="KA6" s="3">
        <v>126.6763</v>
      </c>
      <c r="KB6" s="3">
        <v>126.7273</v>
      </c>
      <c r="KC6" s="3">
        <v>126.7783</v>
      </c>
      <c r="KD6" s="3">
        <v>126.8295</v>
      </c>
      <c r="KE6" s="3">
        <v>126.86879999999999</v>
      </c>
      <c r="KF6" s="3">
        <v>126.9198</v>
      </c>
      <c r="KG6" s="3">
        <v>126.971</v>
      </c>
      <c r="KH6" s="3">
        <v>127.0222</v>
      </c>
      <c r="KI6" s="3">
        <v>127.0615</v>
      </c>
      <c r="KJ6" s="3">
        <v>127.1126</v>
      </c>
      <c r="KK6" s="3">
        <v>127.16379999999999</v>
      </c>
      <c r="KL6" s="3">
        <v>127.21510000000001</v>
      </c>
      <c r="KM6" s="3">
        <v>127.25449999999999</v>
      </c>
      <c r="KN6" s="3">
        <v>127.3057</v>
      </c>
      <c r="KO6" s="3">
        <v>127.357</v>
      </c>
      <c r="KP6" s="3">
        <v>127.4084</v>
      </c>
      <c r="KQ6" s="3">
        <v>127.4479</v>
      </c>
      <c r="KR6" s="3">
        <v>127.4992</v>
      </c>
      <c r="KS6" s="3">
        <v>127.5505</v>
      </c>
      <c r="KT6" s="3">
        <v>127.602</v>
      </c>
      <c r="KU6" s="3">
        <v>127.64149999999999</v>
      </c>
      <c r="KV6" s="3">
        <v>127.69280000000001</v>
      </c>
      <c r="KW6" s="3">
        <v>127.7443</v>
      </c>
      <c r="KX6" s="3">
        <v>127.7958</v>
      </c>
      <c r="KY6" s="3">
        <v>127.83540000000001</v>
      </c>
      <c r="KZ6" s="3">
        <v>127.88679999999999</v>
      </c>
      <c r="LA6" s="3">
        <v>127.9384</v>
      </c>
      <c r="LB6" s="3">
        <v>127.99</v>
      </c>
      <c r="LC6" s="3">
        <v>128.02959999999999</v>
      </c>
      <c r="LD6" s="3">
        <v>128.08109999999999</v>
      </c>
      <c r="LE6" s="3">
        <v>128.1328</v>
      </c>
      <c r="LF6" s="3">
        <v>128.18440000000001</v>
      </c>
      <c r="LG6" t="s">
        <v>335</v>
      </c>
      <c r="LH6" t="b">
        <v>0</v>
      </c>
      <c r="LI6" t="s">
        <v>337</v>
      </c>
      <c r="LJ6">
        <v>2015</v>
      </c>
      <c r="LK6">
        <v>2024</v>
      </c>
      <c r="LL6">
        <v>2</v>
      </c>
      <c r="LM6" t="s">
        <v>337</v>
      </c>
      <c r="LN6" s="1" t="s">
        <v>413</v>
      </c>
      <c r="LO6" s="1" t="s">
        <v>414</v>
      </c>
      <c r="LP6" t="s">
        <v>340</v>
      </c>
      <c r="LQ6" t="s">
        <v>415</v>
      </c>
      <c r="LR6" s="1" t="s">
        <v>1043</v>
      </c>
    </row>
    <row r="7" spans="1:330" x14ac:dyDescent="0.25">
      <c r="A7" t="s">
        <v>330</v>
      </c>
      <c r="B7" t="s">
        <v>416</v>
      </c>
      <c r="C7" s="1" t="s">
        <v>1042</v>
      </c>
      <c r="D7" t="s">
        <v>343</v>
      </c>
      <c r="E7" t="s">
        <v>337</v>
      </c>
      <c r="F7" t="s">
        <v>334</v>
      </c>
      <c r="G7" s="2">
        <v>1E-3</v>
      </c>
      <c r="H7" s="2">
        <v>1E-3</v>
      </c>
      <c r="I7" s="2">
        <v>1E-3</v>
      </c>
      <c r="J7" s="2">
        <v>1E-3</v>
      </c>
      <c r="K7" s="2">
        <v>1E-3</v>
      </c>
      <c r="L7" s="2">
        <v>1E-3</v>
      </c>
      <c r="M7" s="2">
        <v>1E-3</v>
      </c>
      <c r="N7" s="2">
        <v>1E-3</v>
      </c>
      <c r="O7" s="2">
        <v>1E-3</v>
      </c>
      <c r="P7" s="2">
        <v>1E-3</v>
      </c>
      <c r="Q7" s="2">
        <v>1E-3</v>
      </c>
      <c r="R7" s="2">
        <v>1E-3</v>
      </c>
      <c r="S7" s="2">
        <v>1E-3</v>
      </c>
      <c r="T7" s="2">
        <v>1E-3</v>
      </c>
      <c r="U7" s="2">
        <v>1E-3</v>
      </c>
      <c r="V7" s="2">
        <v>1E-3</v>
      </c>
      <c r="W7" s="2">
        <v>1E-3</v>
      </c>
      <c r="X7" s="2">
        <v>1E-3</v>
      </c>
      <c r="Y7" s="2">
        <v>1E-3</v>
      </c>
      <c r="Z7" s="2">
        <v>1E-3</v>
      </c>
      <c r="AA7" s="2">
        <v>1E-3</v>
      </c>
      <c r="AB7" s="2">
        <v>1E-3</v>
      </c>
      <c r="AC7" s="2">
        <v>1E-3</v>
      </c>
      <c r="AD7" s="2">
        <v>1E-3</v>
      </c>
      <c r="AE7" s="2">
        <v>1E-3</v>
      </c>
      <c r="AF7" s="2">
        <v>1E-3</v>
      </c>
      <c r="AG7" s="2">
        <v>1E-3</v>
      </c>
      <c r="AH7" s="2">
        <v>1E-3</v>
      </c>
      <c r="AI7" s="2">
        <v>1E-3</v>
      </c>
      <c r="AJ7" s="2">
        <v>1E-3</v>
      </c>
      <c r="AK7" s="2">
        <v>1E-3</v>
      </c>
      <c r="AL7" s="2">
        <v>1E-3</v>
      </c>
      <c r="AM7" s="2">
        <v>1E-3</v>
      </c>
      <c r="AN7" s="2">
        <v>1E-3</v>
      </c>
      <c r="AO7" s="2">
        <v>1E-3</v>
      </c>
      <c r="AP7" s="2">
        <v>1E-3</v>
      </c>
      <c r="AQ7" s="2">
        <v>1E-3</v>
      </c>
      <c r="AR7" s="2">
        <v>1E-3</v>
      </c>
      <c r="AS7" s="2">
        <v>1E-3</v>
      </c>
      <c r="AT7" s="2">
        <v>1E-3</v>
      </c>
      <c r="AU7" s="2">
        <v>1E-3</v>
      </c>
      <c r="AV7" s="2">
        <v>1E-3</v>
      </c>
      <c r="AW7" s="2">
        <v>1E-3</v>
      </c>
      <c r="AX7" s="2">
        <v>1E-3</v>
      </c>
      <c r="AY7" s="2">
        <v>1E-3</v>
      </c>
      <c r="AZ7" s="2">
        <v>1E-3</v>
      </c>
      <c r="BA7" s="2">
        <v>1E-3</v>
      </c>
      <c r="BB7" s="2">
        <v>1E-3</v>
      </c>
      <c r="BC7" s="2">
        <v>1E-3</v>
      </c>
      <c r="BD7" s="2">
        <v>1E-3</v>
      </c>
      <c r="BE7" s="2">
        <v>1E-3</v>
      </c>
      <c r="BF7" s="2">
        <v>1E-3</v>
      </c>
      <c r="BG7" s="2">
        <v>1E-3</v>
      </c>
      <c r="BH7" s="2">
        <v>1E-3</v>
      </c>
      <c r="BI7" s="2">
        <v>1E-3</v>
      </c>
      <c r="BJ7" s="2">
        <v>1E-3</v>
      </c>
      <c r="BK7" s="2">
        <v>1E-3</v>
      </c>
      <c r="BL7" s="2">
        <v>1E-3</v>
      </c>
      <c r="BM7" s="2">
        <v>1E-3</v>
      </c>
      <c r="BN7" s="2">
        <v>1E-3</v>
      </c>
      <c r="BO7" s="2">
        <v>29.2</v>
      </c>
      <c r="BP7" s="2">
        <v>30</v>
      </c>
      <c r="BQ7" s="2">
        <v>30.8</v>
      </c>
      <c r="BR7" s="2">
        <v>30.933330000000002</v>
      </c>
      <c r="BS7" s="2">
        <v>31</v>
      </c>
      <c r="BT7" s="2">
        <v>31.633330000000001</v>
      </c>
      <c r="BU7" s="2">
        <v>32.299999999999997</v>
      </c>
      <c r="BV7" s="2">
        <v>32.6</v>
      </c>
      <c r="BW7" s="2">
        <v>32.799999999999997</v>
      </c>
      <c r="BX7" s="2">
        <v>33.933329999999998</v>
      </c>
      <c r="BY7" s="2">
        <v>35.200000000000003</v>
      </c>
      <c r="BZ7" s="2">
        <v>36.066670000000002</v>
      </c>
      <c r="CA7" s="2">
        <v>36.066670000000002</v>
      </c>
      <c r="CB7" s="2">
        <v>36.766669999999998</v>
      </c>
      <c r="CC7" s="2">
        <v>38</v>
      </c>
      <c r="CD7" s="2">
        <v>38.133339999999997</v>
      </c>
      <c r="CE7" s="2">
        <v>38.033329999999999</v>
      </c>
      <c r="CF7" s="2">
        <v>38.166670000000003</v>
      </c>
      <c r="CG7" s="2">
        <v>38.133339999999997</v>
      </c>
      <c r="CH7" s="2">
        <v>38</v>
      </c>
      <c r="CI7" s="2">
        <v>37.9</v>
      </c>
      <c r="CJ7" s="2">
        <v>37.6</v>
      </c>
      <c r="CK7" s="2">
        <v>37.366660000000003</v>
      </c>
      <c r="CL7" s="2">
        <v>37.466670000000001</v>
      </c>
      <c r="CM7" s="2">
        <v>37.200000000000003</v>
      </c>
      <c r="CN7" s="2">
        <v>39.866660000000003</v>
      </c>
      <c r="CO7" s="2">
        <v>39.933329999999998</v>
      </c>
      <c r="CP7" s="2">
        <v>39.833329999999997</v>
      </c>
      <c r="CQ7" s="2">
        <v>39.966670000000001</v>
      </c>
      <c r="CR7" s="2">
        <v>40.033329999999999</v>
      </c>
      <c r="CS7" s="2">
        <v>40.033329999999999</v>
      </c>
      <c r="CT7" s="2">
        <v>40.133339999999997</v>
      </c>
      <c r="CU7" s="2">
        <v>40.200000000000003</v>
      </c>
      <c r="CV7" s="2">
        <v>40.266669999999998</v>
      </c>
      <c r="CW7" s="2">
        <v>40.266669999999998</v>
      </c>
      <c r="CX7" s="2">
        <v>40.066670000000002</v>
      </c>
      <c r="CY7" s="2">
        <v>39.766669999999998</v>
      </c>
      <c r="CZ7" s="2">
        <v>39.5</v>
      </c>
      <c r="DA7" s="2">
        <v>38.833329999999997</v>
      </c>
      <c r="DB7" s="2">
        <v>37.966670000000001</v>
      </c>
      <c r="DC7" s="2">
        <v>37.6</v>
      </c>
      <c r="DD7" s="2">
        <v>37.5</v>
      </c>
      <c r="DE7" s="2">
        <v>37.166670000000003</v>
      </c>
      <c r="DF7" s="2">
        <v>37.266669999999998</v>
      </c>
      <c r="DG7" s="2">
        <v>37.333329999999997</v>
      </c>
      <c r="DH7" s="2">
        <v>37.233330000000002</v>
      </c>
      <c r="DI7" s="2">
        <v>37.333329999999997</v>
      </c>
      <c r="DJ7" s="2">
        <v>37.566670000000002</v>
      </c>
      <c r="DK7" s="2">
        <v>37.733330000000002</v>
      </c>
      <c r="DL7" s="2">
        <v>37.033329999999999</v>
      </c>
      <c r="DM7" s="2">
        <v>37.133339999999997</v>
      </c>
      <c r="DN7" s="2">
        <v>37.666670000000003</v>
      </c>
      <c r="DO7" s="2">
        <v>37.200000000000003</v>
      </c>
      <c r="DP7" s="2">
        <v>37.733330000000002</v>
      </c>
      <c r="DQ7" s="2">
        <v>37.866660000000003</v>
      </c>
      <c r="DR7" s="2">
        <v>37.533329999999999</v>
      </c>
      <c r="DS7" s="2">
        <v>38.200000000000003</v>
      </c>
      <c r="DT7" s="2">
        <v>38.4</v>
      </c>
      <c r="DU7" s="2">
        <v>38.466670000000001</v>
      </c>
      <c r="DV7" s="2">
        <v>38.633339999999997</v>
      </c>
      <c r="DW7" s="2">
        <v>38.966670000000001</v>
      </c>
      <c r="DX7" s="2">
        <v>38.799999999999997</v>
      </c>
      <c r="DY7" s="2">
        <v>39.166670000000003</v>
      </c>
      <c r="DZ7" s="2">
        <v>39.566670000000002</v>
      </c>
      <c r="EA7" s="2">
        <v>40.200000000000003</v>
      </c>
      <c r="EB7" s="2">
        <v>41.333329999999997</v>
      </c>
      <c r="EC7" s="2">
        <v>41.866660000000003</v>
      </c>
      <c r="ED7" s="2">
        <v>43.766669999999998</v>
      </c>
      <c r="EE7" s="2">
        <v>45.666670000000003</v>
      </c>
      <c r="EF7" s="2">
        <v>46.4</v>
      </c>
      <c r="EG7" s="2">
        <v>47.133339999999997</v>
      </c>
      <c r="EH7" s="2">
        <v>49.933329999999998</v>
      </c>
      <c r="EI7" s="2">
        <v>52.033329999999999</v>
      </c>
      <c r="EJ7" s="2">
        <v>57.933329999999998</v>
      </c>
      <c r="EK7" s="2">
        <v>61</v>
      </c>
      <c r="EL7" s="2">
        <v>64.900000000000006</v>
      </c>
      <c r="EM7" s="2">
        <v>66.333340000000007</v>
      </c>
      <c r="EN7" s="2">
        <v>63.933329999999998</v>
      </c>
      <c r="EO7" s="2">
        <v>61.333329999999997</v>
      </c>
      <c r="EP7" s="2">
        <v>61.333329999999997</v>
      </c>
      <c r="EQ7" s="2">
        <v>66.400000000000006</v>
      </c>
      <c r="ER7" s="2">
        <v>71</v>
      </c>
      <c r="ES7" s="2">
        <v>77.566670000000002</v>
      </c>
      <c r="ET7" s="2">
        <v>84.766670000000005</v>
      </c>
      <c r="EU7" s="2">
        <v>83.366669999999999</v>
      </c>
      <c r="EV7" s="2">
        <v>79.266670000000005</v>
      </c>
      <c r="EW7" s="2">
        <v>78.833340000000007</v>
      </c>
      <c r="EX7" s="2">
        <v>79.099999999999994</v>
      </c>
      <c r="EY7" s="2">
        <v>78.900000000000006</v>
      </c>
      <c r="EZ7" s="2">
        <v>77.3</v>
      </c>
      <c r="FA7" s="2">
        <v>77.099999999999994</v>
      </c>
      <c r="FB7" s="2">
        <v>78.333340000000007</v>
      </c>
      <c r="FC7" s="2">
        <v>81.666659999999993</v>
      </c>
      <c r="FD7" s="2">
        <v>82.3</v>
      </c>
      <c r="FE7" s="2">
        <v>85.5</v>
      </c>
      <c r="FF7" s="2">
        <v>93.2</v>
      </c>
      <c r="FG7" s="2">
        <v>92.833340000000007</v>
      </c>
      <c r="FH7" s="2">
        <v>91.466669999999993</v>
      </c>
      <c r="FI7" s="2">
        <v>91.466669999999993</v>
      </c>
      <c r="FJ7" s="2">
        <v>94.166659999999993</v>
      </c>
      <c r="FK7" s="2">
        <v>98.533330000000007</v>
      </c>
      <c r="FL7" s="2">
        <v>98.5</v>
      </c>
      <c r="FM7" s="2">
        <v>98.733329999999995</v>
      </c>
      <c r="FN7" s="2">
        <v>100.7333</v>
      </c>
      <c r="FO7" s="2">
        <v>104.2</v>
      </c>
      <c r="FP7" s="2">
        <v>103.36669999999999</v>
      </c>
      <c r="FQ7" s="2">
        <v>103.2667</v>
      </c>
      <c r="FR7" s="2">
        <v>102.9333</v>
      </c>
      <c r="FS7" s="2">
        <v>101.5333</v>
      </c>
      <c r="FT7" s="2">
        <v>100.2667</v>
      </c>
      <c r="FU7" s="2">
        <v>99.5</v>
      </c>
      <c r="FV7" s="2">
        <v>98.7</v>
      </c>
      <c r="FW7" s="2">
        <v>97.7</v>
      </c>
      <c r="FX7" s="2">
        <v>96.466669999999993</v>
      </c>
      <c r="FY7" s="2">
        <v>96.7</v>
      </c>
      <c r="FZ7" s="2">
        <v>97.333340000000007</v>
      </c>
      <c r="GA7" s="2">
        <v>97.6</v>
      </c>
      <c r="GB7" s="2">
        <v>100.13330000000001</v>
      </c>
      <c r="GC7" s="2">
        <v>101.7</v>
      </c>
      <c r="GD7" s="2">
        <v>103.36669999999999</v>
      </c>
      <c r="GE7" s="2">
        <v>103.7333</v>
      </c>
      <c r="GF7" s="2">
        <v>105.33329999999999</v>
      </c>
      <c r="GG7" s="2">
        <v>108.86669999999999</v>
      </c>
      <c r="GH7" s="2">
        <v>112.2</v>
      </c>
      <c r="GI7" s="2">
        <v>105.33329999999999</v>
      </c>
      <c r="GJ7" s="2">
        <v>115.4333</v>
      </c>
      <c r="GK7" s="2">
        <v>115.36669999999999</v>
      </c>
      <c r="GL7" s="2">
        <v>110.3</v>
      </c>
      <c r="GM7" s="2">
        <v>109.9667</v>
      </c>
      <c r="GN7" s="2">
        <v>107.5333</v>
      </c>
      <c r="GO7" s="2">
        <v>107.63330000000001</v>
      </c>
      <c r="GP7" s="2">
        <v>100.66670000000001</v>
      </c>
      <c r="GQ7" s="2">
        <v>101.33329999999999</v>
      </c>
      <c r="GR7" s="2">
        <v>110.2</v>
      </c>
      <c r="GS7" s="2">
        <v>110.5</v>
      </c>
      <c r="GT7" s="2">
        <v>123.8</v>
      </c>
      <c r="GU7" s="2">
        <v>125.2333</v>
      </c>
      <c r="GV7" s="2">
        <v>187.26669999999999</v>
      </c>
      <c r="GW7" s="2">
        <v>187.9</v>
      </c>
      <c r="GX7" s="2">
        <v>234.16669999999999</v>
      </c>
      <c r="GY7" s="2">
        <v>235.23330000000001</v>
      </c>
      <c r="GZ7" s="2">
        <v>231.8</v>
      </c>
      <c r="HA7" s="2">
        <v>197.2</v>
      </c>
      <c r="HB7" s="2">
        <v>183.63329999999999</v>
      </c>
      <c r="HC7" s="2">
        <v>192.4</v>
      </c>
      <c r="HD7" s="2">
        <v>168.9</v>
      </c>
      <c r="HE7" s="3">
        <v>157.1165</v>
      </c>
      <c r="HF7" s="3">
        <v>171.03800000000001</v>
      </c>
      <c r="HG7" s="3">
        <v>178.49709999999999</v>
      </c>
      <c r="HH7" s="3">
        <v>177.72499999999999</v>
      </c>
      <c r="HI7" s="3">
        <v>176.98169999999999</v>
      </c>
      <c r="HJ7" s="3">
        <v>176.2704</v>
      </c>
      <c r="HK7" s="3">
        <v>172.864</v>
      </c>
      <c r="HL7" s="3">
        <v>170.59800000000001</v>
      </c>
      <c r="HM7" s="3">
        <v>168.3434</v>
      </c>
      <c r="HN7" s="3">
        <v>166.09979999999999</v>
      </c>
      <c r="HO7" s="3">
        <v>164.94450000000001</v>
      </c>
      <c r="HP7" s="3">
        <v>163.80009999999999</v>
      </c>
      <c r="HQ7" s="3">
        <v>162.66730000000001</v>
      </c>
      <c r="HR7" s="3">
        <v>161.5463</v>
      </c>
      <c r="HS7" s="3">
        <v>162.61240000000001</v>
      </c>
      <c r="HT7" s="3">
        <v>163.7193</v>
      </c>
      <c r="HU7" s="3">
        <v>164.8681</v>
      </c>
      <c r="HV7" s="3">
        <v>166.04060000000001</v>
      </c>
      <c r="HW7" s="3">
        <v>167.24590000000001</v>
      </c>
      <c r="HX7" s="3">
        <v>168.50219999999999</v>
      </c>
      <c r="HY7" s="3">
        <v>169.8004</v>
      </c>
      <c r="HZ7" s="3">
        <v>171.11369999999999</v>
      </c>
      <c r="IA7" s="3">
        <v>172.44110000000001</v>
      </c>
      <c r="IB7" s="3">
        <v>173.78319999999999</v>
      </c>
      <c r="IC7" s="3">
        <v>175.14</v>
      </c>
      <c r="ID7" s="3">
        <v>176.51159999999999</v>
      </c>
      <c r="IE7" s="3">
        <v>177.89660000000001</v>
      </c>
      <c r="IF7" s="3">
        <v>179.29689999999999</v>
      </c>
      <c r="IG7" s="3">
        <v>180.71250000000001</v>
      </c>
      <c r="IH7" s="3">
        <v>182.14359999999999</v>
      </c>
      <c r="II7" s="3">
        <v>183.58969999999999</v>
      </c>
      <c r="IJ7" s="3">
        <v>185.05170000000001</v>
      </c>
      <c r="IK7" s="3">
        <v>186.52969999999999</v>
      </c>
      <c r="IL7" s="3">
        <v>188.02379999999999</v>
      </c>
      <c r="IM7" s="3">
        <v>189.5335</v>
      </c>
      <c r="IN7" s="3">
        <v>191.0598</v>
      </c>
      <c r="IO7" s="3">
        <v>192.60290000000001</v>
      </c>
      <c r="IP7" s="3">
        <v>194.16399999999999</v>
      </c>
      <c r="IQ7" s="3">
        <v>195.75190000000001</v>
      </c>
      <c r="IR7" s="3">
        <v>197.37780000000001</v>
      </c>
      <c r="IS7" s="3">
        <v>199.03149999999999</v>
      </c>
      <c r="IT7" s="3">
        <v>200.703</v>
      </c>
      <c r="IU7" s="3">
        <v>202.3931</v>
      </c>
      <c r="IV7" s="3">
        <v>204.11609999999999</v>
      </c>
      <c r="IW7" s="3">
        <v>205.8869</v>
      </c>
      <c r="IX7" s="3">
        <v>207.69059999999999</v>
      </c>
      <c r="IY7" s="3">
        <v>209.43960000000001</v>
      </c>
      <c r="IZ7" s="3">
        <v>211.2226</v>
      </c>
      <c r="JA7" s="3">
        <v>213.05500000000001</v>
      </c>
      <c r="JB7" s="3">
        <v>214.92160000000001</v>
      </c>
      <c r="JC7" s="3">
        <v>216.73140000000001</v>
      </c>
      <c r="JD7" s="3">
        <v>218.57660000000001</v>
      </c>
      <c r="JE7" s="3">
        <v>220.4727</v>
      </c>
      <c r="JF7" s="3">
        <v>222.40430000000001</v>
      </c>
      <c r="JG7" s="3">
        <v>224.27719999999999</v>
      </c>
      <c r="JH7" s="3">
        <v>226.1865</v>
      </c>
      <c r="JI7" s="3">
        <v>228.14869999999999</v>
      </c>
      <c r="JJ7" s="3">
        <v>230.14760000000001</v>
      </c>
      <c r="JK7" s="3">
        <v>232.0856</v>
      </c>
      <c r="JL7" s="3">
        <v>234.0615</v>
      </c>
      <c r="JM7" s="3">
        <v>236.09200000000001</v>
      </c>
      <c r="JN7" s="3">
        <v>238.16040000000001</v>
      </c>
      <c r="JO7" s="3">
        <v>240.16589999999999</v>
      </c>
      <c r="JP7" s="3">
        <v>242.2105</v>
      </c>
      <c r="JQ7" s="3">
        <v>244.3117</v>
      </c>
      <c r="JR7" s="3">
        <v>246.4522</v>
      </c>
      <c r="JS7" s="3">
        <v>248.5275</v>
      </c>
      <c r="JT7" s="3">
        <v>250.64340000000001</v>
      </c>
      <c r="JU7" s="3">
        <v>252.8177</v>
      </c>
      <c r="JV7" s="3">
        <v>255.03270000000001</v>
      </c>
      <c r="JW7" s="3">
        <v>257.18020000000001</v>
      </c>
      <c r="JX7" s="3">
        <v>259.3698</v>
      </c>
      <c r="JY7" s="3">
        <v>261.6198</v>
      </c>
      <c r="JZ7" s="3">
        <v>263.9119</v>
      </c>
      <c r="KA7" s="3">
        <v>266.13420000000002</v>
      </c>
      <c r="KB7" s="3">
        <v>268.39999999999998</v>
      </c>
      <c r="KC7" s="3">
        <v>270.72840000000002</v>
      </c>
      <c r="KD7" s="3">
        <v>273.1003</v>
      </c>
      <c r="KE7" s="3">
        <v>275.39999999999998</v>
      </c>
      <c r="KF7" s="3">
        <v>277.74459999999999</v>
      </c>
      <c r="KG7" s="3">
        <v>280.15410000000003</v>
      </c>
      <c r="KH7" s="3">
        <v>282.60849999999999</v>
      </c>
      <c r="KI7" s="3">
        <v>284.98829999999998</v>
      </c>
      <c r="KJ7" s="3">
        <v>287.41460000000001</v>
      </c>
      <c r="KK7" s="3">
        <v>289.90789999999998</v>
      </c>
      <c r="KL7" s="3">
        <v>292.44779999999997</v>
      </c>
      <c r="KM7" s="3">
        <v>294.91050000000001</v>
      </c>
      <c r="KN7" s="3">
        <v>297.4212</v>
      </c>
      <c r="KO7" s="3">
        <v>300.00130000000001</v>
      </c>
      <c r="KP7" s="3">
        <v>302.62970000000001</v>
      </c>
      <c r="KQ7" s="3">
        <v>305.17809999999997</v>
      </c>
      <c r="KR7" s="3">
        <v>307.77620000000002</v>
      </c>
      <c r="KS7" s="3">
        <v>310.44619999999998</v>
      </c>
      <c r="KT7" s="3">
        <v>313.166</v>
      </c>
      <c r="KU7" s="3">
        <v>315.8032</v>
      </c>
      <c r="KV7" s="3">
        <v>318.49180000000001</v>
      </c>
      <c r="KW7" s="3">
        <v>321.25470000000001</v>
      </c>
      <c r="KX7" s="3">
        <v>324.06920000000002</v>
      </c>
      <c r="KY7" s="3">
        <v>326.79820000000001</v>
      </c>
      <c r="KZ7" s="3">
        <v>329.5804</v>
      </c>
      <c r="LA7" s="3">
        <v>332.43950000000001</v>
      </c>
      <c r="LB7" s="3">
        <v>335.35199999999998</v>
      </c>
      <c r="LC7" s="3">
        <v>338.17599999999999</v>
      </c>
      <c r="LD7" s="3">
        <v>341.05509999999998</v>
      </c>
      <c r="LE7" s="3">
        <v>344.01369999999997</v>
      </c>
      <c r="LF7" s="3">
        <v>347.02760000000001</v>
      </c>
      <c r="LG7" s="1" t="s">
        <v>408</v>
      </c>
      <c r="LH7" t="b">
        <v>0</v>
      </c>
      <c r="LI7" t="s">
        <v>337</v>
      </c>
      <c r="LJ7">
        <v>2015</v>
      </c>
      <c r="LK7">
        <v>2024</v>
      </c>
      <c r="LL7">
        <v>2</v>
      </c>
      <c r="LM7" t="s">
        <v>337</v>
      </c>
      <c r="LN7" s="1" t="s">
        <v>417</v>
      </c>
      <c r="LO7" s="1" t="s">
        <v>418</v>
      </c>
      <c r="LP7" t="s">
        <v>340</v>
      </c>
      <c r="LQ7" t="s">
        <v>419</v>
      </c>
      <c r="LR7" s="1" t="s">
        <v>1043</v>
      </c>
    </row>
    <row r="8" spans="1:330" x14ac:dyDescent="0.25">
      <c r="A8" t="s">
        <v>330</v>
      </c>
      <c r="B8" t="s">
        <v>420</v>
      </c>
      <c r="C8" s="1" t="s">
        <v>1042</v>
      </c>
      <c r="D8" t="s">
        <v>343</v>
      </c>
      <c r="E8" t="s">
        <v>337</v>
      </c>
      <c r="F8" t="s">
        <v>334</v>
      </c>
      <c r="G8" s="2">
        <v>1E-3</v>
      </c>
      <c r="H8" s="2">
        <v>1E-3</v>
      </c>
      <c r="I8" s="2">
        <v>1E-3</v>
      </c>
      <c r="J8" s="2">
        <v>1E-3</v>
      </c>
      <c r="K8" s="2">
        <v>1E-3</v>
      </c>
      <c r="L8" s="2">
        <v>1E-3</v>
      </c>
      <c r="M8" s="2">
        <v>1E-3</v>
      </c>
      <c r="N8" s="2">
        <v>1E-3</v>
      </c>
      <c r="O8" s="2">
        <v>1E-3</v>
      </c>
      <c r="P8" s="2">
        <v>1E-3</v>
      </c>
      <c r="Q8" s="2">
        <v>1E-3</v>
      </c>
      <c r="R8" s="2">
        <v>1E-3</v>
      </c>
      <c r="S8" s="2">
        <v>1E-3</v>
      </c>
      <c r="T8" s="2">
        <v>1E-3</v>
      </c>
      <c r="U8" s="2">
        <v>1E-3</v>
      </c>
      <c r="V8" s="2">
        <v>1E-3</v>
      </c>
      <c r="W8" s="2">
        <v>1E-3</v>
      </c>
      <c r="X8" s="2">
        <v>1E-3</v>
      </c>
      <c r="Y8" s="2">
        <v>1E-3</v>
      </c>
      <c r="Z8" s="2">
        <v>1E-3</v>
      </c>
      <c r="AA8" s="2">
        <v>1E-3</v>
      </c>
      <c r="AB8" s="2">
        <v>1E-3</v>
      </c>
      <c r="AC8" s="2">
        <v>1E-3</v>
      </c>
      <c r="AD8" s="2">
        <v>1E-3</v>
      </c>
      <c r="AE8" s="2">
        <v>1E-3</v>
      </c>
      <c r="AF8" s="2">
        <v>1E-3</v>
      </c>
      <c r="AG8" s="2">
        <v>1E-3</v>
      </c>
      <c r="AH8" s="2">
        <v>1E-3</v>
      </c>
      <c r="AI8" s="2">
        <v>1E-3</v>
      </c>
      <c r="AJ8" s="2">
        <v>1E-3</v>
      </c>
      <c r="AK8" s="2">
        <v>1E-3</v>
      </c>
      <c r="AL8" s="2">
        <v>1E-3</v>
      </c>
      <c r="AM8" s="2">
        <v>1E-3</v>
      </c>
      <c r="AN8" s="2">
        <v>1E-3</v>
      </c>
      <c r="AO8" s="2">
        <v>1E-3</v>
      </c>
      <c r="AP8" s="2">
        <v>1E-3</v>
      </c>
      <c r="AQ8" s="2">
        <v>1E-3</v>
      </c>
      <c r="AR8" s="2">
        <v>1E-3</v>
      </c>
      <c r="AS8" s="2">
        <v>1E-3</v>
      </c>
      <c r="AT8" s="2">
        <v>1E-3</v>
      </c>
      <c r="AU8" s="2">
        <v>1E-3</v>
      </c>
      <c r="AV8" s="2">
        <v>1E-3</v>
      </c>
      <c r="AW8" s="2">
        <v>1E-3</v>
      </c>
      <c r="AX8" s="2">
        <v>1E-3</v>
      </c>
      <c r="AY8" s="2">
        <v>1E-3</v>
      </c>
      <c r="AZ8" s="2">
        <v>1E-3</v>
      </c>
      <c r="BA8" s="2">
        <v>1E-3</v>
      </c>
      <c r="BB8" s="2">
        <v>1E-3</v>
      </c>
      <c r="BC8" s="2">
        <v>1E-3</v>
      </c>
      <c r="BD8" s="2">
        <v>1E-3</v>
      </c>
      <c r="BE8" s="2">
        <v>1E-3</v>
      </c>
      <c r="BF8" s="2">
        <v>1E-3</v>
      </c>
      <c r="BG8" s="2">
        <v>1E-3</v>
      </c>
      <c r="BH8" s="2">
        <v>1E-3</v>
      </c>
      <c r="BI8" s="2">
        <v>1E-3</v>
      </c>
      <c r="BJ8" s="2">
        <v>1E-3</v>
      </c>
      <c r="BK8" s="2">
        <v>1E-3</v>
      </c>
      <c r="BL8" s="2">
        <v>1E-3</v>
      </c>
      <c r="BM8" s="2">
        <v>1E-3</v>
      </c>
      <c r="BN8" s="2">
        <v>1E-3</v>
      </c>
      <c r="BO8" s="2">
        <v>53.133339999999997</v>
      </c>
      <c r="BP8" s="2">
        <v>54.266669999999998</v>
      </c>
      <c r="BQ8" s="2">
        <v>54.833329999999997</v>
      </c>
      <c r="BR8" s="2">
        <v>55.566670000000002</v>
      </c>
      <c r="BS8" s="2">
        <v>55.9</v>
      </c>
      <c r="BT8" s="2">
        <v>57.1</v>
      </c>
      <c r="BU8" s="2">
        <v>57.566670000000002</v>
      </c>
      <c r="BV8" s="2">
        <v>58.433329999999998</v>
      </c>
      <c r="BW8" s="2">
        <v>58.866660000000003</v>
      </c>
      <c r="BX8" s="2">
        <v>60.6</v>
      </c>
      <c r="BY8" s="2">
        <v>61.366660000000003</v>
      </c>
      <c r="BZ8" s="2">
        <v>62.566670000000002</v>
      </c>
      <c r="CA8" s="2">
        <v>62.866660000000003</v>
      </c>
      <c r="CB8" s="2">
        <v>65.533330000000007</v>
      </c>
      <c r="CC8" s="2">
        <v>66.233329999999995</v>
      </c>
      <c r="CD8" s="2">
        <v>67.266670000000005</v>
      </c>
      <c r="CE8" s="2">
        <v>67.333340000000007</v>
      </c>
      <c r="CF8" s="2">
        <v>68.566670000000002</v>
      </c>
      <c r="CG8" s="2">
        <v>68.666659999999993</v>
      </c>
      <c r="CH8" s="2">
        <v>69.066670000000002</v>
      </c>
      <c r="CI8" s="2">
        <v>68.833340000000007</v>
      </c>
      <c r="CJ8" s="2">
        <v>70.133330000000001</v>
      </c>
      <c r="CK8" s="2">
        <v>70.433329999999998</v>
      </c>
      <c r="CL8" s="2">
        <v>70.833340000000007</v>
      </c>
      <c r="CM8" s="2">
        <v>70.566670000000002</v>
      </c>
      <c r="CN8" s="2">
        <v>71.400000000000006</v>
      </c>
      <c r="CO8" s="2">
        <v>71.266670000000005</v>
      </c>
      <c r="CP8" s="2">
        <v>71.7</v>
      </c>
      <c r="CQ8" s="2">
        <v>71.733329999999995</v>
      </c>
      <c r="CR8" s="2">
        <v>72.8</v>
      </c>
      <c r="CS8" s="2">
        <v>72.866669999999999</v>
      </c>
      <c r="CT8" s="2">
        <v>73.366669999999999</v>
      </c>
      <c r="CU8" s="2">
        <v>73.266670000000005</v>
      </c>
      <c r="CV8" s="2">
        <v>74.166659999999993</v>
      </c>
      <c r="CW8" s="2">
        <v>74.266670000000005</v>
      </c>
      <c r="CX8" s="2">
        <v>74.933329999999998</v>
      </c>
      <c r="CY8" s="2">
        <v>74.733329999999995</v>
      </c>
      <c r="CZ8" s="2">
        <v>75.533330000000007</v>
      </c>
      <c r="DA8" s="2">
        <v>75.599999999999994</v>
      </c>
      <c r="DB8" s="2">
        <v>76.333340000000007</v>
      </c>
      <c r="DC8" s="2">
        <v>76</v>
      </c>
      <c r="DD8" s="2">
        <v>76.766670000000005</v>
      </c>
      <c r="DE8" s="2">
        <v>76.599999999999994</v>
      </c>
      <c r="DF8" s="2">
        <v>77.2</v>
      </c>
      <c r="DG8" s="2">
        <v>76.8</v>
      </c>
      <c r="DH8" s="2">
        <v>77.433329999999998</v>
      </c>
      <c r="DI8" s="2">
        <v>77.099999999999994</v>
      </c>
      <c r="DJ8" s="2">
        <v>77.5</v>
      </c>
      <c r="DK8" s="2">
        <v>76.866669999999999</v>
      </c>
      <c r="DL8" s="2">
        <v>77.400000000000006</v>
      </c>
      <c r="DM8" s="2">
        <v>77.099999999999994</v>
      </c>
      <c r="DN8" s="2">
        <v>77.7</v>
      </c>
      <c r="DO8" s="2">
        <v>77.233329999999995</v>
      </c>
      <c r="DP8" s="2">
        <v>78.2</v>
      </c>
      <c r="DQ8" s="2">
        <v>78.3</v>
      </c>
      <c r="DR8" s="2">
        <v>78.633330000000001</v>
      </c>
      <c r="DS8" s="2">
        <v>78.466669999999993</v>
      </c>
      <c r="DT8" s="2">
        <v>79.233329999999995</v>
      </c>
      <c r="DU8" s="2">
        <v>79.366669999999999</v>
      </c>
      <c r="DV8" s="2">
        <v>79.933329999999998</v>
      </c>
      <c r="DW8" s="2">
        <v>79.7</v>
      </c>
      <c r="DX8" s="2">
        <v>80.233329999999995</v>
      </c>
      <c r="DY8" s="2">
        <v>80.366669999999999</v>
      </c>
      <c r="DZ8" s="2">
        <v>80.766670000000005</v>
      </c>
      <c r="EA8" s="2">
        <v>80.566670000000002</v>
      </c>
      <c r="EB8" s="2">
        <v>81.133330000000001</v>
      </c>
      <c r="EC8" s="2">
        <v>81.166659999999993</v>
      </c>
      <c r="ED8" s="2">
        <v>81.633330000000001</v>
      </c>
      <c r="EE8" s="2">
        <v>81.566670000000002</v>
      </c>
      <c r="EF8" s="2">
        <v>82.3</v>
      </c>
      <c r="EG8" s="2">
        <v>82.633330000000001</v>
      </c>
      <c r="EH8" s="2">
        <v>82.9</v>
      </c>
      <c r="EI8" s="2">
        <v>82.7</v>
      </c>
      <c r="EJ8" s="2">
        <v>83.3</v>
      </c>
      <c r="EK8" s="2">
        <v>83.533330000000007</v>
      </c>
      <c r="EL8" s="2">
        <v>84.233329999999995</v>
      </c>
      <c r="EM8" s="2">
        <v>84.133330000000001</v>
      </c>
      <c r="EN8" s="2">
        <v>84.9</v>
      </c>
      <c r="EO8" s="2">
        <v>84.9</v>
      </c>
      <c r="EP8" s="2">
        <v>85.466669999999993</v>
      </c>
      <c r="EQ8" s="2">
        <v>85.2</v>
      </c>
      <c r="ER8" s="2">
        <v>86.166659999999993</v>
      </c>
      <c r="ES8" s="2">
        <v>86.666659999999993</v>
      </c>
      <c r="ET8" s="2">
        <v>86.866669999999999</v>
      </c>
      <c r="EU8" s="2">
        <v>86.5</v>
      </c>
      <c r="EV8" s="2">
        <v>87.533330000000007</v>
      </c>
      <c r="EW8" s="2">
        <v>88.166659999999993</v>
      </c>
      <c r="EX8" s="2">
        <v>88.766670000000005</v>
      </c>
      <c r="EY8" s="2">
        <v>89.066670000000002</v>
      </c>
      <c r="EZ8" s="2">
        <v>90.2</v>
      </c>
      <c r="FA8" s="2">
        <v>90.566670000000002</v>
      </c>
      <c r="FB8" s="2">
        <v>91.233329999999995</v>
      </c>
      <c r="FC8" s="2">
        <v>91.933329999999998</v>
      </c>
      <c r="FD8" s="2">
        <v>93.133330000000001</v>
      </c>
      <c r="FE8" s="2">
        <v>93.466669999999993</v>
      </c>
      <c r="FF8" s="2">
        <v>94.133330000000001</v>
      </c>
      <c r="FG8" s="2">
        <v>94.233329999999995</v>
      </c>
      <c r="FH8" s="2">
        <v>95.166659999999993</v>
      </c>
      <c r="FI8" s="2">
        <v>95.466669999999993</v>
      </c>
      <c r="FJ8" s="2">
        <v>96.533330000000007</v>
      </c>
      <c r="FK8" s="2">
        <v>96.4</v>
      </c>
      <c r="FL8" s="2">
        <v>97.2</v>
      </c>
      <c r="FM8" s="2">
        <v>97.466669999999993</v>
      </c>
      <c r="FN8" s="2">
        <v>98.233329999999995</v>
      </c>
      <c r="FO8" s="2">
        <v>97.966669999999993</v>
      </c>
      <c r="FP8" s="2">
        <v>99.033330000000007</v>
      </c>
      <c r="FQ8" s="2">
        <v>99.166659999999993</v>
      </c>
      <c r="FR8" s="2">
        <v>99.533330000000007</v>
      </c>
      <c r="FS8" s="2">
        <v>99.2</v>
      </c>
      <c r="FT8" s="2">
        <v>99.833340000000007</v>
      </c>
      <c r="FU8" s="2">
        <v>100.2</v>
      </c>
      <c r="FV8" s="2">
        <v>100.8</v>
      </c>
      <c r="FW8" s="2">
        <v>100.4667</v>
      </c>
      <c r="FX8" s="2">
        <v>101.1</v>
      </c>
      <c r="FY8" s="2">
        <v>101.5667</v>
      </c>
      <c r="FZ8" s="2">
        <v>102.2</v>
      </c>
      <c r="GA8" s="2">
        <v>102.2667</v>
      </c>
      <c r="GB8" s="2">
        <v>103.63330000000001</v>
      </c>
      <c r="GC8" s="2">
        <v>104.2</v>
      </c>
      <c r="GD8" s="2">
        <v>104.9</v>
      </c>
      <c r="GE8" s="2">
        <v>104.7667</v>
      </c>
      <c r="GF8" s="2">
        <v>105.7</v>
      </c>
      <c r="GG8" s="2">
        <v>106.2</v>
      </c>
      <c r="GH8" s="2">
        <v>106.83329999999999</v>
      </c>
      <c r="GI8" s="2">
        <v>106.7667</v>
      </c>
      <c r="GJ8" s="2">
        <v>107.5667</v>
      </c>
      <c r="GK8" s="2">
        <v>108.0333</v>
      </c>
      <c r="GL8" s="2">
        <v>108.5333</v>
      </c>
      <c r="GM8" s="2">
        <v>108.4667</v>
      </c>
      <c r="GN8" s="2">
        <v>109.0333</v>
      </c>
      <c r="GO8" s="2">
        <v>109.4667</v>
      </c>
      <c r="GP8" s="2">
        <v>109.9333</v>
      </c>
      <c r="GQ8" s="2">
        <v>109.7333</v>
      </c>
      <c r="GR8" s="2">
        <v>111.0333</v>
      </c>
      <c r="GS8" s="2">
        <v>112.36669999999999</v>
      </c>
      <c r="GT8" s="2">
        <v>114.2333</v>
      </c>
      <c r="GU8" s="2">
        <v>115.33329999999999</v>
      </c>
      <c r="GV8" s="2">
        <v>117.66670000000001</v>
      </c>
      <c r="GW8" s="2">
        <v>119.4333</v>
      </c>
      <c r="GX8" s="2">
        <v>121.5</v>
      </c>
      <c r="GY8" s="2">
        <v>122.3</v>
      </c>
      <c r="GZ8" s="2">
        <v>125.83329999999999</v>
      </c>
      <c r="HA8" s="2">
        <v>127.0333</v>
      </c>
      <c r="HB8" s="2">
        <v>127.9333</v>
      </c>
      <c r="HC8" s="2">
        <v>127.9</v>
      </c>
      <c r="HD8" s="2">
        <v>130.4</v>
      </c>
      <c r="HE8" s="3">
        <v>131.38239999999999</v>
      </c>
      <c r="HF8" s="3">
        <v>132.32660000000001</v>
      </c>
      <c r="HG8" s="3">
        <v>132.4468</v>
      </c>
      <c r="HH8" s="3">
        <v>134.04650000000001</v>
      </c>
      <c r="HI8" s="3">
        <v>134.9616</v>
      </c>
      <c r="HJ8" s="3">
        <v>135.9083</v>
      </c>
      <c r="HK8" s="3">
        <v>136.0444</v>
      </c>
      <c r="HL8" s="3">
        <v>137.6592</v>
      </c>
      <c r="HM8" s="3">
        <v>138.59989999999999</v>
      </c>
      <c r="HN8" s="3">
        <v>139.529</v>
      </c>
      <c r="HO8" s="3">
        <v>139.6566</v>
      </c>
      <c r="HP8" s="3">
        <v>141.2475</v>
      </c>
      <c r="HQ8" s="3">
        <v>142.1746</v>
      </c>
      <c r="HR8" s="3">
        <v>143.0376</v>
      </c>
      <c r="HS8" s="3">
        <v>143.0949</v>
      </c>
      <c r="HT8" s="3">
        <v>144.64279999999999</v>
      </c>
      <c r="HU8" s="3">
        <v>145.52510000000001</v>
      </c>
      <c r="HV8" s="3">
        <v>146.31290000000001</v>
      </c>
      <c r="HW8" s="3">
        <v>146.30199999999999</v>
      </c>
      <c r="HX8" s="3">
        <v>147.8338</v>
      </c>
      <c r="HY8" s="3">
        <v>148.7071</v>
      </c>
      <c r="HZ8" s="3">
        <v>149.46180000000001</v>
      </c>
      <c r="IA8" s="3">
        <v>149.4247</v>
      </c>
      <c r="IB8" s="3">
        <v>150.98099999999999</v>
      </c>
      <c r="IC8" s="3">
        <v>151.88159999999999</v>
      </c>
      <c r="ID8" s="3">
        <v>152.6319</v>
      </c>
      <c r="IE8" s="3">
        <v>152.6037</v>
      </c>
      <c r="IF8" s="3">
        <v>154.18879999999999</v>
      </c>
      <c r="IG8" s="3">
        <v>155.1063</v>
      </c>
      <c r="IH8" s="3">
        <v>155.87119999999999</v>
      </c>
      <c r="II8" s="3">
        <v>155.84010000000001</v>
      </c>
      <c r="IJ8" s="3">
        <v>157.45660000000001</v>
      </c>
      <c r="IK8" s="3">
        <v>158.39169999999999</v>
      </c>
      <c r="IL8" s="3">
        <v>159.17089999999999</v>
      </c>
      <c r="IM8" s="3">
        <v>159.1378</v>
      </c>
      <c r="IN8" s="3">
        <v>160.7877</v>
      </c>
      <c r="IO8" s="3">
        <v>161.74180000000001</v>
      </c>
      <c r="IP8" s="3">
        <v>162.536</v>
      </c>
      <c r="IQ8" s="3">
        <v>162.4999</v>
      </c>
      <c r="IR8" s="3">
        <v>164.18119999999999</v>
      </c>
      <c r="IS8" s="3">
        <v>165.1515</v>
      </c>
      <c r="IT8" s="3">
        <v>165.95930000000001</v>
      </c>
      <c r="IU8" s="3">
        <v>165.9188</v>
      </c>
      <c r="IV8" s="3">
        <v>167.63120000000001</v>
      </c>
      <c r="IW8" s="3">
        <v>168.61660000000001</v>
      </c>
      <c r="IX8" s="3">
        <v>169.43530000000001</v>
      </c>
      <c r="IY8" s="3">
        <v>169.3938</v>
      </c>
      <c r="IZ8" s="3">
        <v>171.1422</v>
      </c>
      <c r="JA8" s="3">
        <v>172.1482</v>
      </c>
      <c r="JB8" s="3">
        <v>172.98400000000001</v>
      </c>
      <c r="JC8" s="3">
        <v>172.9417</v>
      </c>
      <c r="JD8" s="3">
        <v>174.72659999999999</v>
      </c>
      <c r="JE8" s="3">
        <v>175.75380000000001</v>
      </c>
      <c r="JF8" s="3">
        <v>176.607</v>
      </c>
      <c r="JG8" s="3">
        <v>176.56389999999999</v>
      </c>
      <c r="JH8" s="3">
        <v>178.38630000000001</v>
      </c>
      <c r="JI8" s="3">
        <v>179.4348</v>
      </c>
      <c r="JJ8" s="3">
        <v>180.30600000000001</v>
      </c>
      <c r="JK8" s="3">
        <v>180.262</v>
      </c>
      <c r="JL8" s="3">
        <v>182.1225</v>
      </c>
      <c r="JM8" s="3">
        <v>183.19300000000001</v>
      </c>
      <c r="JN8" s="3">
        <v>184.08250000000001</v>
      </c>
      <c r="JO8" s="3">
        <v>184.03749999999999</v>
      </c>
      <c r="JP8" s="3">
        <v>185.93690000000001</v>
      </c>
      <c r="JQ8" s="3">
        <v>187.03</v>
      </c>
      <c r="JR8" s="3">
        <v>187.93799999999999</v>
      </c>
      <c r="JS8" s="3">
        <v>187.8921</v>
      </c>
      <c r="JT8" s="3">
        <v>189.8314</v>
      </c>
      <c r="JU8" s="3">
        <v>190.94720000000001</v>
      </c>
      <c r="JV8" s="3">
        <v>191.8742</v>
      </c>
      <c r="JW8" s="3">
        <v>191.82749999999999</v>
      </c>
      <c r="JX8" s="3">
        <v>193.8073</v>
      </c>
      <c r="JY8" s="3">
        <v>194.94659999999999</v>
      </c>
      <c r="JZ8" s="3">
        <v>195.893</v>
      </c>
      <c r="KA8" s="3">
        <v>195.8451</v>
      </c>
      <c r="KB8" s="3">
        <v>197.8665</v>
      </c>
      <c r="KC8" s="3">
        <v>199.02969999999999</v>
      </c>
      <c r="KD8" s="3">
        <v>199.99600000000001</v>
      </c>
      <c r="KE8" s="3">
        <v>199.94710000000001</v>
      </c>
      <c r="KF8" s="3">
        <v>202.01070000000001</v>
      </c>
      <c r="KG8" s="3">
        <v>203.19839999999999</v>
      </c>
      <c r="KH8" s="3">
        <v>204.1848</v>
      </c>
      <c r="KI8" s="3">
        <v>204.13499999999999</v>
      </c>
      <c r="KJ8" s="3">
        <v>206.24189999999999</v>
      </c>
      <c r="KK8" s="3">
        <v>207.45419999999999</v>
      </c>
      <c r="KL8" s="3">
        <v>208.46129999999999</v>
      </c>
      <c r="KM8" s="3">
        <v>208.41040000000001</v>
      </c>
      <c r="KN8" s="3">
        <v>210.56139999999999</v>
      </c>
      <c r="KO8" s="3">
        <v>211.79920000000001</v>
      </c>
      <c r="KP8" s="3">
        <v>212.82740000000001</v>
      </c>
      <c r="KQ8" s="3">
        <v>212.77549999999999</v>
      </c>
      <c r="KR8" s="3">
        <v>214.9716</v>
      </c>
      <c r="KS8" s="3">
        <v>216.2354</v>
      </c>
      <c r="KT8" s="3">
        <v>217.285</v>
      </c>
      <c r="KU8" s="3">
        <v>217.2321</v>
      </c>
      <c r="KV8" s="3">
        <v>219.4742</v>
      </c>
      <c r="KW8" s="3">
        <v>220.76429999999999</v>
      </c>
      <c r="KX8" s="3">
        <v>221.83600000000001</v>
      </c>
      <c r="KY8" s="3">
        <v>221.78190000000001</v>
      </c>
      <c r="KZ8" s="3">
        <v>224.07089999999999</v>
      </c>
      <c r="LA8" s="3">
        <v>225.38810000000001</v>
      </c>
      <c r="LB8" s="3">
        <v>226.48230000000001</v>
      </c>
      <c r="LC8" s="3">
        <v>226.42689999999999</v>
      </c>
      <c r="LD8" s="3">
        <v>228.76390000000001</v>
      </c>
      <c r="LE8" s="3">
        <v>230.1088</v>
      </c>
      <c r="LF8" s="3">
        <v>231.2259</v>
      </c>
      <c r="LG8" t="s">
        <v>335</v>
      </c>
      <c r="LH8" t="b">
        <v>0</v>
      </c>
      <c r="LI8" t="s">
        <v>337</v>
      </c>
      <c r="LJ8">
        <v>2015</v>
      </c>
      <c r="LK8">
        <v>2024</v>
      </c>
      <c r="LL8">
        <v>2</v>
      </c>
      <c r="LM8" t="s">
        <v>337</v>
      </c>
      <c r="LN8" s="1" t="s">
        <v>421</v>
      </c>
      <c r="LO8" s="1" t="s">
        <v>422</v>
      </c>
      <c r="LP8" t="s">
        <v>340</v>
      </c>
      <c r="LQ8" t="s">
        <v>423</v>
      </c>
      <c r="LR8" s="1" t="s">
        <v>1043</v>
      </c>
    </row>
    <row r="9" spans="1:330" x14ac:dyDescent="0.25">
      <c r="A9" t="s">
        <v>330</v>
      </c>
      <c r="B9" t="s">
        <v>555</v>
      </c>
      <c r="C9" s="1" t="s">
        <v>1042</v>
      </c>
      <c r="D9" t="s">
        <v>332</v>
      </c>
      <c r="E9" t="s">
        <v>333</v>
      </c>
      <c r="F9" t="s">
        <v>334</v>
      </c>
      <c r="G9" s="2">
        <v>115848</v>
      </c>
      <c r="H9" s="2">
        <v>115094</v>
      </c>
      <c r="I9" s="2">
        <v>115937</v>
      </c>
      <c r="J9" s="2">
        <v>115026</v>
      </c>
      <c r="K9" s="2">
        <v>112943</v>
      </c>
      <c r="L9" s="2">
        <v>113533</v>
      </c>
      <c r="M9" s="2">
        <v>114621</v>
      </c>
      <c r="N9" s="2">
        <v>114910</v>
      </c>
      <c r="O9" s="2">
        <v>114521</v>
      </c>
      <c r="P9" s="2">
        <v>114760</v>
      </c>
      <c r="Q9" s="2">
        <v>113546</v>
      </c>
      <c r="R9" s="2">
        <v>112570</v>
      </c>
      <c r="S9" s="2">
        <v>113322</v>
      </c>
      <c r="T9" s="2">
        <v>114067</v>
      </c>
      <c r="U9" s="2">
        <v>115146</v>
      </c>
      <c r="V9" s="2">
        <v>115391</v>
      </c>
      <c r="W9" s="2">
        <v>113050</v>
      </c>
      <c r="X9" s="2">
        <v>112900</v>
      </c>
      <c r="Y9" s="2">
        <v>114293</v>
      </c>
      <c r="Z9" s="2">
        <v>116663</v>
      </c>
      <c r="AA9" s="2">
        <v>119499</v>
      </c>
      <c r="AB9" s="2">
        <v>119157</v>
      </c>
      <c r="AC9" s="2">
        <v>121858</v>
      </c>
      <c r="AD9" s="2">
        <v>121044</v>
      </c>
      <c r="AE9" s="2">
        <v>123178</v>
      </c>
      <c r="AF9" s="2">
        <v>130122</v>
      </c>
      <c r="AG9" s="2">
        <v>124691</v>
      </c>
      <c r="AH9" s="2">
        <v>126389</v>
      </c>
      <c r="AI9" s="2">
        <v>128541</v>
      </c>
      <c r="AJ9" s="2">
        <v>125194</v>
      </c>
      <c r="AK9" s="2">
        <v>126835</v>
      </c>
      <c r="AL9" s="2">
        <v>124422</v>
      </c>
      <c r="AM9" s="2">
        <v>126694</v>
      </c>
      <c r="AN9" s="2">
        <v>126635</v>
      </c>
      <c r="AO9" s="2">
        <v>126723</v>
      </c>
      <c r="AP9" s="2">
        <v>126374</v>
      </c>
      <c r="AQ9" s="2">
        <v>126800</v>
      </c>
      <c r="AR9" s="2">
        <v>126707</v>
      </c>
      <c r="AS9" s="2">
        <v>128840</v>
      </c>
      <c r="AT9" s="2">
        <v>129938</v>
      </c>
      <c r="AU9" s="2">
        <v>131895</v>
      </c>
      <c r="AV9" s="2">
        <v>132737</v>
      </c>
      <c r="AW9" s="2">
        <v>134897</v>
      </c>
      <c r="AX9" s="2">
        <v>134949</v>
      </c>
      <c r="AY9" s="2">
        <v>135773</v>
      </c>
      <c r="AZ9" s="2">
        <v>136860</v>
      </c>
      <c r="BA9" s="2">
        <v>136138</v>
      </c>
      <c r="BB9" s="2">
        <v>138708</v>
      </c>
      <c r="BC9" s="2">
        <v>141904</v>
      </c>
      <c r="BD9" s="2">
        <v>142653</v>
      </c>
      <c r="BE9" s="2">
        <v>144683</v>
      </c>
      <c r="BF9" s="2">
        <v>145821</v>
      </c>
      <c r="BG9" s="2">
        <v>149830</v>
      </c>
      <c r="BH9" s="2">
        <v>152193</v>
      </c>
      <c r="BI9" s="2">
        <v>153185</v>
      </c>
      <c r="BJ9" s="2">
        <v>153935</v>
      </c>
      <c r="BK9" s="2">
        <v>155770</v>
      </c>
      <c r="BL9" s="2">
        <v>158407</v>
      </c>
      <c r="BM9" s="2">
        <v>161697</v>
      </c>
      <c r="BN9" s="2">
        <v>165212</v>
      </c>
      <c r="BO9" s="2">
        <v>167485</v>
      </c>
      <c r="BP9" s="2">
        <v>169883</v>
      </c>
      <c r="BQ9" s="2">
        <v>173832</v>
      </c>
      <c r="BR9" s="2">
        <v>175394</v>
      </c>
      <c r="BS9" s="2">
        <v>176901</v>
      </c>
      <c r="BT9" s="2">
        <v>178428</v>
      </c>
      <c r="BU9" s="2">
        <v>178277</v>
      </c>
      <c r="BV9" s="2">
        <v>179012</v>
      </c>
      <c r="BW9" s="2">
        <v>180832</v>
      </c>
      <c r="BX9" s="2">
        <v>181430</v>
      </c>
      <c r="BY9" s="2">
        <v>180289</v>
      </c>
      <c r="BZ9" s="2">
        <v>180119</v>
      </c>
      <c r="CA9" s="2">
        <v>179890</v>
      </c>
      <c r="CB9" s="2">
        <v>178700</v>
      </c>
      <c r="CC9" s="2">
        <v>178893</v>
      </c>
      <c r="CD9" s="2">
        <v>178921</v>
      </c>
      <c r="CE9" s="2">
        <v>178429</v>
      </c>
      <c r="CF9" s="2">
        <v>180788</v>
      </c>
      <c r="CG9" s="2">
        <v>181852</v>
      </c>
      <c r="CH9" s="2">
        <v>182192</v>
      </c>
      <c r="CI9" s="2">
        <v>183675</v>
      </c>
      <c r="CJ9" s="2">
        <v>184042</v>
      </c>
      <c r="CK9" s="2">
        <v>187247</v>
      </c>
      <c r="CL9" s="2">
        <v>188701</v>
      </c>
      <c r="CM9" s="2">
        <v>190541</v>
      </c>
      <c r="CN9" s="2">
        <v>190875</v>
      </c>
      <c r="CO9" s="2">
        <v>192532</v>
      </c>
      <c r="CP9" s="2">
        <v>193881</v>
      </c>
      <c r="CQ9" s="2">
        <v>193944</v>
      </c>
      <c r="CR9" s="2">
        <v>195340</v>
      </c>
      <c r="CS9" s="2">
        <v>196170</v>
      </c>
      <c r="CT9" s="2">
        <v>198500</v>
      </c>
      <c r="CU9" s="2">
        <v>200470</v>
      </c>
      <c r="CV9" s="2">
        <v>202153</v>
      </c>
      <c r="CW9" s="2">
        <v>203928</v>
      </c>
      <c r="CX9" s="2">
        <v>206622</v>
      </c>
      <c r="CY9" s="2">
        <v>209529</v>
      </c>
      <c r="CZ9" s="2">
        <v>212013</v>
      </c>
      <c r="DA9" s="2">
        <v>214715</v>
      </c>
      <c r="DB9" s="2">
        <v>217084</v>
      </c>
      <c r="DC9" s="2">
        <v>218798</v>
      </c>
      <c r="DD9" s="2">
        <v>220955</v>
      </c>
      <c r="DE9" s="2">
        <v>224753</v>
      </c>
      <c r="DF9" s="2">
        <v>224748</v>
      </c>
      <c r="DG9" s="2">
        <v>227015</v>
      </c>
      <c r="DH9" s="2">
        <v>231313</v>
      </c>
      <c r="DI9" s="2">
        <v>233739</v>
      </c>
      <c r="DJ9" s="2">
        <v>235387</v>
      </c>
      <c r="DK9" s="2">
        <v>238774</v>
      </c>
      <c r="DL9" s="2">
        <v>241351</v>
      </c>
      <c r="DM9" s="2">
        <v>244248</v>
      </c>
      <c r="DN9" s="2">
        <v>246677</v>
      </c>
      <c r="DO9" s="2">
        <v>247061</v>
      </c>
      <c r="DP9" s="2">
        <v>248659</v>
      </c>
      <c r="DQ9" s="2">
        <v>252380</v>
      </c>
      <c r="DR9" s="2">
        <v>254436</v>
      </c>
      <c r="DS9" s="2">
        <v>254651</v>
      </c>
      <c r="DT9" s="2">
        <v>255669</v>
      </c>
      <c r="DU9" s="2">
        <v>258164</v>
      </c>
      <c r="DV9" s="2">
        <v>260499</v>
      </c>
      <c r="DW9" s="2">
        <v>262204</v>
      </c>
      <c r="DX9" s="2">
        <v>265387</v>
      </c>
      <c r="DY9" s="2">
        <v>267161</v>
      </c>
      <c r="DZ9" s="2">
        <v>268672</v>
      </c>
      <c r="EA9" s="2">
        <v>270161</v>
      </c>
      <c r="EB9" s="2">
        <v>272609</v>
      </c>
      <c r="EC9" s="2">
        <v>273932</v>
      </c>
      <c r="ED9" s="2">
        <v>276132</v>
      </c>
      <c r="EE9" s="2">
        <v>279030</v>
      </c>
      <c r="EF9" s="2">
        <v>278914</v>
      </c>
      <c r="EG9" s="2">
        <v>282162</v>
      </c>
      <c r="EH9" s="2">
        <v>283724</v>
      </c>
      <c r="EI9" s="2">
        <v>282222</v>
      </c>
      <c r="EJ9" s="2">
        <v>282292</v>
      </c>
      <c r="EK9" s="2">
        <v>284098</v>
      </c>
      <c r="EL9" s="2">
        <v>284633</v>
      </c>
      <c r="EM9" s="2">
        <v>287775</v>
      </c>
      <c r="EN9" s="2">
        <v>290946</v>
      </c>
      <c r="EO9" s="2">
        <v>296705</v>
      </c>
      <c r="EP9" s="2">
        <v>296380</v>
      </c>
      <c r="EQ9" s="2">
        <v>297826</v>
      </c>
      <c r="ER9" s="2">
        <v>293976</v>
      </c>
      <c r="ES9" s="2">
        <v>288865</v>
      </c>
      <c r="ET9" s="2">
        <v>281423</v>
      </c>
      <c r="EU9" s="2">
        <v>280177</v>
      </c>
      <c r="EV9" s="2">
        <v>279808</v>
      </c>
      <c r="EW9" s="2">
        <v>281090</v>
      </c>
      <c r="EX9" s="2">
        <v>283264</v>
      </c>
      <c r="EY9" s="2">
        <v>281913</v>
      </c>
      <c r="EZ9" s="2">
        <v>288944</v>
      </c>
      <c r="FA9" s="2">
        <v>289154</v>
      </c>
      <c r="FB9" s="2">
        <v>288797</v>
      </c>
      <c r="FC9" s="2">
        <v>286374</v>
      </c>
      <c r="FD9" s="2">
        <v>285213</v>
      </c>
      <c r="FE9" s="2">
        <v>286175</v>
      </c>
      <c r="FF9" s="2">
        <v>286843</v>
      </c>
      <c r="FG9" s="2">
        <v>286941</v>
      </c>
      <c r="FH9" s="2">
        <v>289044</v>
      </c>
      <c r="FI9" s="2">
        <v>292268</v>
      </c>
      <c r="FJ9" s="2">
        <v>296561</v>
      </c>
      <c r="FK9" s="2">
        <v>294987</v>
      </c>
      <c r="FL9" s="2">
        <v>298001</v>
      </c>
      <c r="FM9" s="2">
        <v>301680</v>
      </c>
      <c r="FN9" s="2">
        <v>303093</v>
      </c>
      <c r="FO9" s="2">
        <v>304099</v>
      </c>
      <c r="FP9" s="2">
        <v>305922</v>
      </c>
      <c r="FQ9" s="2">
        <v>310968</v>
      </c>
      <c r="FR9" s="2">
        <v>312961</v>
      </c>
      <c r="FS9" s="2">
        <v>314551</v>
      </c>
      <c r="FT9" s="2">
        <v>315885</v>
      </c>
      <c r="FU9" s="2">
        <v>319953</v>
      </c>
      <c r="FV9" s="2">
        <v>319170</v>
      </c>
      <c r="FW9" s="2">
        <v>326059</v>
      </c>
      <c r="FX9" s="2">
        <v>328832</v>
      </c>
      <c r="FY9" s="2">
        <v>331735</v>
      </c>
      <c r="FZ9" s="2">
        <v>331732</v>
      </c>
      <c r="GA9" s="2">
        <v>333975</v>
      </c>
      <c r="GB9" s="2">
        <v>333794</v>
      </c>
      <c r="GC9" s="2">
        <v>335915</v>
      </c>
      <c r="GD9" s="2">
        <v>337535</v>
      </c>
      <c r="GE9" s="2">
        <v>339497</v>
      </c>
      <c r="GF9" s="2">
        <v>338566</v>
      </c>
      <c r="GG9" s="2">
        <v>340965</v>
      </c>
      <c r="GH9" s="2">
        <v>344408</v>
      </c>
      <c r="GI9" s="2">
        <v>344046</v>
      </c>
      <c r="GJ9" s="2">
        <v>345335</v>
      </c>
      <c r="GK9" s="2">
        <v>345013</v>
      </c>
      <c r="GL9" s="2">
        <v>344255</v>
      </c>
      <c r="GM9" s="2">
        <v>334308</v>
      </c>
      <c r="GN9" s="2">
        <v>256744</v>
      </c>
      <c r="GO9" s="2">
        <v>307192</v>
      </c>
      <c r="GP9" s="2">
        <v>301652</v>
      </c>
      <c r="GQ9" s="2">
        <v>291628</v>
      </c>
      <c r="GR9" s="2">
        <v>325915</v>
      </c>
      <c r="GS9" s="2">
        <v>335438</v>
      </c>
      <c r="GT9" s="2">
        <v>336309</v>
      </c>
      <c r="GU9" s="2">
        <v>338499</v>
      </c>
      <c r="GV9" s="2">
        <v>339607</v>
      </c>
      <c r="GW9" s="2">
        <v>336390</v>
      </c>
      <c r="GX9" s="2">
        <v>336043</v>
      </c>
      <c r="GY9" s="2">
        <v>338991</v>
      </c>
      <c r="GZ9" s="2">
        <v>340193</v>
      </c>
      <c r="HA9" s="2">
        <v>337146</v>
      </c>
      <c r="HB9" s="2">
        <v>336957</v>
      </c>
      <c r="HC9" s="2">
        <v>338388</v>
      </c>
      <c r="HD9" s="2">
        <v>339057</v>
      </c>
      <c r="HE9" s="3">
        <v>340752.3</v>
      </c>
      <c r="HF9" s="3">
        <v>342667</v>
      </c>
      <c r="HG9" s="3">
        <v>344410.3</v>
      </c>
      <c r="HH9" s="3">
        <v>346252.5</v>
      </c>
      <c r="HI9" s="3">
        <v>348105</v>
      </c>
      <c r="HJ9" s="3">
        <v>350002.6</v>
      </c>
      <c r="HK9" s="3">
        <v>351857.3</v>
      </c>
      <c r="HL9" s="3">
        <v>353440.9</v>
      </c>
      <c r="HM9" s="3">
        <v>354836.9</v>
      </c>
      <c r="HN9" s="3">
        <v>356256.4</v>
      </c>
      <c r="HO9" s="3">
        <v>357681.3</v>
      </c>
      <c r="HP9" s="3">
        <v>359165.7</v>
      </c>
      <c r="HQ9" s="3">
        <v>360656</v>
      </c>
      <c r="HR9" s="3">
        <v>362225.2</v>
      </c>
      <c r="HS9" s="3">
        <v>363782.8</v>
      </c>
      <c r="HT9" s="3">
        <v>365347</v>
      </c>
      <c r="HU9" s="3">
        <v>366918</v>
      </c>
      <c r="HV9" s="3">
        <v>368495.8</v>
      </c>
      <c r="HW9" s="3">
        <v>370043.4</v>
      </c>
      <c r="HX9" s="3">
        <v>371486.6</v>
      </c>
      <c r="HY9" s="3">
        <v>372879.7</v>
      </c>
      <c r="HZ9" s="3">
        <v>374259.3</v>
      </c>
      <c r="IA9" s="3">
        <v>375616</v>
      </c>
      <c r="IB9" s="3">
        <v>376977.6</v>
      </c>
      <c r="IC9" s="3">
        <v>378353.6</v>
      </c>
      <c r="ID9" s="3">
        <v>379734.6</v>
      </c>
      <c r="IE9" s="3">
        <v>381139.6</v>
      </c>
      <c r="IF9" s="3">
        <v>382568.9</v>
      </c>
      <c r="IG9" s="3">
        <v>383984.4</v>
      </c>
      <c r="IH9" s="3">
        <v>385385.9</v>
      </c>
      <c r="II9" s="3">
        <v>386792.6</v>
      </c>
      <c r="IJ9" s="3">
        <v>388204.4</v>
      </c>
      <c r="IK9" s="3">
        <v>389601.9</v>
      </c>
      <c r="IL9" s="3">
        <v>390994.8</v>
      </c>
      <c r="IM9" s="3">
        <v>392487.7</v>
      </c>
      <c r="IN9" s="3">
        <v>393962.3</v>
      </c>
      <c r="IO9" s="3">
        <v>395401.1</v>
      </c>
      <c r="IP9" s="3">
        <v>396844.7</v>
      </c>
      <c r="IQ9" s="3">
        <v>398322.1</v>
      </c>
      <c r="IR9" s="3">
        <v>399806.5</v>
      </c>
      <c r="IS9" s="3">
        <v>401238.3</v>
      </c>
      <c r="IT9" s="3">
        <v>402680.3</v>
      </c>
      <c r="IU9" s="3">
        <v>404174.2</v>
      </c>
      <c r="IV9" s="3">
        <v>405673.8</v>
      </c>
      <c r="IW9" s="3">
        <v>407178.9</v>
      </c>
      <c r="IX9" s="3">
        <v>408689.4</v>
      </c>
      <c r="IY9" s="3">
        <v>410242.4</v>
      </c>
      <c r="IZ9" s="3">
        <v>411802.7</v>
      </c>
      <c r="JA9" s="3">
        <v>413370.4</v>
      </c>
      <c r="JB9" s="3">
        <v>414945.4</v>
      </c>
      <c r="JC9" s="3">
        <v>416527.8</v>
      </c>
      <c r="JD9" s="3">
        <v>418117.3</v>
      </c>
      <c r="JE9" s="3">
        <v>419714.3</v>
      </c>
      <c r="JF9" s="3">
        <v>421318.8</v>
      </c>
      <c r="JG9" s="3">
        <v>422967.3</v>
      </c>
      <c r="JH9" s="3">
        <v>424623.9</v>
      </c>
      <c r="JI9" s="3">
        <v>426288.7</v>
      </c>
      <c r="JJ9" s="3">
        <v>427962</v>
      </c>
      <c r="JK9" s="3">
        <v>429643.5</v>
      </c>
      <c r="JL9" s="3">
        <v>431333.5</v>
      </c>
      <c r="JM9" s="3">
        <v>433031.9</v>
      </c>
      <c r="JN9" s="3">
        <v>434747.5</v>
      </c>
      <c r="JO9" s="3">
        <v>436489</v>
      </c>
      <c r="JP9" s="3">
        <v>438235.9</v>
      </c>
      <c r="JQ9" s="3">
        <v>439988.1</v>
      </c>
      <c r="JR9" s="3">
        <v>441745.7</v>
      </c>
      <c r="JS9" s="3">
        <v>443466.9</v>
      </c>
      <c r="JT9" s="3">
        <v>445192.9</v>
      </c>
      <c r="JU9" s="3">
        <v>446923.6</v>
      </c>
      <c r="JV9" s="3">
        <v>448659</v>
      </c>
      <c r="JW9" s="3">
        <v>450399.2</v>
      </c>
      <c r="JX9" s="3">
        <v>452144.1</v>
      </c>
      <c r="JY9" s="3">
        <v>453893.8</v>
      </c>
      <c r="JZ9" s="3">
        <v>455648.2</v>
      </c>
      <c r="KA9" s="3">
        <v>457407.3</v>
      </c>
      <c r="KB9" s="3">
        <v>459171.1</v>
      </c>
      <c r="KC9" s="3">
        <v>460939.2</v>
      </c>
      <c r="KD9" s="3">
        <v>462711.6</v>
      </c>
      <c r="KE9" s="3">
        <v>464488.3</v>
      </c>
      <c r="KF9" s="3">
        <v>466269.4</v>
      </c>
      <c r="KG9" s="3">
        <v>468054.9</v>
      </c>
      <c r="KH9" s="3">
        <v>469844.8</v>
      </c>
      <c r="KI9" s="3">
        <v>471639</v>
      </c>
      <c r="KJ9" s="3">
        <v>473437.6</v>
      </c>
      <c r="KK9" s="3">
        <v>475240.6</v>
      </c>
      <c r="KL9" s="3">
        <v>477048</v>
      </c>
      <c r="KM9" s="3">
        <v>478859.9</v>
      </c>
      <c r="KN9" s="3">
        <v>480676.3</v>
      </c>
      <c r="KO9" s="3">
        <v>482497.1</v>
      </c>
      <c r="KP9" s="3">
        <v>484322.5</v>
      </c>
      <c r="KQ9" s="3">
        <v>486152.6</v>
      </c>
      <c r="KR9" s="3">
        <v>487987.1</v>
      </c>
      <c r="KS9" s="3">
        <v>489826.2</v>
      </c>
      <c r="KT9" s="3">
        <v>491670.2</v>
      </c>
      <c r="KU9" s="3">
        <v>493524.6</v>
      </c>
      <c r="KV9" s="3">
        <v>495383.9</v>
      </c>
      <c r="KW9" s="3">
        <v>497247.8</v>
      </c>
      <c r="KX9" s="3">
        <v>499116.5</v>
      </c>
      <c r="KY9" s="3">
        <v>500989.9</v>
      </c>
      <c r="KZ9" s="3">
        <v>502868.2</v>
      </c>
      <c r="LA9" s="3">
        <v>504751</v>
      </c>
      <c r="LB9" s="3">
        <v>506638.7</v>
      </c>
      <c r="LC9" s="3">
        <v>508530.8</v>
      </c>
      <c r="LD9" s="3">
        <v>510427.9</v>
      </c>
      <c r="LE9" s="3">
        <v>512329.5</v>
      </c>
      <c r="LF9" s="3">
        <v>514236</v>
      </c>
      <c r="LG9" t="s">
        <v>335</v>
      </c>
      <c r="LH9" t="b">
        <v>1</v>
      </c>
      <c r="LI9" s="1" t="s">
        <v>336</v>
      </c>
      <c r="LJ9" t="s">
        <v>337</v>
      </c>
      <c r="LK9">
        <v>2024</v>
      </c>
      <c r="LL9">
        <v>2</v>
      </c>
      <c r="LM9" t="s">
        <v>337</v>
      </c>
      <c r="LN9" t="s">
        <v>556</v>
      </c>
      <c r="LO9" s="1" t="s">
        <v>557</v>
      </c>
      <c r="LP9" t="s">
        <v>340</v>
      </c>
      <c r="LQ9" t="s">
        <v>554</v>
      </c>
      <c r="LR9" s="1" t="s">
        <v>1043</v>
      </c>
    </row>
    <row r="10" spans="1:330" x14ac:dyDescent="0.25">
      <c r="A10" t="s">
        <v>330</v>
      </c>
      <c r="B10" t="s">
        <v>560</v>
      </c>
      <c r="C10" s="1" t="s">
        <v>1042</v>
      </c>
      <c r="D10" t="s">
        <v>332</v>
      </c>
      <c r="E10" t="s">
        <v>333</v>
      </c>
      <c r="F10" t="s">
        <v>334</v>
      </c>
      <c r="G10" s="2">
        <v>46185</v>
      </c>
      <c r="H10" s="2">
        <v>44670</v>
      </c>
      <c r="I10" s="2">
        <v>43787</v>
      </c>
      <c r="J10" s="2">
        <v>43599</v>
      </c>
      <c r="K10" s="2">
        <v>43200</v>
      </c>
      <c r="L10" s="2">
        <v>40821</v>
      </c>
      <c r="M10" s="2">
        <v>40370</v>
      </c>
      <c r="N10" s="2">
        <v>40547</v>
      </c>
      <c r="O10" s="2">
        <v>39474</v>
      </c>
      <c r="P10" s="2">
        <v>39298</v>
      </c>
      <c r="Q10" s="2">
        <v>38711</v>
      </c>
      <c r="R10" s="2">
        <v>37594</v>
      </c>
      <c r="S10" s="2">
        <v>39478</v>
      </c>
      <c r="T10" s="2">
        <v>39111</v>
      </c>
      <c r="U10" s="2">
        <v>38639</v>
      </c>
      <c r="V10" s="2">
        <v>38902</v>
      </c>
      <c r="W10" s="2">
        <v>37909</v>
      </c>
      <c r="X10" s="2">
        <v>40017</v>
      </c>
      <c r="Y10" s="2">
        <v>39580</v>
      </c>
      <c r="Z10" s="2">
        <v>41043</v>
      </c>
      <c r="AA10" s="2">
        <v>42484</v>
      </c>
      <c r="AB10" s="2">
        <v>42562</v>
      </c>
      <c r="AC10" s="2">
        <v>42524</v>
      </c>
      <c r="AD10" s="2">
        <v>42661</v>
      </c>
      <c r="AE10" s="2">
        <v>44861</v>
      </c>
      <c r="AF10" s="2">
        <v>45888</v>
      </c>
      <c r="AG10" s="2">
        <v>46740</v>
      </c>
      <c r="AH10" s="2">
        <v>47391</v>
      </c>
      <c r="AI10" s="2">
        <v>45107</v>
      </c>
      <c r="AJ10" s="2">
        <v>43343</v>
      </c>
      <c r="AK10" s="2">
        <v>42572</v>
      </c>
      <c r="AL10" s="2">
        <v>41962</v>
      </c>
      <c r="AM10" s="2">
        <v>39641</v>
      </c>
      <c r="AN10" s="2">
        <v>40566</v>
      </c>
      <c r="AO10" s="2">
        <v>40902</v>
      </c>
      <c r="AP10" s="2">
        <v>40402</v>
      </c>
      <c r="AQ10" s="2">
        <v>40330</v>
      </c>
      <c r="AR10" s="2">
        <v>42173</v>
      </c>
      <c r="AS10" s="2">
        <v>43405</v>
      </c>
      <c r="AT10" s="2">
        <v>43883</v>
      </c>
      <c r="AU10" s="2">
        <v>45187</v>
      </c>
      <c r="AV10" s="2">
        <v>44649</v>
      </c>
      <c r="AW10" s="2">
        <v>45076</v>
      </c>
      <c r="AX10" s="2">
        <v>47172</v>
      </c>
      <c r="AY10" s="2">
        <v>48186</v>
      </c>
      <c r="AZ10" s="2">
        <v>48369</v>
      </c>
      <c r="BA10" s="2">
        <v>48441</v>
      </c>
      <c r="BB10" s="2">
        <v>48802</v>
      </c>
      <c r="BC10" s="2">
        <v>52467</v>
      </c>
      <c r="BD10" s="2">
        <v>48189</v>
      </c>
      <c r="BE10" s="2">
        <v>48605</v>
      </c>
      <c r="BF10" s="2">
        <v>48412</v>
      </c>
      <c r="BG10" s="2">
        <v>47891</v>
      </c>
      <c r="BH10" s="2">
        <v>46567</v>
      </c>
      <c r="BI10" s="2">
        <v>49172</v>
      </c>
      <c r="BJ10" s="2">
        <v>51554</v>
      </c>
      <c r="BK10" s="2">
        <v>50260</v>
      </c>
      <c r="BL10" s="2">
        <v>52682</v>
      </c>
      <c r="BM10" s="2">
        <v>57537</v>
      </c>
      <c r="BN10" s="2">
        <v>58922</v>
      </c>
      <c r="BO10" s="2">
        <v>61847</v>
      </c>
      <c r="BP10" s="2">
        <v>63501</v>
      </c>
      <c r="BQ10" s="2">
        <v>64054</v>
      </c>
      <c r="BR10" s="2">
        <v>63988</v>
      </c>
      <c r="BS10" s="2">
        <v>67398</v>
      </c>
      <c r="BT10" s="2">
        <v>66073</v>
      </c>
      <c r="BU10" s="2">
        <v>66800</v>
      </c>
      <c r="BV10" s="2">
        <v>65488</v>
      </c>
      <c r="BW10" s="2">
        <v>65910</v>
      </c>
      <c r="BX10" s="2">
        <v>64970</v>
      </c>
      <c r="BY10" s="2">
        <v>64376</v>
      </c>
      <c r="BZ10" s="2">
        <v>63661</v>
      </c>
      <c r="CA10" s="2">
        <v>60760</v>
      </c>
      <c r="CB10" s="2">
        <v>59854</v>
      </c>
      <c r="CC10" s="2">
        <v>58765</v>
      </c>
      <c r="CD10" s="2">
        <v>58977</v>
      </c>
      <c r="CE10" s="2">
        <v>59135</v>
      </c>
      <c r="CF10" s="2">
        <v>58782</v>
      </c>
      <c r="CG10" s="2">
        <v>59011</v>
      </c>
      <c r="CH10" s="2">
        <v>57591</v>
      </c>
      <c r="CI10" s="2">
        <v>58981</v>
      </c>
      <c r="CJ10" s="2">
        <v>58653</v>
      </c>
      <c r="CK10" s="2">
        <v>58726</v>
      </c>
      <c r="CL10" s="2">
        <v>59953</v>
      </c>
      <c r="CM10" s="2">
        <v>60675</v>
      </c>
      <c r="CN10" s="2">
        <v>59457</v>
      </c>
      <c r="CO10" s="2">
        <v>59857</v>
      </c>
      <c r="CP10" s="2">
        <v>60187</v>
      </c>
      <c r="CQ10" s="2">
        <v>59389</v>
      </c>
      <c r="CR10" s="2">
        <v>59495</v>
      </c>
      <c r="CS10" s="2">
        <v>59910</v>
      </c>
      <c r="CT10" s="2">
        <v>60200</v>
      </c>
      <c r="CU10" s="2">
        <v>61748</v>
      </c>
      <c r="CV10" s="2">
        <v>63839</v>
      </c>
      <c r="CW10" s="2">
        <v>63348</v>
      </c>
      <c r="CX10" s="2">
        <v>61211</v>
      </c>
      <c r="CY10" s="2">
        <v>59050</v>
      </c>
      <c r="CZ10" s="2">
        <v>59674</v>
      </c>
      <c r="DA10" s="2">
        <v>63121</v>
      </c>
      <c r="DB10" s="2">
        <v>64613</v>
      </c>
      <c r="DC10" s="2">
        <v>65130</v>
      </c>
      <c r="DD10" s="2">
        <v>65092</v>
      </c>
      <c r="DE10" s="2">
        <v>64537</v>
      </c>
      <c r="DF10" s="2">
        <v>65884</v>
      </c>
      <c r="DG10" s="2">
        <v>65850</v>
      </c>
      <c r="DH10" s="2">
        <v>65923</v>
      </c>
      <c r="DI10" s="2">
        <v>66985</v>
      </c>
      <c r="DJ10" s="2">
        <v>66375</v>
      </c>
      <c r="DK10" s="2">
        <v>69114</v>
      </c>
      <c r="DL10" s="2">
        <v>73074</v>
      </c>
      <c r="DM10" s="2">
        <v>68011</v>
      </c>
      <c r="DN10" s="2">
        <v>70115</v>
      </c>
      <c r="DO10" s="2">
        <v>70186</v>
      </c>
      <c r="DP10" s="2">
        <v>72760</v>
      </c>
      <c r="DQ10" s="2">
        <v>72699</v>
      </c>
      <c r="DR10" s="2">
        <v>70239</v>
      </c>
      <c r="DS10" s="2">
        <v>70130</v>
      </c>
      <c r="DT10" s="2">
        <v>70128</v>
      </c>
      <c r="DU10" s="2">
        <v>73834</v>
      </c>
      <c r="DV10" s="2">
        <v>77492</v>
      </c>
      <c r="DW10" s="2">
        <v>77778</v>
      </c>
      <c r="DX10" s="2">
        <v>72951</v>
      </c>
      <c r="DY10" s="2">
        <v>74012</v>
      </c>
      <c r="DZ10" s="2">
        <v>74176</v>
      </c>
      <c r="EA10" s="2">
        <v>76337</v>
      </c>
      <c r="EB10" s="2">
        <v>75848</v>
      </c>
      <c r="EC10" s="2">
        <v>77191</v>
      </c>
      <c r="ED10" s="2">
        <v>77494</v>
      </c>
      <c r="EE10" s="2">
        <v>78969</v>
      </c>
      <c r="EF10" s="2">
        <v>80832</v>
      </c>
      <c r="EG10" s="2">
        <v>80052</v>
      </c>
      <c r="EH10" s="2">
        <v>79646</v>
      </c>
      <c r="EI10" s="2">
        <v>80595</v>
      </c>
      <c r="EJ10" s="2">
        <v>80940</v>
      </c>
      <c r="EK10" s="2">
        <v>83735</v>
      </c>
      <c r="EL10" s="2">
        <v>83427</v>
      </c>
      <c r="EM10" s="2">
        <v>84438</v>
      </c>
      <c r="EN10" s="2">
        <v>86522</v>
      </c>
      <c r="EO10" s="2">
        <v>83075</v>
      </c>
      <c r="EP10" s="2">
        <v>88993</v>
      </c>
      <c r="EQ10" s="2">
        <v>84847</v>
      </c>
      <c r="ER10" s="2">
        <v>85799</v>
      </c>
      <c r="ES10" s="2">
        <v>81323</v>
      </c>
      <c r="ET10" s="2">
        <v>79978</v>
      </c>
      <c r="EU10" s="2">
        <v>75261</v>
      </c>
      <c r="EV10" s="2">
        <v>72063</v>
      </c>
      <c r="EW10" s="2">
        <v>72551</v>
      </c>
      <c r="EX10" s="2">
        <v>71335</v>
      </c>
      <c r="EY10" s="2">
        <v>75138</v>
      </c>
      <c r="EZ10" s="2">
        <v>74022</v>
      </c>
      <c r="FA10" s="2">
        <v>76899</v>
      </c>
      <c r="FB10" s="2">
        <v>78973</v>
      </c>
      <c r="FC10" s="2">
        <v>75922</v>
      </c>
      <c r="FD10" s="2">
        <v>75107</v>
      </c>
      <c r="FE10" s="2">
        <v>76824</v>
      </c>
      <c r="FF10" s="2">
        <v>77501</v>
      </c>
      <c r="FG10" s="2">
        <v>78655</v>
      </c>
      <c r="FH10" s="2">
        <v>76645</v>
      </c>
      <c r="FI10" s="2">
        <v>75936</v>
      </c>
      <c r="FJ10" s="2">
        <v>78986</v>
      </c>
      <c r="FK10" s="2">
        <v>76695</v>
      </c>
      <c r="FL10" s="2">
        <v>79896</v>
      </c>
      <c r="FM10" s="2">
        <v>81862</v>
      </c>
      <c r="FN10" s="2">
        <v>81850</v>
      </c>
      <c r="FO10" s="2">
        <v>84610</v>
      </c>
      <c r="FP10" s="2">
        <v>84341</v>
      </c>
      <c r="FQ10" s="2">
        <v>85844</v>
      </c>
      <c r="FR10" s="2">
        <v>88045</v>
      </c>
      <c r="FS10" s="2">
        <v>91127</v>
      </c>
      <c r="FT10" s="2">
        <v>91529</v>
      </c>
      <c r="FU10" s="2">
        <v>90849</v>
      </c>
      <c r="FV10" s="2">
        <v>93835</v>
      </c>
      <c r="FW10" s="2">
        <v>94838</v>
      </c>
      <c r="FX10" s="2">
        <v>95631</v>
      </c>
      <c r="FY10" s="2">
        <v>98329</v>
      </c>
      <c r="FZ10" s="2">
        <v>97427</v>
      </c>
      <c r="GA10" s="2">
        <v>99077</v>
      </c>
      <c r="GB10" s="2">
        <v>100304</v>
      </c>
      <c r="GC10" s="2">
        <v>99419</v>
      </c>
      <c r="GD10" s="2">
        <v>100952</v>
      </c>
      <c r="GE10" s="2">
        <v>100378</v>
      </c>
      <c r="GF10" s="2">
        <v>99211</v>
      </c>
      <c r="GG10" s="2">
        <v>99191</v>
      </c>
      <c r="GH10" s="2">
        <v>99058</v>
      </c>
      <c r="GI10" s="2">
        <v>102105</v>
      </c>
      <c r="GJ10" s="2">
        <v>101275</v>
      </c>
      <c r="GK10" s="2">
        <v>102100</v>
      </c>
      <c r="GL10" s="2">
        <v>100943</v>
      </c>
      <c r="GM10" s="2">
        <v>97191</v>
      </c>
      <c r="GN10" s="2">
        <v>78563</v>
      </c>
      <c r="GO10" s="2">
        <v>90756</v>
      </c>
      <c r="GP10" s="2">
        <v>96147</v>
      </c>
      <c r="GQ10" s="2">
        <v>93777</v>
      </c>
      <c r="GR10" s="2">
        <v>98872</v>
      </c>
      <c r="GS10" s="2">
        <v>98233</v>
      </c>
      <c r="GT10" s="2">
        <v>98770</v>
      </c>
      <c r="GU10" s="2">
        <v>103833</v>
      </c>
      <c r="GV10" s="2">
        <v>104294</v>
      </c>
      <c r="GW10" s="2">
        <v>106086</v>
      </c>
      <c r="GX10" s="2">
        <v>106689</v>
      </c>
      <c r="GY10" s="2">
        <v>108986</v>
      </c>
      <c r="GZ10" s="2">
        <v>107707</v>
      </c>
      <c r="HA10" s="2">
        <v>106244</v>
      </c>
      <c r="HB10" s="2">
        <v>107170</v>
      </c>
      <c r="HC10" s="2">
        <v>108142</v>
      </c>
      <c r="HD10" s="2">
        <v>108571</v>
      </c>
      <c r="HE10" s="3">
        <v>107258</v>
      </c>
      <c r="HF10" s="3">
        <v>107554.1</v>
      </c>
      <c r="HG10" s="3">
        <v>107959.6</v>
      </c>
      <c r="HH10" s="3">
        <v>108500.4</v>
      </c>
      <c r="HI10" s="3">
        <v>109119.1</v>
      </c>
      <c r="HJ10" s="3">
        <v>109766.39999999999</v>
      </c>
      <c r="HK10" s="3">
        <v>110480.8</v>
      </c>
      <c r="HL10" s="3">
        <v>111254.5</v>
      </c>
      <c r="HM10" s="3">
        <v>111920.9</v>
      </c>
      <c r="HN10" s="3">
        <v>112553.8</v>
      </c>
      <c r="HO10" s="3">
        <v>113122</v>
      </c>
      <c r="HP10" s="3">
        <v>113663</v>
      </c>
      <c r="HQ10" s="3">
        <v>114179.8</v>
      </c>
      <c r="HR10" s="3">
        <v>114682.8</v>
      </c>
      <c r="HS10" s="3">
        <v>115160.3</v>
      </c>
      <c r="HT10" s="3">
        <v>115622.1</v>
      </c>
      <c r="HU10" s="3">
        <v>116076.7</v>
      </c>
      <c r="HV10" s="3">
        <v>116523.9</v>
      </c>
      <c r="HW10" s="3">
        <v>116962.6</v>
      </c>
      <c r="HX10" s="3">
        <v>117475.3</v>
      </c>
      <c r="HY10" s="3">
        <v>118011.2</v>
      </c>
      <c r="HZ10" s="3">
        <v>118582.5</v>
      </c>
      <c r="IA10" s="3">
        <v>119196.4</v>
      </c>
      <c r="IB10" s="3">
        <v>119821.8</v>
      </c>
      <c r="IC10" s="3">
        <v>120454.8</v>
      </c>
      <c r="ID10" s="3">
        <v>121091.3</v>
      </c>
      <c r="IE10" s="3">
        <v>121731.2</v>
      </c>
      <c r="IF10" s="3">
        <v>122374.7</v>
      </c>
      <c r="IG10" s="3">
        <v>123021.7</v>
      </c>
      <c r="IH10" s="3">
        <v>123672.3</v>
      </c>
      <c r="II10" s="3">
        <v>124326.39999999999</v>
      </c>
      <c r="IJ10" s="3">
        <v>124984.1</v>
      </c>
      <c r="IK10" s="3">
        <v>125645.5</v>
      </c>
      <c r="IL10" s="3">
        <v>126309.7</v>
      </c>
      <c r="IM10" s="3">
        <v>127011</v>
      </c>
      <c r="IN10" s="3">
        <v>127708.4</v>
      </c>
      <c r="IO10" s="3">
        <v>128396.5</v>
      </c>
      <c r="IP10" s="3">
        <v>129088.2</v>
      </c>
      <c r="IQ10" s="3">
        <v>129793.1</v>
      </c>
      <c r="IR10" s="3">
        <v>130502.5</v>
      </c>
      <c r="IS10" s="3">
        <v>131196.9</v>
      </c>
      <c r="IT10" s="3">
        <v>131896.9</v>
      </c>
      <c r="IU10" s="3">
        <v>132616</v>
      </c>
      <c r="IV10" s="3">
        <v>133339.20000000001</v>
      </c>
      <c r="IW10" s="3">
        <v>134066.5</v>
      </c>
      <c r="IX10" s="3">
        <v>134797.79999999999</v>
      </c>
      <c r="IY10" s="3">
        <v>135545.4</v>
      </c>
      <c r="IZ10" s="3">
        <v>136297.79999999999</v>
      </c>
      <c r="JA10" s="3">
        <v>137055</v>
      </c>
      <c r="JB10" s="3">
        <v>137817</v>
      </c>
      <c r="JC10" s="3">
        <v>138583.79999999999</v>
      </c>
      <c r="JD10" s="3">
        <v>139355.4</v>
      </c>
      <c r="JE10" s="3">
        <v>140132</v>
      </c>
      <c r="JF10" s="3">
        <v>140913.4</v>
      </c>
      <c r="JG10" s="3">
        <v>141712.1</v>
      </c>
      <c r="JH10" s="3">
        <v>142515.9</v>
      </c>
      <c r="JI10" s="3">
        <v>143325.1</v>
      </c>
      <c r="JJ10" s="3">
        <v>144139.70000000001</v>
      </c>
      <c r="JK10" s="3">
        <v>144959.6</v>
      </c>
      <c r="JL10" s="3">
        <v>145785</v>
      </c>
      <c r="JM10" s="3">
        <v>146615.79999999999</v>
      </c>
      <c r="JN10" s="3">
        <v>147452.1</v>
      </c>
      <c r="JO10" s="3">
        <v>148204</v>
      </c>
      <c r="JP10" s="3">
        <v>148959.29999999999</v>
      </c>
      <c r="JQ10" s="3">
        <v>149717.79999999999</v>
      </c>
      <c r="JR10" s="3">
        <v>150479.70000000001</v>
      </c>
      <c r="JS10" s="3">
        <v>151230.79999999999</v>
      </c>
      <c r="JT10" s="3">
        <v>151985</v>
      </c>
      <c r="JU10" s="3">
        <v>152742.29999999999</v>
      </c>
      <c r="JV10" s="3">
        <v>153502.79999999999</v>
      </c>
      <c r="JW10" s="3">
        <v>154266.5</v>
      </c>
      <c r="JX10" s="3">
        <v>155033.29999999999</v>
      </c>
      <c r="JY10" s="3">
        <v>155803.29999999999</v>
      </c>
      <c r="JZ10" s="3">
        <v>156576.5</v>
      </c>
      <c r="KA10" s="3">
        <v>157348</v>
      </c>
      <c r="KB10" s="3">
        <v>158122.70000000001</v>
      </c>
      <c r="KC10" s="3">
        <v>158900.29999999999</v>
      </c>
      <c r="KD10" s="3">
        <v>159681</v>
      </c>
      <c r="KE10" s="3">
        <v>160464.70000000001</v>
      </c>
      <c r="KF10" s="3">
        <v>161251.5</v>
      </c>
      <c r="KG10" s="3">
        <v>162041.29999999999</v>
      </c>
      <c r="KH10" s="3">
        <v>162834.20000000001</v>
      </c>
      <c r="KI10" s="3">
        <v>163630.1</v>
      </c>
      <c r="KJ10" s="3">
        <v>164429.20000000001</v>
      </c>
      <c r="KK10" s="3">
        <v>165231.4</v>
      </c>
      <c r="KL10" s="3">
        <v>166036.6</v>
      </c>
      <c r="KM10" s="3">
        <v>166845</v>
      </c>
      <c r="KN10" s="3">
        <v>167656.6</v>
      </c>
      <c r="KO10" s="3">
        <v>168471.3</v>
      </c>
      <c r="KP10" s="3">
        <v>169289.2</v>
      </c>
      <c r="KQ10" s="3">
        <v>170110.3</v>
      </c>
      <c r="KR10" s="3">
        <v>170934.6</v>
      </c>
      <c r="KS10" s="3">
        <v>171762.2</v>
      </c>
      <c r="KT10" s="3">
        <v>172593.1</v>
      </c>
      <c r="KU10" s="3">
        <v>173427.20000000001</v>
      </c>
      <c r="KV10" s="3">
        <v>174264.7</v>
      </c>
      <c r="KW10" s="3">
        <v>175105.4</v>
      </c>
      <c r="KX10" s="3">
        <v>175949.5</v>
      </c>
      <c r="KY10" s="3">
        <v>176796.9</v>
      </c>
      <c r="KZ10" s="3">
        <v>177647.5</v>
      </c>
      <c r="LA10" s="3">
        <v>178501.6</v>
      </c>
      <c r="LB10" s="3">
        <v>179359</v>
      </c>
      <c r="LC10" s="3">
        <v>180219.7</v>
      </c>
      <c r="LD10" s="3">
        <v>181083.7</v>
      </c>
      <c r="LE10" s="3">
        <v>181951.1</v>
      </c>
      <c r="LF10" s="3">
        <v>182821.8</v>
      </c>
      <c r="LG10" t="s">
        <v>335</v>
      </c>
      <c r="LH10" t="b">
        <v>1</v>
      </c>
      <c r="LI10" s="1" t="s">
        <v>336</v>
      </c>
      <c r="LJ10" t="s">
        <v>337</v>
      </c>
      <c r="LK10">
        <v>2024</v>
      </c>
      <c r="LL10">
        <v>2</v>
      </c>
      <c r="LM10" t="s">
        <v>337</v>
      </c>
      <c r="LN10" t="s">
        <v>561</v>
      </c>
      <c r="LO10" s="1" t="s">
        <v>562</v>
      </c>
      <c r="LP10" t="s">
        <v>340</v>
      </c>
      <c r="LQ10" t="s">
        <v>563</v>
      </c>
      <c r="LR10" s="1" t="s">
        <v>1043</v>
      </c>
    </row>
    <row r="11" spans="1:330" x14ac:dyDescent="0.25">
      <c r="A11" t="s">
        <v>330</v>
      </c>
      <c r="B11" t="s">
        <v>564</v>
      </c>
      <c r="C11" s="1" t="s">
        <v>1042</v>
      </c>
      <c r="D11" t="s">
        <v>332</v>
      </c>
      <c r="E11" t="s">
        <v>333</v>
      </c>
      <c r="F11" t="s">
        <v>334</v>
      </c>
      <c r="G11" s="2">
        <v>50480</v>
      </c>
      <c r="H11" s="2">
        <v>50860</v>
      </c>
      <c r="I11" s="2">
        <v>51322</v>
      </c>
      <c r="J11" s="2">
        <v>51388</v>
      </c>
      <c r="K11" s="2">
        <v>50687</v>
      </c>
      <c r="L11" s="2">
        <v>51644</v>
      </c>
      <c r="M11" s="2">
        <v>52227</v>
      </c>
      <c r="N11" s="2">
        <v>52945</v>
      </c>
      <c r="O11" s="2">
        <v>55074</v>
      </c>
      <c r="P11" s="2">
        <v>54366</v>
      </c>
      <c r="Q11" s="2">
        <v>54512</v>
      </c>
      <c r="R11" s="2">
        <v>55622</v>
      </c>
      <c r="S11" s="2">
        <v>55635</v>
      </c>
      <c r="T11" s="2">
        <v>56110</v>
      </c>
      <c r="U11" s="2">
        <v>55859</v>
      </c>
      <c r="V11" s="2">
        <v>55364</v>
      </c>
      <c r="W11" s="2">
        <v>54823</v>
      </c>
      <c r="X11" s="2">
        <v>55220</v>
      </c>
      <c r="Y11" s="2">
        <v>55107</v>
      </c>
      <c r="Z11" s="2">
        <v>54985</v>
      </c>
      <c r="AA11" s="2">
        <v>55571</v>
      </c>
      <c r="AB11" s="2">
        <v>55652</v>
      </c>
      <c r="AC11" s="2">
        <v>56187</v>
      </c>
      <c r="AD11" s="2">
        <v>56429</v>
      </c>
      <c r="AE11" s="2">
        <v>56201</v>
      </c>
      <c r="AF11" s="2">
        <v>57314</v>
      </c>
      <c r="AG11" s="2">
        <v>56734</v>
      </c>
      <c r="AH11" s="2">
        <v>57018</v>
      </c>
      <c r="AI11" s="2">
        <v>57351</v>
      </c>
      <c r="AJ11" s="2">
        <v>56854</v>
      </c>
      <c r="AK11" s="2">
        <v>57743</v>
      </c>
      <c r="AL11" s="2">
        <v>57933</v>
      </c>
      <c r="AM11" s="2">
        <v>57275</v>
      </c>
      <c r="AN11" s="2">
        <v>57786</v>
      </c>
      <c r="AO11" s="2">
        <v>57861</v>
      </c>
      <c r="AP11" s="2">
        <v>56741</v>
      </c>
      <c r="AQ11" s="2">
        <v>57564</v>
      </c>
      <c r="AR11" s="2">
        <v>57650</v>
      </c>
      <c r="AS11" s="2">
        <v>57749</v>
      </c>
      <c r="AT11" s="2">
        <v>58123</v>
      </c>
      <c r="AU11" s="2">
        <v>57949</v>
      </c>
      <c r="AV11" s="2">
        <v>58968</v>
      </c>
      <c r="AW11" s="2">
        <v>58679</v>
      </c>
      <c r="AX11" s="2">
        <v>59104</v>
      </c>
      <c r="AY11" s="2">
        <v>59530</v>
      </c>
      <c r="AZ11" s="2">
        <v>58960</v>
      </c>
      <c r="BA11" s="2">
        <v>59399</v>
      </c>
      <c r="BB11" s="2">
        <v>59609</v>
      </c>
      <c r="BC11" s="2">
        <v>60270</v>
      </c>
      <c r="BD11" s="2">
        <v>58284</v>
      </c>
      <c r="BE11" s="2">
        <v>59059</v>
      </c>
      <c r="BF11" s="2">
        <v>59175</v>
      </c>
      <c r="BG11" s="2">
        <v>60639</v>
      </c>
      <c r="BH11" s="2">
        <v>60280</v>
      </c>
      <c r="BI11" s="2">
        <v>59758</v>
      </c>
      <c r="BJ11" s="2">
        <v>59777</v>
      </c>
      <c r="BK11" s="2">
        <v>59542</v>
      </c>
      <c r="BL11" s="2">
        <v>60473</v>
      </c>
      <c r="BM11" s="2">
        <v>60248</v>
      </c>
      <c r="BN11" s="2">
        <v>60075</v>
      </c>
      <c r="BO11" s="2">
        <v>60296</v>
      </c>
      <c r="BP11" s="2">
        <v>60208</v>
      </c>
      <c r="BQ11" s="2">
        <v>59687</v>
      </c>
      <c r="BR11" s="2">
        <v>60530</v>
      </c>
      <c r="BS11" s="2">
        <v>60084</v>
      </c>
      <c r="BT11" s="2">
        <v>60355</v>
      </c>
      <c r="BU11" s="2">
        <v>61294</v>
      </c>
      <c r="BV11" s="2">
        <v>61014</v>
      </c>
      <c r="BW11" s="2">
        <v>61555</v>
      </c>
      <c r="BX11" s="2">
        <v>61782</v>
      </c>
      <c r="BY11" s="2">
        <v>62278</v>
      </c>
      <c r="BZ11" s="2">
        <v>62827</v>
      </c>
      <c r="CA11" s="2">
        <v>62996</v>
      </c>
      <c r="CB11" s="2">
        <v>64605</v>
      </c>
      <c r="CC11" s="2">
        <v>64119</v>
      </c>
      <c r="CD11" s="2">
        <v>64009</v>
      </c>
      <c r="CE11" s="2">
        <v>64266</v>
      </c>
      <c r="CF11" s="2">
        <v>64522</v>
      </c>
      <c r="CG11" s="2">
        <v>64510</v>
      </c>
      <c r="CH11" s="2">
        <v>64806</v>
      </c>
      <c r="CI11" s="2">
        <v>64235</v>
      </c>
      <c r="CJ11" s="2">
        <v>63699</v>
      </c>
      <c r="CK11" s="2">
        <v>64437</v>
      </c>
      <c r="CL11" s="2">
        <v>64382</v>
      </c>
      <c r="CM11" s="2">
        <v>64297</v>
      </c>
      <c r="CN11" s="2">
        <v>65276</v>
      </c>
      <c r="CO11" s="2">
        <v>65234</v>
      </c>
      <c r="CP11" s="2">
        <v>65005</v>
      </c>
      <c r="CQ11" s="2">
        <v>65683</v>
      </c>
      <c r="CR11" s="2">
        <v>65932</v>
      </c>
      <c r="CS11" s="2">
        <v>65770</v>
      </c>
      <c r="CT11" s="2">
        <v>66052</v>
      </c>
      <c r="CU11" s="2">
        <v>66423</v>
      </c>
      <c r="CV11" s="2">
        <v>65943</v>
      </c>
      <c r="CW11" s="2">
        <v>66355</v>
      </c>
      <c r="CX11" s="2">
        <v>66554</v>
      </c>
      <c r="CY11" s="2">
        <v>65866</v>
      </c>
      <c r="CZ11" s="2">
        <v>64880</v>
      </c>
      <c r="DA11" s="2">
        <v>65802</v>
      </c>
      <c r="DB11" s="2">
        <v>67132</v>
      </c>
      <c r="DC11" s="2">
        <v>67729</v>
      </c>
      <c r="DD11" s="2">
        <v>67892</v>
      </c>
      <c r="DE11" s="2">
        <v>68542</v>
      </c>
      <c r="DF11" s="2">
        <v>68605</v>
      </c>
      <c r="DG11" s="2">
        <v>68446</v>
      </c>
      <c r="DH11" s="2">
        <v>70748</v>
      </c>
      <c r="DI11" s="2">
        <v>71647</v>
      </c>
      <c r="DJ11" s="2">
        <v>71724</v>
      </c>
      <c r="DK11" s="2">
        <v>71135</v>
      </c>
      <c r="DL11" s="2">
        <v>73461</v>
      </c>
      <c r="DM11" s="2">
        <v>74048</v>
      </c>
      <c r="DN11" s="2">
        <v>73902</v>
      </c>
      <c r="DO11" s="2">
        <v>76237</v>
      </c>
      <c r="DP11" s="2">
        <v>75005</v>
      </c>
      <c r="DQ11" s="2">
        <v>76950</v>
      </c>
      <c r="DR11" s="2">
        <v>78478</v>
      </c>
      <c r="DS11" s="2">
        <v>78182</v>
      </c>
      <c r="DT11" s="2">
        <v>79508</v>
      </c>
      <c r="DU11" s="2">
        <v>80631</v>
      </c>
      <c r="DV11" s="2">
        <v>80726</v>
      </c>
      <c r="DW11" s="2">
        <v>81559</v>
      </c>
      <c r="DX11" s="2">
        <v>82704</v>
      </c>
      <c r="DY11" s="2">
        <v>83793</v>
      </c>
      <c r="DZ11" s="2">
        <v>85348</v>
      </c>
      <c r="EA11" s="2">
        <v>85615</v>
      </c>
      <c r="EB11" s="2">
        <v>86593</v>
      </c>
      <c r="EC11" s="2">
        <v>87065</v>
      </c>
      <c r="ED11" s="2">
        <v>87908</v>
      </c>
      <c r="EE11" s="2">
        <v>87543</v>
      </c>
      <c r="EF11" s="2">
        <v>88907</v>
      </c>
      <c r="EG11" s="2">
        <v>89272</v>
      </c>
      <c r="EH11" s="2">
        <v>89771</v>
      </c>
      <c r="EI11" s="2">
        <v>90598</v>
      </c>
      <c r="EJ11" s="2">
        <v>90130</v>
      </c>
      <c r="EK11" s="2">
        <v>91164</v>
      </c>
      <c r="EL11" s="2">
        <v>91286</v>
      </c>
      <c r="EM11" s="2">
        <v>91933</v>
      </c>
      <c r="EN11" s="2">
        <v>91848</v>
      </c>
      <c r="EO11" s="2">
        <v>92672</v>
      </c>
      <c r="EP11" s="2">
        <v>91879</v>
      </c>
      <c r="EQ11" s="2">
        <v>93323</v>
      </c>
      <c r="ER11" s="2">
        <v>92738</v>
      </c>
      <c r="ES11" s="2">
        <v>94397</v>
      </c>
      <c r="ET11" s="2">
        <v>95402</v>
      </c>
      <c r="EU11" s="2">
        <v>94802</v>
      </c>
      <c r="EV11" s="2">
        <v>94564</v>
      </c>
      <c r="EW11" s="2">
        <v>95362</v>
      </c>
      <c r="EX11" s="2">
        <v>96110</v>
      </c>
      <c r="EY11" s="2">
        <v>94805</v>
      </c>
      <c r="EZ11" s="2">
        <v>95123</v>
      </c>
      <c r="FA11" s="2">
        <v>95137</v>
      </c>
      <c r="FB11" s="2">
        <v>95696</v>
      </c>
      <c r="FC11" s="2">
        <v>96262</v>
      </c>
      <c r="FD11" s="2">
        <v>94581</v>
      </c>
      <c r="FE11" s="2">
        <v>94423</v>
      </c>
      <c r="FF11" s="2">
        <v>95249</v>
      </c>
      <c r="FG11" s="2">
        <v>98228</v>
      </c>
      <c r="FH11" s="2">
        <v>94967</v>
      </c>
      <c r="FI11" s="2">
        <v>95861</v>
      </c>
      <c r="FJ11" s="2">
        <v>97132</v>
      </c>
      <c r="FK11" s="2">
        <v>95904</v>
      </c>
      <c r="FL11" s="2">
        <v>96483</v>
      </c>
      <c r="FM11" s="2">
        <v>96425</v>
      </c>
      <c r="FN11" s="2">
        <v>98238</v>
      </c>
      <c r="FO11" s="2">
        <v>98813</v>
      </c>
      <c r="FP11" s="2">
        <v>99424</v>
      </c>
      <c r="FQ11" s="2">
        <v>99523</v>
      </c>
      <c r="FR11" s="2">
        <v>99309</v>
      </c>
      <c r="FS11" s="2">
        <v>99538</v>
      </c>
      <c r="FT11" s="2">
        <v>100405</v>
      </c>
      <c r="FU11" s="2">
        <v>101277</v>
      </c>
      <c r="FV11" s="2">
        <v>100928</v>
      </c>
      <c r="FW11" s="2">
        <v>101150</v>
      </c>
      <c r="FX11" s="2">
        <v>101277</v>
      </c>
      <c r="FY11" s="2">
        <v>101465</v>
      </c>
      <c r="FZ11" s="2">
        <v>101092</v>
      </c>
      <c r="GA11" s="2">
        <v>101335</v>
      </c>
      <c r="GB11" s="2">
        <v>101859</v>
      </c>
      <c r="GC11" s="2">
        <v>102258</v>
      </c>
      <c r="GD11" s="2">
        <v>102180</v>
      </c>
      <c r="GE11" s="2">
        <v>101885</v>
      </c>
      <c r="GF11" s="2">
        <v>101964</v>
      </c>
      <c r="GG11" s="2">
        <v>102537</v>
      </c>
      <c r="GH11" s="2">
        <v>103785</v>
      </c>
      <c r="GI11" s="2">
        <v>105264</v>
      </c>
      <c r="GJ11" s="2">
        <v>107139</v>
      </c>
      <c r="GK11" s="2">
        <v>106851</v>
      </c>
      <c r="GL11" s="2">
        <v>107338</v>
      </c>
      <c r="GM11" s="2">
        <v>103574</v>
      </c>
      <c r="GN11" s="2">
        <v>84624</v>
      </c>
      <c r="GO11" s="2">
        <v>99934</v>
      </c>
      <c r="GP11" s="2">
        <v>104835</v>
      </c>
      <c r="GQ11" s="2">
        <v>105864</v>
      </c>
      <c r="GR11" s="2">
        <v>114096</v>
      </c>
      <c r="GS11" s="2">
        <v>115146</v>
      </c>
      <c r="GT11" s="2">
        <v>116404</v>
      </c>
      <c r="GU11" s="2">
        <v>117600</v>
      </c>
      <c r="GV11" s="2">
        <v>114550</v>
      </c>
      <c r="GW11" s="2">
        <v>115094</v>
      </c>
      <c r="GX11" s="2">
        <v>114440</v>
      </c>
      <c r="GY11" s="2">
        <v>113488</v>
      </c>
      <c r="GZ11" s="2">
        <v>116016</v>
      </c>
      <c r="HA11" s="2">
        <v>117255</v>
      </c>
      <c r="HB11" s="2">
        <v>117343</v>
      </c>
      <c r="HC11" s="2">
        <v>117324</v>
      </c>
      <c r="HD11" s="2">
        <v>119020</v>
      </c>
      <c r="HE11" s="3">
        <v>119582.3</v>
      </c>
      <c r="HF11" s="3">
        <v>120644.3</v>
      </c>
      <c r="HG11" s="3">
        <v>121696</v>
      </c>
      <c r="HH11" s="3">
        <v>122247.5</v>
      </c>
      <c r="HI11" s="3">
        <v>122695.2</v>
      </c>
      <c r="HJ11" s="3">
        <v>123149.5</v>
      </c>
      <c r="HK11" s="3">
        <v>123620.1</v>
      </c>
      <c r="HL11" s="3">
        <v>124133.4</v>
      </c>
      <c r="HM11" s="3">
        <v>124600.2</v>
      </c>
      <c r="HN11" s="3">
        <v>125075.2</v>
      </c>
      <c r="HO11" s="3">
        <v>125558.1</v>
      </c>
      <c r="HP11" s="3">
        <v>126023.6</v>
      </c>
      <c r="HQ11" s="3">
        <v>126502.8</v>
      </c>
      <c r="HR11" s="3">
        <v>127005.3</v>
      </c>
      <c r="HS11" s="3">
        <v>127530.8</v>
      </c>
      <c r="HT11" s="3">
        <v>128104.2</v>
      </c>
      <c r="HU11" s="3">
        <v>128591.3</v>
      </c>
      <c r="HV11" s="3">
        <v>129102.1</v>
      </c>
      <c r="HW11" s="3">
        <v>129636.4</v>
      </c>
      <c r="HX11" s="3">
        <v>130154.9</v>
      </c>
      <c r="HY11" s="3">
        <v>130662.5</v>
      </c>
      <c r="HZ11" s="3">
        <v>131159.1</v>
      </c>
      <c r="IA11" s="3">
        <v>131631.20000000001</v>
      </c>
      <c r="IB11" s="3">
        <v>132105.1</v>
      </c>
      <c r="IC11" s="3">
        <v>132567.5</v>
      </c>
      <c r="ID11" s="3">
        <v>133031.5</v>
      </c>
      <c r="IE11" s="3">
        <v>133510.39999999999</v>
      </c>
      <c r="IF11" s="3">
        <v>133991</v>
      </c>
      <c r="IG11" s="3">
        <v>134473.4</v>
      </c>
      <c r="IH11" s="3">
        <v>134957.5</v>
      </c>
      <c r="II11" s="3">
        <v>135443.29999999999</v>
      </c>
      <c r="IJ11" s="3">
        <v>135930.9</v>
      </c>
      <c r="IK11" s="3">
        <v>136420.29999999999</v>
      </c>
      <c r="IL11" s="3">
        <v>136911.4</v>
      </c>
      <c r="IM11" s="3">
        <v>137432.79999999999</v>
      </c>
      <c r="IN11" s="3">
        <v>137947.79999999999</v>
      </c>
      <c r="IO11" s="3">
        <v>138450.20000000001</v>
      </c>
      <c r="IP11" s="3">
        <v>138954.29999999999</v>
      </c>
      <c r="IQ11" s="3">
        <v>139470.20000000001</v>
      </c>
      <c r="IR11" s="3">
        <v>139988.5</v>
      </c>
      <c r="IS11" s="3">
        <v>140488.5</v>
      </c>
      <c r="IT11" s="3">
        <v>140992</v>
      </c>
      <c r="IU11" s="3">
        <v>141513.60000000001</v>
      </c>
      <c r="IV11" s="3">
        <v>142037.29999999999</v>
      </c>
      <c r="IW11" s="3">
        <v>142562.79999999999</v>
      </c>
      <c r="IX11" s="3">
        <v>143090.29999999999</v>
      </c>
      <c r="IY11" s="3">
        <v>143632.6</v>
      </c>
      <c r="IZ11" s="3">
        <v>144177.4</v>
      </c>
      <c r="JA11" s="3">
        <v>144724.9</v>
      </c>
      <c r="JB11" s="3">
        <v>145274.79999999999</v>
      </c>
      <c r="JC11" s="3">
        <v>145827.4</v>
      </c>
      <c r="JD11" s="3">
        <v>146382.39999999999</v>
      </c>
      <c r="JE11" s="3">
        <v>146940.1</v>
      </c>
      <c r="JF11" s="3">
        <v>147500.29999999999</v>
      </c>
      <c r="JG11" s="3">
        <v>148076</v>
      </c>
      <c r="JH11" s="3">
        <v>148654.39999999999</v>
      </c>
      <c r="JI11" s="3">
        <v>149235.79999999999</v>
      </c>
      <c r="JJ11" s="3">
        <v>149820.1</v>
      </c>
      <c r="JK11" s="3">
        <v>150407.20000000001</v>
      </c>
      <c r="JL11" s="3">
        <v>150997.29999999999</v>
      </c>
      <c r="JM11" s="3">
        <v>151590.39999999999</v>
      </c>
      <c r="JN11" s="3">
        <v>152195.5</v>
      </c>
      <c r="JO11" s="3">
        <v>152811.29999999999</v>
      </c>
      <c r="JP11" s="3">
        <v>153429</v>
      </c>
      <c r="JQ11" s="3">
        <v>154048.6</v>
      </c>
      <c r="JR11" s="3">
        <v>154670.1</v>
      </c>
      <c r="JS11" s="3">
        <v>155278.9</v>
      </c>
      <c r="JT11" s="3">
        <v>155889.5</v>
      </c>
      <c r="JU11" s="3">
        <v>156501.70000000001</v>
      </c>
      <c r="JV11" s="3">
        <v>157115.70000000001</v>
      </c>
      <c r="JW11" s="3">
        <v>157731.4</v>
      </c>
      <c r="JX11" s="3">
        <v>158348.79999999999</v>
      </c>
      <c r="JY11" s="3">
        <v>158967.9</v>
      </c>
      <c r="JZ11" s="3">
        <v>159588.70000000001</v>
      </c>
      <c r="KA11" s="3">
        <v>160211.20000000001</v>
      </c>
      <c r="KB11" s="3">
        <v>160835.4</v>
      </c>
      <c r="KC11" s="3">
        <v>161461.1</v>
      </c>
      <c r="KD11" s="3">
        <v>162088.4</v>
      </c>
      <c r="KE11" s="3">
        <v>162717.29999999999</v>
      </c>
      <c r="KF11" s="3">
        <v>163347.79999999999</v>
      </c>
      <c r="KG11" s="3">
        <v>163979.79999999999</v>
      </c>
      <c r="KH11" s="3">
        <v>164613.4</v>
      </c>
      <c r="KI11" s="3">
        <v>165248.6</v>
      </c>
      <c r="KJ11" s="3">
        <v>165885.4</v>
      </c>
      <c r="KK11" s="3">
        <v>166523.79999999999</v>
      </c>
      <c r="KL11" s="3">
        <v>167163.79999999999</v>
      </c>
      <c r="KM11" s="3">
        <v>167805.4</v>
      </c>
      <c r="KN11" s="3">
        <v>168448.6</v>
      </c>
      <c r="KO11" s="3">
        <v>169093.4</v>
      </c>
      <c r="KP11" s="3">
        <v>169739.9</v>
      </c>
      <c r="KQ11" s="3">
        <v>170388.1</v>
      </c>
      <c r="KR11" s="3">
        <v>171037.9</v>
      </c>
      <c r="KS11" s="3">
        <v>171689.3</v>
      </c>
      <c r="KT11" s="3">
        <v>172342.5</v>
      </c>
      <c r="KU11" s="3">
        <v>172997.4</v>
      </c>
      <c r="KV11" s="3">
        <v>173653.9</v>
      </c>
      <c r="KW11" s="3">
        <v>174312.2</v>
      </c>
      <c r="KX11" s="3">
        <v>174972.2</v>
      </c>
      <c r="KY11" s="3">
        <v>175633.8</v>
      </c>
      <c r="KZ11" s="3">
        <v>176297.2</v>
      </c>
      <c r="LA11" s="3">
        <v>176962.2</v>
      </c>
      <c r="LB11" s="3">
        <v>177629</v>
      </c>
      <c r="LC11" s="3">
        <v>178297.3</v>
      </c>
      <c r="LD11" s="3">
        <v>178967.5</v>
      </c>
      <c r="LE11" s="3">
        <v>179639.3</v>
      </c>
      <c r="LF11" s="3">
        <v>180312.7</v>
      </c>
      <c r="LG11" t="s">
        <v>335</v>
      </c>
      <c r="LH11" t="b">
        <v>1</v>
      </c>
      <c r="LI11" s="1" t="s">
        <v>336</v>
      </c>
      <c r="LJ11" t="s">
        <v>337</v>
      </c>
      <c r="LK11">
        <v>2024</v>
      </c>
      <c r="LL11">
        <v>2</v>
      </c>
      <c r="LM11" t="s">
        <v>337</v>
      </c>
      <c r="LN11" t="s">
        <v>565</v>
      </c>
      <c r="LO11" s="1" t="s">
        <v>566</v>
      </c>
      <c r="LP11" t="s">
        <v>340</v>
      </c>
      <c r="LQ11" t="s">
        <v>567</v>
      </c>
      <c r="LR11" s="1" t="s">
        <v>1043</v>
      </c>
    </row>
    <row r="12" spans="1:330" x14ac:dyDescent="0.25">
      <c r="A12" t="s">
        <v>330</v>
      </c>
      <c r="B12" t="s">
        <v>568</v>
      </c>
      <c r="C12" s="1" t="s">
        <v>1042</v>
      </c>
      <c r="D12" t="s">
        <v>332</v>
      </c>
      <c r="E12" t="s">
        <v>333</v>
      </c>
      <c r="F12" t="s">
        <v>334</v>
      </c>
      <c r="G12" s="2">
        <v>30686</v>
      </c>
      <c r="H12" s="2">
        <v>31399</v>
      </c>
      <c r="I12" s="2">
        <v>32184</v>
      </c>
      <c r="J12" s="2">
        <v>32433</v>
      </c>
      <c r="K12" s="2">
        <v>33233</v>
      </c>
      <c r="L12" s="2">
        <v>34288</v>
      </c>
      <c r="M12" s="2">
        <v>34536</v>
      </c>
      <c r="N12" s="2">
        <v>33838</v>
      </c>
      <c r="O12" s="2">
        <v>33589</v>
      </c>
      <c r="P12" s="2">
        <v>32264</v>
      </c>
      <c r="Q12" s="2">
        <v>32206</v>
      </c>
      <c r="R12" s="2">
        <v>33821</v>
      </c>
      <c r="S12" s="2">
        <v>34455</v>
      </c>
      <c r="T12" s="2">
        <v>35754</v>
      </c>
      <c r="U12" s="2">
        <v>36029</v>
      </c>
      <c r="V12" s="2">
        <v>37296</v>
      </c>
      <c r="W12" s="2">
        <v>37327</v>
      </c>
      <c r="X12" s="2">
        <v>38143</v>
      </c>
      <c r="Y12" s="2">
        <v>39518</v>
      </c>
      <c r="Z12" s="2">
        <v>38015</v>
      </c>
      <c r="AA12" s="2">
        <v>38326</v>
      </c>
      <c r="AB12" s="2">
        <v>38992</v>
      </c>
      <c r="AC12" s="2">
        <v>39138</v>
      </c>
      <c r="AD12" s="2">
        <v>39072</v>
      </c>
      <c r="AE12" s="2">
        <v>36084</v>
      </c>
      <c r="AF12" s="2">
        <v>42558</v>
      </c>
      <c r="AG12" s="2">
        <v>41059</v>
      </c>
      <c r="AH12" s="2">
        <v>41365</v>
      </c>
      <c r="AI12" s="2">
        <v>41929</v>
      </c>
      <c r="AJ12" s="2">
        <v>40209</v>
      </c>
      <c r="AK12" s="2">
        <v>39182</v>
      </c>
      <c r="AL12" s="2">
        <v>38915</v>
      </c>
      <c r="AM12" s="2">
        <v>38608</v>
      </c>
      <c r="AN12" s="2">
        <v>39083</v>
      </c>
      <c r="AO12" s="2">
        <v>40887</v>
      </c>
      <c r="AP12" s="2">
        <v>40688</v>
      </c>
      <c r="AQ12" s="2">
        <v>39770</v>
      </c>
      <c r="AR12" s="2">
        <v>40610</v>
      </c>
      <c r="AS12" s="2">
        <v>39781</v>
      </c>
      <c r="AT12" s="2">
        <v>40486</v>
      </c>
      <c r="AU12" s="2">
        <v>40357</v>
      </c>
      <c r="AV12" s="2">
        <v>40310</v>
      </c>
      <c r="AW12" s="2">
        <v>41098</v>
      </c>
      <c r="AX12" s="2">
        <v>41726</v>
      </c>
      <c r="AY12" s="2">
        <v>42687</v>
      </c>
      <c r="AZ12" s="2">
        <v>42588</v>
      </c>
      <c r="BA12" s="2">
        <v>43887</v>
      </c>
      <c r="BB12" s="2">
        <v>44853</v>
      </c>
      <c r="BC12" s="2">
        <v>45257</v>
      </c>
      <c r="BD12" s="2">
        <v>46990</v>
      </c>
      <c r="BE12" s="2">
        <v>45662</v>
      </c>
      <c r="BF12" s="2">
        <v>45944</v>
      </c>
      <c r="BG12" s="2">
        <v>46937</v>
      </c>
      <c r="BH12" s="2">
        <v>47610</v>
      </c>
      <c r="BI12" s="2">
        <v>47659</v>
      </c>
      <c r="BJ12" s="2">
        <v>48954</v>
      </c>
      <c r="BK12" s="2">
        <v>50280</v>
      </c>
      <c r="BL12" s="2">
        <v>49855</v>
      </c>
      <c r="BM12" s="2">
        <v>51694</v>
      </c>
      <c r="BN12" s="2">
        <v>51486</v>
      </c>
      <c r="BO12" s="2">
        <v>50622</v>
      </c>
      <c r="BP12" s="2">
        <v>51653</v>
      </c>
      <c r="BQ12" s="2">
        <v>51954</v>
      </c>
      <c r="BR12" s="2">
        <v>50899</v>
      </c>
      <c r="BS12" s="2">
        <v>53240</v>
      </c>
      <c r="BT12" s="2">
        <v>52396</v>
      </c>
      <c r="BU12" s="2">
        <v>53714</v>
      </c>
      <c r="BV12" s="2">
        <v>55182</v>
      </c>
      <c r="BW12" s="2">
        <v>56416</v>
      </c>
      <c r="BX12" s="2">
        <v>56289</v>
      </c>
      <c r="BY12" s="2">
        <v>56222</v>
      </c>
      <c r="BZ12" s="2">
        <v>56686</v>
      </c>
      <c r="CA12" s="2">
        <v>54536</v>
      </c>
      <c r="CB12" s="2">
        <v>56343</v>
      </c>
      <c r="CC12" s="2">
        <v>57213</v>
      </c>
      <c r="CD12" s="2">
        <v>57043</v>
      </c>
      <c r="CE12" s="2">
        <v>57660</v>
      </c>
      <c r="CF12" s="2">
        <v>59079</v>
      </c>
      <c r="CG12" s="2">
        <v>57901</v>
      </c>
      <c r="CH12" s="2">
        <v>60214</v>
      </c>
      <c r="CI12" s="2">
        <v>60915</v>
      </c>
      <c r="CJ12" s="2">
        <v>60080</v>
      </c>
      <c r="CK12" s="2">
        <v>61130</v>
      </c>
      <c r="CL12" s="2">
        <v>62819</v>
      </c>
      <c r="CM12" s="2">
        <v>65157</v>
      </c>
      <c r="CN12" s="2">
        <v>65365</v>
      </c>
      <c r="CO12" s="2">
        <v>67296</v>
      </c>
      <c r="CP12" s="2">
        <v>69024</v>
      </c>
      <c r="CQ12" s="2">
        <v>71986</v>
      </c>
      <c r="CR12" s="2">
        <v>71050</v>
      </c>
      <c r="CS12" s="2">
        <v>73412</v>
      </c>
      <c r="CT12" s="2">
        <v>74435</v>
      </c>
      <c r="CU12" s="2">
        <v>76029</v>
      </c>
      <c r="CV12" s="2">
        <v>77203</v>
      </c>
      <c r="CW12" s="2">
        <v>78137</v>
      </c>
      <c r="CX12" s="2">
        <v>80171</v>
      </c>
      <c r="CY12" s="2">
        <v>86171</v>
      </c>
      <c r="CZ12" s="2">
        <v>87379</v>
      </c>
      <c r="DA12" s="2">
        <v>86676</v>
      </c>
      <c r="DB12" s="2">
        <v>89670</v>
      </c>
      <c r="DC12" s="2">
        <v>90218</v>
      </c>
      <c r="DD12" s="2">
        <v>90333</v>
      </c>
      <c r="DE12" s="2">
        <v>90072</v>
      </c>
      <c r="DF12" s="2">
        <v>89829</v>
      </c>
      <c r="DG12" s="2">
        <v>89971</v>
      </c>
      <c r="DH12" s="2">
        <v>90148</v>
      </c>
      <c r="DI12" s="2">
        <v>95644</v>
      </c>
      <c r="DJ12" s="2">
        <v>97292</v>
      </c>
      <c r="DK12" s="2">
        <v>98919</v>
      </c>
      <c r="DL12" s="2">
        <v>102268</v>
      </c>
      <c r="DM12" s="2">
        <v>102853</v>
      </c>
      <c r="DN12" s="2">
        <v>105418</v>
      </c>
      <c r="DO12" s="2">
        <v>109673</v>
      </c>
      <c r="DP12" s="2">
        <v>105073</v>
      </c>
      <c r="DQ12" s="2">
        <v>102715</v>
      </c>
      <c r="DR12" s="2">
        <v>103824</v>
      </c>
      <c r="DS12" s="2">
        <v>105311</v>
      </c>
      <c r="DT12" s="2">
        <v>108384</v>
      </c>
      <c r="DU12" s="2">
        <v>107584</v>
      </c>
      <c r="DV12" s="2">
        <v>103885</v>
      </c>
      <c r="DW12" s="2">
        <v>108814</v>
      </c>
      <c r="DX12" s="2">
        <v>106872</v>
      </c>
      <c r="DY12" s="2">
        <v>106922</v>
      </c>
      <c r="DZ12" s="2">
        <v>109813</v>
      </c>
      <c r="EA12" s="2">
        <v>110683</v>
      </c>
      <c r="EB12" s="2">
        <v>112338</v>
      </c>
      <c r="EC12" s="2">
        <v>113785</v>
      </c>
      <c r="ED12" s="2">
        <v>117399</v>
      </c>
      <c r="EE12" s="2">
        <v>115115</v>
      </c>
      <c r="EF12" s="2">
        <v>121928</v>
      </c>
      <c r="EG12" s="2">
        <v>123317</v>
      </c>
      <c r="EH12" s="2">
        <v>128163</v>
      </c>
      <c r="EI12" s="2">
        <v>143233</v>
      </c>
      <c r="EJ12" s="2">
        <v>147708</v>
      </c>
      <c r="EK12" s="2">
        <v>130234</v>
      </c>
      <c r="EL12" s="2">
        <v>129493</v>
      </c>
      <c r="EM12" s="2">
        <v>130611</v>
      </c>
      <c r="EN12" s="2">
        <v>135331</v>
      </c>
      <c r="EO12" s="2">
        <v>135736</v>
      </c>
      <c r="EP12" s="2">
        <v>140367</v>
      </c>
      <c r="EQ12" s="2">
        <v>140286</v>
      </c>
      <c r="ER12" s="2">
        <v>140305</v>
      </c>
      <c r="ES12" s="2">
        <v>140846</v>
      </c>
      <c r="ET12" s="2">
        <v>135424</v>
      </c>
      <c r="EU12" s="2">
        <v>126723</v>
      </c>
      <c r="EV12" s="2">
        <v>125420</v>
      </c>
      <c r="EW12" s="2">
        <v>124828</v>
      </c>
      <c r="EX12" s="2">
        <v>130663</v>
      </c>
      <c r="EY12" s="2">
        <v>130582</v>
      </c>
      <c r="EZ12" s="2">
        <v>134894</v>
      </c>
      <c r="FA12" s="2">
        <v>136309</v>
      </c>
      <c r="FB12" s="2">
        <v>139076</v>
      </c>
      <c r="FC12" s="2">
        <v>144795</v>
      </c>
      <c r="FD12" s="2">
        <v>142702</v>
      </c>
      <c r="FE12" s="2">
        <v>144333</v>
      </c>
      <c r="FF12" s="2">
        <v>146503</v>
      </c>
      <c r="FG12" s="2">
        <v>150065</v>
      </c>
      <c r="FH12" s="2">
        <v>143027</v>
      </c>
      <c r="FI12" s="2">
        <v>146623</v>
      </c>
      <c r="FJ12" s="2">
        <v>143014</v>
      </c>
      <c r="FK12" s="2">
        <v>146117</v>
      </c>
      <c r="FL12" s="2">
        <v>147523</v>
      </c>
      <c r="FM12" s="2">
        <v>147032</v>
      </c>
      <c r="FN12" s="2">
        <v>143715</v>
      </c>
      <c r="FO12" s="2">
        <v>144647</v>
      </c>
      <c r="FP12" s="2">
        <v>146835</v>
      </c>
      <c r="FQ12" s="2">
        <v>147275</v>
      </c>
      <c r="FR12" s="2">
        <v>151503</v>
      </c>
      <c r="FS12" s="2">
        <v>150951</v>
      </c>
      <c r="FT12" s="2">
        <v>155701</v>
      </c>
      <c r="FU12" s="2">
        <v>150776</v>
      </c>
      <c r="FV12" s="2">
        <v>155105</v>
      </c>
      <c r="FW12" s="2">
        <v>154525</v>
      </c>
      <c r="FX12" s="2">
        <v>159183</v>
      </c>
      <c r="FY12" s="2">
        <v>154845</v>
      </c>
      <c r="FZ12" s="2">
        <v>160974</v>
      </c>
      <c r="GA12" s="2">
        <v>163631</v>
      </c>
      <c r="GB12" s="2">
        <v>168016</v>
      </c>
      <c r="GC12" s="2">
        <v>172089</v>
      </c>
      <c r="GD12" s="2">
        <v>168382</v>
      </c>
      <c r="GE12" s="2">
        <v>171698</v>
      </c>
      <c r="GF12" s="2">
        <v>172688</v>
      </c>
      <c r="GG12" s="2">
        <v>174981</v>
      </c>
      <c r="GH12" s="2">
        <v>173493</v>
      </c>
      <c r="GI12" s="2">
        <v>171534</v>
      </c>
      <c r="GJ12" s="2">
        <v>169396</v>
      </c>
      <c r="GK12" s="2">
        <v>179408</v>
      </c>
      <c r="GL12" s="2">
        <v>186358</v>
      </c>
      <c r="GM12" s="2">
        <v>170317</v>
      </c>
      <c r="GN12" s="2">
        <v>148831</v>
      </c>
      <c r="GO12" s="2">
        <v>148901</v>
      </c>
      <c r="GP12" s="2">
        <v>157591</v>
      </c>
      <c r="GQ12" s="2">
        <v>154707</v>
      </c>
      <c r="GR12" s="2">
        <v>166787</v>
      </c>
      <c r="GS12" s="2">
        <v>159497</v>
      </c>
      <c r="GT12" s="2">
        <v>175563</v>
      </c>
      <c r="GU12" s="2">
        <v>162165</v>
      </c>
      <c r="GV12" s="2">
        <v>171586</v>
      </c>
      <c r="GW12" s="2">
        <v>190525</v>
      </c>
      <c r="GX12" s="2">
        <v>191173</v>
      </c>
      <c r="GY12" s="2">
        <v>178739</v>
      </c>
      <c r="GZ12" s="2">
        <v>178292</v>
      </c>
      <c r="HA12" s="2">
        <v>178081</v>
      </c>
      <c r="HB12" s="2">
        <v>176673</v>
      </c>
      <c r="HC12" s="2">
        <v>174931</v>
      </c>
      <c r="HD12" s="2">
        <v>176254</v>
      </c>
      <c r="HE12" s="3">
        <v>177283.6</v>
      </c>
      <c r="HF12" s="3">
        <v>177903</v>
      </c>
      <c r="HG12" s="3">
        <v>178822.1</v>
      </c>
      <c r="HH12" s="3">
        <v>179789.7</v>
      </c>
      <c r="HI12" s="3">
        <v>180739.3</v>
      </c>
      <c r="HJ12" s="3">
        <v>181662.4</v>
      </c>
      <c r="HK12" s="3">
        <v>182649.9</v>
      </c>
      <c r="HL12" s="3">
        <v>183549.3</v>
      </c>
      <c r="HM12" s="3">
        <v>184375.1</v>
      </c>
      <c r="HN12" s="3">
        <v>185149.5</v>
      </c>
      <c r="HO12" s="3">
        <v>185928.1</v>
      </c>
      <c r="HP12" s="3">
        <v>186706.5</v>
      </c>
      <c r="HQ12" s="3">
        <v>187489.1</v>
      </c>
      <c r="HR12" s="3">
        <v>188275.4</v>
      </c>
      <c r="HS12" s="3">
        <v>189062.9</v>
      </c>
      <c r="HT12" s="3">
        <v>189850.4</v>
      </c>
      <c r="HU12" s="3">
        <v>190641.7</v>
      </c>
      <c r="HV12" s="3">
        <v>191444.6</v>
      </c>
      <c r="HW12" s="3">
        <v>192266.8</v>
      </c>
      <c r="HX12" s="3">
        <v>193093</v>
      </c>
      <c r="HY12" s="3">
        <v>193931.1</v>
      </c>
      <c r="HZ12" s="3">
        <v>194781.1</v>
      </c>
      <c r="IA12" s="3">
        <v>195643.3</v>
      </c>
      <c r="IB12" s="3">
        <v>196525.4</v>
      </c>
      <c r="IC12" s="3">
        <v>197412</v>
      </c>
      <c r="ID12" s="3">
        <v>198319</v>
      </c>
      <c r="IE12" s="3">
        <v>199230.8</v>
      </c>
      <c r="IF12" s="3">
        <v>200163.20000000001</v>
      </c>
      <c r="IG12" s="3">
        <v>201108.5</v>
      </c>
      <c r="IH12" s="3">
        <v>202066.8</v>
      </c>
      <c r="II12" s="3">
        <v>203030.3</v>
      </c>
      <c r="IJ12" s="3">
        <v>204006.9</v>
      </c>
      <c r="IK12" s="3">
        <v>204988.79999999999</v>
      </c>
      <c r="IL12" s="3">
        <v>205976</v>
      </c>
      <c r="IM12" s="3">
        <v>206931.3</v>
      </c>
      <c r="IN12" s="3">
        <v>207879.1</v>
      </c>
      <c r="IO12" s="3">
        <v>208810.6</v>
      </c>
      <c r="IP12" s="3">
        <v>209746.5</v>
      </c>
      <c r="IQ12" s="3">
        <v>210701.6</v>
      </c>
      <c r="IR12" s="3">
        <v>211662.3</v>
      </c>
      <c r="IS12" s="3">
        <v>212597.9</v>
      </c>
      <c r="IT12" s="3">
        <v>213540.6</v>
      </c>
      <c r="IU12" s="3">
        <v>214512.2</v>
      </c>
      <c r="IV12" s="3">
        <v>215488.7</v>
      </c>
      <c r="IW12" s="3">
        <v>216470.1</v>
      </c>
      <c r="IX12" s="3">
        <v>217456.2</v>
      </c>
      <c r="IY12" s="3">
        <v>218466.5</v>
      </c>
      <c r="IZ12" s="3">
        <v>219482.8</v>
      </c>
      <c r="JA12" s="3">
        <v>220504.8</v>
      </c>
      <c r="JB12" s="3">
        <v>221532.79999999999</v>
      </c>
      <c r="JC12" s="3">
        <v>222566.8</v>
      </c>
      <c r="JD12" s="3">
        <v>223606.6</v>
      </c>
      <c r="JE12" s="3">
        <v>224652.5</v>
      </c>
      <c r="JF12" s="3">
        <v>225704.4</v>
      </c>
      <c r="JG12" s="3">
        <v>226781.5</v>
      </c>
      <c r="JH12" s="3">
        <v>227865</v>
      </c>
      <c r="JI12" s="3">
        <v>228955.1</v>
      </c>
      <c r="JJ12" s="3">
        <v>230051.9</v>
      </c>
      <c r="JK12" s="3">
        <v>231155.20000000001</v>
      </c>
      <c r="JL12" s="3">
        <v>232265.3</v>
      </c>
      <c r="JM12" s="3">
        <v>233382.1</v>
      </c>
      <c r="JN12" s="3">
        <v>234505.60000000001</v>
      </c>
      <c r="JO12" s="3">
        <v>235635.9</v>
      </c>
      <c r="JP12" s="3">
        <v>236801.6</v>
      </c>
      <c r="JQ12" s="3">
        <v>237972.7</v>
      </c>
      <c r="JR12" s="3">
        <v>239149</v>
      </c>
      <c r="JS12" s="3">
        <v>240308.7</v>
      </c>
      <c r="JT12" s="3">
        <v>241473.3</v>
      </c>
      <c r="JU12" s="3">
        <v>242643</v>
      </c>
      <c r="JV12" s="3">
        <v>243817.7</v>
      </c>
      <c r="JW12" s="3">
        <v>244997.3</v>
      </c>
      <c r="JX12" s="3">
        <v>246182.2</v>
      </c>
      <c r="JY12" s="3">
        <v>247372</v>
      </c>
      <c r="JZ12" s="3">
        <v>248566.9</v>
      </c>
      <c r="KA12" s="3">
        <v>249767</v>
      </c>
      <c r="KB12" s="3">
        <v>250971.9</v>
      </c>
      <c r="KC12" s="3">
        <v>252181.8</v>
      </c>
      <c r="KD12" s="3">
        <v>253396.6</v>
      </c>
      <c r="KE12" s="3">
        <v>254616.4</v>
      </c>
      <c r="KF12" s="3">
        <v>255841.1</v>
      </c>
      <c r="KG12" s="3">
        <v>257070.8</v>
      </c>
      <c r="KH12" s="3">
        <v>258305.4</v>
      </c>
      <c r="KI12" s="3">
        <v>259544.9</v>
      </c>
      <c r="KJ12" s="3">
        <v>260789.6</v>
      </c>
      <c r="KK12" s="3">
        <v>262039.2</v>
      </c>
      <c r="KL12" s="3">
        <v>263293.8</v>
      </c>
      <c r="KM12" s="3">
        <v>264553.7</v>
      </c>
      <c r="KN12" s="3">
        <v>265818.40000000002</v>
      </c>
      <c r="KO12" s="3">
        <v>267088.3</v>
      </c>
      <c r="KP12" s="3">
        <v>268363.59999999998</v>
      </c>
      <c r="KQ12" s="3">
        <v>269643.90000000002</v>
      </c>
      <c r="KR12" s="3">
        <v>270929.40000000002</v>
      </c>
      <c r="KS12" s="3">
        <v>272220.2</v>
      </c>
      <c r="KT12" s="3">
        <v>273516.3</v>
      </c>
      <c r="KU12" s="3">
        <v>274817.59999999998</v>
      </c>
      <c r="KV12" s="3">
        <v>276124.5</v>
      </c>
      <c r="KW12" s="3">
        <v>277436.40000000002</v>
      </c>
      <c r="KX12" s="3">
        <v>278753.90000000002</v>
      </c>
      <c r="KY12" s="3">
        <v>280076.59999999998</v>
      </c>
      <c r="KZ12" s="3">
        <v>281404.7</v>
      </c>
      <c r="LA12" s="3">
        <v>282738.2</v>
      </c>
      <c r="LB12" s="3">
        <v>284077.09999999998</v>
      </c>
      <c r="LC12" s="3">
        <v>285421.3</v>
      </c>
      <c r="LD12" s="3">
        <v>286771</v>
      </c>
      <c r="LE12" s="3">
        <v>288126.09999999998</v>
      </c>
      <c r="LF12" s="3">
        <v>289486.5</v>
      </c>
      <c r="LG12" t="s">
        <v>335</v>
      </c>
      <c r="LH12" t="b">
        <v>1</v>
      </c>
      <c r="LI12" s="1" t="s">
        <v>336</v>
      </c>
      <c r="LJ12" t="s">
        <v>337</v>
      </c>
      <c r="LK12">
        <v>2024</v>
      </c>
      <c r="LL12">
        <v>2</v>
      </c>
      <c r="LM12" t="s">
        <v>337</v>
      </c>
      <c r="LN12" t="s">
        <v>569</v>
      </c>
      <c r="LO12" s="1" t="s">
        <v>570</v>
      </c>
      <c r="LP12" t="s">
        <v>340</v>
      </c>
      <c r="LQ12" t="s">
        <v>571</v>
      </c>
      <c r="LR12" s="1" t="s">
        <v>1043</v>
      </c>
    </row>
    <row r="13" spans="1:330" x14ac:dyDescent="0.25">
      <c r="A13" t="s">
        <v>330</v>
      </c>
      <c r="B13" t="s">
        <v>572</v>
      </c>
      <c r="C13" s="1" t="s">
        <v>1042</v>
      </c>
      <c r="D13" t="s">
        <v>332</v>
      </c>
      <c r="E13" t="s">
        <v>333</v>
      </c>
      <c r="F13" t="s">
        <v>334</v>
      </c>
      <c r="G13" s="2">
        <v>28723</v>
      </c>
      <c r="H13" s="2">
        <v>28883</v>
      </c>
      <c r="I13" s="2">
        <v>29733</v>
      </c>
      <c r="J13" s="2">
        <v>30228</v>
      </c>
      <c r="K13" s="2">
        <v>29334</v>
      </c>
      <c r="L13" s="2">
        <v>30071</v>
      </c>
      <c r="M13" s="2">
        <v>29829</v>
      </c>
      <c r="N13" s="2">
        <v>29453</v>
      </c>
      <c r="O13" s="2">
        <v>28207</v>
      </c>
      <c r="P13" s="2">
        <v>26742</v>
      </c>
      <c r="Q13" s="2">
        <v>28223</v>
      </c>
      <c r="R13" s="2">
        <v>27653</v>
      </c>
      <c r="S13" s="2">
        <v>27224</v>
      </c>
      <c r="T13" s="2">
        <v>29449</v>
      </c>
      <c r="U13" s="2">
        <v>29774</v>
      </c>
      <c r="V13" s="2">
        <v>29806</v>
      </c>
      <c r="W13" s="2">
        <v>29501</v>
      </c>
      <c r="X13" s="2">
        <v>30214</v>
      </c>
      <c r="Y13" s="2">
        <v>29463</v>
      </c>
      <c r="Z13" s="2">
        <v>29087</v>
      </c>
      <c r="AA13" s="2">
        <v>30942</v>
      </c>
      <c r="AB13" s="2">
        <v>31129</v>
      </c>
      <c r="AC13" s="2">
        <v>31077</v>
      </c>
      <c r="AD13" s="2">
        <v>29252</v>
      </c>
      <c r="AE13" s="2">
        <v>31153</v>
      </c>
      <c r="AF13" s="2">
        <v>33810</v>
      </c>
      <c r="AG13" s="2">
        <v>34487</v>
      </c>
      <c r="AH13" s="2">
        <v>34338</v>
      </c>
      <c r="AI13" s="2">
        <v>34772</v>
      </c>
      <c r="AJ13" s="2">
        <v>33523</v>
      </c>
      <c r="AK13" s="2">
        <v>30723</v>
      </c>
      <c r="AL13" s="2">
        <v>30011</v>
      </c>
      <c r="AM13" s="2">
        <v>28723</v>
      </c>
      <c r="AN13" s="2">
        <v>30327</v>
      </c>
      <c r="AO13" s="2">
        <v>33672</v>
      </c>
      <c r="AP13" s="2">
        <v>32629</v>
      </c>
      <c r="AQ13" s="2">
        <v>32342</v>
      </c>
      <c r="AR13" s="2">
        <v>33719</v>
      </c>
      <c r="AS13" s="2">
        <v>32692</v>
      </c>
      <c r="AT13" s="2">
        <v>32279</v>
      </c>
      <c r="AU13" s="2">
        <v>33707</v>
      </c>
      <c r="AV13" s="2">
        <v>34587</v>
      </c>
      <c r="AW13" s="2">
        <v>34796</v>
      </c>
      <c r="AX13" s="2">
        <v>36023</v>
      </c>
      <c r="AY13" s="2">
        <v>36356</v>
      </c>
      <c r="AZ13" s="2">
        <v>37935</v>
      </c>
      <c r="BA13" s="2">
        <v>38209</v>
      </c>
      <c r="BB13" s="2">
        <v>39769</v>
      </c>
      <c r="BC13" s="2">
        <v>39808</v>
      </c>
      <c r="BD13" s="2">
        <v>38768</v>
      </c>
      <c r="BE13" s="2">
        <v>38014</v>
      </c>
      <c r="BF13" s="2">
        <v>39245</v>
      </c>
      <c r="BG13" s="2">
        <v>40205</v>
      </c>
      <c r="BH13" s="2">
        <v>41612</v>
      </c>
      <c r="BI13" s="2">
        <v>41908</v>
      </c>
      <c r="BJ13" s="2">
        <v>42495</v>
      </c>
      <c r="BK13" s="2">
        <v>41973</v>
      </c>
      <c r="BL13" s="2">
        <v>44067</v>
      </c>
      <c r="BM13" s="2">
        <v>46106</v>
      </c>
      <c r="BN13" s="2">
        <v>46998</v>
      </c>
      <c r="BO13" s="2">
        <v>47470</v>
      </c>
      <c r="BP13" s="2">
        <v>49433</v>
      </c>
      <c r="BQ13" s="2">
        <v>50733</v>
      </c>
      <c r="BR13" s="2">
        <v>53644</v>
      </c>
      <c r="BS13" s="2">
        <v>54330</v>
      </c>
      <c r="BT13" s="2">
        <v>53221</v>
      </c>
      <c r="BU13" s="2">
        <v>54463</v>
      </c>
      <c r="BV13" s="2">
        <v>53591</v>
      </c>
      <c r="BW13" s="2">
        <v>54926</v>
      </c>
      <c r="BX13" s="2">
        <v>54779</v>
      </c>
      <c r="BY13" s="2">
        <v>53850</v>
      </c>
      <c r="BZ13" s="2">
        <v>52925</v>
      </c>
      <c r="CA13" s="2">
        <v>51167</v>
      </c>
      <c r="CB13" s="2">
        <v>51394</v>
      </c>
      <c r="CC13" s="2">
        <v>51704</v>
      </c>
      <c r="CD13" s="2">
        <v>52455</v>
      </c>
      <c r="CE13" s="2">
        <v>53367</v>
      </c>
      <c r="CF13" s="2">
        <v>55807</v>
      </c>
      <c r="CG13" s="2">
        <v>55215</v>
      </c>
      <c r="CH13" s="2">
        <v>55865</v>
      </c>
      <c r="CI13" s="2">
        <v>56320</v>
      </c>
      <c r="CJ13" s="2">
        <v>55878</v>
      </c>
      <c r="CK13" s="2">
        <v>57097</v>
      </c>
      <c r="CL13" s="2">
        <v>57819</v>
      </c>
      <c r="CM13" s="2">
        <v>59179</v>
      </c>
      <c r="CN13" s="2">
        <v>59709</v>
      </c>
      <c r="CO13" s="2">
        <v>59412</v>
      </c>
      <c r="CP13" s="2">
        <v>61845</v>
      </c>
      <c r="CQ13" s="2">
        <v>60771</v>
      </c>
      <c r="CR13" s="2">
        <v>62975</v>
      </c>
      <c r="CS13" s="2">
        <v>64347</v>
      </c>
      <c r="CT13" s="2">
        <v>64848</v>
      </c>
      <c r="CU13" s="2">
        <v>67369</v>
      </c>
      <c r="CV13" s="2">
        <v>68179</v>
      </c>
      <c r="CW13" s="2">
        <v>69534</v>
      </c>
      <c r="CX13" s="2">
        <v>71124</v>
      </c>
      <c r="CY13" s="2">
        <v>72876</v>
      </c>
      <c r="CZ13" s="2">
        <v>76738</v>
      </c>
      <c r="DA13" s="2">
        <v>75985</v>
      </c>
      <c r="DB13" s="2">
        <v>77775</v>
      </c>
      <c r="DC13" s="2">
        <v>79801</v>
      </c>
      <c r="DD13" s="2">
        <v>81683</v>
      </c>
      <c r="DE13" s="2">
        <v>82256</v>
      </c>
      <c r="DF13" s="2">
        <v>82266</v>
      </c>
      <c r="DG13" s="2">
        <v>84805</v>
      </c>
      <c r="DH13" s="2">
        <v>85808</v>
      </c>
      <c r="DI13" s="2">
        <v>88901</v>
      </c>
      <c r="DJ13" s="2">
        <v>90606</v>
      </c>
      <c r="DK13" s="2">
        <v>91822</v>
      </c>
      <c r="DL13" s="2">
        <v>94726</v>
      </c>
      <c r="DM13" s="2">
        <v>96610</v>
      </c>
      <c r="DN13" s="2">
        <v>99991</v>
      </c>
      <c r="DO13" s="2">
        <v>102190</v>
      </c>
      <c r="DP13" s="2">
        <v>102718</v>
      </c>
      <c r="DQ13" s="2">
        <v>101221</v>
      </c>
      <c r="DR13" s="2">
        <v>100700</v>
      </c>
      <c r="DS13" s="2">
        <v>104134</v>
      </c>
      <c r="DT13" s="2">
        <v>108310</v>
      </c>
      <c r="DU13" s="2">
        <v>106780</v>
      </c>
      <c r="DV13" s="2">
        <v>106804</v>
      </c>
      <c r="DW13" s="2">
        <v>107404</v>
      </c>
      <c r="DX13" s="2">
        <v>106886</v>
      </c>
      <c r="DY13" s="2">
        <v>107791</v>
      </c>
      <c r="DZ13" s="2">
        <v>110963</v>
      </c>
      <c r="EA13" s="2">
        <v>111518</v>
      </c>
      <c r="EB13" s="2">
        <v>114226</v>
      </c>
      <c r="EC13" s="2">
        <v>117309</v>
      </c>
      <c r="ED13" s="2">
        <v>119067</v>
      </c>
      <c r="EE13" s="2">
        <v>118498</v>
      </c>
      <c r="EF13" s="2">
        <v>123401</v>
      </c>
      <c r="EG13" s="2">
        <v>124774</v>
      </c>
      <c r="EH13" s="2">
        <v>127931</v>
      </c>
      <c r="EI13" s="2">
        <v>142048</v>
      </c>
      <c r="EJ13" s="2">
        <v>145208</v>
      </c>
      <c r="EK13" s="2">
        <v>129894</v>
      </c>
      <c r="EL13" s="2">
        <v>129701</v>
      </c>
      <c r="EM13" s="2">
        <v>133130</v>
      </c>
      <c r="EN13" s="2">
        <v>132622</v>
      </c>
      <c r="EO13" s="2">
        <v>137053</v>
      </c>
      <c r="EP13" s="2">
        <v>136527</v>
      </c>
      <c r="EQ13" s="2">
        <v>137103</v>
      </c>
      <c r="ER13" s="2">
        <v>136253</v>
      </c>
      <c r="ES13" s="2">
        <v>133811</v>
      </c>
      <c r="ET13" s="2">
        <v>126724</v>
      </c>
      <c r="EU13" s="2">
        <v>121718</v>
      </c>
      <c r="EV13" s="2">
        <v>122009</v>
      </c>
      <c r="EW13" s="2">
        <v>125311</v>
      </c>
      <c r="EX13" s="2">
        <v>127350</v>
      </c>
      <c r="EY13" s="2">
        <v>129677</v>
      </c>
      <c r="EZ13" s="2">
        <v>133785</v>
      </c>
      <c r="FA13" s="2">
        <v>138104</v>
      </c>
      <c r="FB13" s="2">
        <v>139318</v>
      </c>
      <c r="FC13" s="2">
        <v>136031</v>
      </c>
      <c r="FD13" s="2">
        <v>140090</v>
      </c>
      <c r="FE13" s="2">
        <v>139837</v>
      </c>
      <c r="FF13" s="2">
        <v>140765</v>
      </c>
      <c r="FG13" s="2">
        <v>141866</v>
      </c>
      <c r="FH13" s="2">
        <v>144538</v>
      </c>
      <c r="FI13" s="2">
        <v>143143</v>
      </c>
      <c r="FJ13" s="2">
        <v>140838</v>
      </c>
      <c r="FK13" s="2">
        <v>141211</v>
      </c>
      <c r="FL13" s="2">
        <v>148363</v>
      </c>
      <c r="FM13" s="2">
        <v>147991</v>
      </c>
      <c r="FN13" s="2">
        <v>151319</v>
      </c>
      <c r="FO13" s="2">
        <v>148993</v>
      </c>
      <c r="FP13" s="2">
        <v>149831</v>
      </c>
      <c r="FQ13" s="2">
        <v>155251</v>
      </c>
      <c r="FR13" s="2">
        <v>164813</v>
      </c>
      <c r="FS13" s="2">
        <v>163588</v>
      </c>
      <c r="FT13" s="2">
        <v>159967</v>
      </c>
      <c r="FU13" s="2">
        <v>159785</v>
      </c>
      <c r="FV13" s="2">
        <v>166218</v>
      </c>
      <c r="FW13" s="2">
        <v>165545</v>
      </c>
      <c r="FX13" s="2">
        <v>167522</v>
      </c>
      <c r="FY13" s="2">
        <v>173189</v>
      </c>
      <c r="FZ13" s="2">
        <v>169132</v>
      </c>
      <c r="GA13" s="2">
        <v>171129</v>
      </c>
      <c r="GB13" s="2">
        <v>175707</v>
      </c>
      <c r="GC13" s="2">
        <v>176567</v>
      </c>
      <c r="GD13" s="2">
        <v>173358</v>
      </c>
      <c r="GE13" s="2">
        <v>176579</v>
      </c>
      <c r="GF13" s="2">
        <v>177776</v>
      </c>
      <c r="GG13" s="2">
        <v>178674</v>
      </c>
      <c r="GH13" s="2">
        <v>185318</v>
      </c>
      <c r="GI13" s="2">
        <v>198389</v>
      </c>
      <c r="GJ13" s="2">
        <v>179954</v>
      </c>
      <c r="GK13" s="2">
        <v>182622</v>
      </c>
      <c r="GL13" s="2">
        <v>176907</v>
      </c>
      <c r="GM13" s="2">
        <v>169730</v>
      </c>
      <c r="GN13" s="2">
        <v>127475</v>
      </c>
      <c r="GO13" s="2">
        <v>150369</v>
      </c>
      <c r="GP13" s="2">
        <v>172219</v>
      </c>
      <c r="GQ13" s="2">
        <v>155665</v>
      </c>
      <c r="GR13" s="2">
        <v>161625</v>
      </c>
      <c r="GS13" s="2">
        <v>168489</v>
      </c>
      <c r="GT13" s="2">
        <v>172084</v>
      </c>
      <c r="GU13" s="2">
        <v>188489</v>
      </c>
      <c r="GV13" s="2">
        <v>192205</v>
      </c>
      <c r="GW13" s="2">
        <v>186157</v>
      </c>
      <c r="GX13" s="2">
        <v>187111</v>
      </c>
      <c r="GY13" s="2">
        <v>185089</v>
      </c>
      <c r="GZ13" s="2">
        <v>188316</v>
      </c>
      <c r="HA13" s="2">
        <v>184928</v>
      </c>
      <c r="HB13" s="2">
        <v>184391</v>
      </c>
      <c r="HC13" s="2">
        <v>179462</v>
      </c>
      <c r="HD13" s="2">
        <v>193359</v>
      </c>
      <c r="HE13" s="3">
        <v>186907.1</v>
      </c>
      <c r="HF13" s="3">
        <v>188519.3</v>
      </c>
      <c r="HG13" s="3">
        <v>190178.7</v>
      </c>
      <c r="HH13" s="3">
        <v>191578.7</v>
      </c>
      <c r="HI13" s="3">
        <v>193001.2</v>
      </c>
      <c r="HJ13" s="3">
        <v>194399</v>
      </c>
      <c r="HK13" s="3">
        <v>195814.5</v>
      </c>
      <c r="HL13" s="3">
        <v>197020.6</v>
      </c>
      <c r="HM13" s="3">
        <v>198017</v>
      </c>
      <c r="HN13" s="3">
        <v>198975.9</v>
      </c>
      <c r="HO13" s="3">
        <v>199829.4</v>
      </c>
      <c r="HP13" s="3">
        <v>200686.8</v>
      </c>
      <c r="HQ13" s="3">
        <v>201548.4</v>
      </c>
      <c r="HR13" s="3">
        <v>202413.7</v>
      </c>
      <c r="HS13" s="3">
        <v>203340.3</v>
      </c>
      <c r="HT13" s="3">
        <v>204271</v>
      </c>
      <c r="HU13" s="3">
        <v>205206.5</v>
      </c>
      <c r="HV13" s="3">
        <v>206146.6</v>
      </c>
      <c r="HW13" s="3">
        <v>207091.3</v>
      </c>
      <c r="HX13" s="3">
        <v>208040.2</v>
      </c>
      <c r="HY13" s="3">
        <v>208994.5</v>
      </c>
      <c r="HZ13" s="3">
        <v>209952.9</v>
      </c>
      <c r="IA13" s="3">
        <v>210941.7</v>
      </c>
      <c r="IB13" s="3">
        <v>211955.3</v>
      </c>
      <c r="IC13" s="3">
        <v>212994.2</v>
      </c>
      <c r="ID13" s="3">
        <v>214058.4</v>
      </c>
      <c r="IE13" s="3">
        <v>215148.3</v>
      </c>
      <c r="IF13" s="3">
        <v>216256.3</v>
      </c>
      <c r="IG13" s="3">
        <v>217382.3</v>
      </c>
      <c r="IH13" s="3">
        <v>218526.6</v>
      </c>
      <c r="II13" s="3">
        <v>219677.2</v>
      </c>
      <c r="IJ13" s="3">
        <v>220846.5</v>
      </c>
      <c r="IK13" s="3">
        <v>222043.1</v>
      </c>
      <c r="IL13" s="3">
        <v>223246.6</v>
      </c>
      <c r="IM13" s="3">
        <v>224437.4</v>
      </c>
      <c r="IN13" s="3">
        <v>225621.9</v>
      </c>
      <c r="IO13" s="3">
        <v>226790.6</v>
      </c>
      <c r="IP13" s="3">
        <v>227965.4</v>
      </c>
      <c r="IQ13" s="3">
        <v>229162</v>
      </c>
      <c r="IR13" s="3">
        <v>230366</v>
      </c>
      <c r="IS13" s="3">
        <v>231545</v>
      </c>
      <c r="IT13" s="3">
        <v>232733.1</v>
      </c>
      <c r="IU13" s="3">
        <v>233953</v>
      </c>
      <c r="IV13" s="3">
        <v>235179.7</v>
      </c>
      <c r="IW13" s="3">
        <v>236413.1</v>
      </c>
      <c r="IX13" s="3">
        <v>237653.2</v>
      </c>
      <c r="IY13" s="3">
        <v>238920.3</v>
      </c>
      <c r="IZ13" s="3">
        <v>240195.3</v>
      </c>
      <c r="JA13" s="3">
        <v>241478.1</v>
      </c>
      <c r="JB13" s="3">
        <v>242768.9</v>
      </c>
      <c r="JC13" s="3">
        <v>244067.6</v>
      </c>
      <c r="JD13" s="3">
        <v>245374.3</v>
      </c>
      <c r="JE13" s="3">
        <v>246688.9</v>
      </c>
      <c r="JF13" s="3">
        <v>248011.7</v>
      </c>
      <c r="JG13" s="3">
        <v>249363</v>
      </c>
      <c r="JH13" s="3">
        <v>250722.9</v>
      </c>
      <c r="JI13" s="3">
        <v>252091.6</v>
      </c>
      <c r="JJ13" s="3">
        <v>253469</v>
      </c>
      <c r="JK13" s="3">
        <v>254855.3</v>
      </c>
      <c r="JL13" s="3">
        <v>256250.5</v>
      </c>
      <c r="JM13" s="3">
        <v>257654.7</v>
      </c>
      <c r="JN13" s="3">
        <v>259068</v>
      </c>
      <c r="JO13" s="3">
        <v>260480.2</v>
      </c>
      <c r="JP13" s="3">
        <v>261899.7</v>
      </c>
      <c r="JQ13" s="3">
        <v>263326.2</v>
      </c>
      <c r="JR13" s="3">
        <v>264759.90000000002</v>
      </c>
      <c r="JS13" s="3">
        <v>266176.8</v>
      </c>
      <c r="JT13" s="3">
        <v>267600.8</v>
      </c>
      <c r="JU13" s="3">
        <v>269031.40000000002</v>
      </c>
      <c r="JV13" s="3">
        <v>270469</v>
      </c>
      <c r="JW13" s="3">
        <v>271913.40000000002</v>
      </c>
      <c r="JX13" s="3">
        <v>273364.7</v>
      </c>
      <c r="JY13" s="3">
        <v>274822.7</v>
      </c>
      <c r="JZ13" s="3">
        <v>276287.90000000002</v>
      </c>
      <c r="KA13" s="3">
        <v>277759.90000000002</v>
      </c>
      <c r="KB13" s="3">
        <v>279238.90000000002</v>
      </c>
      <c r="KC13" s="3">
        <v>280724.5</v>
      </c>
      <c r="KD13" s="3">
        <v>282217.2</v>
      </c>
      <c r="KE13" s="3">
        <v>283716.40000000002</v>
      </c>
      <c r="KF13" s="3">
        <v>285222.5</v>
      </c>
      <c r="KG13" s="3">
        <v>286735.59999999998</v>
      </c>
      <c r="KH13" s="3">
        <v>288255.59999999998</v>
      </c>
      <c r="KI13" s="3">
        <v>289782.5</v>
      </c>
      <c r="KJ13" s="3">
        <v>291316.3</v>
      </c>
      <c r="KK13" s="3">
        <v>292857.3</v>
      </c>
      <c r="KL13" s="3">
        <v>294405.2</v>
      </c>
      <c r="KM13" s="3">
        <v>295960.09999999998</v>
      </c>
      <c r="KN13" s="3">
        <v>297522.2</v>
      </c>
      <c r="KO13" s="3">
        <v>299091.40000000002</v>
      </c>
      <c r="KP13" s="3">
        <v>300667.90000000002</v>
      </c>
      <c r="KQ13" s="3">
        <v>302251.59999999998</v>
      </c>
      <c r="KR13" s="3">
        <v>303842.59999999998</v>
      </c>
      <c r="KS13" s="3">
        <v>305440.8</v>
      </c>
      <c r="KT13" s="3">
        <v>307046.59999999998</v>
      </c>
      <c r="KU13" s="3">
        <v>308659.7</v>
      </c>
      <c r="KV13" s="3">
        <v>310280.3</v>
      </c>
      <c r="KW13" s="3">
        <v>311908.3</v>
      </c>
      <c r="KX13" s="3">
        <v>313544</v>
      </c>
      <c r="KY13" s="3">
        <v>315187</v>
      </c>
      <c r="KZ13" s="3">
        <v>316837.59999999998</v>
      </c>
      <c r="LA13" s="3">
        <v>318495.8</v>
      </c>
      <c r="LB13" s="3">
        <v>320161.7</v>
      </c>
      <c r="LC13" s="3">
        <v>321835</v>
      </c>
      <c r="LD13" s="3">
        <v>323516.09999999998</v>
      </c>
      <c r="LE13" s="3">
        <v>325204.8</v>
      </c>
      <c r="LF13" s="3">
        <v>326901.2</v>
      </c>
      <c r="LG13" t="s">
        <v>335</v>
      </c>
      <c r="LH13" t="b">
        <v>1</v>
      </c>
      <c r="LI13" s="1" t="s">
        <v>336</v>
      </c>
      <c r="LJ13" t="s">
        <v>337</v>
      </c>
      <c r="LK13">
        <v>2024</v>
      </c>
      <c r="LL13">
        <v>2</v>
      </c>
      <c r="LM13" t="s">
        <v>337</v>
      </c>
      <c r="LN13" t="s">
        <v>573</v>
      </c>
      <c r="LO13" s="1" t="s">
        <v>574</v>
      </c>
      <c r="LP13" t="s">
        <v>340</v>
      </c>
      <c r="LQ13" t="s">
        <v>575</v>
      </c>
      <c r="LR13" s="1" t="s">
        <v>1043</v>
      </c>
    </row>
    <row r="14" spans="1:330" x14ac:dyDescent="0.25">
      <c r="A14" t="s">
        <v>330</v>
      </c>
      <c r="B14" s="1" t="s">
        <v>1019</v>
      </c>
      <c r="C14" s="1" t="s">
        <v>1042</v>
      </c>
      <c r="D14" t="s">
        <v>1020</v>
      </c>
      <c r="E14" t="s">
        <v>337</v>
      </c>
      <c r="F14" t="s">
        <v>334</v>
      </c>
      <c r="G14" s="2">
        <v>1E-3</v>
      </c>
      <c r="H14" s="2">
        <v>1E-3</v>
      </c>
      <c r="I14" s="2">
        <v>1E-3</v>
      </c>
      <c r="J14" s="2">
        <v>1E-3</v>
      </c>
      <c r="K14" s="2">
        <v>1E-3</v>
      </c>
      <c r="L14" s="2">
        <v>1E-3</v>
      </c>
      <c r="M14" s="2">
        <v>1E-3</v>
      </c>
      <c r="N14" s="2">
        <v>1E-3</v>
      </c>
      <c r="O14" s="2">
        <v>1E-3</v>
      </c>
      <c r="P14" s="2">
        <v>1E-3</v>
      </c>
      <c r="Q14" s="2">
        <v>1E-3</v>
      </c>
      <c r="R14" s="2">
        <v>1E-3</v>
      </c>
      <c r="S14" s="2">
        <v>1E-3</v>
      </c>
      <c r="T14" s="2">
        <v>1E-3</v>
      </c>
      <c r="U14" s="2">
        <v>1E-3</v>
      </c>
      <c r="V14" s="2">
        <v>1E-3</v>
      </c>
      <c r="W14" s="2">
        <v>1E-3</v>
      </c>
      <c r="X14" s="2">
        <v>1E-3</v>
      </c>
      <c r="Y14" s="2">
        <v>1E-3</v>
      </c>
      <c r="Z14" s="2">
        <v>1E-3</v>
      </c>
      <c r="AA14" s="2">
        <v>1E-3</v>
      </c>
      <c r="AB14" s="2">
        <v>1E-3</v>
      </c>
      <c r="AC14" s="2">
        <v>1E-3</v>
      </c>
      <c r="AD14" s="2">
        <v>1E-3</v>
      </c>
      <c r="AE14" s="2">
        <v>1E-3</v>
      </c>
      <c r="AF14" s="2">
        <v>1E-3</v>
      </c>
      <c r="AG14" s="2">
        <v>1E-3</v>
      </c>
      <c r="AH14" s="2">
        <v>1E-3</v>
      </c>
      <c r="AI14" s="2">
        <v>1E-3</v>
      </c>
      <c r="AJ14" s="2">
        <v>1E-3</v>
      </c>
      <c r="AK14" s="2">
        <v>1E-3</v>
      </c>
      <c r="AL14" s="2">
        <v>1E-3</v>
      </c>
      <c r="AM14" s="2">
        <v>1E-3</v>
      </c>
      <c r="AN14" s="2">
        <v>1E-3</v>
      </c>
      <c r="AO14" s="2">
        <v>1E-3</v>
      </c>
      <c r="AP14" s="2">
        <v>1E-3</v>
      </c>
      <c r="AQ14" s="2">
        <v>1E-3</v>
      </c>
      <c r="AR14" s="2">
        <v>1E-3</v>
      </c>
      <c r="AS14" s="2">
        <v>1E-3</v>
      </c>
      <c r="AT14" s="2">
        <v>1E-3</v>
      </c>
      <c r="AU14" s="2">
        <v>1E-3</v>
      </c>
      <c r="AV14" s="2">
        <v>1E-3</v>
      </c>
      <c r="AW14" s="2">
        <v>1E-3</v>
      </c>
      <c r="AX14" s="2">
        <v>1E-3</v>
      </c>
      <c r="AY14" s="2">
        <v>1E-3</v>
      </c>
      <c r="AZ14" s="2">
        <v>1E-3</v>
      </c>
      <c r="BA14" s="2">
        <v>1E-3</v>
      </c>
      <c r="BB14" s="2">
        <v>1E-3</v>
      </c>
      <c r="BC14" s="2">
        <v>1E-3</v>
      </c>
      <c r="BD14" s="2">
        <v>1E-3</v>
      </c>
      <c r="BE14" s="2">
        <v>1E-3</v>
      </c>
      <c r="BF14" s="2">
        <v>1E-3</v>
      </c>
      <c r="BG14" s="2">
        <v>1E-3</v>
      </c>
      <c r="BH14" s="2">
        <v>1E-3</v>
      </c>
      <c r="BI14" s="2">
        <v>1E-3</v>
      </c>
      <c r="BJ14" s="2">
        <v>1E-3</v>
      </c>
      <c r="BK14" s="2">
        <v>1E-3</v>
      </c>
      <c r="BL14" s="2">
        <v>1E-3</v>
      </c>
      <c r="BM14" s="2">
        <v>1E-3</v>
      </c>
      <c r="BN14" s="2">
        <v>1E-3</v>
      </c>
      <c r="BO14" s="2">
        <v>1E-3</v>
      </c>
      <c r="BP14" s="2">
        <v>1E-3</v>
      </c>
      <c r="BQ14" s="2">
        <v>1E-3</v>
      </c>
      <c r="BR14" s="2">
        <v>1E-3</v>
      </c>
      <c r="BS14" s="2">
        <v>1E-3</v>
      </c>
      <c r="BT14" s="2">
        <v>1E-3</v>
      </c>
      <c r="BU14" s="2">
        <v>1E-3</v>
      </c>
      <c r="BV14" s="2">
        <v>1E-3</v>
      </c>
      <c r="BW14" s="2">
        <v>1E-3</v>
      </c>
      <c r="BX14" s="2">
        <v>1E-3</v>
      </c>
      <c r="BY14" s="2">
        <v>1E-3</v>
      </c>
      <c r="BZ14" s="2">
        <v>1E-3</v>
      </c>
      <c r="CA14" s="2">
        <v>1E-3</v>
      </c>
      <c r="CB14" s="2">
        <v>1E-3</v>
      </c>
      <c r="CC14" s="2">
        <v>1E-3</v>
      </c>
      <c r="CD14" s="2">
        <v>1E-3</v>
      </c>
      <c r="CE14" s="2">
        <v>1E-3</v>
      </c>
      <c r="CF14" s="2">
        <v>1E-3</v>
      </c>
      <c r="CG14" s="2">
        <v>1E-3</v>
      </c>
      <c r="CH14" s="2">
        <v>1E-3</v>
      </c>
      <c r="CI14" s="2">
        <v>1E-3</v>
      </c>
      <c r="CJ14" s="2">
        <v>1E-3</v>
      </c>
      <c r="CK14" s="2">
        <v>1E-3</v>
      </c>
      <c r="CL14" s="2">
        <v>1E-3</v>
      </c>
      <c r="CM14" s="2">
        <v>1E-3</v>
      </c>
      <c r="CN14" s="2">
        <v>1E-3</v>
      </c>
      <c r="CO14" s="2">
        <v>1E-3</v>
      </c>
      <c r="CP14" s="2">
        <v>1E-3</v>
      </c>
      <c r="CQ14" s="2">
        <v>1E-3</v>
      </c>
      <c r="CR14" s="2">
        <v>1E-3</v>
      </c>
      <c r="CS14" s="2">
        <v>1E-3</v>
      </c>
      <c r="CT14" s="2">
        <v>1E-3</v>
      </c>
      <c r="CU14" s="2">
        <v>1E-3</v>
      </c>
      <c r="CV14" s="2">
        <v>1E-3</v>
      </c>
      <c r="CW14" s="2">
        <v>1E-3</v>
      </c>
      <c r="CX14" s="2">
        <v>1E-3</v>
      </c>
      <c r="CY14" s="2">
        <v>1E-3</v>
      </c>
      <c r="CZ14" s="2">
        <v>1E-3</v>
      </c>
      <c r="DA14" s="2">
        <v>1E-3</v>
      </c>
      <c r="DB14" s="2">
        <v>1E-3</v>
      </c>
      <c r="DC14" s="2">
        <v>1E-3</v>
      </c>
      <c r="DD14" s="2">
        <v>1E-3</v>
      </c>
      <c r="DE14" s="2">
        <v>1E-3</v>
      </c>
      <c r="DF14" s="2">
        <v>1E-3</v>
      </c>
      <c r="DG14" s="2">
        <v>1E-3</v>
      </c>
      <c r="DH14" s="2">
        <v>1E-3</v>
      </c>
      <c r="DI14" s="2">
        <v>1E-3</v>
      </c>
      <c r="DJ14" s="2">
        <v>1E-3</v>
      </c>
      <c r="DK14" s="2">
        <v>1E-3</v>
      </c>
      <c r="DL14" s="2">
        <v>1E-3</v>
      </c>
      <c r="DM14" s="2">
        <v>1E-3</v>
      </c>
      <c r="DN14" s="2">
        <v>1E-3</v>
      </c>
      <c r="DO14" s="2">
        <v>1E-3</v>
      </c>
      <c r="DP14" s="2">
        <v>1E-3</v>
      </c>
      <c r="DQ14" s="2">
        <v>1E-3</v>
      </c>
      <c r="DR14" s="2">
        <v>1E-3</v>
      </c>
      <c r="DS14" s="2">
        <v>1E-3</v>
      </c>
      <c r="DT14" s="2">
        <v>1E-3</v>
      </c>
      <c r="DU14" s="2">
        <v>1E-3</v>
      </c>
      <c r="DV14" s="2">
        <v>1E-3</v>
      </c>
      <c r="DW14" s="2">
        <v>1E-3</v>
      </c>
      <c r="DX14" s="2">
        <v>1E-3</v>
      </c>
      <c r="DY14" s="2">
        <v>1E-3</v>
      </c>
      <c r="DZ14" s="2">
        <v>1E-3</v>
      </c>
      <c r="EA14" s="2">
        <v>1E-3</v>
      </c>
      <c r="EB14" s="2">
        <v>1E-3</v>
      </c>
      <c r="EC14" s="2">
        <v>1E-3</v>
      </c>
      <c r="ED14" s="2">
        <v>1E-3</v>
      </c>
      <c r="EE14" s="2">
        <v>1E-3</v>
      </c>
      <c r="EF14" s="2">
        <v>1E-3</v>
      </c>
      <c r="EG14" s="2">
        <v>1E-3</v>
      </c>
      <c r="EH14" s="2">
        <v>1E-3</v>
      </c>
      <c r="EI14" s="2">
        <v>1E-3</v>
      </c>
      <c r="EJ14" s="2">
        <v>1E-3</v>
      </c>
      <c r="EK14" s="2">
        <v>1E-3</v>
      </c>
      <c r="EL14" s="2">
        <v>1E-3</v>
      </c>
      <c r="EM14" s="2">
        <v>1E-3</v>
      </c>
      <c r="EN14" s="2">
        <v>1E-3</v>
      </c>
      <c r="EO14" s="2">
        <v>5.8152299999999997</v>
      </c>
      <c r="EP14" s="2">
        <v>5.2973499999999998</v>
      </c>
      <c r="EQ14" s="2">
        <v>4.6163600000000002</v>
      </c>
      <c r="ER14" s="2">
        <v>5.0938999999999997</v>
      </c>
      <c r="ES14" s="2">
        <v>4.8329899999999997</v>
      </c>
      <c r="ET14" s="2">
        <v>2.4878300000000002</v>
      </c>
      <c r="EU14" s="2">
        <v>1.107</v>
      </c>
      <c r="EV14" s="2">
        <v>1.3100099999999999</v>
      </c>
      <c r="EW14" s="2">
        <v>1.5602100000000001</v>
      </c>
      <c r="EX14" s="2">
        <v>1.43008</v>
      </c>
      <c r="EY14" s="2">
        <v>1.2319599999999999</v>
      </c>
      <c r="EZ14" s="2">
        <v>1.0097</v>
      </c>
      <c r="FA14" s="2">
        <v>0.80574999999999997</v>
      </c>
      <c r="FB14" s="2">
        <v>0.83750999999999998</v>
      </c>
      <c r="FC14" s="2">
        <v>1.29715</v>
      </c>
      <c r="FD14" s="2">
        <v>1.04826</v>
      </c>
      <c r="FE14" s="2">
        <v>0.57635999999999998</v>
      </c>
      <c r="FF14" s="2">
        <v>0.52529000000000003</v>
      </c>
      <c r="FG14" s="2">
        <v>0.51646999999999998</v>
      </c>
      <c r="FH14" s="2">
        <v>0.47708</v>
      </c>
      <c r="FI14" s="2">
        <v>0.31757999999999997</v>
      </c>
      <c r="FJ14" s="2">
        <v>0.36157</v>
      </c>
      <c r="FK14" s="2">
        <v>0.37318000000000001</v>
      </c>
      <c r="FL14" s="2">
        <v>0.39372000000000001</v>
      </c>
      <c r="FM14" s="2">
        <v>0.50307999999999997</v>
      </c>
      <c r="FN14" s="2">
        <v>0.58089999999999997</v>
      </c>
      <c r="FO14" s="2">
        <v>0.72970999999999997</v>
      </c>
      <c r="FP14" s="2">
        <v>0.90707000000000004</v>
      </c>
      <c r="FQ14" s="2">
        <v>0.97910770000000003</v>
      </c>
      <c r="FR14" s="2">
        <v>0.77225880000000002</v>
      </c>
      <c r="FS14" s="2">
        <v>0.65256449999999999</v>
      </c>
      <c r="FT14" s="2">
        <v>0.72182809999999997</v>
      </c>
      <c r="FU14" s="2">
        <v>0.79340460000000002</v>
      </c>
      <c r="FV14" s="2">
        <v>0.70783030000000002</v>
      </c>
      <c r="FW14" s="2">
        <v>0.4868692</v>
      </c>
      <c r="FX14" s="2">
        <v>0.42560619999999999</v>
      </c>
      <c r="FY14" s="2">
        <v>0.1208545</v>
      </c>
      <c r="FZ14" s="2">
        <v>0.25840619999999997</v>
      </c>
      <c r="GA14" s="2">
        <v>0.31564920000000002</v>
      </c>
      <c r="GB14" s="2">
        <v>0.3102123</v>
      </c>
      <c r="GC14" s="2">
        <v>0.44710460000000002</v>
      </c>
      <c r="GD14" s="2">
        <v>0.67998899999999995</v>
      </c>
      <c r="GE14" s="2">
        <v>0.83303119999999997</v>
      </c>
      <c r="GF14" s="2">
        <v>0.81829079999999998</v>
      </c>
      <c r="GG14" s="2">
        <v>0.87234769999999995</v>
      </c>
      <c r="GH14" s="2">
        <v>0.91356660000000001</v>
      </c>
      <c r="GI14" s="2">
        <v>0.83282659999999997</v>
      </c>
      <c r="GJ14" s="2">
        <v>0.73666160000000003</v>
      </c>
      <c r="GK14" s="2">
        <v>0.50933790000000001</v>
      </c>
      <c r="GL14" s="2">
        <v>0.56899089999999997</v>
      </c>
      <c r="GM14" s="2">
        <v>0.40063850000000001</v>
      </c>
      <c r="GN14" s="2">
        <v>4.8140000000000002E-2</v>
      </c>
      <c r="GO14" s="2">
        <v>-4.6777300000000001E-2</v>
      </c>
      <c r="GP14" s="2">
        <v>-3.1698499999999998E-2</v>
      </c>
      <c r="GQ14" s="2">
        <v>2.943438E-2</v>
      </c>
      <c r="GR14" s="2">
        <v>0.14078309999999999</v>
      </c>
      <c r="GS14" s="2">
        <v>0.27432119999999999</v>
      </c>
      <c r="GT14" s="2">
        <v>0.86002880000000004</v>
      </c>
      <c r="GU14" s="2">
        <v>1.562864</v>
      </c>
      <c r="GV14" s="2">
        <v>2.3736320000000002</v>
      </c>
      <c r="GW14" s="2">
        <v>3.443794</v>
      </c>
      <c r="GX14" s="2">
        <v>4.5538879999999997</v>
      </c>
      <c r="GY14" s="2">
        <v>4.2135749999999996</v>
      </c>
      <c r="GZ14" s="2">
        <v>4.8666429999999998</v>
      </c>
      <c r="HA14" s="2">
        <v>5.5906320000000003</v>
      </c>
      <c r="HB14" s="2">
        <v>4.760923</v>
      </c>
      <c r="HC14" s="2">
        <v>4.4109689999999997</v>
      </c>
      <c r="HD14" s="2">
        <v>4.6002789999999996</v>
      </c>
      <c r="HE14" s="3">
        <v>4.2179609999999998</v>
      </c>
      <c r="HF14" s="3">
        <v>4.0969249999999997</v>
      </c>
      <c r="HG14" s="3">
        <v>4.0338520000000004</v>
      </c>
      <c r="HH14" s="3">
        <v>3.9325000000000001</v>
      </c>
      <c r="HI14" s="3">
        <v>3.823537</v>
      </c>
      <c r="HJ14" s="3">
        <v>3.724316</v>
      </c>
      <c r="HK14" s="3">
        <v>3.5235690000000002</v>
      </c>
      <c r="HL14" s="3">
        <v>3.3126859999999998</v>
      </c>
      <c r="HM14" s="3">
        <v>3.089521</v>
      </c>
      <c r="HN14" s="3">
        <v>2.870581</v>
      </c>
      <c r="HO14" s="3">
        <v>2.638058</v>
      </c>
      <c r="HP14" s="3">
        <v>2.4093619999999998</v>
      </c>
      <c r="HQ14" s="3">
        <v>2.1929280000000002</v>
      </c>
      <c r="HR14" s="3">
        <v>2.1064639999999999</v>
      </c>
      <c r="HS14" s="3">
        <v>2.1064639999999999</v>
      </c>
      <c r="HT14" s="3">
        <v>2.1064639999999999</v>
      </c>
      <c r="HU14" s="3">
        <v>2.1064639999999999</v>
      </c>
      <c r="HV14" s="3">
        <v>2.1064639999999999</v>
      </c>
      <c r="HW14" s="3">
        <v>2.1064639999999999</v>
      </c>
      <c r="HX14" s="3">
        <v>2.1064639999999999</v>
      </c>
      <c r="HY14" s="3">
        <v>2.1064639999999999</v>
      </c>
      <c r="HZ14" s="3">
        <v>2.1064639999999999</v>
      </c>
      <c r="IA14" s="3">
        <v>2.1064639999999999</v>
      </c>
      <c r="IB14" s="3">
        <v>2.1064639999999999</v>
      </c>
      <c r="IC14" s="3">
        <v>2.1064639999999999</v>
      </c>
      <c r="ID14" s="3">
        <v>2.1064639999999999</v>
      </c>
      <c r="IE14" s="3">
        <v>2.1064639999999999</v>
      </c>
      <c r="IF14" s="3">
        <v>2.1064639999999999</v>
      </c>
      <c r="IG14" s="3">
        <v>2.1064639999999999</v>
      </c>
      <c r="IH14" s="3">
        <v>2.1064639999999999</v>
      </c>
      <c r="II14" s="3">
        <v>2.1064639999999999</v>
      </c>
      <c r="IJ14" s="3">
        <v>2.1064639999999999</v>
      </c>
      <c r="IK14" s="3">
        <v>2.1064639999999999</v>
      </c>
      <c r="IL14" s="3">
        <v>2.1064639999999999</v>
      </c>
      <c r="IM14" s="3">
        <v>2.1064639999999999</v>
      </c>
      <c r="IN14" s="3">
        <v>2.1064639999999999</v>
      </c>
      <c r="IO14" s="3">
        <v>2.1064639999999999</v>
      </c>
      <c r="IP14" s="3">
        <v>2.1064639999999999</v>
      </c>
      <c r="IQ14" s="3">
        <v>2.1064639999999999</v>
      </c>
      <c r="IR14" s="3">
        <v>2.1064639999999999</v>
      </c>
      <c r="IS14" s="3">
        <v>2.1064639999999999</v>
      </c>
      <c r="IT14" s="3">
        <v>2.1064639999999999</v>
      </c>
      <c r="IU14" s="3">
        <v>2.1064639999999999</v>
      </c>
      <c r="IV14" s="3">
        <v>2.1064639999999999</v>
      </c>
      <c r="IW14" s="3">
        <v>2.1064639999999999</v>
      </c>
      <c r="IX14" s="3">
        <v>2.1064639999999999</v>
      </c>
      <c r="IY14" s="3">
        <v>2.1064639999999999</v>
      </c>
      <c r="IZ14" s="3">
        <v>2.1064639999999999</v>
      </c>
      <c r="JA14" s="3">
        <v>2.1064639999999999</v>
      </c>
      <c r="JB14" s="3">
        <v>2.1064639999999999</v>
      </c>
      <c r="JC14" s="3">
        <v>2.1064639999999999</v>
      </c>
      <c r="JD14" s="3">
        <v>2.1064639999999999</v>
      </c>
      <c r="JE14" s="3">
        <v>2.1064639999999999</v>
      </c>
      <c r="JF14" s="3">
        <v>2.1064639999999999</v>
      </c>
      <c r="JG14" s="3">
        <v>2.1064639999999999</v>
      </c>
      <c r="JH14" s="3">
        <v>2.1064639999999999</v>
      </c>
      <c r="JI14" s="3">
        <v>2.1064639999999999</v>
      </c>
      <c r="JJ14" s="3">
        <v>2.1064639999999999</v>
      </c>
      <c r="JK14" s="3">
        <v>2.1064639999999999</v>
      </c>
      <c r="JL14" s="3">
        <v>2.1064639999999999</v>
      </c>
      <c r="JM14" s="3">
        <v>2.1064639999999999</v>
      </c>
      <c r="JN14" s="3">
        <v>2.1064639999999999</v>
      </c>
      <c r="JO14" s="3">
        <v>2.1064639999999999</v>
      </c>
      <c r="JP14" s="3">
        <v>2.1064639999999999</v>
      </c>
      <c r="JQ14" s="3">
        <v>2.1064639999999999</v>
      </c>
      <c r="JR14" s="3">
        <v>2.1064639999999999</v>
      </c>
      <c r="JS14" s="3">
        <v>2.1064639999999999</v>
      </c>
      <c r="JT14" s="3">
        <v>2.1064639999999999</v>
      </c>
      <c r="JU14" s="3">
        <v>2.1064639999999999</v>
      </c>
      <c r="JV14" s="3">
        <v>2.1064639999999999</v>
      </c>
      <c r="JW14" s="3">
        <v>2.1064639999999999</v>
      </c>
      <c r="JX14" s="3">
        <v>2.1064639999999999</v>
      </c>
      <c r="JY14" s="3">
        <v>2.1064639999999999</v>
      </c>
      <c r="JZ14" s="3">
        <v>2.1064639999999999</v>
      </c>
      <c r="KA14" s="3">
        <v>2.1064639999999999</v>
      </c>
      <c r="KB14" s="3">
        <v>2.1064639999999999</v>
      </c>
      <c r="KC14" s="3">
        <v>2.1064639999999999</v>
      </c>
      <c r="KD14" s="3">
        <v>2.1064639999999999</v>
      </c>
      <c r="KE14" s="3">
        <v>2.1064639999999999</v>
      </c>
      <c r="KF14" s="3">
        <v>2.1064639999999999</v>
      </c>
      <c r="KG14" s="3">
        <v>2.1064639999999999</v>
      </c>
      <c r="KH14" s="3">
        <v>2.1064639999999999</v>
      </c>
      <c r="KI14" s="3">
        <v>2.1064639999999999</v>
      </c>
      <c r="KJ14" s="3">
        <v>2.1064639999999999</v>
      </c>
      <c r="KK14" s="3">
        <v>2.1064639999999999</v>
      </c>
      <c r="KL14" s="3">
        <v>2.1064639999999999</v>
      </c>
      <c r="KM14" s="3">
        <v>2.1064639999999999</v>
      </c>
      <c r="KN14" s="3">
        <v>2.1064639999999999</v>
      </c>
      <c r="KO14" s="3">
        <v>2.1064639999999999</v>
      </c>
      <c r="KP14" s="3">
        <v>2.1064639999999999</v>
      </c>
      <c r="KQ14" s="3">
        <v>2.1064639999999999</v>
      </c>
      <c r="KR14" s="3">
        <v>2.1064639999999999</v>
      </c>
      <c r="KS14" s="3">
        <v>2.1064639999999999</v>
      </c>
      <c r="KT14" s="3">
        <v>2.1064639999999999</v>
      </c>
      <c r="KU14" s="3">
        <v>2.1064639999999999</v>
      </c>
      <c r="KV14" s="3">
        <v>2.1064639999999999</v>
      </c>
      <c r="KW14" s="3">
        <v>2.1064639999999999</v>
      </c>
      <c r="KX14" s="3">
        <v>2.1064639999999999</v>
      </c>
      <c r="KY14" s="3">
        <v>2.1064639999999999</v>
      </c>
      <c r="KZ14" s="3">
        <v>2.1064639999999999</v>
      </c>
      <c r="LA14" s="3">
        <v>2.1064639999999999</v>
      </c>
      <c r="LB14" s="3">
        <v>2.1064639999999999</v>
      </c>
      <c r="LC14" s="3">
        <v>2.1064639999999999</v>
      </c>
      <c r="LD14" s="3">
        <v>2.1064639999999999</v>
      </c>
      <c r="LE14" s="3">
        <v>2.1064639999999999</v>
      </c>
      <c r="LF14" s="3">
        <v>2.1064639999999999</v>
      </c>
      <c r="LG14" s="1" t="s">
        <v>1021</v>
      </c>
      <c r="LH14" t="b">
        <v>0</v>
      </c>
      <c r="LI14" t="s">
        <v>337</v>
      </c>
      <c r="LJ14" t="s">
        <v>337</v>
      </c>
      <c r="LK14">
        <v>2024</v>
      </c>
      <c r="LL14">
        <v>2</v>
      </c>
      <c r="LM14" t="s">
        <v>337</v>
      </c>
      <c r="LN14" s="1" t="s">
        <v>1022</v>
      </c>
      <c r="LO14" s="1" t="s">
        <v>603</v>
      </c>
      <c r="LP14" t="s">
        <v>340</v>
      </c>
      <c r="LQ14" s="1" t="s">
        <v>1023</v>
      </c>
      <c r="LR14" s="1" t="s">
        <v>1043</v>
      </c>
    </row>
    <row r="15" spans="1:330" x14ac:dyDescent="0.25">
      <c r="A15" t="s">
        <v>330</v>
      </c>
      <c r="B15" s="1" t="s">
        <v>1024</v>
      </c>
      <c r="C15" s="1" t="s">
        <v>1042</v>
      </c>
      <c r="D15" t="s">
        <v>1020</v>
      </c>
      <c r="E15" t="s">
        <v>337</v>
      </c>
      <c r="F15" t="s">
        <v>334</v>
      </c>
      <c r="G15" s="2">
        <v>1E-3</v>
      </c>
      <c r="H15" s="2">
        <v>1E-3</v>
      </c>
      <c r="I15" s="2">
        <v>1E-3</v>
      </c>
      <c r="J15" s="2">
        <v>1E-3</v>
      </c>
      <c r="K15" s="2">
        <v>1E-3</v>
      </c>
      <c r="L15" s="2">
        <v>1E-3</v>
      </c>
      <c r="M15" s="2">
        <v>1E-3</v>
      </c>
      <c r="N15" s="2">
        <v>1E-3</v>
      </c>
      <c r="O15" s="2">
        <v>1E-3</v>
      </c>
      <c r="P15" s="2">
        <v>1E-3</v>
      </c>
      <c r="Q15" s="2">
        <v>1E-3</v>
      </c>
      <c r="R15" s="2">
        <v>1E-3</v>
      </c>
      <c r="S15" s="2">
        <v>1E-3</v>
      </c>
      <c r="T15" s="2">
        <v>1E-3</v>
      </c>
      <c r="U15" s="2">
        <v>1E-3</v>
      </c>
      <c r="V15" s="2">
        <v>1E-3</v>
      </c>
      <c r="W15" s="2">
        <v>1E-3</v>
      </c>
      <c r="X15" s="2">
        <v>1E-3</v>
      </c>
      <c r="Y15" s="2">
        <v>1E-3</v>
      </c>
      <c r="Z15" s="2">
        <v>1E-3</v>
      </c>
      <c r="AA15" s="2">
        <v>1E-3</v>
      </c>
      <c r="AB15" s="2">
        <v>1E-3</v>
      </c>
      <c r="AC15" s="2">
        <v>1E-3</v>
      </c>
      <c r="AD15" s="2">
        <v>1E-3</v>
      </c>
      <c r="AE15" s="2">
        <v>1E-3</v>
      </c>
      <c r="AF15" s="2">
        <v>1E-3</v>
      </c>
      <c r="AG15" s="2">
        <v>1E-3</v>
      </c>
      <c r="AH15" s="2">
        <v>1E-3</v>
      </c>
      <c r="AI15" s="2">
        <v>1E-3</v>
      </c>
      <c r="AJ15" s="2">
        <v>1E-3</v>
      </c>
      <c r="AK15" s="2">
        <v>1E-3</v>
      </c>
      <c r="AL15" s="2">
        <v>1E-3</v>
      </c>
      <c r="AM15" s="2">
        <v>1E-3</v>
      </c>
      <c r="AN15" s="2">
        <v>1E-3</v>
      </c>
      <c r="AO15" s="2">
        <v>1E-3</v>
      </c>
      <c r="AP15" s="2">
        <v>1E-3</v>
      </c>
      <c r="AQ15" s="2">
        <v>1E-3</v>
      </c>
      <c r="AR15" s="2">
        <v>1E-3</v>
      </c>
      <c r="AS15" s="2">
        <v>1E-3</v>
      </c>
      <c r="AT15" s="2">
        <v>1E-3</v>
      </c>
      <c r="AU15" s="2">
        <v>1E-3</v>
      </c>
      <c r="AV15" s="2">
        <v>1E-3</v>
      </c>
      <c r="AW15" s="2">
        <v>1E-3</v>
      </c>
      <c r="AX15" s="2">
        <v>1E-3</v>
      </c>
      <c r="AY15" s="2">
        <v>1E-3</v>
      </c>
      <c r="AZ15" s="2">
        <v>1E-3</v>
      </c>
      <c r="BA15" s="2">
        <v>1E-3</v>
      </c>
      <c r="BB15" s="2">
        <v>1E-3</v>
      </c>
      <c r="BC15" s="2">
        <v>1E-3</v>
      </c>
      <c r="BD15" s="2">
        <v>1E-3</v>
      </c>
      <c r="BE15" s="2">
        <v>1E-3</v>
      </c>
      <c r="BF15" s="2">
        <v>1E-3</v>
      </c>
      <c r="BG15" s="2">
        <v>1E-3</v>
      </c>
      <c r="BH15" s="2">
        <v>1E-3</v>
      </c>
      <c r="BI15" s="2">
        <v>1E-3</v>
      </c>
      <c r="BJ15" s="2">
        <v>1E-3</v>
      </c>
      <c r="BK15" s="2">
        <v>1E-3</v>
      </c>
      <c r="BL15" s="2">
        <v>1E-3</v>
      </c>
      <c r="BM15" s="2">
        <v>1E-3</v>
      </c>
      <c r="BN15" s="2">
        <v>1E-3</v>
      </c>
      <c r="BO15" s="2">
        <v>1E-3</v>
      </c>
      <c r="BP15" s="2">
        <v>1E-3</v>
      </c>
      <c r="BQ15" s="2">
        <v>1E-3</v>
      </c>
      <c r="BR15" s="2">
        <v>1E-3</v>
      </c>
      <c r="BS15" s="2">
        <v>1E-3</v>
      </c>
      <c r="BT15" s="2">
        <v>1E-3</v>
      </c>
      <c r="BU15" s="2">
        <v>1E-3</v>
      </c>
      <c r="BV15" s="2">
        <v>1E-3</v>
      </c>
      <c r="BW15" s="2">
        <v>1E-3</v>
      </c>
      <c r="BX15" s="2">
        <v>1E-3</v>
      </c>
      <c r="BY15" s="2">
        <v>1E-3</v>
      </c>
      <c r="BZ15" s="2">
        <v>1E-3</v>
      </c>
      <c r="CA15" s="2">
        <v>1E-3</v>
      </c>
      <c r="CB15" s="2">
        <v>1E-3</v>
      </c>
      <c r="CC15" s="2">
        <v>1E-3</v>
      </c>
      <c r="CD15" s="2">
        <v>1E-3</v>
      </c>
      <c r="CE15" s="2">
        <v>1E-3</v>
      </c>
      <c r="CF15" s="2">
        <v>1E-3</v>
      </c>
      <c r="CG15" s="2">
        <v>1E-3</v>
      </c>
      <c r="CH15" s="2">
        <v>1E-3</v>
      </c>
      <c r="CI15" s="2">
        <v>1E-3</v>
      </c>
      <c r="CJ15" s="2">
        <v>1E-3</v>
      </c>
      <c r="CK15" s="2">
        <v>1E-3</v>
      </c>
      <c r="CL15" s="2">
        <v>1E-3</v>
      </c>
      <c r="CM15" s="2">
        <v>1E-3</v>
      </c>
      <c r="CN15" s="2">
        <v>1E-3</v>
      </c>
      <c r="CO15" s="2">
        <v>1E-3</v>
      </c>
      <c r="CP15" s="2">
        <v>1E-3</v>
      </c>
      <c r="CQ15" s="2">
        <v>1E-3</v>
      </c>
      <c r="CR15" s="2">
        <v>1E-3</v>
      </c>
      <c r="CS15" s="2">
        <v>1E-3</v>
      </c>
      <c r="CT15" s="2">
        <v>1E-3</v>
      </c>
      <c r="CU15" s="2">
        <v>1E-3</v>
      </c>
      <c r="CV15" s="2">
        <v>1E-3</v>
      </c>
      <c r="CW15" s="2">
        <v>1E-3</v>
      </c>
      <c r="CX15" s="2">
        <v>1E-3</v>
      </c>
      <c r="CY15" s="2">
        <v>1E-3</v>
      </c>
      <c r="CZ15" s="2">
        <v>1E-3</v>
      </c>
      <c r="DA15" s="2">
        <v>1E-3</v>
      </c>
      <c r="DB15" s="2">
        <v>1E-3</v>
      </c>
      <c r="DC15" s="2">
        <v>1E-3</v>
      </c>
      <c r="DD15" s="2">
        <v>1E-3</v>
      </c>
      <c r="DE15" s="2">
        <v>1E-3</v>
      </c>
      <c r="DF15" s="2">
        <v>1E-3</v>
      </c>
      <c r="DG15" s="2">
        <v>1E-3</v>
      </c>
      <c r="DH15" s="2">
        <v>1E-3</v>
      </c>
      <c r="DI15" s="2">
        <v>1E-3</v>
      </c>
      <c r="DJ15" s="2">
        <v>1E-3</v>
      </c>
      <c r="DK15" s="2">
        <v>1E-3</v>
      </c>
      <c r="DL15" s="2">
        <v>1E-3</v>
      </c>
      <c r="DM15" s="2">
        <v>1E-3</v>
      </c>
      <c r="DN15" s="2">
        <v>1E-3</v>
      </c>
      <c r="DO15" s="2">
        <v>1E-3</v>
      </c>
      <c r="DP15" s="2">
        <v>1E-3</v>
      </c>
      <c r="DQ15" s="2">
        <v>1E-3</v>
      </c>
      <c r="DR15" s="2">
        <v>1E-3</v>
      </c>
      <c r="DS15" s="2">
        <v>1E-3</v>
      </c>
      <c r="DT15" s="2">
        <v>1E-3</v>
      </c>
      <c r="DU15" s="2">
        <v>1E-3</v>
      </c>
      <c r="DV15" s="2">
        <v>1E-3</v>
      </c>
      <c r="DW15" s="2">
        <v>1E-3</v>
      </c>
      <c r="DX15" s="2">
        <v>1E-3</v>
      </c>
      <c r="DY15" s="2">
        <v>1E-3</v>
      </c>
      <c r="DZ15" s="2">
        <v>1E-3</v>
      </c>
      <c r="EA15" s="2">
        <v>1E-3</v>
      </c>
      <c r="EB15" s="2">
        <v>1E-3</v>
      </c>
      <c r="EC15" s="2">
        <v>1E-3</v>
      </c>
      <c r="ED15" s="2">
        <v>1E-3</v>
      </c>
      <c r="EE15" s="2">
        <v>1E-3</v>
      </c>
      <c r="EF15" s="2">
        <v>1E-3</v>
      </c>
      <c r="EG15" s="2">
        <v>1E-3</v>
      </c>
      <c r="EH15" s="2">
        <v>1E-3</v>
      </c>
      <c r="EI15" s="2">
        <v>1E-3</v>
      </c>
      <c r="EJ15" s="2">
        <v>1E-3</v>
      </c>
      <c r="EK15" s="2">
        <v>1E-3</v>
      </c>
      <c r="EL15" s="2">
        <v>1E-3</v>
      </c>
      <c r="EM15" s="2">
        <v>1E-3</v>
      </c>
      <c r="EN15" s="2">
        <v>1E-3</v>
      </c>
      <c r="EO15" s="2">
        <v>1E-3</v>
      </c>
      <c r="EP15" s="2">
        <v>1E-3</v>
      </c>
      <c r="EQ15" s="2">
        <v>1E-3</v>
      </c>
      <c r="ER15" s="2">
        <v>1E-3</v>
      </c>
      <c r="ES15" s="2">
        <v>1E-3</v>
      </c>
      <c r="ET15" s="2">
        <v>1E-3</v>
      </c>
      <c r="EU15" s="2">
        <v>1E-3</v>
      </c>
      <c r="EV15" s="2">
        <v>1E-3</v>
      </c>
      <c r="EW15" s="2">
        <v>1E-3</v>
      </c>
      <c r="EX15" s="2">
        <v>1E-3</v>
      </c>
      <c r="EY15" s="2">
        <v>1E-3</v>
      </c>
      <c r="EZ15" s="2">
        <v>1E-3</v>
      </c>
      <c r="FA15" s="2">
        <v>1E-3</v>
      </c>
      <c r="FB15" s="2">
        <v>1E-3</v>
      </c>
      <c r="FC15" s="2">
        <v>1E-3</v>
      </c>
      <c r="FD15" s="2">
        <v>1E-3</v>
      </c>
      <c r="FE15" s="2">
        <v>1E-3</v>
      </c>
      <c r="FF15" s="2">
        <v>1E-3</v>
      </c>
      <c r="FG15" s="2">
        <v>1E-3</v>
      </c>
      <c r="FH15" s="2">
        <v>1E-3</v>
      </c>
      <c r="FI15" s="2">
        <v>1E-3</v>
      </c>
      <c r="FJ15" s="2">
        <v>1E-3</v>
      </c>
      <c r="FK15" s="2">
        <v>1E-3</v>
      </c>
      <c r="FL15" s="2">
        <v>1E-3</v>
      </c>
      <c r="FM15" s="2">
        <v>1E-3</v>
      </c>
      <c r="FN15" s="2">
        <v>1E-3</v>
      </c>
      <c r="FO15" s="2">
        <v>1E-3</v>
      </c>
      <c r="FP15" s="2">
        <v>1E-3</v>
      </c>
      <c r="FQ15" s="2">
        <v>1.6628039999999999</v>
      </c>
      <c r="FR15" s="2">
        <v>1.3238080000000001</v>
      </c>
      <c r="FS15" s="2">
        <v>1.0758099999999999</v>
      </c>
      <c r="FT15" s="2">
        <v>1.2271669999999999</v>
      </c>
      <c r="FU15" s="2">
        <v>1.3077449999999999</v>
      </c>
      <c r="FV15" s="2">
        <v>1.1407590000000001</v>
      </c>
      <c r="FW15" s="2">
        <v>0.7460831</v>
      </c>
      <c r="FX15" s="2">
        <v>0.61635689999999999</v>
      </c>
      <c r="FY15" s="2">
        <v>0.20009389999999999</v>
      </c>
      <c r="FZ15" s="2">
        <v>0.51158150000000002</v>
      </c>
      <c r="GA15" s="2">
        <v>0.5734416</v>
      </c>
      <c r="GB15" s="2">
        <v>0.51767390000000002</v>
      </c>
      <c r="GC15" s="2">
        <v>0.67274920000000005</v>
      </c>
      <c r="GD15" s="2">
        <v>0.89198120000000003</v>
      </c>
      <c r="GE15" s="2">
        <v>1.092973</v>
      </c>
      <c r="GF15" s="2">
        <v>1.0622720000000001</v>
      </c>
      <c r="GG15" s="2">
        <v>1.0784629999999999</v>
      </c>
      <c r="GH15" s="2">
        <v>1.117405</v>
      </c>
      <c r="GI15" s="2">
        <v>0.98093589999999997</v>
      </c>
      <c r="GJ15" s="2">
        <v>0.83509840000000002</v>
      </c>
      <c r="GK15" s="2">
        <v>0.48114400000000002</v>
      </c>
      <c r="GL15" s="2">
        <v>0.57794239999999997</v>
      </c>
      <c r="GM15" s="2">
        <v>0.43880459999999999</v>
      </c>
      <c r="GN15" s="2">
        <v>0.1120569</v>
      </c>
      <c r="GO15" s="2">
        <v>-2.2577300000000002E-2</v>
      </c>
      <c r="GP15" s="2">
        <v>2.346061E-2</v>
      </c>
      <c r="GQ15" s="2">
        <v>0.2252266</v>
      </c>
      <c r="GR15" s="2">
        <v>0.45630769999999998</v>
      </c>
      <c r="GS15" s="2">
        <v>0.47962579999999999</v>
      </c>
      <c r="GT15" s="2">
        <v>0.94125300000000001</v>
      </c>
      <c r="GU15" s="2">
        <v>1.5181469999999999</v>
      </c>
      <c r="GV15" s="2">
        <v>2.2661720000000001</v>
      </c>
      <c r="GW15" s="2">
        <v>3.0635319999999999</v>
      </c>
      <c r="GX15" s="2">
        <v>4.1811449999999999</v>
      </c>
      <c r="GY15" s="2">
        <v>3.7578680000000002</v>
      </c>
      <c r="GZ15" s="2">
        <v>4.2907570000000002</v>
      </c>
      <c r="HA15" s="2">
        <v>4.8693939999999998</v>
      </c>
      <c r="HB15" s="2">
        <v>4.2015229999999999</v>
      </c>
      <c r="HC15" s="2">
        <v>3.8337020000000002</v>
      </c>
      <c r="HD15" s="2">
        <v>4.0494620000000001</v>
      </c>
      <c r="HE15" s="3">
        <v>3.7910439999999999</v>
      </c>
      <c r="HF15" s="3">
        <v>3.720237</v>
      </c>
      <c r="HG15" s="3">
        <v>3.6993230000000001</v>
      </c>
      <c r="HH15" s="3">
        <v>3.6289920000000002</v>
      </c>
      <c r="HI15" s="3">
        <v>3.5824590000000001</v>
      </c>
      <c r="HJ15" s="3">
        <v>3.5396480000000001</v>
      </c>
      <c r="HK15" s="3">
        <v>3.4559359999999999</v>
      </c>
      <c r="HL15" s="3">
        <v>3.3452989999999998</v>
      </c>
      <c r="HM15" s="3">
        <v>3.169502</v>
      </c>
      <c r="HN15" s="3">
        <v>2.990065</v>
      </c>
      <c r="HO15" s="3">
        <v>2.8292999999999999</v>
      </c>
      <c r="HP15" s="3">
        <v>2.6837909999999998</v>
      </c>
      <c r="HQ15" s="3">
        <v>2.5133549999999998</v>
      </c>
      <c r="HR15" s="3">
        <v>2.4334739999999999</v>
      </c>
      <c r="HS15" s="3">
        <v>2.4334739999999999</v>
      </c>
      <c r="HT15" s="3">
        <v>2.4334739999999999</v>
      </c>
      <c r="HU15" s="3">
        <v>2.4334739999999999</v>
      </c>
      <c r="HV15" s="3">
        <v>2.4334739999999999</v>
      </c>
      <c r="HW15" s="3">
        <v>2.4334739999999999</v>
      </c>
      <c r="HX15" s="3">
        <v>2.4334739999999999</v>
      </c>
      <c r="HY15" s="3">
        <v>2.4334739999999999</v>
      </c>
      <c r="HZ15" s="3">
        <v>2.4334739999999999</v>
      </c>
      <c r="IA15" s="3">
        <v>2.4334739999999999</v>
      </c>
      <c r="IB15" s="3">
        <v>2.4334739999999999</v>
      </c>
      <c r="IC15" s="3">
        <v>2.4334739999999999</v>
      </c>
      <c r="ID15" s="3">
        <v>2.4334739999999999</v>
      </c>
      <c r="IE15" s="3">
        <v>2.4334739999999999</v>
      </c>
      <c r="IF15" s="3">
        <v>2.4334739999999999</v>
      </c>
      <c r="IG15" s="3">
        <v>2.4334739999999999</v>
      </c>
      <c r="IH15" s="3">
        <v>2.4334739999999999</v>
      </c>
      <c r="II15" s="3">
        <v>2.4334739999999999</v>
      </c>
      <c r="IJ15" s="3">
        <v>2.4334739999999999</v>
      </c>
      <c r="IK15" s="3">
        <v>2.4334739999999999</v>
      </c>
      <c r="IL15" s="3">
        <v>2.4334739999999999</v>
      </c>
      <c r="IM15" s="3">
        <v>2.4334739999999999</v>
      </c>
      <c r="IN15" s="3">
        <v>2.4334739999999999</v>
      </c>
      <c r="IO15" s="3">
        <v>2.4334739999999999</v>
      </c>
      <c r="IP15" s="3">
        <v>2.4334739999999999</v>
      </c>
      <c r="IQ15" s="3">
        <v>2.4334739999999999</v>
      </c>
      <c r="IR15" s="3">
        <v>2.4334739999999999</v>
      </c>
      <c r="IS15" s="3">
        <v>2.4334739999999999</v>
      </c>
      <c r="IT15" s="3">
        <v>2.4334739999999999</v>
      </c>
      <c r="IU15" s="3">
        <v>2.4334739999999999</v>
      </c>
      <c r="IV15" s="3">
        <v>2.4334739999999999</v>
      </c>
      <c r="IW15" s="3">
        <v>2.4334739999999999</v>
      </c>
      <c r="IX15" s="3">
        <v>2.4334739999999999</v>
      </c>
      <c r="IY15" s="3">
        <v>2.4334739999999999</v>
      </c>
      <c r="IZ15" s="3">
        <v>2.4334739999999999</v>
      </c>
      <c r="JA15" s="3">
        <v>2.4334739999999999</v>
      </c>
      <c r="JB15" s="3">
        <v>2.4334739999999999</v>
      </c>
      <c r="JC15" s="3">
        <v>2.4334739999999999</v>
      </c>
      <c r="JD15" s="3">
        <v>2.4334739999999999</v>
      </c>
      <c r="JE15" s="3">
        <v>2.4334739999999999</v>
      </c>
      <c r="JF15" s="3">
        <v>2.4334739999999999</v>
      </c>
      <c r="JG15" s="3">
        <v>2.4334739999999999</v>
      </c>
      <c r="JH15" s="3">
        <v>2.4334739999999999</v>
      </c>
      <c r="JI15" s="3">
        <v>2.4334739999999999</v>
      </c>
      <c r="JJ15" s="3">
        <v>2.4334739999999999</v>
      </c>
      <c r="JK15" s="3">
        <v>2.4334739999999999</v>
      </c>
      <c r="JL15" s="3">
        <v>2.4334739999999999</v>
      </c>
      <c r="JM15" s="3">
        <v>2.4334739999999999</v>
      </c>
      <c r="JN15" s="3">
        <v>2.4334739999999999</v>
      </c>
      <c r="JO15" s="3">
        <v>2.4334739999999999</v>
      </c>
      <c r="JP15" s="3">
        <v>2.4334739999999999</v>
      </c>
      <c r="JQ15" s="3">
        <v>2.4334739999999999</v>
      </c>
      <c r="JR15" s="3">
        <v>2.4334739999999999</v>
      </c>
      <c r="JS15" s="3">
        <v>2.4334739999999999</v>
      </c>
      <c r="JT15" s="3">
        <v>2.4334739999999999</v>
      </c>
      <c r="JU15" s="3">
        <v>2.4334739999999999</v>
      </c>
      <c r="JV15" s="3">
        <v>2.4334739999999999</v>
      </c>
      <c r="JW15" s="3">
        <v>2.4334739999999999</v>
      </c>
      <c r="JX15" s="3">
        <v>2.4334739999999999</v>
      </c>
      <c r="JY15" s="3">
        <v>2.4334739999999999</v>
      </c>
      <c r="JZ15" s="3">
        <v>2.4334739999999999</v>
      </c>
      <c r="KA15" s="3">
        <v>2.4334739999999999</v>
      </c>
      <c r="KB15" s="3">
        <v>2.4334739999999999</v>
      </c>
      <c r="KC15" s="3">
        <v>2.4334739999999999</v>
      </c>
      <c r="KD15" s="3">
        <v>2.4334739999999999</v>
      </c>
      <c r="KE15" s="3">
        <v>2.4334739999999999</v>
      </c>
      <c r="KF15" s="3">
        <v>2.4334739999999999</v>
      </c>
      <c r="KG15" s="3">
        <v>2.4334739999999999</v>
      </c>
      <c r="KH15" s="3">
        <v>2.4334739999999999</v>
      </c>
      <c r="KI15" s="3">
        <v>2.4334739999999999</v>
      </c>
      <c r="KJ15" s="3">
        <v>2.4334739999999999</v>
      </c>
      <c r="KK15" s="3">
        <v>2.4334739999999999</v>
      </c>
      <c r="KL15" s="3">
        <v>2.4334739999999999</v>
      </c>
      <c r="KM15" s="3">
        <v>2.4334739999999999</v>
      </c>
      <c r="KN15" s="3">
        <v>2.4334739999999999</v>
      </c>
      <c r="KO15" s="3">
        <v>2.4334739999999999</v>
      </c>
      <c r="KP15" s="3">
        <v>2.4334739999999999</v>
      </c>
      <c r="KQ15" s="3">
        <v>2.4334739999999999</v>
      </c>
      <c r="KR15" s="3">
        <v>2.4334739999999999</v>
      </c>
      <c r="KS15" s="3">
        <v>2.4334739999999999</v>
      </c>
      <c r="KT15" s="3">
        <v>2.4334739999999999</v>
      </c>
      <c r="KU15" s="3">
        <v>2.4334739999999999</v>
      </c>
      <c r="KV15" s="3">
        <v>2.4334739999999999</v>
      </c>
      <c r="KW15" s="3">
        <v>2.4334739999999999</v>
      </c>
      <c r="KX15" s="3">
        <v>2.4334739999999999</v>
      </c>
      <c r="KY15" s="3">
        <v>2.4334739999999999</v>
      </c>
      <c r="KZ15" s="3">
        <v>2.4334739999999999</v>
      </c>
      <c r="LA15" s="3">
        <v>2.4334739999999999</v>
      </c>
      <c r="LB15" s="3">
        <v>2.4334739999999999</v>
      </c>
      <c r="LC15" s="3">
        <v>2.4334739999999999</v>
      </c>
      <c r="LD15" s="3">
        <v>2.4334739999999999</v>
      </c>
      <c r="LE15" s="3">
        <v>2.4334739999999999</v>
      </c>
      <c r="LF15" s="3">
        <v>2.4334739999999999</v>
      </c>
      <c r="LG15" s="1" t="s">
        <v>601</v>
      </c>
      <c r="LH15" t="b">
        <v>0</v>
      </c>
      <c r="LI15" t="s">
        <v>337</v>
      </c>
      <c r="LJ15" t="s">
        <v>337</v>
      </c>
      <c r="LK15">
        <v>2024</v>
      </c>
      <c r="LL15">
        <v>2</v>
      </c>
      <c r="LM15" t="s">
        <v>337</v>
      </c>
      <c r="LN15" s="1" t="s">
        <v>592</v>
      </c>
      <c r="LO15" s="1" t="s">
        <v>604</v>
      </c>
      <c r="LP15" t="s">
        <v>340</v>
      </c>
      <c r="LQ15" s="1" t="s">
        <v>1025</v>
      </c>
      <c r="LR15" s="1" t="s">
        <v>1043</v>
      </c>
    </row>
    <row r="16" spans="1:330" x14ac:dyDescent="0.25">
      <c r="A16" t="s">
        <v>330</v>
      </c>
      <c r="B16" t="s">
        <v>331</v>
      </c>
      <c r="C16" s="1" t="s">
        <v>349</v>
      </c>
      <c r="D16" t="s">
        <v>332</v>
      </c>
      <c r="E16" t="s">
        <v>333</v>
      </c>
      <c r="F16" t="s">
        <v>334</v>
      </c>
      <c r="G16" s="2">
        <v>223780</v>
      </c>
      <c r="H16" s="2">
        <v>224213</v>
      </c>
      <c r="I16" s="2">
        <v>222122</v>
      </c>
      <c r="J16" s="2">
        <v>221266</v>
      </c>
      <c r="K16" s="2">
        <v>215122</v>
      </c>
      <c r="L16" s="2">
        <v>218215</v>
      </c>
      <c r="M16" s="2">
        <v>219517</v>
      </c>
      <c r="N16" s="2">
        <v>216301</v>
      </c>
      <c r="O16" s="2">
        <v>216390</v>
      </c>
      <c r="P16" s="2">
        <v>212882</v>
      </c>
      <c r="Q16" s="2">
        <v>212192</v>
      </c>
      <c r="R16" s="2">
        <v>214585</v>
      </c>
      <c r="S16" s="2">
        <v>218180</v>
      </c>
      <c r="T16" s="2">
        <v>217883</v>
      </c>
      <c r="U16" s="2">
        <v>220587</v>
      </c>
      <c r="V16" s="2">
        <v>225228</v>
      </c>
      <c r="W16" s="2">
        <v>225362</v>
      </c>
      <c r="X16" s="2">
        <v>223815</v>
      </c>
      <c r="Y16" s="2">
        <v>225295</v>
      </c>
      <c r="Z16" s="2">
        <v>229115</v>
      </c>
      <c r="AA16" s="2">
        <v>231258</v>
      </c>
      <c r="AB16" s="2">
        <v>233910</v>
      </c>
      <c r="AC16" s="2">
        <v>237107</v>
      </c>
      <c r="AD16" s="2">
        <v>239186</v>
      </c>
      <c r="AE16" s="2">
        <v>238472</v>
      </c>
      <c r="AF16" s="2">
        <v>248867</v>
      </c>
      <c r="AG16" s="2">
        <v>243369</v>
      </c>
      <c r="AH16" s="2">
        <v>245858</v>
      </c>
      <c r="AI16" s="2">
        <v>243513</v>
      </c>
      <c r="AJ16" s="2">
        <v>238722</v>
      </c>
      <c r="AK16" s="2">
        <v>238432</v>
      </c>
      <c r="AL16" s="2">
        <v>235866</v>
      </c>
      <c r="AM16" s="2">
        <v>235712</v>
      </c>
      <c r="AN16" s="2">
        <v>236272</v>
      </c>
      <c r="AO16" s="2">
        <v>238846</v>
      </c>
      <c r="AP16" s="2">
        <v>239131</v>
      </c>
      <c r="AQ16" s="2">
        <v>239578</v>
      </c>
      <c r="AR16" s="2">
        <v>242095</v>
      </c>
      <c r="AS16" s="2">
        <v>242639</v>
      </c>
      <c r="AT16" s="2">
        <v>244317</v>
      </c>
      <c r="AU16" s="2">
        <v>249032</v>
      </c>
      <c r="AV16" s="2">
        <v>250761</v>
      </c>
      <c r="AW16" s="2">
        <v>253655</v>
      </c>
      <c r="AX16" s="2">
        <v>255533</v>
      </c>
      <c r="AY16" s="2">
        <v>257683</v>
      </c>
      <c r="AZ16" s="2">
        <v>255100</v>
      </c>
      <c r="BA16" s="2">
        <v>256975</v>
      </c>
      <c r="BB16" s="2">
        <v>261627</v>
      </c>
      <c r="BC16" s="2">
        <v>264127</v>
      </c>
      <c r="BD16" s="2">
        <v>269787</v>
      </c>
      <c r="BE16" s="2">
        <v>269737</v>
      </c>
      <c r="BF16" s="2">
        <v>269896</v>
      </c>
      <c r="BG16" s="2">
        <v>272720</v>
      </c>
      <c r="BH16" s="2">
        <v>275136</v>
      </c>
      <c r="BI16" s="2">
        <v>276863</v>
      </c>
      <c r="BJ16" s="2">
        <v>282193</v>
      </c>
      <c r="BK16" s="2">
        <v>284172</v>
      </c>
      <c r="BL16" s="2">
        <v>288385</v>
      </c>
      <c r="BM16" s="2">
        <v>295493</v>
      </c>
      <c r="BN16" s="2">
        <v>298855</v>
      </c>
      <c r="BO16" s="2">
        <v>303698</v>
      </c>
      <c r="BP16" s="2">
        <v>305281</v>
      </c>
      <c r="BQ16" s="2">
        <v>309097</v>
      </c>
      <c r="BR16" s="2">
        <v>311574</v>
      </c>
      <c r="BS16" s="2">
        <v>313083</v>
      </c>
      <c r="BT16" s="2">
        <v>315039</v>
      </c>
      <c r="BU16" s="2">
        <v>315554</v>
      </c>
      <c r="BV16" s="2">
        <v>315515</v>
      </c>
      <c r="BW16" s="2">
        <v>317117</v>
      </c>
      <c r="BX16" s="2">
        <v>319239</v>
      </c>
      <c r="BY16" s="2">
        <v>315744</v>
      </c>
      <c r="BZ16" s="2">
        <v>314148</v>
      </c>
      <c r="CA16" s="2">
        <v>312596</v>
      </c>
      <c r="CB16" s="2">
        <v>312235</v>
      </c>
      <c r="CC16" s="2">
        <v>311624</v>
      </c>
      <c r="CD16" s="2">
        <v>312006</v>
      </c>
      <c r="CE16" s="2">
        <v>311904</v>
      </c>
      <c r="CF16" s="2">
        <v>311418</v>
      </c>
      <c r="CG16" s="2">
        <v>312896</v>
      </c>
      <c r="CH16" s="2">
        <v>315307</v>
      </c>
      <c r="CI16" s="2">
        <v>316882</v>
      </c>
      <c r="CJ16" s="2">
        <v>318302</v>
      </c>
      <c r="CK16" s="2">
        <v>321218</v>
      </c>
      <c r="CL16" s="2">
        <v>323400</v>
      </c>
      <c r="CM16" s="2">
        <v>326585</v>
      </c>
      <c r="CN16" s="2">
        <v>329584</v>
      </c>
      <c r="CO16" s="2">
        <v>332911</v>
      </c>
      <c r="CP16" s="2">
        <v>334363</v>
      </c>
      <c r="CQ16" s="2">
        <v>336090</v>
      </c>
      <c r="CR16" s="2">
        <v>336789</v>
      </c>
      <c r="CS16" s="2">
        <v>340542</v>
      </c>
      <c r="CT16" s="2">
        <v>341602</v>
      </c>
      <c r="CU16" s="2">
        <v>343859</v>
      </c>
      <c r="CV16" s="2">
        <v>344979</v>
      </c>
      <c r="CW16" s="2">
        <v>348214</v>
      </c>
      <c r="CX16" s="2">
        <v>352958</v>
      </c>
      <c r="CY16" s="2">
        <v>358611</v>
      </c>
      <c r="CZ16" s="2">
        <v>362573</v>
      </c>
      <c r="DA16" s="2">
        <v>365942</v>
      </c>
      <c r="DB16" s="2">
        <v>371341</v>
      </c>
      <c r="DC16" s="2">
        <v>374037</v>
      </c>
      <c r="DD16" s="2">
        <v>376421</v>
      </c>
      <c r="DE16" s="2">
        <v>377650</v>
      </c>
      <c r="DF16" s="2">
        <v>380155</v>
      </c>
      <c r="DG16" s="2">
        <v>382789</v>
      </c>
      <c r="DH16" s="2">
        <v>384605</v>
      </c>
      <c r="DI16" s="2">
        <v>390758</v>
      </c>
      <c r="DJ16" s="2">
        <v>396357</v>
      </c>
      <c r="DK16" s="2">
        <v>401242</v>
      </c>
      <c r="DL16" s="2">
        <v>404196</v>
      </c>
      <c r="DM16" s="2">
        <v>406795</v>
      </c>
      <c r="DN16" s="2">
        <v>409411</v>
      </c>
      <c r="DO16" s="2">
        <v>413054</v>
      </c>
      <c r="DP16" s="2">
        <v>414878</v>
      </c>
      <c r="DQ16" s="2">
        <v>417085</v>
      </c>
      <c r="DR16" s="2">
        <v>418445</v>
      </c>
      <c r="DS16" s="2">
        <v>419534</v>
      </c>
      <c r="DT16" s="2">
        <v>421587</v>
      </c>
      <c r="DU16" s="2">
        <v>424425</v>
      </c>
      <c r="DV16" s="2">
        <v>427725</v>
      </c>
      <c r="DW16" s="2">
        <v>430832</v>
      </c>
      <c r="DX16" s="2">
        <v>434837</v>
      </c>
      <c r="DY16" s="2">
        <v>438710</v>
      </c>
      <c r="DZ16" s="2">
        <v>442172</v>
      </c>
      <c r="EA16" s="2">
        <v>443853</v>
      </c>
      <c r="EB16" s="2">
        <v>446443</v>
      </c>
      <c r="EC16" s="2">
        <v>448171</v>
      </c>
      <c r="ED16" s="2">
        <v>450464</v>
      </c>
      <c r="EE16" s="2">
        <v>453784</v>
      </c>
      <c r="EF16" s="2">
        <v>457557</v>
      </c>
      <c r="EG16" s="2">
        <v>461135</v>
      </c>
      <c r="EH16" s="2">
        <v>465451</v>
      </c>
      <c r="EI16" s="2">
        <v>467840</v>
      </c>
      <c r="EJ16" s="2">
        <v>469655</v>
      </c>
      <c r="EK16" s="2">
        <v>470918</v>
      </c>
      <c r="EL16" s="2">
        <v>473372</v>
      </c>
      <c r="EM16" s="2">
        <v>477823</v>
      </c>
      <c r="EN16" s="2">
        <v>481314</v>
      </c>
      <c r="EO16" s="2">
        <v>484544</v>
      </c>
      <c r="EP16" s="2">
        <v>487413</v>
      </c>
      <c r="EQ16" s="2">
        <v>489783</v>
      </c>
      <c r="ER16" s="2">
        <v>487386</v>
      </c>
      <c r="ES16" s="2">
        <v>479872</v>
      </c>
      <c r="ET16" s="2">
        <v>469694</v>
      </c>
      <c r="EU16" s="2">
        <v>460105</v>
      </c>
      <c r="EV16" s="2">
        <v>458599</v>
      </c>
      <c r="EW16" s="2">
        <v>458875</v>
      </c>
      <c r="EX16" s="2">
        <v>460238</v>
      </c>
      <c r="EY16" s="2">
        <v>464543</v>
      </c>
      <c r="EZ16" s="2">
        <v>469606</v>
      </c>
      <c r="FA16" s="2">
        <v>472199</v>
      </c>
      <c r="FB16" s="2">
        <v>472612</v>
      </c>
      <c r="FC16" s="2">
        <v>473819</v>
      </c>
      <c r="FD16" s="2">
        <v>474365</v>
      </c>
      <c r="FE16" s="2">
        <v>475813</v>
      </c>
      <c r="FF16" s="2">
        <v>476479</v>
      </c>
      <c r="FG16" s="2">
        <v>480632</v>
      </c>
      <c r="FH16" s="2">
        <v>479979</v>
      </c>
      <c r="FI16" s="2">
        <v>484579</v>
      </c>
      <c r="FJ16" s="2">
        <v>484039</v>
      </c>
      <c r="FK16" s="2">
        <v>485409</v>
      </c>
      <c r="FL16" s="2">
        <v>488930</v>
      </c>
      <c r="FM16" s="2">
        <v>493002</v>
      </c>
      <c r="FN16" s="2">
        <v>496466</v>
      </c>
      <c r="FO16" s="2">
        <v>500552</v>
      </c>
      <c r="FP16" s="2">
        <v>504939</v>
      </c>
      <c r="FQ16" s="2">
        <v>508741</v>
      </c>
      <c r="FR16" s="2">
        <v>512334</v>
      </c>
      <c r="FS16" s="2">
        <v>513850</v>
      </c>
      <c r="FT16" s="2">
        <v>516876</v>
      </c>
      <c r="FU16" s="2">
        <v>518915</v>
      </c>
      <c r="FV16" s="2">
        <v>521920</v>
      </c>
      <c r="FW16" s="2">
        <v>523813</v>
      </c>
      <c r="FX16" s="2">
        <v>526750</v>
      </c>
      <c r="FY16" s="2">
        <v>528712</v>
      </c>
      <c r="FZ16" s="2">
        <v>532082</v>
      </c>
      <c r="GA16" s="2">
        <v>536566</v>
      </c>
      <c r="GB16" s="2">
        <v>540020</v>
      </c>
      <c r="GC16" s="2">
        <v>543452</v>
      </c>
      <c r="GD16" s="2">
        <v>547377</v>
      </c>
      <c r="GE16" s="2">
        <v>547688</v>
      </c>
      <c r="GF16" s="2">
        <v>548600</v>
      </c>
      <c r="GG16" s="2">
        <v>550425</v>
      </c>
      <c r="GH16" s="2">
        <v>551128</v>
      </c>
      <c r="GI16" s="2">
        <v>555141</v>
      </c>
      <c r="GJ16" s="2">
        <v>556932</v>
      </c>
      <c r="GK16" s="2">
        <v>560987</v>
      </c>
      <c r="GL16" s="2">
        <v>560861</v>
      </c>
      <c r="GM16" s="2">
        <v>545597</v>
      </c>
      <c r="GN16" s="2">
        <v>434718</v>
      </c>
      <c r="GO16" s="2">
        <v>507643</v>
      </c>
      <c r="GP16" s="2">
        <v>514531</v>
      </c>
      <c r="GQ16" s="2">
        <v>509261</v>
      </c>
      <c r="GR16" s="2">
        <v>546579</v>
      </c>
      <c r="GS16" s="2">
        <v>555956</v>
      </c>
      <c r="GT16" s="2">
        <v>564407</v>
      </c>
      <c r="GU16" s="2">
        <v>567396</v>
      </c>
      <c r="GV16" s="2">
        <v>567889</v>
      </c>
      <c r="GW16" s="2">
        <v>567445</v>
      </c>
      <c r="GX16" s="2">
        <v>568034</v>
      </c>
      <c r="GY16" s="2">
        <v>569472</v>
      </c>
      <c r="GZ16" s="2">
        <v>569687</v>
      </c>
      <c r="HA16" s="2">
        <v>568953</v>
      </c>
      <c r="HB16" s="3">
        <v>569282.69999999995</v>
      </c>
      <c r="HC16" s="3">
        <v>570659.6</v>
      </c>
      <c r="HD16" s="3">
        <v>571736.1</v>
      </c>
      <c r="HE16" s="3">
        <v>573029.5</v>
      </c>
      <c r="HF16" s="3">
        <v>574662.30000000005</v>
      </c>
      <c r="HG16" s="3">
        <v>577115.9</v>
      </c>
      <c r="HH16" s="3">
        <v>580204.1</v>
      </c>
      <c r="HI16" s="3">
        <v>583250.19999999995</v>
      </c>
      <c r="HJ16" s="3">
        <v>586545.4</v>
      </c>
      <c r="HK16" s="3">
        <v>589243.4</v>
      </c>
      <c r="HL16" s="3">
        <v>591777.80000000005</v>
      </c>
      <c r="HM16" s="3">
        <v>594115.19999999995</v>
      </c>
      <c r="HN16" s="3">
        <v>596253.4</v>
      </c>
      <c r="HO16" s="3">
        <v>598459.6</v>
      </c>
      <c r="HP16" s="3">
        <v>600614.1</v>
      </c>
      <c r="HQ16" s="3">
        <v>602776.30000000005</v>
      </c>
      <c r="HR16" s="3">
        <v>604916.1</v>
      </c>
      <c r="HS16" s="3">
        <v>607033.30000000005</v>
      </c>
      <c r="HT16" s="3">
        <v>609127.5</v>
      </c>
      <c r="HU16" s="3">
        <v>611229</v>
      </c>
      <c r="HV16" s="3">
        <v>613337.80000000005</v>
      </c>
      <c r="HW16" s="3">
        <v>615453.80000000005</v>
      </c>
      <c r="HX16" s="3">
        <v>617638.6</v>
      </c>
      <c r="HY16" s="3">
        <v>619831.30000000005</v>
      </c>
      <c r="HZ16" s="3">
        <v>622031.6</v>
      </c>
      <c r="IA16" s="3">
        <v>624208.80000000005</v>
      </c>
      <c r="IB16" s="3">
        <v>626393.5</v>
      </c>
      <c r="IC16" s="3">
        <v>628585.9</v>
      </c>
      <c r="ID16" s="3">
        <v>630785.9</v>
      </c>
      <c r="IE16" s="3">
        <v>633021.1</v>
      </c>
      <c r="IF16" s="3">
        <v>635268.6</v>
      </c>
      <c r="IG16" s="3">
        <v>637528.30000000005</v>
      </c>
      <c r="IH16" s="3">
        <v>639800</v>
      </c>
      <c r="II16" s="3">
        <v>642083.4</v>
      </c>
      <c r="IJ16" s="3">
        <v>644378.80000000005</v>
      </c>
      <c r="IK16" s="3">
        <v>646685.6</v>
      </c>
      <c r="IL16" s="3">
        <v>649003.80000000005</v>
      </c>
      <c r="IM16" s="3">
        <v>651333.4</v>
      </c>
      <c r="IN16" s="3">
        <v>653674.1</v>
      </c>
      <c r="IO16" s="3">
        <v>656025.80000000005</v>
      </c>
      <c r="IP16" s="3">
        <v>658388.1</v>
      </c>
      <c r="IQ16" s="3">
        <v>660761.1</v>
      </c>
      <c r="IR16" s="3">
        <v>663144.6</v>
      </c>
      <c r="IS16" s="3">
        <v>665538.6</v>
      </c>
      <c r="IT16" s="3">
        <v>667942.80000000005</v>
      </c>
      <c r="IU16" s="3">
        <v>670472.30000000005</v>
      </c>
      <c r="IV16" s="3">
        <v>673013.5</v>
      </c>
      <c r="IW16" s="3">
        <v>675566.5</v>
      </c>
      <c r="IX16" s="3">
        <v>678131</v>
      </c>
      <c r="IY16" s="3">
        <v>680709.1</v>
      </c>
      <c r="IZ16" s="3">
        <v>683300.9</v>
      </c>
      <c r="JA16" s="3">
        <v>685906.3</v>
      </c>
      <c r="JB16" s="3">
        <v>688525.3</v>
      </c>
      <c r="JC16" s="3">
        <v>691158.1</v>
      </c>
      <c r="JD16" s="3">
        <v>693804.2</v>
      </c>
      <c r="JE16" s="3">
        <v>696464.1</v>
      </c>
      <c r="JF16" s="3">
        <v>699137.9</v>
      </c>
      <c r="JG16" s="3">
        <v>701825.1</v>
      </c>
      <c r="JH16" s="3">
        <v>704526.1</v>
      </c>
      <c r="JI16" s="3">
        <v>707241.4</v>
      </c>
      <c r="JJ16" s="3">
        <v>709970.8</v>
      </c>
      <c r="JK16" s="3">
        <v>712714.5</v>
      </c>
      <c r="JL16" s="3">
        <v>715472.1</v>
      </c>
      <c r="JM16" s="3">
        <v>718244.4</v>
      </c>
      <c r="JN16" s="3">
        <v>721030.9</v>
      </c>
      <c r="JO16" s="3">
        <v>723831.9</v>
      </c>
      <c r="JP16" s="3">
        <v>726641.4</v>
      </c>
      <c r="JQ16" s="3">
        <v>729459.9</v>
      </c>
      <c r="JR16" s="3">
        <v>732287</v>
      </c>
      <c r="JS16" s="3">
        <v>735073.1</v>
      </c>
      <c r="JT16" s="3">
        <v>737866.6</v>
      </c>
      <c r="JU16" s="3">
        <v>740668.2</v>
      </c>
      <c r="JV16" s="3">
        <v>743477.4</v>
      </c>
      <c r="JW16" s="3">
        <v>746294.4</v>
      </c>
      <c r="JX16" s="3">
        <v>749119.3</v>
      </c>
      <c r="JY16" s="3">
        <v>751951.8</v>
      </c>
      <c r="JZ16" s="3">
        <v>754791.9</v>
      </c>
      <c r="KA16" s="3">
        <v>757639.9</v>
      </c>
      <c r="KB16" s="3">
        <v>760495.2</v>
      </c>
      <c r="KC16" s="3">
        <v>763357.4</v>
      </c>
      <c r="KD16" s="3">
        <v>766226.6</v>
      </c>
      <c r="KE16" s="3">
        <v>769102.8</v>
      </c>
      <c r="KF16" s="3">
        <v>771985.9</v>
      </c>
      <c r="KG16" s="3">
        <v>774875.9</v>
      </c>
      <c r="KH16" s="3">
        <v>777772.7</v>
      </c>
      <c r="KI16" s="3">
        <v>780676.6</v>
      </c>
      <c r="KJ16" s="3">
        <v>783587.1</v>
      </c>
      <c r="KK16" s="3">
        <v>786504.5</v>
      </c>
      <c r="KL16" s="3">
        <v>789428.8</v>
      </c>
      <c r="KM16" s="3">
        <v>792359.9</v>
      </c>
      <c r="KN16" s="3">
        <v>795297.8</v>
      </c>
      <c r="KO16" s="3">
        <v>798242.6</v>
      </c>
      <c r="KP16" s="3">
        <v>801194.3</v>
      </c>
      <c r="KQ16" s="3">
        <v>804152.6</v>
      </c>
      <c r="KR16" s="3">
        <v>807117.9</v>
      </c>
      <c r="KS16" s="3">
        <v>810090</v>
      </c>
      <c r="KT16" s="3">
        <v>813069</v>
      </c>
      <c r="KU16" s="3">
        <v>816055.1</v>
      </c>
      <c r="KV16" s="3">
        <v>819048</v>
      </c>
      <c r="KW16" s="3">
        <v>822047.8</v>
      </c>
      <c r="KX16" s="3">
        <v>825054.7</v>
      </c>
      <c r="KY16" s="3">
        <v>828068.3</v>
      </c>
      <c r="KZ16" s="3">
        <v>831088.9</v>
      </c>
      <c r="LA16" s="3">
        <v>834116.1</v>
      </c>
      <c r="LB16" s="3">
        <v>837150.2</v>
      </c>
      <c r="LC16" s="3">
        <v>840191</v>
      </c>
      <c r="LD16" s="3">
        <v>843238.9</v>
      </c>
      <c r="LE16" s="3">
        <v>846293.1</v>
      </c>
      <c r="LF16" s="3">
        <v>849354.3</v>
      </c>
      <c r="LG16" t="s">
        <v>335</v>
      </c>
      <c r="LH16" t="b">
        <v>1</v>
      </c>
      <c r="LI16" s="1" t="s">
        <v>336</v>
      </c>
      <c r="LJ16" t="s">
        <v>337</v>
      </c>
      <c r="LK16">
        <v>2023</v>
      </c>
      <c r="LL16">
        <v>3</v>
      </c>
      <c r="LM16" t="s">
        <v>337</v>
      </c>
      <c r="LN16" t="s">
        <v>338</v>
      </c>
      <c r="LO16" s="1" t="s">
        <v>339</v>
      </c>
      <c r="LP16" t="s">
        <v>340</v>
      </c>
      <c r="LQ16" t="s">
        <v>341</v>
      </c>
      <c r="LR16" s="1" t="s">
        <v>350</v>
      </c>
    </row>
    <row r="17" spans="1:330" x14ac:dyDescent="0.25">
      <c r="A17" t="s">
        <v>330</v>
      </c>
      <c r="B17" t="s">
        <v>342</v>
      </c>
      <c r="C17" s="1" t="s">
        <v>349</v>
      </c>
      <c r="D17" t="s">
        <v>343</v>
      </c>
      <c r="E17" t="s">
        <v>337</v>
      </c>
      <c r="F17" t="s">
        <v>334</v>
      </c>
      <c r="G17" s="2">
        <v>11.88749</v>
      </c>
      <c r="H17" s="2">
        <v>12.304600000000001</v>
      </c>
      <c r="I17" s="2">
        <v>12.51315</v>
      </c>
      <c r="J17" s="2">
        <v>13.008459999999999</v>
      </c>
      <c r="K17" s="2">
        <v>13.47771</v>
      </c>
      <c r="L17" s="2">
        <v>14.23371</v>
      </c>
      <c r="M17" s="2">
        <v>14.572609999999999</v>
      </c>
      <c r="N17" s="2">
        <v>15.250400000000001</v>
      </c>
      <c r="O17" s="2">
        <v>16.058540000000001</v>
      </c>
      <c r="P17" s="2">
        <v>17.466270000000002</v>
      </c>
      <c r="Q17" s="2">
        <v>18.222280000000001</v>
      </c>
      <c r="R17" s="2">
        <v>18.847930000000002</v>
      </c>
      <c r="S17" s="2">
        <v>19.42145</v>
      </c>
      <c r="T17" s="2">
        <v>20.125319999999999</v>
      </c>
      <c r="U17" s="2">
        <v>20.594560000000001</v>
      </c>
      <c r="V17" s="2">
        <v>21.506979999999999</v>
      </c>
      <c r="W17" s="2">
        <v>22.471530000000001</v>
      </c>
      <c r="X17" s="2">
        <v>23.410019999999999</v>
      </c>
      <c r="Y17" s="2">
        <v>23.82713</v>
      </c>
      <c r="Z17" s="2">
        <v>24.139949999999999</v>
      </c>
      <c r="AA17" s="2">
        <v>24.452780000000001</v>
      </c>
      <c r="AB17" s="2">
        <v>25.078440000000001</v>
      </c>
      <c r="AC17" s="2">
        <v>25.469480000000001</v>
      </c>
      <c r="AD17" s="2">
        <v>25.860510000000001</v>
      </c>
      <c r="AE17" s="2">
        <v>26.43403</v>
      </c>
      <c r="AF17" s="2">
        <v>27.268239999999999</v>
      </c>
      <c r="AG17" s="2">
        <v>28.910589999999999</v>
      </c>
      <c r="AH17" s="2">
        <v>29.718730000000001</v>
      </c>
      <c r="AI17" s="2">
        <v>30.605080000000001</v>
      </c>
      <c r="AJ17" s="2">
        <v>32.247430000000001</v>
      </c>
      <c r="AK17" s="2">
        <v>32.951300000000003</v>
      </c>
      <c r="AL17" s="2">
        <v>33.550879999999999</v>
      </c>
      <c r="AM17" s="2">
        <v>34.385100000000001</v>
      </c>
      <c r="AN17" s="2">
        <v>36.079590000000003</v>
      </c>
      <c r="AO17" s="2">
        <v>36.731310000000001</v>
      </c>
      <c r="AP17" s="2">
        <v>37.435180000000003</v>
      </c>
      <c r="AQ17" s="2">
        <v>37.878349999999998</v>
      </c>
      <c r="AR17" s="2">
        <v>39.181800000000003</v>
      </c>
      <c r="AS17" s="2">
        <v>39.416420000000002</v>
      </c>
      <c r="AT17" s="2">
        <v>39.885669999999998</v>
      </c>
      <c r="AU17" s="2">
        <v>40.172429999999999</v>
      </c>
      <c r="AV17" s="2">
        <v>40.85022</v>
      </c>
      <c r="AW17" s="2">
        <v>41.293399999999998</v>
      </c>
      <c r="AX17" s="2">
        <v>41.762639999999998</v>
      </c>
      <c r="AY17" s="2">
        <v>41.86692</v>
      </c>
      <c r="AZ17" s="2">
        <v>42.779339999999998</v>
      </c>
      <c r="BA17" s="2">
        <v>42.98789</v>
      </c>
      <c r="BB17" s="2">
        <v>43.431060000000002</v>
      </c>
      <c r="BC17" s="2">
        <v>43.874229999999997</v>
      </c>
      <c r="BD17" s="2">
        <v>44.995199999999997</v>
      </c>
      <c r="BE17" s="2">
        <v>45.125549999999997</v>
      </c>
      <c r="BF17" s="2">
        <v>45.490519999999997</v>
      </c>
      <c r="BG17" s="2">
        <v>45.646929999999998</v>
      </c>
      <c r="BH17" s="2">
        <v>46.3508</v>
      </c>
      <c r="BI17" s="2">
        <v>46.533279999999998</v>
      </c>
      <c r="BJ17" s="2">
        <v>46.924320000000002</v>
      </c>
      <c r="BK17" s="2">
        <v>47.237139999999997</v>
      </c>
      <c r="BL17" s="2">
        <v>47.836730000000003</v>
      </c>
      <c r="BM17" s="2">
        <v>47.888869999999997</v>
      </c>
      <c r="BN17" s="2">
        <v>48.436320000000002</v>
      </c>
      <c r="BO17" s="2">
        <v>48.566670000000002</v>
      </c>
      <c r="BP17" s="2">
        <v>49.5</v>
      </c>
      <c r="BQ17" s="2">
        <v>49.9</v>
      </c>
      <c r="BR17" s="2">
        <v>50.466670000000001</v>
      </c>
      <c r="BS17" s="2">
        <v>51</v>
      </c>
      <c r="BT17" s="2">
        <v>52.133339999999997</v>
      </c>
      <c r="BU17" s="2">
        <v>52.466670000000001</v>
      </c>
      <c r="BV17" s="2">
        <v>53.266669999999998</v>
      </c>
      <c r="BW17" s="2">
        <v>53.933329999999998</v>
      </c>
      <c r="BX17" s="2">
        <v>55.6</v>
      </c>
      <c r="BY17" s="2">
        <v>56.4</v>
      </c>
      <c r="BZ17" s="2">
        <v>57.466670000000001</v>
      </c>
      <c r="CA17" s="2">
        <v>57.666670000000003</v>
      </c>
      <c r="CB17" s="2">
        <v>60.266669999999998</v>
      </c>
      <c r="CC17" s="2">
        <v>60.833329999999997</v>
      </c>
      <c r="CD17" s="2">
        <v>61.466670000000001</v>
      </c>
      <c r="CE17" s="2">
        <v>61.7</v>
      </c>
      <c r="CF17" s="2">
        <v>62.833329999999997</v>
      </c>
      <c r="CG17" s="2">
        <v>62.733330000000002</v>
      </c>
      <c r="CH17" s="2">
        <v>63.133339999999997</v>
      </c>
      <c r="CI17" s="2">
        <v>63.2</v>
      </c>
      <c r="CJ17" s="2">
        <v>64.433329999999998</v>
      </c>
      <c r="CK17" s="2">
        <v>64.5</v>
      </c>
      <c r="CL17" s="2">
        <v>64.666659999999993</v>
      </c>
      <c r="CM17" s="2">
        <v>64.766670000000005</v>
      </c>
      <c r="CN17" s="2">
        <v>65.7</v>
      </c>
      <c r="CO17" s="2">
        <v>65.633330000000001</v>
      </c>
      <c r="CP17" s="2">
        <v>65.8</v>
      </c>
      <c r="CQ17" s="2">
        <v>66.333340000000007</v>
      </c>
      <c r="CR17" s="2">
        <v>67.266670000000005</v>
      </c>
      <c r="CS17" s="2">
        <v>67.400000000000006</v>
      </c>
      <c r="CT17" s="2">
        <v>67.733329999999995</v>
      </c>
      <c r="CU17" s="2">
        <v>68.099999999999994</v>
      </c>
      <c r="CV17" s="2">
        <v>68.866669999999999</v>
      </c>
      <c r="CW17" s="2">
        <v>68.933329999999998</v>
      </c>
      <c r="CX17" s="2">
        <v>69.366669999999999</v>
      </c>
      <c r="CY17" s="2">
        <v>69.366669999999999</v>
      </c>
      <c r="CZ17" s="2">
        <v>70</v>
      </c>
      <c r="DA17" s="2">
        <v>70.266670000000005</v>
      </c>
      <c r="DB17" s="2">
        <v>70.633330000000001</v>
      </c>
      <c r="DC17" s="2">
        <v>70.5</v>
      </c>
      <c r="DD17" s="2">
        <v>71.266670000000005</v>
      </c>
      <c r="DE17" s="2">
        <v>71.233329999999995</v>
      </c>
      <c r="DF17" s="2">
        <v>71.633330000000001</v>
      </c>
      <c r="DG17" s="2">
        <v>71.599999999999994</v>
      </c>
      <c r="DH17" s="2">
        <v>72.3</v>
      </c>
      <c r="DI17" s="2">
        <v>72.133330000000001</v>
      </c>
      <c r="DJ17" s="2">
        <v>72.433329999999998</v>
      </c>
      <c r="DK17" s="2">
        <v>72.133330000000001</v>
      </c>
      <c r="DL17" s="2">
        <v>72.766670000000005</v>
      </c>
      <c r="DM17" s="2">
        <v>72.7</v>
      </c>
      <c r="DN17" s="2">
        <v>73.166659999999993</v>
      </c>
      <c r="DO17" s="2">
        <v>72.766670000000005</v>
      </c>
      <c r="DP17" s="2">
        <v>73.833340000000007</v>
      </c>
      <c r="DQ17" s="2">
        <v>73.866669999999999</v>
      </c>
      <c r="DR17" s="2">
        <v>73.900000000000006</v>
      </c>
      <c r="DS17" s="2">
        <v>73.866669999999999</v>
      </c>
      <c r="DT17" s="2">
        <v>74.533330000000007</v>
      </c>
      <c r="DU17" s="2">
        <v>74.599999999999994</v>
      </c>
      <c r="DV17" s="2">
        <v>75</v>
      </c>
      <c r="DW17" s="2">
        <v>75</v>
      </c>
      <c r="DX17" s="2">
        <v>75.466669999999993</v>
      </c>
      <c r="DY17" s="2">
        <v>75.599999999999994</v>
      </c>
      <c r="DZ17" s="2">
        <v>76.033330000000007</v>
      </c>
      <c r="EA17" s="2">
        <v>75.966669999999993</v>
      </c>
      <c r="EB17" s="2">
        <v>76.533330000000007</v>
      </c>
      <c r="EC17" s="2">
        <v>76.566670000000002</v>
      </c>
      <c r="ED17" s="2">
        <v>77.099999999999994</v>
      </c>
      <c r="EE17" s="2">
        <v>77.233329999999995</v>
      </c>
      <c r="EF17" s="2">
        <v>78</v>
      </c>
      <c r="EG17" s="2">
        <v>78.400000000000006</v>
      </c>
      <c r="EH17" s="2">
        <v>78.766670000000005</v>
      </c>
      <c r="EI17" s="2">
        <v>78.733329999999995</v>
      </c>
      <c r="EJ17" s="2">
        <v>79.8</v>
      </c>
      <c r="EK17" s="2">
        <v>80.3</v>
      </c>
      <c r="EL17" s="2">
        <v>80.900000000000006</v>
      </c>
      <c r="EM17" s="2">
        <v>81</v>
      </c>
      <c r="EN17" s="2">
        <v>81.8</v>
      </c>
      <c r="EO17" s="2">
        <v>81.733329999999995</v>
      </c>
      <c r="EP17" s="2">
        <v>82.6</v>
      </c>
      <c r="EQ17" s="2">
        <v>82.933329999999998</v>
      </c>
      <c r="ER17" s="2">
        <v>84.6</v>
      </c>
      <c r="ES17" s="2">
        <v>85.633330000000001</v>
      </c>
      <c r="ET17" s="2">
        <v>85.733329999999995</v>
      </c>
      <c r="EU17" s="2">
        <v>85.433329999999998</v>
      </c>
      <c r="EV17" s="2">
        <v>86.366669999999999</v>
      </c>
      <c r="EW17" s="2">
        <v>86.933329999999998</v>
      </c>
      <c r="EX17" s="2">
        <v>87.566670000000002</v>
      </c>
      <c r="EY17" s="2">
        <v>88.233329999999995</v>
      </c>
      <c r="EZ17" s="2">
        <v>89.366669999999999</v>
      </c>
      <c r="FA17" s="2">
        <v>89.633330000000001</v>
      </c>
      <c r="FB17" s="2">
        <v>90.5</v>
      </c>
      <c r="FC17" s="2">
        <v>91.833340000000007</v>
      </c>
      <c r="FD17" s="2">
        <v>93.3</v>
      </c>
      <c r="FE17" s="2">
        <v>93.833340000000007</v>
      </c>
      <c r="FF17" s="2">
        <v>94.733329999999995</v>
      </c>
      <c r="FG17" s="2">
        <v>95.033330000000007</v>
      </c>
      <c r="FH17" s="2">
        <v>95.8</v>
      </c>
      <c r="FI17" s="2">
        <v>96.066670000000002</v>
      </c>
      <c r="FJ17" s="2">
        <v>97.266670000000005</v>
      </c>
      <c r="FK17" s="2">
        <v>97.666659999999993</v>
      </c>
      <c r="FL17" s="2">
        <v>98.366669999999999</v>
      </c>
      <c r="FM17" s="2">
        <v>98.7</v>
      </c>
      <c r="FN17" s="2">
        <v>99.3</v>
      </c>
      <c r="FO17" s="2">
        <v>99.4</v>
      </c>
      <c r="FP17" s="2">
        <v>100.1</v>
      </c>
      <c r="FQ17" s="2">
        <v>100.13330000000001</v>
      </c>
      <c r="FR17" s="2">
        <v>100.2</v>
      </c>
      <c r="FS17" s="2">
        <v>99.5</v>
      </c>
      <c r="FT17" s="2">
        <v>100.0667</v>
      </c>
      <c r="FU17" s="2">
        <v>100.16670000000001</v>
      </c>
      <c r="FV17" s="2">
        <v>100.3</v>
      </c>
      <c r="FW17" s="2">
        <v>99.833340000000007</v>
      </c>
      <c r="FX17" s="2">
        <v>100.4</v>
      </c>
      <c r="FY17" s="2">
        <v>100.86669999999999</v>
      </c>
      <c r="FZ17" s="2">
        <v>101.5</v>
      </c>
      <c r="GA17" s="2">
        <v>102</v>
      </c>
      <c r="GB17" s="2">
        <v>103.16670000000001</v>
      </c>
      <c r="GC17" s="2">
        <v>103.7</v>
      </c>
      <c r="GD17" s="2">
        <v>104.5667</v>
      </c>
      <c r="GE17" s="2">
        <v>104.7667</v>
      </c>
      <c r="GF17" s="2">
        <v>105.66670000000001</v>
      </c>
      <c r="GG17" s="2">
        <v>106.3</v>
      </c>
      <c r="GH17" s="2">
        <v>106.9333</v>
      </c>
      <c r="GI17" s="2">
        <v>106.7</v>
      </c>
      <c r="GJ17" s="2">
        <v>107.8</v>
      </c>
      <c r="GK17" s="2">
        <v>108.2667</v>
      </c>
      <c r="GL17" s="2">
        <v>108.4333</v>
      </c>
      <c r="GM17" s="2">
        <v>108.4667</v>
      </c>
      <c r="GN17" s="2">
        <v>108.5333</v>
      </c>
      <c r="GO17" s="2">
        <v>108.9333</v>
      </c>
      <c r="GP17" s="2">
        <v>109.0667</v>
      </c>
      <c r="GQ17" s="2">
        <v>109.16670000000001</v>
      </c>
      <c r="GR17" s="2">
        <v>110.7333</v>
      </c>
      <c r="GS17" s="2">
        <v>111.9333</v>
      </c>
      <c r="GT17" s="2">
        <v>114.4</v>
      </c>
      <c r="GU17" s="2">
        <v>115.9333</v>
      </c>
      <c r="GV17" s="2">
        <v>120.86669999999999</v>
      </c>
      <c r="GW17" s="2">
        <v>123.13330000000001</v>
      </c>
      <c r="GX17" s="2">
        <v>126.7</v>
      </c>
      <c r="GY17" s="2">
        <v>127.7333</v>
      </c>
      <c r="GZ17" s="2">
        <v>131.0667</v>
      </c>
      <c r="HA17" s="2">
        <v>131.4</v>
      </c>
      <c r="HB17" s="3">
        <v>131.9015</v>
      </c>
      <c r="HC17" s="3">
        <v>132.4196</v>
      </c>
      <c r="HD17" s="3">
        <v>133.1943</v>
      </c>
      <c r="HE17" s="3">
        <v>133.63149999999999</v>
      </c>
      <c r="HF17" s="3">
        <v>134.00890000000001</v>
      </c>
      <c r="HG17" s="3">
        <v>134.30529999999999</v>
      </c>
      <c r="HH17" s="3">
        <v>135.25069999999999</v>
      </c>
      <c r="HI17" s="3">
        <v>135.82470000000001</v>
      </c>
      <c r="HJ17" s="3">
        <v>136.3922</v>
      </c>
      <c r="HK17" s="3">
        <v>136.8109</v>
      </c>
      <c r="HL17" s="3">
        <v>137.77090000000001</v>
      </c>
      <c r="HM17" s="3">
        <v>138.32599999999999</v>
      </c>
      <c r="HN17" s="3">
        <v>138.86340000000001</v>
      </c>
      <c r="HO17" s="3">
        <v>139.24850000000001</v>
      </c>
      <c r="HP17" s="3">
        <v>140.29769999999999</v>
      </c>
      <c r="HQ17" s="3">
        <v>140.93539999999999</v>
      </c>
      <c r="HR17" s="3">
        <v>141.55590000000001</v>
      </c>
      <c r="HS17" s="3">
        <v>142.01070000000001</v>
      </c>
      <c r="HT17" s="3">
        <v>143.10669999999999</v>
      </c>
      <c r="HU17" s="3">
        <v>143.76349999999999</v>
      </c>
      <c r="HV17" s="3">
        <v>144.39160000000001</v>
      </c>
      <c r="HW17" s="3">
        <v>144.86330000000001</v>
      </c>
      <c r="HX17" s="3">
        <v>145.94890000000001</v>
      </c>
      <c r="HY17" s="3">
        <v>146.6156</v>
      </c>
      <c r="HZ17" s="3">
        <v>147.2646</v>
      </c>
      <c r="IA17" s="3">
        <v>147.75479999999999</v>
      </c>
      <c r="IB17" s="3">
        <v>148.87010000000001</v>
      </c>
      <c r="IC17" s="3">
        <v>149.5496</v>
      </c>
      <c r="ID17" s="3">
        <v>150.20740000000001</v>
      </c>
      <c r="IE17" s="3">
        <v>150.7046</v>
      </c>
      <c r="IF17" s="3">
        <v>151.83869999999999</v>
      </c>
      <c r="IG17" s="3">
        <v>152.5301</v>
      </c>
      <c r="IH17" s="3">
        <v>153.2022</v>
      </c>
      <c r="II17" s="3">
        <v>153.7071</v>
      </c>
      <c r="IJ17" s="3">
        <v>154.8622</v>
      </c>
      <c r="IK17" s="3">
        <v>155.56720000000001</v>
      </c>
      <c r="IL17" s="3">
        <v>156.25399999999999</v>
      </c>
      <c r="IM17" s="3">
        <v>156.77160000000001</v>
      </c>
      <c r="IN17" s="3">
        <v>157.9513</v>
      </c>
      <c r="IO17" s="3">
        <v>158.66990000000001</v>
      </c>
      <c r="IP17" s="3">
        <v>159.3698</v>
      </c>
      <c r="IQ17" s="3">
        <v>159.89830000000001</v>
      </c>
      <c r="IR17" s="3">
        <v>161.1028</v>
      </c>
      <c r="IS17" s="3">
        <v>161.83690000000001</v>
      </c>
      <c r="IT17" s="3">
        <v>162.55160000000001</v>
      </c>
      <c r="IU17" s="3">
        <v>163.0915</v>
      </c>
      <c r="IV17" s="3">
        <v>164.32089999999999</v>
      </c>
      <c r="IW17" s="3">
        <v>165.07040000000001</v>
      </c>
      <c r="IX17" s="3">
        <v>165.79920000000001</v>
      </c>
      <c r="IY17" s="3">
        <v>166.35329999999999</v>
      </c>
      <c r="IZ17" s="3">
        <v>167.60730000000001</v>
      </c>
      <c r="JA17" s="3">
        <v>168.37180000000001</v>
      </c>
      <c r="JB17" s="3">
        <v>169.11519999999999</v>
      </c>
      <c r="JC17" s="3">
        <v>169.68039999999999</v>
      </c>
      <c r="JD17" s="3">
        <v>170.95939999999999</v>
      </c>
      <c r="JE17" s="3">
        <v>171.73920000000001</v>
      </c>
      <c r="JF17" s="3">
        <v>172.4975</v>
      </c>
      <c r="JG17" s="3">
        <v>173.07400000000001</v>
      </c>
      <c r="JH17" s="3">
        <v>174.37860000000001</v>
      </c>
      <c r="JI17" s="3">
        <v>175.17400000000001</v>
      </c>
      <c r="JJ17" s="3">
        <v>175.94739999999999</v>
      </c>
      <c r="JK17" s="3">
        <v>176.53550000000001</v>
      </c>
      <c r="JL17" s="3">
        <v>177.86619999999999</v>
      </c>
      <c r="JM17" s="3">
        <v>178.67750000000001</v>
      </c>
      <c r="JN17" s="3">
        <v>179.46639999999999</v>
      </c>
      <c r="JO17" s="3">
        <v>180.06620000000001</v>
      </c>
      <c r="JP17" s="3">
        <v>181.42349999999999</v>
      </c>
      <c r="JQ17" s="3">
        <v>182.251</v>
      </c>
      <c r="JR17" s="3">
        <v>183.0557</v>
      </c>
      <c r="JS17" s="3">
        <v>183.66749999999999</v>
      </c>
      <c r="JT17" s="3">
        <v>185.05199999999999</v>
      </c>
      <c r="JU17" s="3">
        <v>185.89599999999999</v>
      </c>
      <c r="JV17" s="3">
        <v>186.71680000000001</v>
      </c>
      <c r="JW17" s="3">
        <v>187.3409</v>
      </c>
      <c r="JX17" s="3">
        <v>188.75299999999999</v>
      </c>
      <c r="JY17" s="3">
        <v>189.614</v>
      </c>
      <c r="JZ17" s="3">
        <v>190.4512</v>
      </c>
      <c r="KA17" s="3">
        <v>191.08770000000001</v>
      </c>
      <c r="KB17" s="3">
        <v>192.52809999999999</v>
      </c>
      <c r="KC17" s="3">
        <v>193.40620000000001</v>
      </c>
      <c r="KD17" s="3">
        <v>194.2602</v>
      </c>
      <c r="KE17" s="3">
        <v>194.90950000000001</v>
      </c>
      <c r="KF17" s="3">
        <v>196.37860000000001</v>
      </c>
      <c r="KG17" s="3">
        <v>197.27440000000001</v>
      </c>
      <c r="KH17" s="3">
        <v>198.1454</v>
      </c>
      <c r="KI17" s="3">
        <v>198.80760000000001</v>
      </c>
      <c r="KJ17" s="3">
        <v>200.30619999999999</v>
      </c>
      <c r="KK17" s="3">
        <v>201.21979999999999</v>
      </c>
      <c r="KL17" s="3">
        <v>202.10830000000001</v>
      </c>
      <c r="KM17" s="3">
        <v>202.78380000000001</v>
      </c>
      <c r="KN17" s="3">
        <v>204.31229999999999</v>
      </c>
      <c r="KO17" s="3">
        <v>205.24420000000001</v>
      </c>
      <c r="KP17" s="3">
        <v>206.15049999999999</v>
      </c>
      <c r="KQ17" s="3">
        <v>206.83949999999999</v>
      </c>
      <c r="KR17" s="3">
        <v>208.39859999999999</v>
      </c>
      <c r="KS17" s="3">
        <v>209.34909999999999</v>
      </c>
      <c r="KT17" s="3">
        <v>210.27350000000001</v>
      </c>
      <c r="KU17" s="3">
        <v>210.97630000000001</v>
      </c>
      <c r="KV17" s="3">
        <v>212.56659999999999</v>
      </c>
      <c r="KW17" s="3">
        <v>213.5361</v>
      </c>
      <c r="KX17" s="3">
        <v>214.47900000000001</v>
      </c>
      <c r="KY17" s="3">
        <v>215.19579999999999</v>
      </c>
      <c r="KZ17" s="3">
        <v>216.81790000000001</v>
      </c>
      <c r="LA17" s="3">
        <v>217.80680000000001</v>
      </c>
      <c r="LB17" s="3">
        <v>218.76849999999999</v>
      </c>
      <c r="LC17" s="3">
        <v>219.49969999999999</v>
      </c>
      <c r="LD17" s="3">
        <v>221.1542</v>
      </c>
      <c r="LE17" s="3">
        <v>222.16300000000001</v>
      </c>
      <c r="LF17" s="3">
        <v>223.1439</v>
      </c>
      <c r="LG17" t="s">
        <v>335</v>
      </c>
      <c r="LH17" t="b">
        <v>0</v>
      </c>
      <c r="LI17" t="s">
        <v>337</v>
      </c>
      <c r="LJ17">
        <v>2015</v>
      </c>
      <c r="LK17">
        <v>2023</v>
      </c>
      <c r="LL17">
        <v>3</v>
      </c>
      <c r="LM17" t="s">
        <v>337</v>
      </c>
      <c r="LN17" s="1" t="s">
        <v>344</v>
      </c>
      <c r="LO17" s="1" t="s">
        <v>345</v>
      </c>
      <c r="LP17" t="s">
        <v>340</v>
      </c>
      <c r="LQ17" t="s">
        <v>346</v>
      </c>
      <c r="LR17" s="1" t="s">
        <v>350</v>
      </c>
    </row>
    <row r="18" spans="1:330" x14ac:dyDescent="0.25">
      <c r="A18" t="s">
        <v>330</v>
      </c>
      <c r="B18" t="s">
        <v>331</v>
      </c>
      <c r="C18" s="1" t="s">
        <v>351</v>
      </c>
      <c r="D18" t="s">
        <v>332</v>
      </c>
      <c r="E18" t="s">
        <v>333</v>
      </c>
      <c r="F18" t="s">
        <v>334</v>
      </c>
      <c r="G18" s="2">
        <v>223780</v>
      </c>
      <c r="H18" s="2">
        <v>224213</v>
      </c>
      <c r="I18" s="2">
        <v>222122</v>
      </c>
      <c r="J18" s="2">
        <v>221266</v>
      </c>
      <c r="K18" s="2">
        <v>215122</v>
      </c>
      <c r="L18" s="2">
        <v>218215</v>
      </c>
      <c r="M18" s="2">
        <v>219517</v>
      </c>
      <c r="N18" s="2">
        <v>216301</v>
      </c>
      <c r="O18" s="2">
        <v>216390</v>
      </c>
      <c r="P18" s="2">
        <v>212882</v>
      </c>
      <c r="Q18" s="2">
        <v>212192</v>
      </c>
      <c r="R18" s="2">
        <v>214585</v>
      </c>
      <c r="S18" s="2">
        <v>218180</v>
      </c>
      <c r="T18" s="2">
        <v>217883</v>
      </c>
      <c r="U18" s="2">
        <v>220587</v>
      </c>
      <c r="V18" s="2">
        <v>225228</v>
      </c>
      <c r="W18" s="2">
        <v>225362</v>
      </c>
      <c r="X18" s="2">
        <v>223815</v>
      </c>
      <c r="Y18" s="2">
        <v>225295</v>
      </c>
      <c r="Z18" s="2">
        <v>229115</v>
      </c>
      <c r="AA18" s="2">
        <v>231258</v>
      </c>
      <c r="AB18" s="2">
        <v>233910</v>
      </c>
      <c r="AC18" s="2">
        <v>237107</v>
      </c>
      <c r="AD18" s="2">
        <v>239186</v>
      </c>
      <c r="AE18" s="2">
        <v>238472</v>
      </c>
      <c r="AF18" s="2">
        <v>248867</v>
      </c>
      <c r="AG18" s="2">
        <v>243369</v>
      </c>
      <c r="AH18" s="2">
        <v>245858</v>
      </c>
      <c r="AI18" s="2">
        <v>243513</v>
      </c>
      <c r="AJ18" s="2">
        <v>238722</v>
      </c>
      <c r="AK18" s="2">
        <v>238432</v>
      </c>
      <c r="AL18" s="2">
        <v>235866</v>
      </c>
      <c r="AM18" s="2">
        <v>235712</v>
      </c>
      <c r="AN18" s="2">
        <v>236272</v>
      </c>
      <c r="AO18" s="2">
        <v>238846</v>
      </c>
      <c r="AP18" s="2">
        <v>239131</v>
      </c>
      <c r="AQ18" s="2">
        <v>239578</v>
      </c>
      <c r="AR18" s="2">
        <v>242095</v>
      </c>
      <c r="AS18" s="2">
        <v>242639</v>
      </c>
      <c r="AT18" s="2">
        <v>244317</v>
      </c>
      <c r="AU18" s="2">
        <v>249032</v>
      </c>
      <c r="AV18" s="2">
        <v>250761</v>
      </c>
      <c r="AW18" s="2">
        <v>253655</v>
      </c>
      <c r="AX18" s="2">
        <v>255533</v>
      </c>
      <c r="AY18" s="2">
        <v>257683</v>
      </c>
      <c r="AZ18" s="2">
        <v>255100</v>
      </c>
      <c r="BA18" s="2">
        <v>256975</v>
      </c>
      <c r="BB18" s="2">
        <v>261627</v>
      </c>
      <c r="BC18" s="2">
        <v>264127</v>
      </c>
      <c r="BD18" s="2">
        <v>269787</v>
      </c>
      <c r="BE18" s="2">
        <v>269737</v>
      </c>
      <c r="BF18" s="2">
        <v>269896</v>
      </c>
      <c r="BG18" s="2">
        <v>272720</v>
      </c>
      <c r="BH18" s="2">
        <v>275136</v>
      </c>
      <c r="BI18" s="2">
        <v>276863</v>
      </c>
      <c r="BJ18" s="2">
        <v>282193</v>
      </c>
      <c r="BK18" s="2">
        <v>284172</v>
      </c>
      <c r="BL18" s="2">
        <v>288385</v>
      </c>
      <c r="BM18" s="2">
        <v>295493</v>
      </c>
      <c r="BN18" s="2">
        <v>298855</v>
      </c>
      <c r="BO18" s="2">
        <v>303698</v>
      </c>
      <c r="BP18" s="2">
        <v>305281</v>
      </c>
      <c r="BQ18" s="2">
        <v>309097</v>
      </c>
      <c r="BR18" s="2">
        <v>311574</v>
      </c>
      <c r="BS18" s="2">
        <v>313083</v>
      </c>
      <c r="BT18" s="2">
        <v>315039</v>
      </c>
      <c r="BU18" s="2">
        <v>315554</v>
      </c>
      <c r="BV18" s="2">
        <v>315515</v>
      </c>
      <c r="BW18" s="2">
        <v>317117</v>
      </c>
      <c r="BX18" s="2">
        <v>319239</v>
      </c>
      <c r="BY18" s="2">
        <v>315744</v>
      </c>
      <c r="BZ18" s="2">
        <v>314148</v>
      </c>
      <c r="CA18" s="2">
        <v>312596</v>
      </c>
      <c r="CB18" s="2">
        <v>312235</v>
      </c>
      <c r="CC18" s="2">
        <v>311624</v>
      </c>
      <c r="CD18" s="2">
        <v>312006</v>
      </c>
      <c r="CE18" s="2">
        <v>311904</v>
      </c>
      <c r="CF18" s="2">
        <v>311418</v>
      </c>
      <c r="CG18" s="2">
        <v>312896</v>
      </c>
      <c r="CH18" s="2">
        <v>315307</v>
      </c>
      <c r="CI18" s="2">
        <v>316882</v>
      </c>
      <c r="CJ18" s="2">
        <v>318302</v>
      </c>
      <c r="CK18" s="2">
        <v>321218</v>
      </c>
      <c r="CL18" s="2">
        <v>323400</v>
      </c>
      <c r="CM18" s="2">
        <v>326585</v>
      </c>
      <c r="CN18" s="2">
        <v>329584</v>
      </c>
      <c r="CO18" s="2">
        <v>332911</v>
      </c>
      <c r="CP18" s="2">
        <v>334363</v>
      </c>
      <c r="CQ18" s="2">
        <v>336090</v>
      </c>
      <c r="CR18" s="2">
        <v>336789</v>
      </c>
      <c r="CS18" s="2">
        <v>340542</v>
      </c>
      <c r="CT18" s="2">
        <v>341602</v>
      </c>
      <c r="CU18" s="2">
        <v>343859</v>
      </c>
      <c r="CV18" s="2">
        <v>344979</v>
      </c>
      <c r="CW18" s="2">
        <v>348214</v>
      </c>
      <c r="CX18" s="2">
        <v>352958</v>
      </c>
      <c r="CY18" s="2">
        <v>358611</v>
      </c>
      <c r="CZ18" s="2">
        <v>362573</v>
      </c>
      <c r="DA18" s="2">
        <v>365942</v>
      </c>
      <c r="DB18" s="2">
        <v>371341</v>
      </c>
      <c r="DC18" s="2">
        <v>374037</v>
      </c>
      <c r="DD18" s="2">
        <v>376421</v>
      </c>
      <c r="DE18" s="2">
        <v>377650</v>
      </c>
      <c r="DF18" s="2">
        <v>380155</v>
      </c>
      <c r="DG18" s="2">
        <v>382789</v>
      </c>
      <c r="DH18" s="2">
        <v>384605</v>
      </c>
      <c r="DI18" s="2">
        <v>390758</v>
      </c>
      <c r="DJ18" s="2">
        <v>396357</v>
      </c>
      <c r="DK18" s="2">
        <v>401242</v>
      </c>
      <c r="DL18" s="2">
        <v>404196</v>
      </c>
      <c r="DM18" s="2">
        <v>406795</v>
      </c>
      <c r="DN18" s="2">
        <v>409411</v>
      </c>
      <c r="DO18" s="2">
        <v>413054</v>
      </c>
      <c r="DP18" s="2">
        <v>414878</v>
      </c>
      <c r="DQ18" s="2">
        <v>417085</v>
      </c>
      <c r="DR18" s="2">
        <v>418445</v>
      </c>
      <c r="DS18" s="2">
        <v>419534</v>
      </c>
      <c r="DT18" s="2">
        <v>421587</v>
      </c>
      <c r="DU18" s="2">
        <v>424425</v>
      </c>
      <c r="DV18" s="2">
        <v>427725</v>
      </c>
      <c r="DW18" s="2">
        <v>430832</v>
      </c>
      <c r="DX18" s="2">
        <v>434837</v>
      </c>
      <c r="DY18" s="2">
        <v>438710</v>
      </c>
      <c r="DZ18" s="2">
        <v>442172</v>
      </c>
      <c r="EA18" s="2">
        <v>443853</v>
      </c>
      <c r="EB18" s="2">
        <v>446443</v>
      </c>
      <c r="EC18" s="2">
        <v>448171</v>
      </c>
      <c r="ED18" s="2">
        <v>450464</v>
      </c>
      <c r="EE18" s="2">
        <v>453784</v>
      </c>
      <c r="EF18" s="2">
        <v>457557</v>
      </c>
      <c r="EG18" s="2">
        <v>461135</v>
      </c>
      <c r="EH18" s="2">
        <v>465451</v>
      </c>
      <c r="EI18" s="2">
        <v>467840</v>
      </c>
      <c r="EJ18" s="2">
        <v>469655</v>
      </c>
      <c r="EK18" s="2">
        <v>470918</v>
      </c>
      <c r="EL18" s="2">
        <v>473372</v>
      </c>
      <c r="EM18" s="2">
        <v>477823</v>
      </c>
      <c r="EN18" s="2">
        <v>481314</v>
      </c>
      <c r="EO18" s="2">
        <v>484544</v>
      </c>
      <c r="EP18" s="2">
        <v>487413</v>
      </c>
      <c r="EQ18" s="2">
        <v>489783</v>
      </c>
      <c r="ER18" s="2">
        <v>487386</v>
      </c>
      <c r="ES18" s="2">
        <v>479872</v>
      </c>
      <c r="ET18" s="2">
        <v>469694</v>
      </c>
      <c r="EU18" s="2">
        <v>460105</v>
      </c>
      <c r="EV18" s="2">
        <v>458599</v>
      </c>
      <c r="EW18" s="2">
        <v>458875</v>
      </c>
      <c r="EX18" s="2">
        <v>460238</v>
      </c>
      <c r="EY18" s="2">
        <v>464543</v>
      </c>
      <c r="EZ18" s="2">
        <v>469606</v>
      </c>
      <c r="FA18" s="2">
        <v>472199</v>
      </c>
      <c r="FB18" s="2">
        <v>472612</v>
      </c>
      <c r="FC18" s="2">
        <v>473819</v>
      </c>
      <c r="FD18" s="2">
        <v>474365</v>
      </c>
      <c r="FE18" s="2">
        <v>475813</v>
      </c>
      <c r="FF18" s="2">
        <v>476479</v>
      </c>
      <c r="FG18" s="2">
        <v>480632</v>
      </c>
      <c r="FH18" s="2">
        <v>479979</v>
      </c>
      <c r="FI18" s="2">
        <v>484579</v>
      </c>
      <c r="FJ18" s="2">
        <v>484039</v>
      </c>
      <c r="FK18" s="2">
        <v>485409</v>
      </c>
      <c r="FL18" s="2">
        <v>488930</v>
      </c>
      <c r="FM18" s="2">
        <v>493002</v>
      </c>
      <c r="FN18" s="2">
        <v>496466</v>
      </c>
      <c r="FO18" s="2">
        <v>500552</v>
      </c>
      <c r="FP18" s="2">
        <v>504939</v>
      </c>
      <c r="FQ18" s="2">
        <v>508741</v>
      </c>
      <c r="FR18" s="2">
        <v>512334</v>
      </c>
      <c r="FS18" s="2">
        <v>513850</v>
      </c>
      <c r="FT18" s="2">
        <v>516876</v>
      </c>
      <c r="FU18" s="2">
        <v>518915</v>
      </c>
      <c r="FV18" s="2">
        <v>521920</v>
      </c>
      <c r="FW18" s="2">
        <v>523813</v>
      </c>
      <c r="FX18" s="2">
        <v>526750</v>
      </c>
      <c r="FY18" s="2">
        <v>528712</v>
      </c>
      <c r="FZ18" s="2">
        <v>532082</v>
      </c>
      <c r="GA18" s="2">
        <v>536566</v>
      </c>
      <c r="GB18" s="2">
        <v>540020</v>
      </c>
      <c r="GC18" s="2">
        <v>543452</v>
      </c>
      <c r="GD18" s="2">
        <v>547377</v>
      </c>
      <c r="GE18" s="2">
        <v>547688</v>
      </c>
      <c r="GF18" s="2">
        <v>548600</v>
      </c>
      <c r="GG18" s="2">
        <v>550425</v>
      </c>
      <c r="GH18" s="2">
        <v>551128</v>
      </c>
      <c r="GI18" s="2">
        <v>555141</v>
      </c>
      <c r="GJ18" s="2">
        <v>556932</v>
      </c>
      <c r="GK18" s="2">
        <v>560987</v>
      </c>
      <c r="GL18" s="2">
        <v>560861</v>
      </c>
      <c r="GM18" s="2">
        <v>545597</v>
      </c>
      <c r="GN18" s="2">
        <v>434718</v>
      </c>
      <c r="GO18" s="2">
        <v>507643</v>
      </c>
      <c r="GP18" s="2">
        <v>514531</v>
      </c>
      <c r="GQ18" s="2">
        <v>509261</v>
      </c>
      <c r="GR18" s="2">
        <v>546579</v>
      </c>
      <c r="GS18" s="2">
        <v>555956</v>
      </c>
      <c r="GT18" s="2">
        <v>564407</v>
      </c>
      <c r="GU18" s="2">
        <v>567396</v>
      </c>
      <c r="GV18" s="2">
        <v>567889</v>
      </c>
      <c r="GW18" s="2">
        <v>567445</v>
      </c>
      <c r="GX18" s="2">
        <v>568034</v>
      </c>
      <c r="GY18" s="2">
        <v>569472</v>
      </c>
      <c r="GZ18" s="2">
        <v>569687</v>
      </c>
      <c r="HA18" s="2">
        <v>568953</v>
      </c>
      <c r="HB18" s="3">
        <v>568945.1</v>
      </c>
      <c r="HC18" s="3">
        <v>570855.9</v>
      </c>
      <c r="HD18" s="3">
        <v>571938.1</v>
      </c>
      <c r="HE18" s="3">
        <v>573233.19999999995</v>
      </c>
      <c r="HF18" s="3">
        <v>574865.80000000005</v>
      </c>
      <c r="HG18" s="3">
        <v>577320.19999999995</v>
      </c>
      <c r="HH18" s="3">
        <v>580409.5</v>
      </c>
      <c r="HI18" s="3">
        <v>583456.69999999995</v>
      </c>
      <c r="HJ18" s="3">
        <v>586753.1</v>
      </c>
      <c r="HK18" s="3">
        <v>589452</v>
      </c>
      <c r="HL18" s="3">
        <v>591987.30000000005</v>
      </c>
      <c r="HM18" s="3">
        <v>594325.5</v>
      </c>
      <c r="HN18" s="3">
        <v>596464.5</v>
      </c>
      <c r="HO18" s="3">
        <v>598701.30000000005</v>
      </c>
      <c r="HP18" s="3">
        <v>600856.6</v>
      </c>
      <c r="HQ18" s="3">
        <v>603019.80000000005</v>
      </c>
      <c r="HR18" s="3">
        <v>605160.4</v>
      </c>
      <c r="HS18" s="3">
        <v>607278.4</v>
      </c>
      <c r="HT18" s="3">
        <v>609373.6</v>
      </c>
      <c r="HU18" s="3">
        <v>611475.9</v>
      </c>
      <c r="HV18" s="3">
        <v>613585.5</v>
      </c>
      <c r="HW18" s="3">
        <v>615702.4</v>
      </c>
      <c r="HX18" s="3">
        <v>617888.1</v>
      </c>
      <c r="HY18" s="3">
        <v>620081.6</v>
      </c>
      <c r="HZ18" s="3">
        <v>622282.9</v>
      </c>
      <c r="IA18" s="3">
        <v>624460.9</v>
      </c>
      <c r="IB18" s="3">
        <v>626646.5</v>
      </c>
      <c r="IC18" s="3">
        <v>628839.80000000005</v>
      </c>
      <c r="ID18" s="3">
        <v>631040.69999999995</v>
      </c>
      <c r="IE18" s="3">
        <v>633276.5</v>
      </c>
      <c r="IF18" s="3">
        <v>635524.69999999995</v>
      </c>
      <c r="IG18" s="3">
        <v>637785.1</v>
      </c>
      <c r="IH18" s="3">
        <v>640057.5</v>
      </c>
      <c r="II18" s="3">
        <v>642341.6</v>
      </c>
      <c r="IJ18" s="3">
        <v>644637.69999999995</v>
      </c>
      <c r="IK18" s="3">
        <v>646945.1</v>
      </c>
      <c r="IL18" s="3">
        <v>649264</v>
      </c>
      <c r="IM18" s="3">
        <v>651594.30000000005</v>
      </c>
      <c r="IN18" s="3">
        <v>653935.6</v>
      </c>
      <c r="IO18" s="3">
        <v>656288</v>
      </c>
      <c r="IP18" s="3">
        <v>658651.1</v>
      </c>
      <c r="IQ18" s="3">
        <v>661024.69999999995</v>
      </c>
      <c r="IR18" s="3">
        <v>663408.9</v>
      </c>
      <c r="IS18" s="3">
        <v>665803.6</v>
      </c>
      <c r="IT18" s="3">
        <v>668208.5</v>
      </c>
      <c r="IU18" s="3">
        <v>670738.6</v>
      </c>
      <c r="IV18" s="3">
        <v>673280.6</v>
      </c>
      <c r="IW18" s="3">
        <v>675834.3</v>
      </c>
      <c r="IX18" s="3">
        <v>678399.5</v>
      </c>
      <c r="IY18" s="3">
        <v>680978.3</v>
      </c>
      <c r="IZ18" s="3">
        <v>683570.8</v>
      </c>
      <c r="JA18" s="3">
        <v>686176.9</v>
      </c>
      <c r="JB18" s="3">
        <v>688796.6</v>
      </c>
      <c r="JC18" s="3">
        <v>691430.1</v>
      </c>
      <c r="JD18" s="3">
        <v>694076.9</v>
      </c>
      <c r="JE18" s="3">
        <v>696737.6</v>
      </c>
      <c r="JF18" s="3">
        <v>699412.1</v>
      </c>
      <c r="JG18" s="3">
        <v>702100.1</v>
      </c>
      <c r="JH18" s="3">
        <v>704801.8</v>
      </c>
      <c r="JI18" s="3">
        <v>707517.8</v>
      </c>
      <c r="JJ18" s="3">
        <v>710247.9</v>
      </c>
      <c r="JK18" s="3">
        <v>712992.3</v>
      </c>
      <c r="JL18" s="3">
        <v>715750.6</v>
      </c>
      <c r="JM18" s="3">
        <v>718523.6</v>
      </c>
      <c r="JN18" s="3">
        <v>721310.9</v>
      </c>
      <c r="JO18" s="3">
        <v>724112.6</v>
      </c>
      <c r="JP18" s="3">
        <v>726922.8</v>
      </c>
      <c r="JQ18" s="3">
        <v>729742</v>
      </c>
      <c r="JR18" s="3">
        <v>732569.9</v>
      </c>
      <c r="JS18" s="3">
        <v>735356.6</v>
      </c>
      <c r="JT18" s="3">
        <v>738150.9</v>
      </c>
      <c r="JU18" s="3">
        <v>740953.1</v>
      </c>
      <c r="JV18" s="3">
        <v>743763.1</v>
      </c>
      <c r="JW18" s="3">
        <v>746580.7</v>
      </c>
      <c r="JX18" s="3">
        <v>749406.2</v>
      </c>
      <c r="JY18" s="3">
        <v>752239.4</v>
      </c>
      <c r="JZ18" s="3">
        <v>755080.2</v>
      </c>
      <c r="KA18" s="3">
        <v>757928.9</v>
      </c>
      <c r="KB18" s="3">
        <v>760784.8</v>
      </c>
      <c r="KC18" s="3">
        <v>763647.7</v>
      </c>
      <c r="KD18" s="3">
        <v>766517.6</v>
      </c>
      <c r="KE18" s="3">
        <v>769394.4</v>
      </c>
      <c r="KF18" s="3">
        <v>772278.1</v>
      </c>
      <c r="KG18" s="3">
        <v>775168.8</v>
      </c>
      <c r="KH18" s="3">
        <v>778066.3</v>
      </c>
      <c r="KI18" s="3">
        <v>780970.8</v>
      </c>
      <c r="KJ18" s="3">
        <v>783882</v>
      </c>
      <c r="KK18" s="3">
        <v>786800.1</v>
      </c>
      <c r="KL18" s="3">
        <v>789724.9</v>
      </c>
      <c r="KM18" s="3">
        <v>792656.7</v>
      </c>
      <c r="KN18" s="3">
        <v>795595.3</v>
      </c>
      <c r="KO18" s="3">
        <v>798540.7</v>
      </c>
      <c r="KP18" s="3">
        <v>801493</v>
      </c>
      <c r="KQ18" s="3">
        <v>804452.1</v>
      </c>
      <c r="KR18" s="3">
        <v>807417.9</v>
      </c>
      <c r="KS18" s="3">
        <v>810390.7</v>
      </c>
      <c r="KT18" s="3">
        <v>813370.3</v>
      </c>
      <c r="KU18" s="3">
        <v>816357</v>
      </c>
      <c r="KV18" s="3">
        <v>819350.6</v>
      </c>
      <c r="KW18" s="3">
        <v>822351.1</v>
      </c>
      <c r="KX18" s="3">
        <v>825358.6</v>
      </c>
      <c r="KY18" s="3">
        <v>828372.8</v>
      </c>
      <c r="KZ18" s="3">
        <v>831394</v>
      </c>
      <c r="LA18" s="3">
        <v>834421.9</v>
      </c>
      <c r="LB18" s="3">
        <v>837456.6</v>
      </c>
      <c r="LC18" s="3">
        <v>840498</v>
      </c>
      <c r="LD18" s="3">
        <v>843546.4</v>
      </c>
      <c r="LE18" s="3">
        <v>846601.3</v>
      </c>
      <c r="LF18" s="3">
        <v>849663.2</v>
      </c>
      <c r="LG18" t="s">
        <v>335</v>
      </c>
      <c r="LH18" t="b">
        <v>1</v>
      </c>
      <c r="LI18" s="1" t="s">
        <v>336</v>
      </c>
      <c r="LJ18" t="s">
        <v>337</v>
      </c>
      <c r="LK18">
        <v>2023</v>
      </c>
      <c r="LL18">
        <v>3</v>
      </c>
      <c r="LM18" t="s">
        <v>337</v>
      </c>
      <c r="LN18" t="s">
        <v>338</v>
      </c>
      <c r="LO18" s="1" t="s">
        <v>339</v>
      </c>
      <c r="LP18" t="s">
        <v>340</v>
      </c>
      <c r="LQ18" t="s">
        <v>341</v>
      </c>
      <c r="LR18" s="1" t="s">
        <v>352</v>
      </c>
    </row>
    <row r="19" spans="1:330" x14ac:dyDescent="0.25">
      <c r="A19" t="s">
        <v>330</v>
      </c>
      <c r="B19" t="s">
        <v>342</v>
      </c>
      <c r="C19" s="1" t="s">
        <v>351</v>
      </c>
      <c r="D19" t="s">
        <v>343</v>
      </c>
      <c r="E19" t="s">
        <v>337</v>
      </c>
      <c r="F19" t="s">
        <v>334</v>
      </c>
      <c r="G19" s="2">
        <v>11.88749</v>
      </c>
      <c r="H19" s="2">
        <v>12.304600000000001</v>
      </c>
      <c r="I19" s="2">
        <v>12.51315</v>
      </c>
      <c r="J19" s="2">
        <v>13.008459999999999</v>
      </c>
      <c r="K19" s="2">
        <v>13.47771</v>
      </c>
      <c r="L19" s="2">
        <v>14.23371</v>
      </c>
      <c r="M19" s="2">
        <v>14.572609999999999</v>
      </c>
      <c r="N19" s="2">
        <v>15.250400000000001</v>
      </c>
      <c r="O19" s="2">
        <v>16.058540000000001</v>
      </c>
      <c r="P19" s="2">
        <v>17.466270000000002</v>
      </c>
      <c r="Q19" s="2">
        <v>18.222280000000001</v>
      </c>
      <c r="R19" s="2">
        <v>18.847930000000002</v>
      </c>
      <c r="S19" s="2">
        <v>19.42145</v>
      </c>
      <c r="T19" s="2">
        <v>20.125319999999999</v>
      </c>
      <c r="U19" s="2">
        <v>20.594560000000001</v>
      </c>
      <c r="V19" s="2">
        <v>21.506979999999999</v>
      </c>
      <c r="W19" s="2">
        <v>22.471530000000001</v>
      </c>
      <c r="X19" s="2">
        <v>23.410019999999999</v>
      </c>
      <c r="Y19" s="2">
        <v>23.82713</v>
      </c>
      <c r="Z19" s="2">
        <v>24.139949999999999</v>
      </c>
      <c r="AA19" s="2">
        <v>24.452780000000001</v>
      </c>
      <c r="AB19" s="2">
        <v>25.078440000000001</v>
      </c>
      <c r="AC19" s="2">
        <v>25.469480000000001</v>
      </c>
      <c r="AD19" s="2">
        <v>25.860510000000001</v>
      </c>
      <c r="AE19" s="2">
        <v>26.43403</v>
      </c>
      <c r="AF19" s="2">
        <v>27.268239999999999</v>
      </c>
      <c r="AG19" s="2">
        <v>28.910589999999999</v>
      </c>
      <c r="AH19" s="2">
        <v>29.718730000000001</v>
      </c>
      <c r="AI19" s="2">
        <v>30.605080000000001</v>
      </c>
      <c r="AJ19" s="2">
        <v>32.247430000000001</v>
      </c>
      <c r="AK19" s="2">
        <v>32.951300000000003</v>
      </c>
      <c r="AL19" s="2">
        <v>33.550879999999999</v>
      </c>
      <c r="AM19" s="2">
        <v>34.385100000000001</v>
      </c>
      <c r="AN19" s="2">
        <v>36.079590000000003</v>
      </c>
      <c r="AO19" s="2">
        <v>36.731310000000001</v>
      </c>
      <c r="AP19" s="2">
        <v>37.435180000000003</v>
      </c>
      <c r="AQ19" s="2">
        <v>37.878349999999998</v>
      </c>
      <c r="AR19" s="2">
        <v>39.181800000000003</v>
      </c>
      <c r="AS19" s="2">
        <v>39.416420000000002</v>
      </c>
      <c r="AT19" s="2">
        <v>39.885669999999998</v>
      </c>
      <c r="AU19" s="2">
        <v>40.172429999999999</v>
      </c>
      <c r="AV19" s="2">
        <v>40.85022</v>
      </c>
      <c r="AW19" s="2">
        <v>41.293399999999998</v>
      </c>
      <c r="AX19" s="2">
        <v>41.762639999999998</v>
      </c>
      <c r="AY19" s="2">
        <v>41.86692</v>
      </c>
      <c r="AZ19" s="2">
        <v>42.779339999999998</v>
      </c>
      <c r="BA19" s="2">
        <v>42.98789</v>
      </c>
      <c r="BB19" s="2">
        <v>43.431060000000002</v>
      </c>
      <c r="BC19" s="2">
        <v>43.874229999999997</v>
      </c>
      <c r="BD19" s="2">
        <v>44.995199999999997</v>
      </c>
      <c r="BE19" s="2">
        <v>45.125549999999997</v>
      </c>
      <c r="BF19" s="2">
        <v>45.490519999999997</v>
      </c>
      <c r="BG19" s="2">
        <v>45.646929999999998</v>
      </c>
      <c r="BH19" s="2">
        <v>46.3508</v>
      </c>
      <c r="BI19" s="2">
        <v>46.533279999999998</v>
      </c>
      <c r="BJ19" s="2">
        <v>46.924320000000002</v>
      </c>
      <c r="BK19" s="2">
        <v>47.237139999999997</v>
      </c>
      <c r="BL19" s="2">
        <v>47.836730000000003</v>
      </c>
      <c r="BM19" s="2">
        <v>47.888869999999997</v>
      </c>
      <c r="BN19" s="2">
        <v>48.436320000000002</v>
      </c>
      <c r="BO19" s="2">
        <v>48.566670000000002</v>
      </c>
      <c r="BP19" s="2">
        <v>49.5</v>
      </c>
      <c r="BQ19" s="2">
        <v>49.9</v>
      </c>
      <c r="BR19" s="2">
        <v>50.466670000000001</v>
      </c>
      <c r="BS19" s="2">
        <v>51</v>
      </c>
      <c r="BT19" s="2">
        <v>52.133339999999997</v>
      </c>
      <c r="BU19" s="2">
        <v>52.466670000000001</v>
      </c>
      <c r="BV19" s="2">
        <v>53.266669999999998</v>
      </c>
      <c r="BW19" s="2">
        <v>53.933329999999998</v>
      </c>
      <c r="BX19" s="2">
        <v>55.6</v>
      </c>
      <c r="BY19" s="2">
        <v>56.4</v>
      </c>
      <c r="BZ19" s="2">
        <v>57.466670000000001</v>
      </c>
      <c r="CA19" s="2">
        <v>57.666670000000003</v>
      </c>
      <c r="CB19" s="2">
        <v>60.266669999999998</v>
      </c>
      <c r="CC19" s="2">
        <v>60.833329999999997</v>
      </c>
      <c r="CD19" s="2">
        <v>61.466670000000001</v>
      </c>
      <c r="CE19" s="2">
        <v>61.7</v>
      </c>
      <c r="CF19" s="2">
        <v>62.833329999999997</v>
      </c>
      <c r="CG19" s="2">
        <v>62.733330000000002</v>
      </c>
      <c r="CH19" s="2">
        <v>63.133339999999997</v>
      </c>
      <c r="CI19" s="2">
        <v>63.2</v>
      </c>
      <c r="CJ19" s="2">
        <v>64.433329999999998</v>
      </c>
      <c r="CK19" s="2">
        <v>64.5</v>
      </c>
      <c r="CL19" s="2">
        <v>64.666659999999993</v>
      </c>
      <c r="CM19" s="2">
        <v>64.766670000000005</v>
      </c>
      <c r="CN19" s="2">
        <v>65.7</v>
      </c>
      <c r="CO19" s="2">
        <v>65.633330000000001</v>
      </c>
      <c r="CP19" s="2">
        <v>65.8</v>
      </c>
      <c r="CQ19" s="2">
        <v>66.333340000000007</v>
      </c>
      <c r="CR19" s="2">
        <v>67.266670000000005</v>
      </c>
      <c r="CS19" s="2">
        <v>67.400000000000006</v>
      </c>
      <c r="CT19" s="2">
        <v>67.733329999999995</v>
      </c>
      <c r="CU19" s="2">
        <v>68.099999999999994</v>
      </c>
      <c r="CV19" s="2">
        <v>68.866669999999999</v>
      </c>
      <c r="CW19" s="2">
        <v>68.933329999999998</v>
      </c>
      <c r="CX19" s="2">
        <v>69.366669999999999</v>
      </c>
      <c r="CY19" s="2">
        <v>69.366669999999999</v>
      </c>
      <c r="CZ19" s="2">
        <v>70</v>
      </c>
      <c r="DA19" s="2">
        <v>70.266670000000005</v>
      </c>
      <c r="DB19" s="2">
        <v>70.633330000000001</v>
      </c>
      <c r="DC19" s="2">
        <v>70.5</v>
      </c>
      <c r="DD19" s="2">
        <v>71.266670000000005</v>
      </c>
      <c r="DE19" s="2">
        <v>71.233329999999995</v>
      </c>
      <c r="DF19" s="2">
        <v>71.633330000000001</v>
      </c>
      <c r="DG19" s="2">
        <v>71.599999999999994</v>
      </c>
      <c r="DH19" s="2">
        <v>72.3</v>
      </c>
      <c r="DI19" s="2">
        <v>72.133330000000001</v>
      </c>
      <c r="DJ19" s="2">
        <v>72.433329999999998</v>
      </c>
      <c r="DK19" s="2">
        <v>72.133330000000001</v>
      </c>
      <c r="DL19" s="2">
        <v>72.766670000000005</v>
      </c>
      <c r="DM19" s="2">
        <v>72.7</v>
      </c>
      <c r="DN19" s="2">
        <v>73.166659999999993</v>
      </c>
      <c r="DO19" s="2">
        <v>72.766670000000005</v>
      </c>
      <c r="DP19" s="2">
        <v>73.833340000000007</v>
      </c>
      <c r="DQ19" s="2">
        <v>73.866669999999999</v>
      </c>
      <c r="DR19" s="2">
        <v>73.900000000000006</v>
      </c>
      <c r="DS19" s="2">
        <v>73.866669999999999</v>
      </c>
      <c r="DT19" s="2">
        <v>74.533330000000007</v>
      </c>
      <c r="DU19" s="2">
        <v>74.599999999999994</v>
      </c>
      <c r="DV19" s="2">
        <v>75</v>
      </c>
      <c r="DW19" s="2">
        <v>75</v>
      </c>
      <c r="DX19" s="2">
        <v>75.466669999999993</v>
      </c>
      <c r="DY19" s="2">
        <v>75.599999999999994</v>
      </c>
      <c r="DZ19" s="2">
        <v>76.033330000000007</v>
      </c>
      <c r="EA19" s="2">
        <v>75.966669999999993</v>
      </c>
      <c r="EB19" s="2">
        <v>76.533330000000007</v>
      </c>
      <c r="EC19" s="2">
        <v>76.566670000000002</v>
      </c>
      <c r="ED19" s="2">
        <v>77.099999999999994</v>
      </c>
      <c r="EE19" s="2">
        <v>77.233329999999995</v>
      </c>
      <c r="EF19" s="2">
        <v>78</v>
      </c>
      <c r="EG19" s="2">
        <v>78.400000000000006</v>
      </c>
      <c r="EH19" s="2">
        <v>78.766670000000005</v>
      </c>
      <c r="EI19" s="2">
        <v>78.733329999999995</v>
      </c>
      <c r="EJ19" s="2">
        <v>79.8</v>
      </c>
      <c r="EK19" s="2">
        <v>80.3</v>
      </c>
      <c r="EL19" s="2">
        <v>80.900000000000006</v>
      </c>
      <c r="EM19" s="2">
        <v>81</v>
      </c>
      <c r="EN19" s="2">
        <v>81.8</v>
      </c>
      <c r="EO19" s="2">
        <v>81.733329999999995</v>
      </c>
      <c r="EP19" s="2">
        <v>82.6</v>
      </c>
      <c r="EQ19" s="2">
        <v>82.933329999999998</v>
      </c>
      <c r="ER19" s="2">
        <v>84.6</v>
      </c>
      <c r="ES19" s="2">
        <v>85.633330000000001</v>
      </c>
      <c r="ET19" s="2">
        <v>85.733329999999995</v>
      </c>
      <c r="EU19" s="2">
        <v>85.433329999999998</v>
      </c>
      <c r="EV19" s="2">
        <v>86.366669999999999</v>
      </c>
      <c r="EW19" s="2">
        <v>86.933329999999998</v>
      </c>
      <c r="EX19" s="2">
        <v>87.566670000000002</v>
      </c>
      <c r="EY19" s="2">
        <v>88.233329999999995</v>
      </c>
      <c r="EZ19" s="2">
        <v>89.366669999999999</v>
      </c>
      <c r="FA19" s="2">
        <v>89.633330000000001</v>
      </c>
      <c r="FB19" s="2">
        <v>90.5</v>
      </c>
      <c r="FC19" s="2">
        <v>91.833340000000007</v>
      </c>
      <c r="FD19" s="2">
        <v>93.3</v>
      </c>
      <c r="FE19" s="2">
        <v>93.833340000000007</v>
      </c>
      <c r="FF19" s="2">
        <v>94.733329999999995</v>
      </c>
      <c r="FG19" s="2">
        <v>95.033330000000007</v>
      </c>
      <c r="FH19" s="2">
        <v>95.8</v>
      </c>
      <c r="FI19" s="2">
        <v>96.066670000000002</v>
      </c>
      <c r="FJ19" s="2">
        <v>97.266670000000005</v>
      </c>
      <c r="FK19" s="2">
        <v>97.666659999999993</v>
      </c>
      <c r="FL19" s="2">
        <v>98.366669999999999</v>
      </c>
      <c r="FM19" s="2">
        <v>98.7</v>
      </c>
      <c r="FN19" s="2">
        <v>99.3</v>
      </c>
      <c r="FO19" s="2">
        <v>99.4</v>
      </c>
      <c r="FP19" s="2">
        <v>100.1</v>
      </c>
      <c r="FQ19" s="2">
        <v>100.13330000000001</v>
      </c>
      <c r="FR19" s="2">
        <v>100.2</v>
      </c>
      <c r="FS19" s="2">
        <v>99.5</v>
      </c>
      <c r="FT19" s="2">
        <v>100.0667</v>
      </c>
      <c r="FU19" s="2">
        <v>100.16670000000001</v>
      </c>
      <c r="FV19" s="2">
        <v>100.3</v>
      </c>
      <c r="FW19" s="2">
        <v>99.833340000000007</v>
      </c>
      <c r="FX19" s="2">
        <v>100.4</v>
      </c>
      <c r="FY19" s="2">
        <v>100.86669999999999</v>
      </c>
      <c r="FZ19" s="2">
        <v>101.5</v>
      </c>
      <c r="GA19" s="2">
        <v>102</v>
      </c>
      <c r="GB19" s="2">
        <v>103.16670000000001</v>
      </c>
      <c r="GC19" s="2">
        <v>103.7</v>
      </c>
      <c r="GD19" s="2">
        <v>104.5667</v>
      </c>
      <c r="GE19" s="2">
        <v>104.7667</v>
      </c>
      <c r="GF19" s="2">
        <v>105.66670000000001</v>
      </c>
      <c r="GG19" s="2">
        <v>106.3</v>
      </c>
      <c r="GH19" s="2">
        <v>106.9333</v>
      </c>
      <c r="GI19" s="2">
        <v>106.7</v>
      </c>
      <c r="GJ19" s="2">
        <v>107.8</v>
      </c>
      <c r="GK19" s="2">
        <v>108.2667</v>
      </c>
      <c r="GL19" s="2">
        <v>108.4333</v>
      </c>
      <c r="GM19" s="2">
        <v>108.4667</v>
      </c>
      <c r="GN19" s="2">
        <v>108.5333</v>
      </c>
      <c r="GO19" s="2">
        <v>108.9333</v>
      </c>
      <c r="GP19" s="2">
        <v>109.0667</v>
      </c>
      <c r="GQ19" s="2">
        <v>109.16670000000001</v>
      </c>
      <c r="GR19" s="2">
        <v>110.7333</v>
      </c>
      <c r="GS19" s="2">
        <v>111.9333</v>
      </c>
      <c r="GT19" s="2">
        <v>114.4</v>
      </c>
      <c r="GU19" s="2">
        <v>115.9333</v>
      </c>
      <c r="GV19" s="2">
        <v>120.86669999999999</v>
      </c>
      <c r="GW19" s="2">
        <v>123.13330000000001</v>
      </c>
      <c r="GX19" s="2">
        <v>126.7</v>
      </c>
      <c r="GY19" s="2">
        <v>127.7333</v>
      </c>
      <c r="GZ19" s="2">
        <v>131.0667</v>
      </c>
      <c r="HA19" s="2">
        <v>131.4</v>
      </c>
      <c r="HB19" s="2">
        <v>131.9667</v>
      </c>
      <c r="HC19" s="3">
        <v>132.48179999999999</v>
      </c>
      <c r="HD19" s="3">
        <v>133.12049999999999</v>
      </c>
      <c r="HE19" s="3">
        <v>133.55000000000001</v>
      </c>
      <c r="HF19" s="3">
        <v>133.92080000000001</v>
      </c>
      <c r="HG19" s="3">
        <v>134.2089</v>
      </c>
      <c r="HH19" s="3">
        <v>135.1438</v>
      </c>
      <c r="HI19" s="3">
        <v>135.7097</v>
      </c>
      <c r="HJ19" s="3">
        <v>136.27090000000001</v>
      </c>
      <c r="HK19" s="3">
        <v>136.68450000000001</v>
      </c>
      <c r="HL19" s="3">
        <v>137.63990000000001</v>
      </c>
      <c r="HM19" s="3">
        <v>138.19139999999999</v>
      </c>
      <c r="HN19" s="3">
        <v>138.72540000000001</v>
      </c>
      <c r="HO19" s="3">
        <v>139.1079</v>
      </c>
      <c r="HP19" s="3">
        <v>140.15209999999999</v>
      </c>
      <c r="HQ19" s="3">
        <v>140.78569999999999</v>
      </c>
      <c r="HR19" s="3">
        <v>141.40219999999999</v>
      </c>
      <c r="HS19" s="3">
        <v>141.85339999999999</v>
      </c>
      <c r="HT19" s="3">
        <v>142.94380000000001</v>
      </c>
      <c r="HU19" s="3">
        <v>143.5958</v>
      </c>
      <c r="HV19" s="3">
        <v>144.2193</v>
      </c>
      <c r="HW19" s="3">
        <v>144.6867</v>
      </c>
      <c r="HX19" s="3">
        <v>145.76730000000001</v>
      </c>
      <c r="HY19" s="3">
        <v>146.4299</v>
      </c>
      <c r="HZ19" s="3">
        <v>147.07480000000001</v>
      </c>
      <c r="IA19" s="3">
        <v>147.56129999999999</v>
      </c>
      <c r="IB19" s="3">
        <v>148.6722</v>
      </c>
      <c r="IC19" s="3">
        <v>149.3502</v>
      </c>
      <c r="ID19" s="3">
        <v>150.01089999999999</v>
      </c>
      <c r="IE19" s="3">
        <v>150.51140000000001</v>
      </c>
      <c r="IF19" s="3">
        <v>151.6472</v>
      </c>
      <c r="IG19" s="3">
        <v>152.33449999999999</v>
      </c>
      <c r="IH19" s="3">
        <v>153.00309999999999</v>
      </c>
      <c r="II19" s="3">
        <v>153.5076</v>
      </c>
      <c r="IJ19" s="3">
        <v>154.66130000000001</v>
      </c>
      <c r="IK19" s="3">
        <v>155.3639</v>
      </c>
      <c r="IL19" s="3">
        <v>156.04820000000001</v>
      </c>
      <c r="IM19" s="3">
        <v>156.565</v>
      </c>
      <c r="IN19" s="3">
        <v>157.74379999999999</v>
      </c>
      <c r="IO19" s="3">
        <v>158.4623</v>
      </c>
      <c r="IP19" s="3">
        <v>159.16220000000001</v>
      </c>
      <c r="IQ19" s="3">
        <v>159.691</v>
      </c>
      <c r="IR19" s="3">
        <v>160.89500000000001</v>
      </c>
      <c r="IS19" s="3">
        <v>161.6292</v>
      </c>
      <c r="IT19" s="3">
        <v>162.3442</v>
      </c>
      <c r="IU19" s="3">
        <v>162.88480000000001</v>
      </c>
      <c r="IV19" s="3">
        <v>164.1139</v>
      </c>
      <c r="IW19" s="3">
        <v>164.8638</v>
      </c>
      <c r="IX19" s="3">
        <v>165.5917</v>
      </c>
      <c r="IY19" s="3">
        <v>166.14250000000001</v>
      </c>
      <c r="IZ19" s="3">
        <v>167.39609999999999</v>
      </c>
      <c r="JA19" s="3">
        <v>168.1611</v>
      </c>
      <c r="JB19" s="3">
        <v>168.90350000000001</v>
      </c>
      <c r="JC19" s="3">
        <v>169.46530000000001</v>
      </c>
      <c r="JD19" s="3">
        <v>170.7441</v>
      </c>
      <c r="JE19" s="3">
        <v>171.52430000000001</v>
      </c>
      <c r="JF19" s="3">
        <v>172.2816</v>
      </c>
      <c r="JG19" s="3">
        <v>172.8546</v>
      </c>
      <c r="JH19" s="3">
        <v>174.15899999999999</v>
      </c>
      <c r="JI19" s="3">
        <v>174.95480000000001</v>
      </c>
      <c r="JJ19" s="3">
        <v>175.72720000000001</v>
      </c>
      <c r="JK19" s="3">
        <v>176.3117</v>
      </c>
      <c r="JL19" s="3">
        <v>177.6421</v>
      </c>
      <c r="JM19" s="3">
        <v>178.4539</v>
      </c>
      <c r="JN19" s="3">
        <v>179.24180000000001</v>
      </c>
      <c r="JO19" s="3">
        <v>179.83789999999999</v>
      </c>
      <c r="JP19" s="3">
        <v>181.19499999999999</v>
      </c>
      <c r="JQ19" s="3">
        <v>182.023</v>
      </c>
      <c r="JR19" s="3">
        <v>182.82660000000001</v>
      </c>
      <c r="JS19" s="3">
        <v>183.43469999999999</v>
      </c>
      <c r="JT19" s="3">
        <v>184.81890000000001</v>
      </c>
      <c r="JU19" s="3">
        <v>185.6635</v>
      </c>
      <c r="JV19" s="3">
        <v>186.48320000000001</v>
      </c>
      <c r="JW19" s="3">
        <v>187.10339999999999</v>
      </c>
      <c r="JX19" s="3">
        <v>188.51519999999999</v>
      </c>
      <c r="JY19" s="3">
        <v>189.3767</v>
      </c>
      <c r="JZ19" s="3">
        <v>190.21279999999999</v>
      </c>
      <c r="KA19" s="3">
        <v>190.84549999999999</v>
      </c>
      <c r="KB19" s="3">
        <v>192.28559999999999</v>
      </c>
      <c r="KC19" s="3">
        <v>193.1643</v>
      </c>
      <c r="KD19" s="3">
        <v>194.0171</v>
      </c>
      <c r="KE19" s="3">
        <v>194.66239999999999</v>
      </c>
      <c r="KF19" s="3">
        <v>196.13130000000001</v>
      </c>
      <c r="KG19" s="3">
        <v>197.0275</v>
      </c>
      <c r="KH19" s="3">
        <v>197.8974</v>
      </c>
      <c r="KI19" s="3">
        <v>198.5556</v>
      </c>
      <c r="KJ19" s="3">
        <v>200.0539</v>
      </c>
      <c r="KK19" s="3">
        <v>200.96809999999999</v>
      </c>
      <c r="KL19" s="3">
        <v>201.8554</v>
      </c>
      <c r="KM19" s="3">
        <v>202.52670000000001</v>
      </c>
      <c r="KN19" s="3">
        <v>204.05500000000001</v>
      </c>
      <c r="KO19" s="3">
        <v>204.98750000000001</v>
      </c>
      <c r="KP19" s="3">
        <v>205.89250000000001</v>
      </c>
      <c r="KQ19" s="3">
        <v>206.57730000000001</v>
      </c>
      <c r="KR19" s="3">
        <v>208.1361</v>
      </c>
      <c r="KS19" s="3">
        <v>209.0872</v>
      </c>
      <c r="KT19" s="3">
        <v>210.0103</v>
      </c>
      <c r="KU19" s="3">
        <v>210.7088</v>
      </c>
      <c r="KV19" s="3">
        <v>212.2988</v>
      </c>
      <c r="KW19" s="3">
        <v>213.26900000000001</v>
      </c>
      <c r="KX19" s="3">
        <v>214.2105</v>
      </c>
      <c r="KY19" s="3">
        <v>214.923</v>
      </c>
      <c r="KZ19" s="3">
        <v>216.54480000000001</v>
      </c>
      <c r="LA19" s="3">
        <v>217.5343</v>
      </c>
      <c r="LB19" s="3">
        <v>218.4948</v>
      </c>
      <c r="LC19" s="3">
        <v>219.22139999999999</v>
      </c>
      <c r="LD19" s="3">
        <v>220.87569999999999</v>
      </c>
      <c r="LE19" s="3">
        <v>221.88499999999999</v>
      </c>
      <c r="LF19" s="3">
        <v>222.8646</v>
      </c>
      <c r="LG19" t="s">
        <v>335</v>
      </c>
      <c r="LH19" t="b">
        <v>0</v>
      </c>
      <c r="LI19" t="s">
        <v>337</v>
      </c>
      <c r="LJ19">
        <v>2015</v>
      </c>
      <c r="LK19">
        <v>2023</v>
      </c>
      <c r="LL19">
        <v>4</v>
      </c>
      <c r="LM19" t="s">
        <v>337</v>
      </c>
      <c r="LN19" s="1" t="s">
        <v>344</v>
      </c>
      <c r="LO19" s="1" t="s">
        <v>345</v>
      </c>
      <c r="LP19" t="s">
        <v>340</v>
      </c>
      <c r="LQ19" t="s">
        <v>346</v>
      </c>
      <c r="LR19" s="1" t="s">
        <v>352</v>
      </c>
    </row>
    <row r="20" spans="1:330" x14ac:dyDescent="0.25">
      <c r="A20" t="s">
        <v>330</v>
      </c>
      <c r="B20" t="s">
        <v>331</v>
      </c>
      <c r="C20" s="1" t="s">
        <v>353</v>
      </c>
      <c r="D20" t="s">
        <v>332</v>
      </c>
      <c r="E20" t="s">
        <v>333</v>
      </c>
      <c r="F20" t="s">
        <v>334</v>
      </c>
      <c r="G20" s="2">
        <v>223780</v>
      </c>
      <c r="H20" s="2">
        <v>224213</v>
      </c>
      <c r="I20" s="2">
        <v>222122</v>
      </c>
      <c r="J20" s="2">
        <v>221266</v>
      </c>
      <c r="K20" s="2">
        <v>215122</v>
      </c>
      <c r="L20" s="2">
        <v>218215</v>
      </c>
      <c r="M20" s="2">
        <v>219517</v>
      </c>
      <c r="N20" s="2">
        <v>216301</v>
      </c>
      <c r="O20" s="2">
        <v>216390</v>
      </c>
      <c r="P20" s="2">
        <v>212882</v>
      </c>
      <c r="Q20" s="2">
        <v>212192</v>
      </c>
      <c r="R20" s="2">
        <v>214585</v>
      </c>
      <c r="S20" s="2">
        <v>218180</v>
      </c>
      <c r="T20" s="2">
        <v>217883</v>
      </c>
      <c r="U20" s="2">
        <v>220587</v>
      </c>
      <c r="V20" s="2">
        <v>225228</v>
      </c>
      <c r="W20" s="2">
        <v>225362</v>
      </c>
      <c r="X20" s="2">
        <v>223815</v>
      </c>
      <c r="Y20" s="2">
        <v>225295</v>
      </c>
      <c r="Z20" s="2">
        <v>229115</v>
      </c>
      <c r="AA20" s="2">
        <v>231258</v>
      </c>
      <c r="AB20" s="2">
        <v>233910</v>
      </c>
      <c r="AC20" s="2">
        <v>237107</v>
      </c>
      <c r="AD20" s="2">
        <v>239186</v>
      </c>
      <c r="AE20" s="2">
        <v>238472</v>
      </c>
      <c r="AF20" s="2">
        <v>248867</v>
      </c>
      <c r="AG20" s="2">
        <v>243369</v>
      </c>
      <c r="AH20" s="2">
        <v>245858</v>
      </c>
      <c r="AI20" s="2">
        <v>243513</v>
      </c>
      <c r="AJ20" s="2">
        <v>238722</v>
      </c>
      <c r="AK20" s="2">
        <v>238432</v>
      </c>
      <c r="AL20" s="2">
        <v>235866</v>
      </c>
      <c r="AM20" s="2">
        <v>235712</v>
      </c>
      <c r="AN20" s="2">
        <v>236272</v>
      </c>
      <c r="AO20" s="2">
        <v>238846</v>
      </c>
      <c r="AP20" s="2">
        <v>239131</v>
      </c>
      <c r="AQ20" s="2">
        <v>239578</v>
      </c>
      <c r="AR20" s="2">
        <v>242095</v>
      </c>
      <c r="AS20" s="2">
        <v>242639</v>
      </c>
      <c r="AT20" s="2">
        <v>244317</v>
      </c>
      <c r="AU20" s="2">
        <v>249032</v>
      </c>
      <c r="AV20" s="2">
        <v>250761</v>
      </c>
      <c r="AW20" s="2">
        <v>253655</v>
      </c>
      <c r="AX20" s="2">
        <v>255533</v>
      </c>
      <c r="AY20" s="2">
        <v>257683</v>
      </c>
      <c r="AZ20" s="2">
        <v>255100</v>
      </c>
      <c r="BA20" s="2">
        <v>256975</v>
      </c>
      <c r="BB20" s="2">
        <v>261627</v>
      </c>
      <c r="BC20" s="2">
        <v>264127</v>
      </c>
      <c r="BD20" s="2">
        <v>269787</v>
      </c>
      <c r="BE20" s="2">
        <v>269737</v>
      </c>
      <c r="BF20" s="2">
        <v>269896</v>
      </c>
      <c r="BG20" s="2">
        <v>272720</v>
      </c>
      <c r="BH20" s="2">
        <v>275136</v>
      </c>
      <c r="BI20" s="2">
        <v>276863</v>
      </c>
      <c r="BJ20" s="2">
        <v>282193</v>
      </c>
      <c r="BK20" s="2">
        <v>284172</v>
      </c>
      <c r="BL20" s="2">
        <v>288385</v>
      </c>
      <c r="BM20" s="2">
        <v>295493</v>
      </c>
      <c r="BN20" s="2">
        <v>298855</v>
      </c>
      <c r="BO20" s="2">
        <v>303698</v>
      </c>
      <c r="BP20" s="2">
        <v>305281</v>
      </c>
      <c r="BQ20" s="2">
        <v>309097</v>
      </c>
      <c r="BR20" s="2">
        <v>311574</v>
      </c>
      <c r="BS20" s="2">
        <v>313083</v>
      </c>
      <c r="BT20" s="2">
        <v>315039</v>
      </c>
      <c r="BU20" s="2">
        <v>315554</v>
      </c>
      <c r="BV20" s="2">
        <v>315515</v>
      </c>
      <c r="BW20" s="2">
        <v>317117</v>
      </c>
      <c r="BX20" s="2">
        <v>319239</v>
      </c>
      <c r="BY20" s="2">
        <v>315744</v>
      </c>
      <c r="BZ20" s="2">
        <v>314148</v>
      </c>
      <c r="CA20" s="2">
        <v>312596</v>
      </c>
      <c r="CB20" s="2">
        <v>312235</v>
      </c>
      <c r="CC20" s="2">
        <v>311624</v>
      </c>
      <c r="CD20" s="2">
        <v>312006</v>
      </c>
      <c r="CE20" s="2">
        <v>311904</v>
      </c>
      <c r="CF20" s="2">
        <v>311418</v>
      </c>
      <c r="CG20" s="2">
        <v>312896</v>
      </c>
      <c r="CH20" s="2">
        <v>315307</v>
      </c>
      <c r="CI20" s="2">
        <v>316882</v>
      </c>
      <c r="CJ20" s="2">
        <v>318302</v>
      </c>
      <c r="CK20" s="2">
        <v>321218</v>
      </c>
      <c r="CL20" s="2">
        <v>323400</v>
      </c>
      <c r="CM20" s="2">
        <v>326585</v>
      </c>
      <c r="CN20" s="2">
        <v>329584</v>
      </c>
      <c r="CO20" s="2">
        <v>332911</v>
      </c>
      <c r="CP20" s="2">
        <v>334363</v>
      </c>
      <c r="CQ20" s="2">
        <v>336090</v>
      </c>
      <c r="CR20" s="2">
        <v>336789</v>
      </c>
      <c r="CS20" s="2">
        <v>340542</v>
      </c>
      <c r="CT20" s="2">
        <v>341602</v>
      </c>
      <c r="CU20" s="2">
        <v>343859</v>
      </c>
      <c r="CV20" s="2">
        <v>344979</v>
      </c>
      <c r="CW20" s="2">
        <v>348214</v>
      </c>
      <c r="CX20" s="2">
        <v>352958</v>
      </c>
      <c r="CY20" s="2">
        <v>358611</v>
      </c>
      <c r="CZ20" s="2">
        <v>362573</v>
      </c>
      <c r="DA20" s="2">
        <v>365942</v>
      </c>
      <c r="DB20" s="2">
        <v>371341</v>
      </c>
      <c r="DC20" s="2">
        <v>374037</v>
      </c>
      <c r="DD20" s="2">
        <v>376421</v>
      </c>
      <c r="DE20" s="2">
        <v>377650</v>
      </c>
      <c r="DF20" s="2">
        <v>380155</v>
      </c>
      <c r="DG20" s="2">
        <v>382789</v>
      </c>
      <c r="DH20" s="2">
        <v>384605</v>
      </c>
      <c r="DI20" s="2">
        <v>390758</v>
      </c>
      <c r="DJ20" s="2">
        <v>396357</v>
      </c>
      <c r="DK20" s="2">
        <v>401242</v>
      </c>
      <c r="DL20" s="2">
        <v>404196</v>
      </c>
      <c r="DM20" s="2">
        <v>406795</v>
      </c>
      <c r="DN20" s="2">
        <v>409411</v>
      </c>
      <c r="DO20" s="2">
        <v>413054</v>
      </c>
      <c r="DP20" s="2">
        <v>414878</v>
      </c>
      <c r="DQ20" s="2">
        <v>417085</v>
      </c>
      <c r="DR20" s="2">
        <v>418445</v>
      </c>
      <c r="DS20" s="2">
        <v>419534</v>
      </c>
      <c r="DT20" s="2">
        <v>421587</v>
      </c>
      <c r="DU20" s="2">
        <v>424425</v>
      </c>
      <c r="DV20" s="2">
        <v>427725</v>
      </c>
      <c r="DW20" s="2">
        <v>430832</v>
      </c>
      <c r="DX20" s="2">
        <v>434837</v>
      </c>
      <c r="DY20" s="2">
        <v>438710</v>
      </c>
      <c r="DZ20" s="2">
        <v>442172</v>
      </c>
      <c r="EA20" s="2">
        <v>443853</v>
      </c>
      <c r="EB20" s="2">
        <v>446443</v>
      </c>
      <c r="EC20" s="2">
        <v>448171</v>
      </c>
      <c r="ED20" s="2">
        <v>450464</v>
      </c>
      <c r="EE20" s="2">
        <v>453784</v>
      </c>
      <c r="EF20" s="2">
        <v>457557</v>
      </c>
      <c r="EG20" s="2">
        <v>461135</v>
      </c>
      <c r="EH20" s="2">
        <v>465451</v>
      </c>
      <c r="EI20" s="2">
        <v>467840</v>
      </c>
      <c r="EJ20" s="2">
        <v>469655</v>
      </c>
      <c r="EK20" s="2">
        <v>470918</v>
      </c>
      <c r="EL20" s="2">
        <v>473372</v>
      </c>
      <c r="EM20" s="2">
        <v>477823</v>
      </c>
      <c r="EN20" s="2">
        <v>481314</v>
      </c>
      <c r="EO20" s="2">
        <v>484544</v>
      </c>
      <c r="EP20" s="2">
        <v>487413</v>
      </c>
      <c r="EQ20" s="2">
        <v>489783</v>
      </c>
      <c r="ER20" s="2">
        <v>487386</v>
      </c>
      <c r="ES20" s="2">
        <v>479872</v>
      </c>
      <c r="ET20" s="2">
        <v>469694</v>
      </c>
      <c r="EU20" s="2">
        <v>460105</v>
      </c>
      <c r="EV20" s="2">
        <v>458599</v>
      </c>
      <c r="EW20" s="2">
        <v>458875</v>
      </c>
      <c r="EX20" s="2">
        <v>460238</v>
      </c>
      <c r="EY20" s="2">
        <v>464543</v>
      </c>
      <c r="EZ20" s="2">
        <v>469606</v>
      </c>
      <c r="FA20" s="2">
        <v>472199</v>
      </c>
      <c r="FB20" s="2">
        <v>472612</v>
      </c>
      <c r="FC20" s="2">
        <v>473819</v>
      </c>
      <c r="FD20" s="2">
        <v>474365</v>
      </c>
      <c r="FE20" s="2">
        <v>475813</v>
      </c>
      <c r="FF20" s="2">
        <v>476479</v>
      </c>
      <c r="FG20" s="2">
        <v>480632</v>
      </c>
      <c r="FH20" s="2">
        <v>479979</v>
      </c>
      <c r="FI20" s="2">
        <v>484579</v>
      </c>
      <c r="FJ20" s="2">
        <v>484039</v>
      </c>
      <c r="FK20" s="2">
        <v>485409</v>
      </c>
      <c r="FL20" s="2">
        <v>488930</v>
      </c>
      <c r="FM20" s="2">
        <v>493002</v>
      </c>
      <c r="FN20" s="2">
        <v>496466</v>
      </c>
      <c r="FO20" s="2">
        <v>500552</v>
      </c>
      <c r="FP20" s="2">
        <v>504939</v>
      </c>
      <c r="FQ20" s="2">
        <v>508741</v>
      </c>
      <c r="FR20" s="2">
        <v>512334</v>
      </c>
      <c r="FS20" s="2">
        <v>513850</v>
      </c>
      <c r="FT20" s="2">
        <v>516876</v>
      </c>
      <c r="FU20" s="2">
        <v>518915</v>
      </c>
      <c r="FV20" s="2">
        <v>521920</v>
      </c>
      <c r="FW20" s="2">
        <v>523813</v>
      </c>
      <c r="FX20" s="2">
        <v>526750</v>
      </c>
      <c r="FY20" s="2">
        <v>528712</v>
      </c>
      <c r="FZ20" s="2">
        <v>532082</v>
      </c>
      <c r="GA20" s="2">
        <v>536566</v>
      </c>
      <c r="GB20" s="2">
        <v>540020</v>
      </c>
      <c r="GC20" s="2">
        <v>543452</v>
      </c>
      <c r="GD20" s="2">
        <v>547377</v>
      </c>
      <c r="GE20" s="2">
        <v>547688</v>
      </c>
      <c r="GF20" s="2">
        <v>548600</v>
      </c>
      <c r="GG20" s="2">
        <v>550425</v>
      </c>
      <c r="GH20" s="2">
        <v>551128</v>
      </c>
      <c r="GI20" s="2">
        <v>555141</v>
      </c>
      <c r="GJ20" s="2">
        <v>556932</v>
      </c>
      <c r="GK20" s="2">
        <v>560987</v>
      </c>
      <c r="GL20" s="2">
        <v>560861</v>
      </c>
      <c r="GM20" s="2">
        <v>545597</v>
      </c>
      <c r="GN20" s="2">
        <v>434718</v>
      </c>
      <c r="GO20" s="2">
        <v>507643</v>
      </c>
      <c r="GP20" s="2">
        <v>514531</v>
      </c>
      <c r="GQ20" s="2">
        <v>509261</v>
      </c>
      <c r="GR20" s="2">
        <v>546579</v>
      </c>
      <c r="GS20" s="2">
        <v>555956</v>
      </c>
      <c r="GT20" s="2">
        <v>564407</v>
      </c>
      <c r="GU20" s="2">
        <v>567396</v>
      </c>
      <c r="GV20" s="2">
        <v>567889</v>
      </c>
      <c r="GW20" s="2">
        <v>567445</v>
      </c>
      <c r="GX20" s="2">
        <v>568034</v>
      </c>
      <c r="GY20" s="2">
        <v>569472</v>
      </c>
      <c r="GZ20" s="2">
        <v>569687</v>
      </c>
      <c r="HA20" s="2">
        <v>568953</v>
      </c>
      <c r="HB20" s="3">
        <v>568945.1</v>
      </c>
      <c r="HC20" s="3">
        <v>570855.9</v>
      </c>
      <c r="HD20" s="3">
        <v>571938.1</v>
      </c>
      <c r="HE20" s="3">
        <v>573233.19999999995</v>
      </c>
      <c r="HF20" s="3">
        <v>574865.80000000005</v>
      </c>
      <c r="HG20" s="3">
        <v>577320.19999999995</v>
      </c>
      <c r="HH20" s="3">
        <v>580409.5</v>
      </c>
      <c r="HI20" s="3">
        <v>583456.69999999995</v>
      </c>
      <c r="HJ20" s="3">
        <v>586753.1</v>
      </c>
      <c r="HK20" s="3">
        <v>589452</v>
      </c>
      <c r="HL20" s="3">
        <v>591987.30000000005</v>
      </c>
      <c r="HM20" s="3">
        <v>594325.5</v>
      </c>
      <c r="HN20" s="3">
        <v>596464.5</v>
      </c>
      <c r="HO20" s="3">
        <v>598701.30000000005</v>
      </c>
      <c r="HP20" s="3">
        <v>600856.6</v>
      </c>
      <c r="HQ20" s="3">
        <v>603019.80000000005</v>
      </c>
      <c r="HR20" s="3">
        <v>605160.4</v>
      </c>
      <c r="HS20" s="3">
        <v>607278.4</v>
      </c>
      <c r="HT20" s="3">
        <v>609373.6</v>
      </c>
      <c r="HU20" s="3">
        <v>611475.9</v>
      </c>
      <c r="HV20" s="3">
        <v>613585.5</v>
      </c>
      <c r="HW20" s="3">
        <v>615702.4</v>
      </c>
      <c r="HX20" s="3">
        <v>617888.1</v>
      </c>
      <c r="HY20" s="3">
        <v>620081.6</v>
      </c>
      <c r="HZ20" s="3">
        <v>622282.9</v>
      </c>
      <c r="IA20" s="3">
        <v>624460.9</v>
      </c>
      <c r="IB20" s="3">
        <v>626646.5</v>
      </c>
      <c r="IC20" s="3">
        <v>628839.80000000005</v>
      </c>
      <c r="ID20" s="3">
        <v>631040.69999999995</v>
      </c>
      <c r="IE20" s="3">
        <v>633276.5</v>
      </c>
      <c r="IF20" s="3">
        <v>635524.69999999995</v>
      </c>
      <c r="IG20" s="3">
        <v>637785.1</v>
      </c>
      <c r="IH20" s="3">
        <v>640057.5</v>
      </c>
      <c r="II20" s="3">
        <v>642341.6</v>
      </c>
      <c r="IJ20" s="3">
        <v>644637.69999999995</v>
      </c>
      <c r="IK20" s="3">
        <v>646945.1</v>
      </c>
      <c r="IL20" s="3">
        <v>649264</v>
      </c>
      <c r="IM20" s="3">
        <v>651594.30000000005</v>
      </c>
      <c r="IN20" s="3">
        <v>653935.6</v>
      </c>
      <c r="IO20" s="3">
        <v>656288</v>
      </c>
      <c r="IP20" s="3">
        <v>658651.1</v>
      </c>
      <c r="IQ20" s="3">
        <v>661024.69999999995</v>
      </c>
      <c r="IR20" s="3">
        <v>663408.9</v>
      </c>
      <c r="IS20" s="3">
        <v>665803.6</v>
      </c>
      <c r="IT20" s="3">
        <v>668208.5</v>
      </c>
      <c r="IU20" s="3">
        <v>670738.6</v>
      </c>
      <c r="IV20" s="3">
        <v>673280.6</v>
      </c>
      <c r="IW20" s="3">
        <v>675834.3</v>
      </c>
      <c r="IX20" s="3">
        <v>678399.5</v>
      </c>
      <c r="IY20" s="3">
        <v>680978.3</v>
      </c>
      <c r="IZ20" s="3">
        <v>683570.8</v>
      </c>
      <c r="JA20" s="3">
        <v>686176.9</v>
      </c>
      <c r="JB20" s="3">
        <v>688796.6</v>
      </c>
      <c r="JC20" s="3">
        <v>691430.1</v>
      </c>
      <c r="JD20" s="3">
        <v>694076.9</v>
      </c>
      <c r="JE20" s="3">
        <v>696737.6</v>
      </c>
      <c r="JF20" s="3">
        <v>699412.1</v>
      </c>
      <c r="JG20" s="3">
        <v>702100.1</v>
      </c>
      <c r="JH20" s="3">
        <v>704801.8</v>
      </c>
      <c r="JI20" s="3">
        <v>707517.8</v>
      </c>
      <c r="JJ20" s="3">
        <v>710247.9</v>
      </c>
      <c r="JK20" s="3">
        <v>712992.3</v>
      </c>
      <c r="JL20" s="3">
        <v>715750.6</v>
      </c>
      <c r="JM20" s="3">
        <v>718523.6</v>
      </c>
      <c r="JN20" s="3">
        <v>721310.9</v>
      </c>
      <c r="JO20" s="3">
        <v>724112.6</v>
      </c>
      <c r="JP20" s="3">
        <v>726922.8</v>
      </c>
      <c r="JQ20" s="3">
        <v>729742</v>
      </c>
      <c r="JR20" s="3">
        <v>732569.9</v>
      </c>
      <c r="JS20" s="3">
        <v>735356.6</v>
      </c>
      <c r="JT20" s="3">
        <v>738150.9</v>
      </c>
      <c r="JU20" s="3">
        <v>740953.1</v>
      </c>
      <c r="JV20" s="3">
        <v>743763.1</v>
      </c>
      <c r="JW20" s="3">
        <v>746580.7</v>
      </c>
      <c r="JX20" s="3">
        <v>749406.2</v>
      </c>
      <c r="JY20" s="3">
        <v>752239.4</v>
      </c>
      <c r="JZ20" s="3">
        <v>755080.2</v>
      </c>
      <c r="KA20" s="3">
        <v>757928.9</v>
      </c>
      <c r="KB20" s="3">
        <v>760784.8</v>
      </c>
      <c r="KC20" s="3">
        <v>763647.7</v>
      </c>
      <c r="KD20" s="3">
        <v>766517.6</v>
      </c>
      <c r="KE20" s="3">
        <v>769394.4</v>
      </c>
      <c r="KF20" s="3">
        <v>772278.1</v>
      </c>
      <c r="KG20" s="3">
        <v>775168.8</v>
      </c>
      <c r="KH20" s="3">
        <v>778066.3</v>
      </c>
      <c r="KI20" s="3">
        <v>780970.8</v>
      </c>
      <c r="KJ20" s="3">
        <v>783882</v>
      </c>
      <c r="KK20" s="3">
        <v>786800.1</v>
      </c>
      <c r="KL20" s="3">
        <v>789724.9</v>
      </c>
      <c r="KM20" s="3">
        <v>792656.7</v>
      </c>
      <c r="KN20" s="3">
        <v>795595.3</v>
      </c>
      <c r="KO20" s="3">
        <v>798540.7</v>
      </c>
      <c r="KP20" s="3">
        <v>801493</v>
      </c>
      <c r="KQ20" s="3">
        <v>804452.1</v>
      </c>
      <c r="KR20" s="3">
        <v>807417.9</v>
      </c>
      <c r="KS20" s="3">
        <v>810390.7</v>
      </c>
      <c r="KT20" s="3">
        <v>813370.3</v>
      </c>
      <c r="KU20" s="3">
        <v>816357</v>
      </c>
      <c r="KV20" s="3">
        <v>819350.6</v>
      </c>
      <c r="KW20" s="3">
        <v>822351.1</v>
      </c>
      <c r="KX20" s="3">
        <v>825358.6</v>
      </c>
      <c r="KY20" s="3">
        <v>828372.8</v>
      </c>
      <c r="KZ20" s="3">
        <v>831394</v>
      </c>
      <c r="LA20" s="3">
        <v>834421.9</v>
      </c>
      <c r="LB20" s="3">
        <v>837456.6</v>
      </c>
      <c r="LC20" s="3">
        <v>840498</v>
      </c>
      <c r="LD20" s="3">
        <v>843546.4</v>
      </c>
      <c r="LE20" s="3">
        <v>846601.3</v>
      </c>
      <c r="LF20" s="3">
        <v>849663.2</v>
      </c>
      <c r="LG20" t="s">
        <v>335</v>
      </c>
      <c r="LH20" t="b">
        <v>1</v>
      </c>
      <c r="LI20" s="1" t="s">
        <v>336</v>
      </c>
      <c r="LJ20" t="s">
        <v>337</v>
      </c>
      <c r="LK20">
        <v>2023</v>
      </c>
      <c r="LL20">
        <v>3</v>
      </c>
      <c r="LM20" t="s">
        <v>337</v>
      </c>
      <c r="LN20" t="s">
        <v>338</v>
      </c>
      <c r="LO20" s="1" t="s">
        <v>339</v>
      </c>
      <c r="LP20" t="s">
        <v>340</v>
      </c>
      <c r="LQ20" t="s">
        <v>341</v>
      </c>
      <c r="LR20" s="1" t="s">
        <v>354</v>
      </c>
    </row>
    <row r="21" spans="1:330" x14ac:dyDescent="0.25">
      <c r="A21" t="s">
        <v>330</v>
      </c>
      <c r="B21" t="s">
        <v>342</v>
      </c>
      <c r="C21" s="1" t="s">
        <v>353</v>
      </c>
      <c r="D21" t="s">
        <v>343</v>
      </c>
      <c r="E21" t="s">
        <v>337</v>
      </c>
      <c r="F21" t="s">
        <v>334</v>
      </c>
      <c r="G21" s="2">
        <v>11.88749</v>
      </c>
      <c r="H21" s="2">
        <v>12.304600000000001</v>
      </c>
      <c r="I21" s="2">
        <v>12.51315</v>
      </c>
      <c r="J21" s="2">
        <v>13.008459999999999</v>
      </c>
      <c r="K21" s="2">
        <v>13.47771</v>
      </c>
      <c r="L21" s="2">
        <v>14.23371</v>
      </c>
      <c r="M21" s="2">
        <v>14.572609999999999</v>
      </c>
      <c r="N21" s="2">
        <v>15.250400000000001</v>
      </c>
      <c r="O21" s="2">
        <v>16.058540000000001</v>
      </c>
      <c r="P21" s="2">
        <v>17.466270000000002</v>
      </c>
      <c r="Q21" s="2">
        <v>18.222280000000001</v>
      </c>
      <c r="R21" s="2">
        <v>18.847930000000002</v>
      </c>
      <c r="S21" s="2">
        <v>19.42145</v>
      </c>
      <c r="T21" s="2">
        <v>20.125319999999999</v>
      </c>
      <c r="U21" s="2">
        <v>20.594560000000001</v>
      </c>
      <c r="V21" s="2">
        <v>21.506979999999999</v>
      </c>
      <c r="W21" s="2">
        <v>22.471530000000001</v>
      </c>
      <c r="X21" s="2">
        <v>23.410019999999999</v>
      </c>
      <c r="Y21" s="2">
        <v>23.82713</v>
      </c>
      <c r="Z21" s="2">
        <v>24.139949999999999</v>
      </c>
      <c r="AA21" s="2">
        <v>24.452780000000001</v>
      </c>
      <c r="AB21" s="2">
        <v>25.078440000000001</v>
      </c>
      <c r="AC21" s="2">
        <v>25.469480000000001</v>
      </c>
      <c r="AD21" s="2">
        <v>25.860510000000001</v>
      </c>
      <c r="AE21" s="2">
        <v>26.43403</v>
      </c>
      <c r="AF21" s="2">
        <v>27.268239999999999</v>
      </c>
      <c r="AG21" s="2">
        <v>28.910589999999999</v>
      </c>
      <c r="AH21" s="2">
        <v>29.718730000000001</v>
      </c>
      <c r="AI21" s="2">
        <v>30.605080000000001</v>
      </c>
      <c r="AJ21" s="2">
        <v>32.247430000000001</v>
      </c>
      <c r="AK21" s="2">
        <v>32.951300000000003</v>
      </c>
      <c r="AL21" s="2">
        <v>33.550879999999999</v>
      </c>
      <c r="AM21" s="2">
        <v>34.385100000000001</v>
      </c>
      <c r="AN21" s="2">
        <v>36.079590000000003</v>
      </c>
      <c r="AO21" s="2">
        <v>36.731310000000001</v>
      </c>
      <c r="AP21" s="2">
        <v>37.435180000000003</v>
      </c>
      <c r="AQ21" s="2">
        <v>37.878349999999998</v>
      </c>
      <c r="AR21" s="2">
        <v>39.181800000000003</v>
      </c>
      <c r="AS21" s="2">
        <v>39.416420000000002</v>
      </c>
      <c r="AT21" s="2">
        <v>39.885669999999998</v>
      </c>
      <c r="AU21" s="2">
        <v>40.172429999999999</v>
      </c>
      <c r="AV21" s="2">
        <v>40.85022</v>
      </c>
      <c r="AW21" s="2">
        <v>41.293399999999998</v>
      </c>
      <c r="AX21" s="2">
        <v>41.762639999999998</v>
      </c>
      <c r="AY21" s="2">
        <v>41.86692</v>
      </c>
      <c r="AZ21" s="2">
        <v>42.779339999999998</v>
      </c>
      <c r="BA21" s="2">
        <v>42.98789</v>
      </c>
      <c r="BB21" s="2">
        <v>43.431060000000002</v>
      </c>
      <c r="BC21" s="2">
        <v>43.874229999999997</v>
      </c>
      <c r="BD21" s="2">
        <v>44.995199999999997</v>
      </c>
      <c r="BE21" s="2">
        <v>45.125549999999997</v>
      </c>
      <c r="BF21" s="2">
        <v>45.490519999999997</v>
      </c>
      <c r="BG21" s="2">
        <v>45.646929999999998</v>
      </c>
      <c r="BH21" s="2">
        <v>46.3508</v>
      </c>
      <c r="BI21" s="2">
        <v>46.533279999999998</v>
      </c>
      <c r="BJ21" s="2">
        <v>46.924320000000002</v>
      </c>
      <c r="BK21" s="2">
        <v>47.237139999999997</v>
      </c>
      <c r="BL21" s="2">
        <v>47.836730000000003</v>
      </c>
      <c r="BM21" s="2">
        <v>47.888869999999997</v>
      </c>
      <c r="BN21" s="2">
        <v>48.436320000000002</v>
      </c>
      <c r="BO21" s="2">
        <v>48.566670000000002</v>
      </c>
      <c r="BP21" s="2">
        <v>49.5</v>
      </c>
      <c r="BQ21" s="2">
        <v>49.9</v>
      </c>
      <c r="BR21" s="2">
        <v>50.466670000000001</v>
      </c>
      <c r="BS21" s="2">
        <v>51</v>
      </c>
      <c r="BT21" s="2">
        <v>52.133339999999997</v>
      </c>
      <c r="BU21" s="2">
        <v>52.466670000000001</v>
      </c>
      <c r="BV21" s="2">
        <v>53.266669999999998</v>
      </c>
      <c r="BW21" s="2">
        <v>53.933329999999998</v>
      </c>
      <c r="BX21" s="2">
        <v>55.6</v>
      </c>
      <c r="BY21" s="2">
        <v>56.4</v>
      </c>
      <c r="BZ21" s="2">
        <v>57.466670000000001</v>
      </c>
      <c r="CA21" s="2">
        <v>57.666670000000003</v>
      </c>
      <c r="CB21" s="2">
        <v>60.266669999999998</v>
      </c>
      <c r="CC21" s="2">
        <v>60.833329999999997</v>
      </c>
      <c r="CD21" s="2">
        <v>61.466670000000001</v>
      </c>
      <c r="CE21" s="2">
        <v>61.7</v>
      </c>
      <c r="CF21" s="2">
        <v>62.833329999999997</v>
      </c>
      <c r="CG21" s="2">
        <v>62.733330000000002</v>
      </c>
      <c r="CH21" s="2">
        <v>63.133339999999997</v>
      </c>
      <c r="CI21" s="2">
        <v>63.2</v>
      </c>
      <c r="CJ21" s="2">
        <v>64.433329999999998</v>
      </c>
      <c r="CK21" s="2">
        <v>64.5</v>
      </c>
      <c r="CL21" s="2">
        <v>64.666659999999993</v>
      </c>
      <c r="CM21" s="2">
        <v>64.766670000000005</v>
      </c>
      <c r="CN21" s="2">
        <v>65.7</v>
      </c>
      <c r="CO21" s="2">
        <v>65.633330000000001</v>
      </c>
      <c r="CP21" s="2">
        <v>65.8</v>
      </c>
      <c r="CQ21" s="2">
        <v>66.333340000000007</v>
      </c>
      <c r="CR21" s="2">
        <v>67.266670000000005</v>
      </c>
      <c r="CS21" s="2">
        <v>67.400000000000006</v>
      </c>
      <c r="CT21" s="2">
        <v>67.733329999999995</v>
      </c>
      <c r="CU21" s="2">
        <v>68.099999999999994</v>
      </c>
      <c r="CV21" s="2">
        <v>68.866669999999999</v>
      </c>
      <c r="CW21" s="2">
        <v>68.933329999999998</v>
      </c>
      <c r="CX21" s="2">
        <v>69.366669999999999</v>
      </c>
      <c r="CY21" s="2">
        <v>69.366669999999999</v>
      </c>
      <c r="CZ21" s="2">
        <v>70</v>
      </c>
      <c r="DA21" s="2">
        <v>70.266670000000005</v>
      </c>
      <c r="DB21" s="2">
        <v>70.633330000000001</v>
      </c>
      <c r="DC21" s="2">
        <v>70.5</v>
      </c>
      <c r="DD21" s="2">
        <v>71.266670000000005</v>
      </c>
      <c r="DE21" s="2">
        <v>71.233329999999995</v>
      </c>
      <c r="DF21" s="2">
        <v>71.633330000000001</v>
      </c>
      <c r="DG21" s="2">
        <v>71.599999999999994</v>
      </c>
      <c r="DH21" s="2">
        <v>72.3</v>
      </c>
      <c r="DI21" s="2">
        <v>72.133330000000001</v>
      </c>
      <c r="DJ21" s="2">
        <v>72.433329999999998</v>
      </c>
      <c r="DK21" s="2">
        <v>72.133330000000001</v>
      </c>
      <c r="DL21" s="2">
        <v>72.766670000000005</v>
      </c>
      <c r="DM21" s="2">
        <v>72.7</v>
      </c>
      <c r="DN21" s="2">
        <v>73.166659999999993</v>
      </c>
      <c r="DO21" s="2">
        <v>72.766670000000005</v>
      </c>
      <c r="DP21" s="2">
        <v>73.833340000000007</v>
      </c>
      <c r="DQ21" s="2">
        <v>73.866669999999999</v>
      </c>
      <c r="DR21" s="2">
        <v>73.900000000000006</v>
      </c>
      <c r="DS21" s="2">
        <v>73.866669999999999</v>
      </c>
      <c r="DT21" s="2">
        <v>74.533330000000007</v>
      </c>
      <c r="DU21" s="2">
        <v>74.599999999999994</v>
      </c>
      <c r="DV21" s="2">
        <v>75</v>
      </c>
      <c r="DW21" s="2">
        <v>75</v>
      </c>
      <c r="DX21" s="2">
        <v>75.466669999999993</v>
      </c>
      <c r="DY21" s="2">
        <v>75.599999999999994</v>
      </c>
      <c r="DZ21" s="2">
        <v>76.033330000000007</v>
      </c>
      <c r="EA21" s="2">
        <v>75.966669999999993</v>
      </c>
      <c r="EB21" s="2">
        <v>76.533330000000007</v>
      </c>
      <c r="EC21" s="2">
        <v>76.566670000000002</v>
      </c>
      <c r="ED21" s="2">
        <v>77.099999999999994</v>
      </c>
      <c r="EE21" s="2">
        <v>77.233329999999995</v>
      </c>
      <c r="EF21" s="2">
        <v>78</v>
      </c>
      <c r="EG21" s="2">
        <v>78.400000000000006</v>
      </c>
      <c r="EH21" s="2">
        <v>78.766670000000005</v>
      </c>
      <c r="EI21" s="2">
        <v>78.733329999999995</v>
      </c>
      <c r="EJ21" s="2">
        <v>79.8</v>
      </c>
      <c r="EK21" s="2">
        <v>80.3</v>
      </c>
      <c r="EL21" s="2">
        <v>80.900000000000006</v>
      </c>
      <c r="EM21" s="2">
        <v>81</v>
      </c>
      <c r="EN21" s="2">
        <v>81.8</v>
      </c>
      <c r="EO21" s="2">
        <v>81.733329999999995</v>
      </c>
      <c r="EP21" s="2">
        <v>82.6</v>
      </c>
      <c r="EQ21" s="2">
        <v>82.933329999999998</v>
      </c>
      <c r="ER21" s="2">
        <v>84.6</v>
      </c>
      <c r="ES21" s="2">
        <v>85.633330000000001</v>
      </c>
      <c r="ET21" s="2">
        <v>85.733329999999995</v>
      </c>
      <c r="EU21" s="2">
        <v>85.433329999999998</v>
      </c>
      <c r="EV21" s="2">
        <v>86.366669999999999</v>
      </c>
      <c r="EW21" s="2">
        <v>86.933329999999998</v>
      </c>
      <c r="EX21" s="2">
        <v>87.566670000000002</v>
      </c>
      <c r="EY21" s="2">
        <v>88.233329999999995</v>
      </c>
      <c r="EZ21" s="2">
        <v>89.366669999999999</v>
      </c>
      <c r="FA21" s="2">
        <v>89.633330000000001</v>
      </c>
      <c r="FB21" s="2">
        <v>90.5</v>
      </c>
      <c r="FC21" s="2">
        <v>91.833340000000007</v>
      </c>
      <c r="FD21" s="2">
        <v>93.3</v>
      </c>
      <c r="FE21" s="2">
        <v>93.833340000000007</v>
      </c>
      <c r="FF21" s="2">
        <v>94.733329999999995</v>
      </c>
      <c r="FG21" s="2">
        <v>95.033330000000007</v>
      </c>
      <c r="FH21" s="2">
        <v>95.8</v>
      </c>
      <c r="FI21" s="2">
        <v>96.066670000000002</v>
      </c>
      <c r="FJ21" s="2">
        <v>97.266670000000005</v>
      </c>
      <c r="FK21" s="2">
        <v>97.666659999999993</v>
      </c>
      <c r="FL21" s="2">
        <v>98.366669999999999</v>
      </c>
      <c r="FM21" s="2">
        <v>98.7</v>
      </c>
      <c r="FN21" s="2">
        <v>99.3</v>
      </c>
      <c r="FO21" s="2">
        <v>99.4</v>
      </c>
      <c r="FP21" s="2">
        <v>100.1</v>
      </c>
      <c r="FQ21" s="2">
        <v>100.13330000000001</v>
      </c>
      <c r="FR21" s="2">
        <v>100.2</v>
      </c>
      <c r="FS21" s="2">
        <v>99.5</v>
      </c>
      <c r="FT21" s="2">
        <v>100.0667</v>
      </c>
      <c r="FU21" s="2">
        <v>100.16670000000001</v>
      </c>
      <c r="FV21" s="2">
        <v>100.3</v>
      </c>
      <c r="FW21" s="2">
        <v>99.833340000000007</v>
      </c>
      <c r="FX21" s="2">
        <v>100.4</v>
      </c>
      <c r="FY21" s="2">
        <v>100.86669999999999</v>
      </c>
      <c r="FZ21" s="2">
        <v>101.5</v>
      </c>
      <c r="GA21" s="2">
        <v>102</v>
      </c>
      <c r="GB21" s="2">
        <v>103.16670000000001</v>
      </c>
      <c r="GC21" s="2">
        <v>103.7</v>
      </c>
      <c r="GD21" s="2">
        <v>104.5667</v>
      </c>
      <c r="GE21" s="2">
        <v>104.7667</v>
      </c>
      <c r="GF21" s="2">
        <v>105.66670000000001</v>
      </c>
      <c r="GG21" s="2">
        <v>106.3</v>
      </c>
      <c r="GH21" s="2">
        <v>106.9333</v>
      </c>
      <c r="GI21" s="2">
        <v>106.7</v>
      </c>
      <c r="GJ21" s="2">
        <v>107.8</v>
      </c>
      <c r="GK21" s="2">
        <v>108.2667</v>
      </c>
      <c r="GL21" s="2">
        <v>108.4333</v>
      </c>
      <c r="GM21" s="2">
        <v>108.4667</v>
      </c>
      <c r="GN21" s="2">
        <v>108.5333</v>
      </c>
      <c r="GO21" s="2">
        <v>108.9333</v>
      </c>
      <c r="GP21" s="2">
        <v>109.0667</v>
      </c>
      <c r="GQ21" s="2">
        <v>109.16670000000001</v>
      </c>
      <c r="GR21" s="2">
        <v>110.7333</v>
      </c>
      <c r="GS21" s="2">
        <v>111.9333</v>
      </c>
      <c r="GT21" s="2">
        <v>114.4</v>
      </c>
      <c r="GU21" s="2">
        <v>115.9333</v>
      </c>
      <c r="GV21" s="2">
        <v>120.86669999999999</v>
      </c>
      <c r="GW21" s="2">
        <v>123.13330000000001</v>
      </c>
      <c r="GX21" s="2">
        <v>126.7</v>
      </c>
      <c r="GY21" s="2">
        <v>127.7333</v>
      </c>
      <c r="GZ21" s="2">
        <v>131.0667</v>
      </c>
      <c r="HA21" s="2">
        <v>131.4</v>
      </c>
      <c r="HB21" s="2">
        <v>131.9667</v>
      </c>
      <c r="HC21" s="3">
        <v>132.50299999999999</v>
      </c>
      <c r="HD21" s="3">
        <v>133.17160000000001</v>
      </c>
      <c r="HE21" s="3">
        <v>133.59440000000001</v>
      </c>
      <c r="HF21" s="3">
        <v>133.9709</v>
      </c>
      <c r="HG21" s="3">
        <v>134.22280000000001</v>
      </c>
      <c r="HH21" s="3">
        <v>135.1627</v>
      </c>
      <c r="HI21" s="3">
        <v>135.7337</v>
      </c>
      <c r="HJ21" s="3">
        <v>136.30029999999999</v>
      </c>
      <c r="HK21" s="3">
        <v>136.71960000000001</v>
      </c>
      <c r="HL21" s="3">
        <v>137.71260000000001</v>
      </c>
      <c r="HM21" s="3">
        <v>138.30179999999999</v>
      </c>
      <c r="HN21" s="3">
        <v>138.87360000000001</v>
      </c>
      <c r="HO21" s="3">
        <v>139.29570000000001</v>
      </c>
      <c r="HP21" s="3">
        <v>140.3477</v>
      </c>
      <c r="HQ21" s="3">
        <v>140.98859999999999</v>
      </c>
      <c r="HR21" s="3">
        <v>141.61250000000001</v>
      </c>
      <c r="HS21" s="3">
        <v>142.071</v>
      </c>
      <c r="HT21" s="3">
        <v>143.16409999999999</v>
      </c>
      <c r="HU21" s="3">
        <v>143.81829999999999</v>
      </c>
      <c r="HV21" s="3">
        <v>144.44399999999999</v>
      </c>
      <c r="HW21" s="3">
        <v>144.9134</v>
      </c>
      <c r="HX21" s="3">
        <v>145.99709999999999</v>
      </c>
      <c r="HY21" s="3">
        <v>146.66200000000001</v>
      </c>
      <c r="HZ21" s="3">
        <v>147.30930000000001</v>
      </c>
      <c r="IA21" s="3">
        <v>147.798</v>
      </c>
      <c r="IB21" s="3">
        <v>148.91210000000001</v>
      </c>
      <c r="IC21" s="3">
        <v>149.59270000000001</v>
      </c>
      <c r="ID21" s="3">
        <v>150.2559</v>
      </c>
      <c r="IE21" s="3">
        <v>150.75909999999999</v>
      </c>
      <c r="IF21" s="3">
        <v>151.89869999999999</v>
      </c>
      <c r="IG21" s="3">
        <v>152.58840000000001</v>
      </c>
      <c r="IH21" s="3">
        <v>153.2595</v>
      </c>
      <c r="II21" s="3">
        <v>153.7663</v>
      </c>
      <c r="IJ21" s="3">
        <v>154.92320000000001</v>
      </c>
      <c r="IK21" s="3">
        <v>155.62819999999999</v>
      </c>
      <c r="IL21" s="3">
        <v>156.31489999999999</v>
      </c>
      <c r="IM21" s="3">
        <v>156.83369999999999</v>
      </c>
      <c r="IN21" s="3">
        <v>158.01560000000001</v>
      </c>
      <c r="IO21" s="3">
        <v>158.7364</v>
      </c>
      <c r="IP21" s="3">
        <v>159.4384</v>
      </c>
      <c r="IQ21" s="3">
        <v>159.9691</v>
      </c>
      <c r="IR21" s="3">
        <v>161.17599999999999</v>
      </c>
      <c r="IS21" s="3">
        <v>161.91239999999999</v>
      </c>
      <c r="IT21" s="3">
        <v>162.62950000000001</v>
      </c>
      <c r="IU21" s="3">
        <v>163.17169999999999</v>
      </c>
      <c r="IV21" s="3">
        <v>164.40369999999999</v>
      </c>
      <c r="IW21" s="3">
        <v>165.1557</v>
      </c>
      <c r="IX21" s="3">
        <v>165.88550000000001</v>
      </c>
      <c r="IY21" s="3">
        <v>166.43510000000001</v>
      </c>
      <c r="IZ21" s="3">
        <v>167.6918</v>
      </c>
      <c r="JA21" s="3">
        <v>168.4588</v>
      </c>
      <c r="JB21" s="3">
        <v>169.20320000000001</v>
      </c>
      <c r="JC21" s="3">
        <v>169.7638</v>
      </c>
      <c r="JD21" s="3">
        <v>171.04560000000001</v>
      </c>
      <c r="JE21" s="3">
        <v>171.828</v>
      </c>
      <c r="JF21" s="3">
        <v>172.5873</v>
      </c>
      <c r="JG21" s="3">
        <v>173.1591</v>
      </c>
      <c r="JH21" s="3">
        <v>174.4665</v>
      </c>
      <c r="JI21" s="3">
        <v>175.2645</v>
      </c>
      <c r="JJ21" s="3">
        <v>176.03899999999999</v>
      </c>
      <c r="JK21" s="3">
        <v>176.6223</v>
      </c>
      <c r="JL21" s="3">
        <v>177.95590000000001</v>
      </c>
      <c r="JM21" s="3">
        <v>178.7698</v>
      </c>
      <c r="JN21" s="3">
        <v>179.5598</v>
      </c>
      <c r="JO21" s="3">
        <v>180.15469999999999</v>
      </c>
      <c r="JP21" s="3">
        <v>181.51499999999999</v>
      </c>
      <c r="JQ21" s="3">
        <v>182.34520000000001</v>
      </c>
      <c r="JR21" s="3">
        <v>183.15100000000001</v>
      </c>
      <c r="JS21" s="3">
        <v>183.7578</v>
      </c>
      <c r="JT21" s="3">
        <v>185.14529999999999</v>
      </c>
      <c r="JU21" s="3">
        <v>185.99209999999999</v>
      </c>
      <c r="JV21" s="3">
        <v>186.81399999999999</v>
      </c>
      <c r="JW21" s="3">
        <v>187.43299999999999</v>
      </c>
      <c r="JX21" s="3">
        <v>188.84819999999999</v>
      </c>
      <c r="JY21" s="3">
        <v>189.71199999999999</v>
      </c>
      <c r="JZ21" s="3">
        <v>190.55029999999999</v>
      </c>
      <c r="KA21" s="3">
        <v>191.18170000000001</v>
      </c>
      <c r="KB21" s="3">
        <v>192.6251</v>
      </c>
      <c r="KC21" s="3">
        <v>193.50620000000001</v>
      </c>
      <c r="KD21" s="3">
        <v>194.3613</v>
      </c>
      <c r="KE21" s="3">
        <v>195.00530000000001</v>
      </c>
      <c r="KF21" s="3">
        <v>196.4776</v>
      </c>
      <c r="KG21" s="3">
        <v>197.37629999999999</v>
      </c>
      <c r="KH21" s="3">
        <v>198.24850000000001</v>
      </c>
      <c r="KI21" s="3">
        <v>198.90539999999999</v>
      </c>
      <c r="KJ21" s="3">
        <v>200.40719999999999</v>
      </c>
      <c r="KK21" s="3">
        <v>201.32390000000001</v>
      </c>
      <c r="KL21" s="3">
        <v>202.21350000000001</v>
      </c>
      <c r="KM21" s="3">
        <v>202.8835</v>
      </c>
      <c r="KN21" s="3">
        <v>204.4153</v>
      </c>
      <c r="KO21" s="3">
        <v>205.3503</v>
      </c>
      <c r="KP21" s="3">
        <v>206.2578</v>
      </c>
      <c r="KQ21" s="3">
        <v>206.94120000000001</v>
      </c>
      <c r="KR21" s="3">
        <v>208.50360000000001</v>
      </c>
      <c r="KS21" s="3">
        <v>209.4573</v>
      </c>
      <c r="KT21" s="3">
        <v>210.38290000000001</v>
      </c>
      <c r="KU21" s="3">
        <v>211.08</v>
      </c>
      <c r="KV21" s="3">
        <v>212.6737</v>
      </c>
      <c r="KW21" s="3">
        <v>213.6465</v>
      </c>
      <c r="KX21" s="3">
        <v>214.59059999999999</v>
      </c>
      <c r="KY21" s="3">
        <v>215.30160000000001</v>
      </c>
      <c r="KZ21" s="3">
        <v>216.9272</v>
      </c>
      <c r="LA21" s="3">
        <v>217.9194</v>
      </c>
      <c r="LB21" s="3">
        <v>218.88239999999999</v>
      </c>
      <c r="LC21" s="3">
        <v>219.60759999999999</v>
      </c>
      <c r="LD21" s="3">
        <v>221.26570000000001</v>
      </c>
      <c r="LE21" s="3">
        <v>222.27780000000001</v>
      </c>
      <c r="LF21" s="3">
        <v>223.26</v>
      </c>
      <c r="LG21" t="s">
        <v>335</v>
      </c>
      <c r="LH21" t="b">
        <v>0</v>
      </c>
      <c r="LI21" t="s">
        <v>337</v>
      </c>
      <c r="LJ21">
        <v>2015</v>
      </c>
      <c r="LK21">
        <v>2023</v>
      </c>
      <c r="LL21">
        <v>4</v>
      </c>
      <c r="LM21" t="s">
        <v>337</v>
      </c>
      <c r="LN21" s="1" t="s">
        <v>344</v>
      </c>
      <c r="LO21" s="1" t="s">
        <v>345</v>
      </c>
      <c r="LP21" t="s">
        <v>340</v>
      </c>
      <c r="LQ21" t="s">
        <v>346</v>
      </c>
      <c r="LR21" s="1" t="s">
        <v>354</v>
      </c>
    </row>
    <row r="22" spans="1:330" x14ac:dyDescent="0.25">
      <c r="A22" t="s">
        <v>330</v>
      </c>
      <c r="B22" t="s">
        <v>331</v>
      </c>
      <c r="C22" s="1" t="s">
        <v>355</v>
      </c>
      <c r="D22" t="s">
        <v>332</v>
      </c>
      <c r="E22" t="s">
        <v>333</v>
      </c>
      <c r="F22" t="s">
        <v>334</v>
      </c>
      <c r="G22" s="2">
        <v>223780</v>
      </c>
      <c r="H22" s="2">
        <v>224213</v>
      </c>
      <c r="I22" s="2">
        <v>222122</v>
      </c>
      <c r="J22" s="2">
        <v>221266</v>
      </c>
      <c r="K22" s="2">
        <v>215122</v>
      </c>
      <c r="L22" s="2">
        <v>218215</v>
      </c>
      <c r="M22" s="2">
        <v>219517</v>
      </c>
      <c r="N22" s="2">
        <v>216301</v>
      </c>
      <c r="O22" s="2">
        <v>216390</v>
      </c>
      <c r="P22" s="2">
        <v>212882</v>
      </c>
      <c r="Q22" s="2">
        <v>212192</v>
      </c>
      <c r="R22" s="2">
        <v>214585</v>
      </c>
      <c r="S22" s="2">
        <v>218180</v>
      </c>
      <c r="T22" s="2">
        <v>217883</v>
      </c>
      <c r="U22" s="2">
        <v>220587</v>
      </c>
      <c r="V22" s="2">
        <v>225228</v>
      </c>
      <c r="W22" s="2">
        <v>225362</v>
      </c>
      <c r="X22" s="2">
        <v>223815</v>
      </c>
      <c r="Y22" s="2">
        <v>225295</v>
      </c>
      <c r="Z22" s="2">
        <v>229115</v>
      </c>
      <c r="AA22" s="2">
        <v>231258</v>
      </c>
      <c r="AB22" s="2">
        <v>233910</v>
      </c>
      <c r="AC22" s="2">
        <v>237107</v>
      </c>
      <c r="AD22" s="2">
        <v>239186</v>
      </c>
      <c r="AE22" s="2">
        <v>238472</v>
      </c>
      <c r="AF22" s="2">
        <v>248867</v>
      </c>
      <c r="AG22" s="2">
        <v>243369</v>
      </c>
      <c r="AH22" s="2">
        <v>245858</v>
      </c>
      <c r="AI22" s="2">
        <v>243513</v>
      </c>
      <c r="AJ22" s="2">
        <v>238722</v>
      </c>
      <c r="AK22" s="2">
        <v>238432</v>
      </c>
      <c r="AL22" s="2">
        <v>235866</v>
      </c>
      <c r="AM22" s="2">
        <v>235712</v>
      </c>
      <c r="AN22" s="2">
        <v>236272</v>
      </c>
      <c r="AO22" s="2">
        <v>238846</v>
      </c>
      <c r="AP22" s="2">
        <v>239131</v>
      </c>
      <c r="AQ22" s="2">
        <v>239578</v>
      </c>
      <c r="AR22" s="2">
        <v>242095</v>
      </c>
      <c r="AS22" s="2">
        <v>242639</v>
      </c>
      <c r="AT22" s="2">
        <v>244317</v>
      </c>
      <c r="AU22" s="2">
        <v>249032</v>
      </c>
      <c r="AV22" s="2">
        <v>250761</v>
      </c>
      <c r="AW22" s="2">
        <v>253655</v>
      </c>
      <c r="AX22" s="2">
        <v>255533</v>
      </c>
      <c r="AY22" s="2">
        <v>257683</v>
      </c>
      <c r="AZ22" s="2">
        <v>255100</v>
      </c>
      <c r="BA22" s="2">
        <v>256975</v>
      </c>
      <c r="BB22" s="2">
        <v>261627</v>
      </c>
      <c r="BC22" s="2">
        <v>264127</v>
      </c>
      <c r="BD22" s="2">
        <v>269787</v>
      </c>
      <c r="BE22" s="2">
        <v>269737</v>
      </c>
      <c r="BF22" s="2">
        <v>269896</v>
      </c>
      <c r="BG22" s="2">
        <v>272720</v>
      </c>
      <c r="BH22" s="2">
        <v>275136</v>
      </c>
      <c r="BI22" s="2">
        <v>276863</v>
      </c>
      <c r="BJ22" s="2">
        <v>282193</v>
      </c>
      <c r="BK22" s="2">
        <v>284172</v>
      </c>
      <c r="BL22" s="2">
        <v>288385</v>
      </c>
      <c r="BM22" s="2">
        <v>295493</v>
      </c>
      <c r="BN22" s="2">
        <v>298855</v>
      </c>
      <c r="BO22" s="2">
        <v>303698</v>
      </c>
      <c r="BP22" s="2">
        <v>305281</v>
      </c>
      <c r="BQ22" s="2">
        <v>309097</v>
      </c>
      <c r="BR22" s="2">
        <v>311574</v>
      </c>
      <c r="BS22" s="2">
        <v>313083</v>
      </c>
      <c r="BT22" s="2">
        <v>315039</v>
      </c>
      <c r="BU22" s="2">
        <v>315554</v>
      </c>
      <c r="BV22" s="2">
        <v>315515</v>
      </c>
      <c r="BW22" s="2">
        <v>317117</v>
      </c>
      <c r="BX22" s="2">
        <v>319239</v>
      </c>
      <c r="BY22" s="2">
        <v>315744</v>
      </c>
      <c r="BZ22" s="2">
        <v>314148</v>
      </c>
      <c r="CA22" s="2">
        <v>312596</v>
      </c>
      <c r="CB22" s="2">
        <v>312235</v>
      </c>
      <c r="CC22" s="2">
        <v>311624</v>
      </c>
      <c r="CD22" s="2">
        <v>312006</v>
      </c>
      <c r="CE22" s="2">
        <v>311904</v>
      </c>
      <c r="CF22" s="2">
        <v>311418</v>
      </c>
      <c r="CG22" s="2">
        <v>312896</v>
      </c>
      <c r="CH22" s="2">
        <v>315307</v>
      </c>
      <c r="CI22" s="2">
        <v>316882</v>
      </c>
      <c r="CJ22" s="2">
        <v>318302</v>
      </c>
      <c r="CK22" s="2">
        <v>321218</v>
      </c>
      <c r="CL22" s="2">
        <v>323400</v>
      </c>
      <c r="CM22" s="2">
        <v>326585</v>
      </c>
      <c r="CN22" s="2">
        <v>329584</v>
      </c>
      <c r="CO22" s="2">
        <v>332911</v>
      </c>
      <c r="CP22" s="2">
        <v>334363</v>
      </c>
      <c r="CQ22" s="2">
        <v>336090</v>
      </c>
      <c r="CR22" s="2">
        <v>336789</v>
      </c>
      <c r="CS22" s="2">
        <v>340542</v>
      </c>
      <c r="CT22" s="2">
        <v>341602</v>
      </c>
      <c r="CU22" s="2">
        <v>343859</v>
      </c>
      <c r="CV22" s="2">
        <v>344979</v>
      </c>
      <c r="CW22" s="2">
        <v>348214</v>
      </c>
      <c r="CX22" s="2">
        <v>352958</v>
      </c>
      <c r="CY22" s="2">
        <v>358611</v>
      </c>
      <c r="CZ22" s="2">
        <v>362573</v>
      </c>
      <c r="DA22" s="2">
        <v>365942</v>
      </c>
      <c r="DB22" s="2">
        <v>371341</v>
      </c>
      <c r="DC22" s="2">
        <v>374037</v>
      </c>
      <c r="DD22" s="2">
        <v>376421</v>
      </c>
      <c r="DE22" s="2">
        <v>377650</v>
      </c>
      <c r="DF22" s="2">
        <v>380155</v>
      </c>
      <c r="DG22" s="2">
        <v>382789</v>
      </c>
      <c r="DH22" s="2">
        <v>384605</v>
      </c>
      <c r="DI22" s="2">
        <v>390758</v>
      </c>
      <c r="DJ22" s="2">
        <v>396357</v>
      </c>
      <c r="DK22" s="2">
        <v>401242</v>
      </c>
      <c r="DL22" s="2">
        <v>404196</v>
      </c>
      <c r="DM22" s="2">
        <v>406795</v>
      </c>
      <c r="DN22" s="2">
        <v>409411</v>
      </c>
      <c r="DO22" s="2">
        <v>413054</v>
      </c>
      <c r="DP22" s="2">
        <v>414878</v>
      </c>
      <c r="DQ22" s="2">
        <v>417085</v>
      </c>
      <c r="DR22" s="2">
        <v>418445</v>
      </c>
      <c r="DS22" s="2">
        <v>419534</v>
      </c>
      <c r="DT22" s="2">
        <v>421587</v>
      </c>
      <c r="DU22" s="2">
        <v>424425</v>
      </c>
      <c r="DV22" s="2">
        <v>427725</v>
      </c>
      <c r="DW22" s="2">
        <v>430832</v>
      </c>
      <c r="DX22" s="2">
        <v>434837</v>
      </c>
      <c r="DY22" s="2">
        <v>438710</v>
      </c>
      <c r="DZ22" s="2">
        <v>442172</v>
      </c>
      <c r="EA22" s="2">
        <v>443853</v>
      </c>
      <c r="EB22" s="2">
        <v>446443</v>
      </c>
      <c r="EC22" s="2">
        <v>448171</v>
      </c>
      <c r="ED22" s="2">
        <v>450464</v>
      </c>
      <c r="EE22" s="2">
        <v>453784</v>
      </c>
      <c r="EF22" s="2">
        <v>457557</v>
      </c>
      <c r="EG22" s="2">
        <v>461135</v>
      </c>
      <c r="EH22" s="2">
        <v>465451</v>
      </c>
      <c r="EI22" s="2">
        <v>467840</v>
      </c>
      <c r="EJ22" s="2">
        <v>469655</v>
      </c>
      <c r="EK22" s="2">
        <v>470918</v>
      </c>
      <c r="EL22" s="2">
        <v>473372</v>
      </c>
      <c r="EM22" s="2">
        <v>477823</v>
      </c>
      <c r="EN22" s="2">
        <v>481314</v>
      </c>
      <c r="EO22" s="2">
        <v>484544</v>
      </c>
      <c r="EP22" s="2">
        <v>487413</v>
      </c>
      <c r="EQ22" s="2">
        <v>489783</v>
      </c>
      <c r="ER22" s="2">
        <v>487386</v>
      </c>
      <c r="ES22" s="2">
        <v>479872</v>
      </c>
      <c r="ET22" s="2">
        <v>469694</v>
      </c>
      <c r="EU22" s="2">
        <v>460105</v>
      </c>
      <c r="EV22" s="2">
        <v>458599</v>
      </c>
      <c r="EW22" s="2">
        <v>458875</v>
      </c>
      <c r="EX22" s="2">
        <v>460238</v>
      </c>
      <c r="EY22" s="2">
        <v>464543</v>
      </c>
      <c r="EZ22" s="2">
        <v>469606</v>
      </c>
      <c r="FA22" s="2">
        <v>472199</v>
      </c>
      <c r="FB22" s="2">
        <v>472612</v>
      </c>
      <c r="FC22" s="2">
        <v>473819</v>
      </c>
      <c r="FD22" s="2">
        <v>474365</v>
      </c>
      <c r="FE22" s="2">
        <v>475813</v>
      </c>
      <c r="FF22" s="2">
        <v>476479</v>
      </c>
      <c r="FG22" s="2">
        <v>480632</v>
      </c>
      <c r="FH22" s="2">
        <v>479979</v>
      </c>
      <c r="FI22" s="2">
        <v>484579</v>
      </c>
      <c r="FJ22" s="2">
        <v>484039</v>
      </c>
      <c r="FK22" s="2">
        <v>485409</v>
      </c>
      <c r="FL22" s="2">
        <v>488930</v>
      </c>
      <c r="FM22" s="2">
        <v>493002</v>
      </c>
      <c r="FN22" s="2">
        <v>496466</v>
      </c>
      <c r="FO22" s="2">
        <v>500552</v>
      </c>
      <c r="FP22" s="2">
        <v>504939</v>
      </c>
      <c r="FQ22" s="2">
        <v>508741</v>
      </c>
      <c r="FR22" s="2">
        <v>512334</v>
      </c>
      <c r="FS22" s="2">
        <v>513850</v>
      </c>
      <c r="FT22" s="2">
        <v>516876</v>
      </c>
      <c r="FU22" s="2">
        <v>518915</v>
      </c>
      <c r="FV22" s="2">
        <v>521920</v>
      </c>
      <c r="FW22" s="2">
        <v>523813</v>
      </c>
      <c r="FX22" s="2">
        <v>526750</v>
      </c>
      <c r="FY22" s="2">
        <v>528712</v>
      </c>
      <c r="FZ22" s="2">
        <v>532082</v>
      </c>
      <c r="GA22" s="2">
        <v>536566</v>
      </c>
      <c r="GB22" s="2">
        <v>540020</v>
      </c>
      <c r="GC22" s="2">
        <v>543452</v>
      </c>
      <c r="GD22" s="2">
        <v>547377</v>
      </c>
      <c r="GE22" s="2">
        <v>547688</v>
      </c>
      <c r="GF22" s="2">
        <v>548600</v>
      </c>
      <c r="GG22" s="2">
        <v>550425</v>
      </c>
      <c r="GH22" s="2">
        <v>551128</v>
      </c>
      <c r="GI22" s="2">
        <v>555141</v>
      </c>
      <c r="GJ22" s="2">
        <v>556932</v>
      </c>
      <c r="GK22" s="2">
        <v>560987</v>
      </c>
      <c r="GL22" s="2">
        <v>560861</v>
      </c>
      <c r="GM22" s="2">
        <v>545597</v>
      </c>
      <c r="GN22" s="2">
        <v>434718</v>
      </c>
      <c r="GO22" s="2">
        <v>507643</v>
      </c>
      <c r="GP22" s="2">
        <v>514531</v>
      </c>
      <c r="GQ22" s="2">
        <v>509261</v>
      </c>
      <c r="GR22" s="2">
        <v>546579</v>
      </c>
      <c r="GS22" s="2">
        <v>555956</v>
      </c>
      <c r="GT22" s="2">
        <v>564407</v>
      </c>
      <c r="GU22" s="2">
        <v>567396</v>
      </c>
      <c r="GV22" s="2">
        <v>567889</v>
      </c>
      <c r="GW22" s="2">
        <v>567445</v>
      </c>
      <c r="GX22" s="2">
        <v>568034</v>
      </c>
      <c r="GY22" s="2">
        <v>569336</v>
      </c>
      <c r="GZ22" s="2">
        <v>569364</v>
      </c>
      <c r="HA22" s="2">
        <v>568655</v>
      </c>
      <c r="HB22" s="2">
        <v>566695</v>
      </c>
      <c r="HC22" s="3">
        <v>568298.30000000005</v>
      </c>
      <c r="HD22" s="3">
        <v>569712.9</v>
      </c>
      <c r="HE22" s="3">
        <v>571261.5</v>
      </c>
      <c r="HF22" s="3">
        <v>573464.30000000005</v>
      </c>
      <c r="HG22" s="3">
        <v>576141.9</v>
      </c>
      <c r="HH22" s="3">
        <v>579397.69999999995</v>
      </c>
      <c r="HI22" s="3">
        <v>582671.4</v>
      </c>
      <c r="HJ22" s="3">
        <v>585963.30000000005</v>
      </c>
      <c r="HK22" s="3">
        <v>588893.1</v>
      </c>
      <c r="HL22" s="3">
        <v>591426.19999999995</v>
      </c>
      <c r="HM22" s="3">
        <v>593969.30000000005</v>
      </c>
      <c r="HN22" s="3">
        <v>596523.30000000005</v>
      </c>
      <c r="HO22" s="3">
        <v>599088.4</v>
      </c>
      <c r="HP22" s="3">
        <v>601664.4</v>
      </c>
      <c r="HQ22" s="3">
        <v>604251.6</v>
      </c>
      <c r="HR22" s="3">
        <v>606849.9</v>
      </c>
      <c r="HS22" s="3">
        <v>609277.4</v>
      </c>
      <c r="HT22" s="3">
        <v>611714.4</v>
      </c>
      <c r="HU22" s="3">
        <v>614161.30000000005</v>
      </c>
      <c r="HV22" s="3">
        <v>616618</v>
      </c>
      <c r="HW22" s="3">
        <v>619022.80000000005</v>
      </c>
      <c r="HX22" s="3">
        <v>621375.1</v>
      </c>
      <c r="HY22" s="3">
        <v>623736.30000000005</v>
      </c>
      <c r="HZ22" s="3">
        <v>626106.5</v>
      </c>
      <c r="IA22" s="3">
        <v>628485.69999999995</v>
      </c>
      <c r="IB22" s="3">
        <v>630873.9</v>
      </c>
      <c r="IC22" s="3">
        <v>633271.30000000005</v>
      </c>
      <c r="ID22" s="3">
        <v>635677.69999999995</v>
      </c>
      <c r="IE22" s="3">
        <v>638093.30000000005</v>
      </c>
      <c r="IF22" s="3">
        <v>640518</v>
      </c>
      <c r="IG22" s="3">
        <v>642952</v>
      </c>
      <c r="IH22" s="3">
        <v>645395.19999999995</v>
      </c>
      <c r="II22" s="3">
        <v>647847.69999999995</v>
      </c>
      <c r="IJ22" s="3">
        <v>650309.5</v>
      </c>
      <c r="IK22" s="3">
        <v>652715.69999999995</v>
      </c>
      <c r="IL22" s="3">
        <v>655065.4</v>
      </c>
      <c r="IM22" s="3">
        <v>657450.9</v>
      </c>
      <c r="IN22" s="3">
        <v>659812.30000000005</v>
      </c>
      <c r="IO22" s="3">
        <v>662144.69999999995</v>
      </c>
      <c r="IP22" s="3">
        <v>664492.9</v>
      </c>
      <c r="IQ22" s="3">
        <v>666886.80000000005</v>
      </c>
      <c r="IR22" s="3">
        <v>669296.4</v>
      </c>
      <c r="IS22" s="3">
        <v>671631.3</v>
      </c>
      <c r="IT22" s="3">
        <v>673967.3</v>
      </c>
      <c r="IU22" s="3">
        <v>676390.40000000002</v>
      </c>
      <c r="IV22" s="3">
        <v>678824.3</v>
      </c>
      <c r="IW22" s="3">
        <v>681268.6</v>
      </c>
      <c r="IX22" s="3">
        <v>683723.3</v>
      </c>
      <c r="IY22" s="3">
        <v>686249.7</v>
      </c>
      <c r="IZ22" s="3">
        <v>688789.5</v>
      </c>
      <c r="JA22" s="3">
        <v>691343</v>
      </c>
      <c r="JB22" s="3">
        <v>693909.7</v>
      </c>
      <c r="JC22" s="3">
        <v>696489.8</v>
      </c>
      <c r="JD22" s="3">
        <v>699083.3</v>
      </c>
      <c r="JE22" s="3">
        <v>701690.1</v>
      </c>
      <c r="JF22" s="3">
        <v>704310.4</v>
      </c>
      <c r="JG22" s="3">
        <v>707005.1</v>
      </c>
      <c r="JH22" s="3">
        <v>709714.1</v>
      </c>
      <c r="JI22" s="3">
        <v>712437.9</v>
      </c>
      <c r="JJ22" s="3">
        <v>715176.8</v>
      </c>
      <c r="JK22" s="3">
        <v>717930.4</v>
      </c>
      <c r="JL22" s="3">
        <v>720698.9</v>
      </c>
      <c r="JM22" s="3">
        <v>723482.5</v>
      </c>
      <c r="JN22" s="3">
        <v>726281.1</v>
      </c>
      <c r="JO22" s="3">
        <v>729094.9</v>
      </c>
      <c r="JP22" s="3">
        <v>731917.6</v>
      </c>
      <c r="JQ22" s="3">
        <v>734749.6</v>
      </c>
      <c r="JR22" s="3">
        <v>737591.1</v>
      </c>
      <c r="JS22" s="3">
        <v>740390.9</v>
      </c>
      <c r="JT22" s="3">
        <v>743199.4</v>
      </c>
      <c r="JU22" s="3">
        <v>746016.2</v>
      </c>
      <c r="JV22" s="3">
        <v>748841.4</v>
      </c>
      <c r="JW22" s="3">
        <v>751675.3</v>
      </c>
      <c r="JX22" s="3">
        <v>754517.5</v>
      </c>
      <c r="JY22" s="3">
        <v>757368.2</v>
      </c>
      <c r="JZ22" s="3">
        <v>760227.3</v>
      </c>
      <c r="KA22" s="3">
        <v>763094.8</v>
      </c>
      <c r="KB22" s="3">
        <v>765970.4</v>
      </c>
      <c r="KC22" s="3">
        <v>768853.7</v>
      </c>
      <c r="KD22" s="3">
        <v>771744.7</v>
      </c>
      <c r="KE22" s="3">
        <v>774643.6</v>
      </c>
      <c r="KF22" s="3">
        <v>777550.1</v>
      </c>
      <c r="KG22" s="3">
        <v>780464.3</v>
      </c>
      <c r="KH22" s="3">
        <v>783386.3</v>
      </c>
      <c r="KI22" s="3">
        <v>786315.9</v>
      </c>
      <c r="KJ22" s="3">
        <v>789253.3</v>
      </c>
      <c r="KK22" s="3">
        <v>792198.5</v>
      </c>
      <c r="KL22" s="3">
        <v>795151.3</v>
      </c>
      <c r="KM22" s="3">
        <v>798112</v>
      </c>
      <c r="KN22" s="3">
        <v>801080.5</v>
      </c>
      <c r="KO22" s="3">
        <v>804056.8</v>
      </c>
      <c r="KP22" s="3">
        <v>807041</v>
      </c>
      <c r="KQ22" s="3">
        <v>810033</v>
      </c>
      <c r="KR22" s="3">
        <v>813032.9</v>
      </c>
      <c r="KS22" s="3">
        <v>816040.9</v>
      </c>
      <c r="KT22" s="3">
        <v>819056.9</v>
      </c>
      <c r="KU22" s="3">
        <v>822080.9</v>
      </c>
      <c r="KV22" s="3">
        <v>825113</v>
      </c>
      <c r="KW22" s="3">
        <v>828152.9</v>
      </c>
      <c r="KX22" s="3">
        <v>831200.9</v>
      </c>
      <c r="KY22" s="3">
        <v>834257.1</v>
      </c>
      <c r="KZ22" s="3">
        <v>837320.9</v>
      </c>
      <c r="LA22" s="3">
        <v>840392.8</v>
      </c>
      <c r="LB22" s="3">
        <v>843472.7</v>
      </c>
      <c r="LC22" s="3">
        <v>846560.2</v>
      </c>
      <c r="LD22" s="3">
        <v>849655.8</v>
      </c>
      <c r="LE22" s="3">
        <v>852759.1</v>
      </c>
      <c r="LF22" s="3">
        <v>855870.4</v>
      </c>
      <c r="LG22" t="s">
        <v>335</v>
      </c>
      <c r="LH22" t="b">
        <v>1</v>
      </c>
      <c r="LI22" s="1" t="s">
        <v>336</v>
      </c>
      <c r="LJ22" t="s">
        <v>337</v>
      </c>
      <c r="LK22">
        <v>2023</v>
      </c>
      <c r="LL22">
        <v>4</v>
      </c>
      <c r="LM22" t="s">
        <v>337</v>
      </c>
      <c r="LN22" t="s">
        <v>338</v>
      </c>
      <c r="LO22" s="1" t="s">
        <v>339</v>
      </c>
      <c r="LP22" t="s">
        <v>340</v>
      </c>
      <c r="LQ22" t="s">
        <v>341</v>
      </c>
      <c r="LR22" s="1" t="s">
        <v>356</v>
      </c>
    </row>
    <row r="23" spans="1:330" x14ac:dyDescent="0.25">
      <c r="A23" t="s">
        <v>330</v>
      </c>
      <c r="B23" t="s">
        <v>342</v>
      </c>
      <c r="C23" s="1" t="s">
        <v>355</v>
      </c>
      <c r="D23" t="s">
        <v>343</v>
      </c>
      <c r="E23" t="s">
        <v>337</v>
      </c>
      <c r="F23" t="s">
        <v>334</v>
      </c>
      <c r="G23" s="2">
        <v>11.88749</v>
      </c>
      <c r="H23" s="2">
        <v>12.304600000000001</v>
      </c>
      <c r="I23" s="2">
        <v>12.51315</v>
      </c>
      <c r="J23" s="2">
        <v>13.008459999999999</v>
      </c>
      <c r="K23" s="2">
        <v>13.47771</v>
      </c>
      <c r="L23" s="2">
        <v>14.23371</v>
      </c>
      <c r="M23" s="2">
        <v>14.572609999999999</v>
      </c>
      <c r="N23" s="2">
        <v>15.250400000000001</v>
      </c>
      <c r="O23" s="2">
        <v>16.058540000000001</v>
      </c>
      <c r="P23" s="2">
        <v>17.466270000000002</v>
      </c>
      <c r="Q23" s="2">
        <v>18.222280000000001</v>
      </c>
      <c r="R23" s="2">
        <v>18.847930000000002</v>
      </c>
      <c r="S23" s="2">
        <v>19.42145</v>
      </c>
      <c r="T23" s="2">
        <v>20.125319999999999</v>
      </c>
      <c r="U23" s="2">
        <v>20.594560000000001</v>
      </c>
      <c r="V23" s="2">
        <v>21.506979999999999</v>
      </c>
      <c r="W23" s="2">
        <v>22.471530000000001</v>
      </c>
      <c r="X23" s="2">
        <v>23.410019999999999</v>
      </c>
      <c r="Y23" s="2">
        <v>23.82713</v>
      </c>
      <c r="Z23" s="2">
        <v>24.139949999999999</v>
      </c>
      <c r="AA23" s="2">
        <v>24.452780000000001</v>
      </c>
      <c r="AB23" s="2">
        <v>25.078440000000001</v>
      </c>
      <c r="AC23" s="2">
        <v>25.469480000000001</v>
      </c>
      <c r="AD23" s="2">
        <v>25.860510000000001</v>
      </c>
      <c r="AE23" s="2">
        <v>26.43403</v>
      </c>
      <c r="AF23" s="2">
        <v>27.268239999999999</v>
      </c>
      <c r="AG23" s="2">
        <v>28.910589999999999</v>
      </c>
      <c r="AH23" s="2">
        <v>29.718730000000001</v>
      </c>
      <c r="AI23" s="2">
        <v>30.605080000000001</v>
      </c>
      <c r="AJ23" s="2">
        <v>32.247430000000001</v>
      </c>
      <c r="AK23" s="2">
        <v>32.951300000000003</v>
      </c>
      <c r="AL23" s="2">
        <v>33.550879999999999</v>
      </c>
      <c r="AM23" s="2">
        <v>34.385100000000001</v>
      </c>
      <c r="AN23" s="2">
        <v>36.079590000000003</v>
      </c>
      <c r="AO23" s="2">
        <v>36.731310000000001</v>
      </c>
      <c r="AP23" s="2">
        <v>37.435180000000003</v>
      </c>
      <c r="AQ23" s="2">
        <v>37.878349999999998</v>
      </c>
      <c r="AR23" s="2">
        <v>39.181800000000003</v>
      </c>
      <c r="AS23" s="2">
        <v>39.416420000000002</v>
      </c>
      <c r="AT23" s="2">
        <v>39.885669999999998</v>
      </c>
      <c r="AU23" s="2">
        <v>40.172429999999999</v>
      </c>
      <c r="AV23" s="2">
        <v>40.85022</v>
      </c>
      <c r="AW23" s="2">
        <v>41.293399999999998</v>
      </c>
      <c r="AX23" s="2">
        <v>41.762639999999998</v>
      </c>
      <c r="AY23" s="2">
        <v>41.86692</v>
      </c>
      <c r="AZ23" s="2">
        <v>42.779339999999998</v>
      </c>
      <c r="BA23" s="2">
        <v>42.98789</v>
      </c>
      <c r="BB23" s="2">
        <v>43.431060000000002</v>
      </c>
      <c r="BC23" s="2">
        <v>43.874229999999997</v>
      </c>
      <c r="BD23" s="2">
        <v>44.995199999999997</v>
      </c>
      <c r="BE23" s="2">
        <v>45.125549999999997</v>
      </c>
      <c r="BF23" s="2">
        <v>45.490519999999997</v>
      </c>
      <c r="BG23" s="2">
        <v>45.646929999999998</v>
      </c>
      <c r="BH23" s="2">
        <v>46.3508</v>
      </c>
      <c r="BI23" s="2">
        <v>46.533279999999998</v>
      </c>
      <c r="BJ23" s="2">
        <v>46.924320000000002</v>
      </c>
      <c r="BK23" s="2">
        <v>47.237139999999997</v>
      </c>
      <c r="BL23" s="2">
        <v>47.836730000000003</v>
      </c>
      <c r="BM23" s="2">
        <v>47.888869999999997</v>
      </c>
      <c r="BN23" s="2">
        <v>48.436320000000002</v>
      </c>
      <c r="BO23" s="2">
        <v>48.566670000000002</v>
      </c>
      <c r="BP23" s="2">
        <v>49.5</v>
      </c>
      <c r="BQ23" s="2">
        <v>49.9</v>
      </c>
      <c r="BR23" s="2">
        <v>50.466670000000001</v>
      </c>
      <c r="BS23" s="2">
        <v>51</v>
      </c>
      <c r="BT23" s="2">
        <v>52.133339999999997</v>
      </c>
      <c r="BU23" s="2">
        <v>52.466670000000001</v>
      </c>
      <c r="BV23" s="2">
        <v>53.266669999999998</v>
      </c>
      <c r="BW23" s="2">
        <v>53.933329999999998</v>
      </c>
      <c r="BX23" s="2">
        <v>55.6</v>
      </c>
      <c r="BY23" s="2">
        <v>56.4</v>
      </c>
      <c r="BZ23" s="2">
        <v>57.466670000000001</v>
      </c>
      <c r="CA23" s="2">
        <v>57.666670000000003</v>
      </c>
      <c r="CB23" s="2">
        <v>60.266669999999998</v>
      </c>
      <c r="CC23" s="2">
        <v>60.833329999999997</v>
      </c>
      <c r="CD23" s="2">
        <v>61.466670000000001</v>
      </c>
      <c r="CE23" s="2">
        <v>61.7</v>
      </c>
      <c r="CF23" s="2">
        <v>62.833329999999997</v>
      </c>
      <c r="CG23" s="2">
        <v>62.733330000000002</v>
      </c>
      <c r="CH23" s="2">
        <v>63.133339999999997</v>
      </c>
      <c r="CI23" s="2">
        <v>63.2</v>
      </c>
      <c r="CJ23" s="2">
        <v>64.433329999999998</v>
      </c>
      <c r="CK23" s="2">
        <v>64.5</v>
      </c>
      <c r="CL23" s="2">
        <v>64.666659999999993</v>
      </c>
      <c r="CM23" s="2">
        <v>64.766670000000005</v>
      </c>
      <c r="CN23" s="2">
        <v>65.7</v>
      </c>
      <c r="CO23" s="2">
        <v>65.633330000000001</v>
      </c>
      <c r="CP23" s="2">
        <v>65.8</v>
      </c>
      <c r="CQ23" s="2">
        <v>66.333340000000007</v>
      </c>
      <c r="CR23" s="2">
        <v>67.266670000000005</v>
      </c>
      <c r="CS23" s="2">
        <v>67.400000000000006</v>
      </c>
      <c r="CT23" s="2">
        <v>67.733329999999995</v>
      </c>
      <c r="CU23" s="2">
        <v>68.099999999999994</v>
      </c>
      <c r="CV23" s="2">
        <v>68.866669999999999</v>
      </c>
      <c r="CW23" s="2">
        <v>68.933329999999998</v>
      </c>
      <c r="CX23" s="2">
        <v>69.366669999999999</v>
      </c>
      <c r="CY23" s="2">
        <v>69.366669999999999</v>
      </c>
      <c r="CZ23" s="2">
        <v>70</v>
      </c>
      <c r="DA23" s="2">
        <v>70.266670000000005</v>
      </c>
      <c r="DB23" s="2">
        <v>70.633330000000001</v>
      </c>
      <c r="DC23" s="2">
        <v>70.5</v>
      </c>
      <c r="DD23" s="2">
        <v>71.266670000000005</v>
      </c>
      <c r="DE23" s="2">
        <v>71.233329999999995</v>
      </c>
      <c r="DF23" s="2">
        <v>71.633330000000001</v>
      </c>
      <c r="DG23" s="2">
        <v>71.599999999999994</v>
      </c>
      <c r="DH23" s="2">
        <v>72.3</v>
      </c>
      <c r="DI23" s="2">
        <v>72.133330000000001</v>
      </c>
      <c r="DJ23" s="2">
        <v>72.433329999999998</v>
      </c>
      <c r="DK23" s="2">
        <v>72.133330000000001</v>
      </c>
      <c r="DL23" s="2">
        <v>72.766670000000005</v>
      </c>
      <c r="DM23" s="2">
        <v>72.7</v>
      </c>
      <c r="DN23" s="2">
        <v>73.166659999999993</v>
      </c>
      <c r="DO23" s="2">
        <v>72.766670000000005</v>
      </c>
      <c r="DP23" s="2">
        <v>73.833340000000007</v>
      </c>
      <c r="DQ23" s="2">
        <v>73.866669999999999</v>
      </c>
      <c r="DR23" s="2">
        <v>73.900000000000006</v>
      </c>
      <c r="DS23" s="2">
        <v>73.866669999999999</v>
      </c>
      <c r="DT23" s="2">
        <v>74.533330000000007</v>
      </c>
      <c r="DU23" s="2">
        <v>74.599999999999994</v>
      </c>
      <c r="DV23" s="2">
        <v>75</v>
      </c>
      <c r="DW23" s="2">
        <v>75</v>
      </c>
      <c r="DX23" s="2">
        <v>75.466669999999993</v>
      </c>
      <c r="DY23" s="2">
        <v>75.599999999999994</v>
      </c>
      <c r="DZ23" s="2">
        <v>76.033330000000007</v>
      </c>
      <c r="EA23" s="2">
        <v>75.966669999999993</v>
      </c>
      <c r="EB23" s="2">
        <v>76.533330000000007</v>
      </c>
      <c r="EC23" s="2">
        <v>76.566670000000002</v>
      </c>
      <c r="ED23" s="2">
        <v>77.099999999999994</v>
      </c>
      <c r="EE23" s="2">
        <v>77.233329999999995</v>
      </c>
      <c r="EF23" s="2">
        <v>78</v>
      </c>
      <c r="EG23" s="2">
        <v>78.400000000000006</v>
      </c>
      <c r="EH23" s="2">
        <v>78.766670000000005</v>
      </c>
      <c r="EI23" s="2">
        <v>78.733329999999995</v>
      </c>
      <c r="EJ23" s="2">
        <v>79.8</v>
      </c>
      <c r="EK23" s="2">
        <v>80.3</v>
      </c>
      <c r="EL23" s="2">
        <v>80.900000000000006</v>
      </c>
      <c r="EM23" s="2">
        <v>81</v>
      </c>
      <c r="EN23" s="2">
        <v>81.8</v>
      </c>
      <c r="EO23" s="2">
        <v>81.733329999999995</v>
      </c>
      <c r="EP23" s="2">
        <v>82.6</v>
      </c>
      <c r="EQ23" s="2">
        <v>82.933329999999998</v>
      </c>
      <c r="ER23" s="2">
        <v>84.6</v>
      </c>
      <c r="ES23" s="2">
        <v>85.633330000000001</v>
      </c>
      <c r="ET23" s="2">
        <v>85.733329999999995</v>
      </c>
      <c r="EU23" s="2">
        <v>85.433329999999998</v>
      </c>
      <c r="EV23" s="2">
        <v>86.366669999999999</v>
      </c>
      <c r="EW23" s="2">
        <v>86.933329999999998</v>
      </c>
      <c r="EX23" s="2">
        <v>87.566670000000002</v>
      </c>
      <c r="EY23" s="2">
        <v>88.233329999999995</v>
      </c>
      <c r="EZ23" s="2">
        <v>89.366669999999999</v>
      </c>
      <c r="FA23" s="2">
        <v>89.633330000000001</v>
      </c>
      <c r="FB23" s="2">
        <v>90.5</v>
      </c>
      <c r="FC23" s="2">
        <v>91.833340000000007</v>
      </c>
      <c r="FD23" s="2">
        <v>93.3</v>
      </c>
      <c r="FE23" s="2">
        <v>93.833340000000007</v>
      </c>
      <c r="FF23" s="2">
        <v>94.733329999999995</v>
      </c>
      <c r="FG23" s="2">
        <v>95.033330000000007</v>
      </c>
      <c r="FH23" s="2">
        <v>95.8</v>
      </c>
      <c r="FI23" s="2">
        <v>96.066670000000002</v>
      </c>
      <c r="FJ23" s="2">
        <v>97.266670000000005</v>
      </c>
      <c r="FK23" s="2">
        <v>97.666659999999993</v>
      </c>
      <c r="FL23" s="2">
        <v>98.366669999999999</v>
      </c>
      <c r="FM23" s="2">
        <v>98.7</v>
      </c>
      <c r="FN23" s="2">
        <v>99.3</v>
      </c>
      <c r="FO23" s="2">
        <v>99.4</v>
      </c>
      <c r="FP23" s="2">
        <v>100.1</v>
      </c>
      <c r="FQ23" s="2">
        <v>100.13330000000001</v>
      </c>
      <c r="FR23" s="2">
        <v>100.2</v>
      </c>
      <c r="FS23" s="2">
        <v>99.5</v>
      </c>
      <c r="FT23" s="2">
        <v>100.0667</v>
      </c>
      <c r="FU23" s="2">
        <v>100.16670000000001</v>
      </c>
      <c r="FV23" s="2">
        <v>100.3</v>
      </c>
      <c r="FW23" s="2">
        <v>99.833340000000007</v>
      </c>
      <c r="FX23" s="2">
        <v>100.4</v>
      </c>
      <c r="FY23" s="2">
        <v>100.86669999999999</v>
      </c>
      <c r="FZ23" s="2">
        <v>101.5</v>
      </c>
      <c r="GA23" s="2">
        <v>102</v>
      </c>
      <c r="GB23" s="2">
        <v>103.16670000000001</v>
      </c>
      <c r="GC23" s="2">
        <v>103.7</v>
      </c>
      <c r="GD23" s="2">
        <v>104.5667</v>
      </c>
      <c r="GE23" s="2">
        <v>104.7667</v>
      </c>
      <c r="GF23" s="2">
        <v>105.66670000000001</v>
      </c>
      <c r="GG23" s="2">
        <v>106.3</v>
      </c>
      <c r="GH23" s="2">
        <v>106.9333</v>
      </c>
      <c r="GI23" s="2">
        <v>106.7</v>
      </c>
      <c r="GJ23" s="2">
        <v>107.8</v>
      </c>
      <c r="GK23" s="2">
        <v>108.2667</v>
      </c>
      <c r="GL23" s="2">
        <v>108.4333</v>
      </c>
      <c r="GM23" s="2">
        <v>108.4667</v>
      </c>
      <c r="GN23" s="2">
        <v>108.5333</v>
      </c>
      <c r="GO23" s="2">
        <v>108.9333</v>
      </c>
      <c r="GP23" s="2">
        <v>109.0667</v>
      </c>
      <c r="GQ23" s="2">
        <v>109.16670000000001</v>
      </c>
      <c r="GR23" s="2">
        <v>110.7333</v>
      </c>
      <c r="GS23" s="2">
        <v>111.9333</v>
      </c>
      <c r="GT23" s="2">
        <v>114.4</v>
      </c>
      <c r="GU23" s="2">
        <v>115.9333</v>
      </c>
      <c r="GV23" s="2">
        <v>120.86669999999999</v>
      </c>
      <c r="GW23" s="2">
        <v>123.13330000000001</v>
      </c>
      <c r="GX23" s="2">
        <v>126.7</v>
      </c>
      <c r="GY23" s="2">
        <v>127.7333</v>
      </c>
      <c r="GZ23" s="2">
        <v>131.0667</v>
      </c>
      <c r="HA23" s="2">
        <v>131.4</v>
      </c>
      <c r="HB23" s="2">
        <v>131.9667</v>
      </c>
      <c r="HC23" s="3">
        <v>132.10210000000001</v>
      </c>
      <c r="HD23" s="3">
        <v>133.14169999999999</v>
      </c>
      <c r="HE23" s="3">
        <v>133.72</v>
      </c>
      <c r="HF23" s="3">
        <v>134.38079999999999</v>
      </c>
      <c r="HG23" s="3">
        <v>134.56129999999999</v>
      </c>
      <c r="HH23" s="3">
        <v>135.92660000000001</v>
      </c>
      <c r="HI23" s="3">
        <v>136.68369999999999</v>
      </c>
      <c r="HJ23" s="3">
        <v>137.44370000000001</v>
      </c>
      <c r="HK23" s="3">
        <v>137.66970000000001</v>
      </c>
      <c r="HL23" s="3">
        <v>138.96539999999999</v>
      </c>
      <c r="HM23" s="3">
        <v>139.70320000000001</v>
      </c>
      <c r="HN23" s="3">
        <v>140.39699999999999</v>
      </c>
      <c r="HO23" s="3">
        <v>140.58320000000001</v>
      </c>
      <c r="HP23" s="3">
        <v>141.89920000000001</v>
      </c>
      <c r="HQ23" s="3">
        <v>142.6619</v>
      </c>
      <c r="HR23" s="3">
        <v>143.33930000000001</v>
      </c>
      <c r="HS23" s="3">
        <v>143.51669999999999</v>
      </c>
      <c r="HT23" s="3">
        <v>144.82749999999999</v>
      </c>
      <c r="HU23" s="3">
        <v>145.58920000000001</v>
      </c>
      <c r="HV23" s="3">
        <v>146.23480000000001</v>
      </c>
      <c r="HW23" s="3">
        <v>146.3903</v>
      </c>
      <c r="HX23" s="3">
        <v>147.71629999999999</v>
      </c>
      <c r="HY23" s="3">
        <v>148.49940000000001</v>
      </c>
      <c r="HZ23" s="3">
        <v>149.13579999999999</v>
      </c>
      <c r="IA23" s="3">
        <v>149.2902</v>
      </c>
      <c r="IB23" s="3">
        <v>150.65379999999999</v>
      </c>
      <c r="IC23" s="3">
        <v>151.4768</v>
      </c>
      <c r="ID23" s="3">
        <v>152.11660000000001</v>
      </c>
      <c r="IE23" s="3">
        <v>152.27600000000001</v>
      </c>
      <c r="IF23" s="3">
        <v>153.6669</v>
      </c>
      <c r="IG23" s="3">
        <v>154.50630000000001</v>
      </c>
      <c r="IH23" s="3">
        <v>155.15889999999999</v>
      </c>
      <c r="II23" s="3">
        <v>155.32149999999999</v>
      </c>
      <c r="IJ23" s="3">
        <v>156.74019999999999</v>
      </c>
      <c r="IK23" s="3">
        <v>157.59649999999999</v>
      </c>
      <c r="IL23" s="3">
        <v>158.2621</v>
      </c>
      <c r="IM23" s="3">
        <v>158.428</v>
      </c>
      <c r="IN23" s="3">
        <v>159.875</v>
      </c>
      <c r="IO23" s="3">
        <v>160.7484</v>
      </c>
      <c r="IP23" s="3">
        <v>161.42740000000001</v>
      </c>
      <c r="IQ23" s="3">
        <v>161.59649999999999</v>
      </c>
      <c r="IR23" s="3">
        <v>163.07249999999999</v>
      </c>
      <c r="IS23" s="3">
        <v>163.96340000000001</v>
      </c>
      <c r="IT23" s="3">
        <v>164.6559</v>
      </c>
      <c r="IU23" s="3">
        <v>164.82849999999999</v>
      </c>
      <c r="IV23" s="3">
        <v>166.334</v>
      </c>
      <c r="IW23" s="3">
        <v>167.24260000000001</v>
      </c>
      <c r="IX23" s="3">
        <v>167.94900000000001</v>
      </c>
      <c r="IY23" s="3">
        <v>168.125</v>
      </c>
      <c r="IZ23" s="3">
        <v>169.66059999999999</v>
      </c>
      <c r="JA23" s="3">
        <v>170.58750000000001</v>
      </c>
      <c r="JB23" s="3">
        <v>171.30799999999999</v>
      </c>
      <c r="JC23" s="3">
        <v>171.48750000000001</v>
      </c>
      <c r="JD23" s="3">
        <v>173.0539</v>
      </c>
      <c r="JE23" s="3">
        <v>173.99930000000001</v>
      </c>
      <c r="JF23" s="3">
        <v>174.73419999999999</v>
      </c>
      <c r="JG23" s="3">
        <v>174.91730000000001</v>
      </c>
      <c r="JH23" s="3">
        <v>176.51490000000001</v>
      </c>
      <c r="JI23" s="3">
        <v>177.47919999999999</v>
      </c>
      <c r="JJ23" s="3">
        <v>178.22890000000001</v>
      </c>
      <c r="JK23" s="3">
        <v>178.41560000000001</v>
      </c>
      <c r="JL23" s="3">
        <v>180.04519999999999</v>
      </c>
      <c r="JM23" s="3">
        <v>181.02879999999999</v>
      </c>
      <c r="JN23" s="3">
        <v>181.79339999999999</v>
      </c>
      <c r="JO23" s="3">
        <v>181.98400000000001</v>
      </c>
      <c r="JP23" s="3">
        <v>183.64609999999999</v>
      </c>
      <c r="JQ23" s="3">
        <v>184.64940000000001</v>
      </c>
      <c r="JR23" s="3">
        <v>185.42930000000001</v>
      </c>
      <c r="JS23" s="3">
        <v>185.62360000000001</v>
      </c>
      <c r="JT23" s="3">
        <v>187.31909999999999</v>
      </c>
      <c r="JU23" s="3">
        <v>188.3424</v>
      </c>
      <c r="JV23" s="3">
        <v>189.1379</v>
      </c>
      <c r="JW23" s="3">
        <v>189.33609999999999</v>
      </c>
      <c r="JX23" s="3">
        <v>191.06540000000001</v>
      </c>
      <c r="JY23" s="3">
        <v>192.10919999999999</v>
      </c>
      <c r="JZ23" s="3">
        <v>192.92060000000001</v>
      </c>
      <c r="KA23" s="3">
        <v>193.12280000000001</v>
      </c>
      <c r="KB23" s="3">
        <v>194.88679999999999</v>
      </c>
      <c r="KC23" s="3">
        <v>195.95140000000001</v>
      </c>
      <c r="KD23" s="3">
        <v>196.7791</v>
      </c>
      <c r="KE23" s="3">
        <v>196.9853</v>
      </c>
      <c r="KF23" s="3">
        <v>198.78450000000001</v>
      </c>
      <c r="KG23" s="3">
        <v>199.87039999999999</v>
      </c>
      <c r="KH23" s="3">
        <v>200.71459999999999</v>
      </c>
      <c r="KI23" s="3">
        <v>200.92500000000001</v>
      </c>
      <c r="KJ23" s="3">
        <v>202.7602</v>
      </c>
      <c r="KK23" s="3">
        <v>203.86789999999999</v>
      </c>
      <c r="KL23" s="3">
        <v>204.72890000000001</v>
      </c>
      <c r="KM23" s="3">
        <v>204.9435</v>
      </c>
      <c r="KN23" s="3">
        <v>206.81540000000001</v>
      </c>
      <c r="KO23" s="3">
        <v>207.9452</v>
      </c>
      <c r="KP23" s="3">
        <v>208.8235</v>
      </c>
      <c r="KQ23" s="3">
        <v>209.04239999999999</v>
      </c>
      <c r="KR23" s="3">
        <v>210.95169999999999</v>
      </c>
      <c r="KS23" s="3">
        <v>212.10409999999999</v>
      </c>
      <c r="KT23" s="3">
        <v>213</v>
      </c>
      <c r="KU23" s="3">
        <v>213.22319999999999</v>
      </c>
      <c r="KV23" s="3">
        <v>215.17070000000001</v>
      </c>
      <c r="KW23" s="3">
        <v>216.34620000000001</v>
      </c>
      <c r="KX23" s="3">
        <v>217.26</v>
      </c>
      <c r="KY23" s="3">
        <v>217.48769999999999</v>
      </c>
      <c r="KZ23" s="3">
        <v>219.47409999999999</v>
      </c>
      <c r="LA23" s="3">
        <v>220.67310000000001</v>
      </c>
      <c r="LB23" s="3">
        <v>221.6052</v>
      </c>
      <c r="LC23" s="3">
        <v>221.8374</v>
      </c>
      <c r="LD23" s="3">
        <v>223.86359999999999</v>
      </c>
      <c r="LE23" s="3">
        <v>225.0866</v>
      </c>
      <c r="LF23" s="3">
        <v>226.03729999999999</v>
      </c>
      <c r="LG23" t="s">
        <v>335</v>
      </c>
      <c r="LH23" t="b">
        <v>0</v>
      </c>
      <c r="LI23" t="s">
        <v>337</v>
      </c>
      <c r="LJ23">
        <v>2015</v>
      </c>
      <c r="LK23">
        <v>2023</v>
      </c>
      <c r="LL23">
        <v>4</v>
      </c>
      <c r="LM23" t="s">
        <v>337</v>
      </c>
      <c r="LN23" s="1" t="s">
        <v>344</v>
      </c>
      <c r="LO23" s="1" t="s">
        <v>345</v>
      </c>
      <c r="LP23" t="s">
        <v>340</v>
      </c>
      <c r="LQ23" t="s">
        <v>346</v>
      </c>
      <c r="LR23" s="1" t="s">
        <v>356</v>
      </c>
    </row>
    <row r="24" spans="1:330" x14ac:dyDescent="0.25">
      <c r="A24" t="s">
        <v>330</v>
      </c>
      <c r="B24" t="s">
        <v>331</v>
      </c>
      <c r="C24" s="1" t="s">
        <v>357</v>
      </c>
      <c r="D24" t="s">
        <v>332</v>
      </c>
      <c r="E24" t="s">
        <v>333</v>
      </c>
      <c r="F24" t="s">
        <v>334</v>
      </c>
      <c r="G24" s="2">
        <v>223780</v>
      </c>
      <c r="H24" s="2">
        <v>224213</v>
      </c>
      <c r="I24" s="2">
        <v>222122</v>
      </c>
      <c r="J24" s="2">
        <v>221266</v>
      </c>
      <c r="K24" s="2">
        <v>215122</v>
      </c>
      <c r="L24" s="2">
        <v>218215</v>
      </c>
      <c r="M24" s="2">
        <v>219517</v>
      </c>
      <c r="N24" s="2">
        <v>216301</v>
      </c>
      <c r="O24" s="2">
        <v>216390</v>
      </c>
      <c r="P24" s="2">
        <v>212882</v>
      </c>
      <c r="Q24" s="2">
        <v>212192</v>
      </c>
      <c r="R24" s="2">
        <v>214585</v>
      </c>
      <c r="S24" s="2">
        <v>218180</v>
      </c>
      <c r="T24" s="2">
        <v>217883</v>
      </c>
      <c r="U24" s="2">
        <v>220587</v>
      </c>
      <c r="V24" s="2">
        <v>225228</v>
      </c>
      <c r="W24" s="2">
        <v>225362</v>
      </c>
      <c r="X24" s="2">
        <v>223815</v>
      </c>
      <c r="Y24" s="2">
        <v>225295</v>
      </c>
      <c r="Z24" s="2">
        <v>229115</v>
      </c>
      <c r="AA24" s="2">
        <v>231258</v>
      </c>
      <c r="AB24" s="2">
        <v>233910</v>
      </c>
      <c r="AC24" s="2">
        <v>237107</v>
      </c>
      <c r="AD24" s="2">
        <v>239186</v>
      </c>
      <c r="AE24" s="2">
        <v>238472</v>
      </c>
      <c r="AF24" s="2">
        <v>248867</v>
      </c>
      <c r="AG24" s="2">
        <v>243369</v>
      </c>
      <c r="AH24" s="2">
        <v>245858</v>
      </c>
      <c r="AI24" s="2">
        <v>243513</v>
      </c>
      <c r="AJ24" s="2">
        <v>238722</v>
      </c>
      <c r="AK24" s="2">
        <v>238432</v>
      </c>
      <c r="AL24" s="2">
        <v>235866</v>
      </c>
      <c r="AM24" s="2">
        <v>235712</v>
      </c>
      <c r="AN24" s="2">
        <v>236272</v>
      </c>
      <c r="AO24" s="2">
        <v>238846</v>
      </c>
      <c r="AP24" s="2">
        <v>239131</v>
      </c>
      <c r="AQ24" s="2">
        <v>239578</v>
      </c>
      <c r="AR24" s="2">
        <v>242095</v>
      </c>
      <c r="AS24" s="2">
        <v>242639</v>
      </c>
      <c r="AT24" s="2">
        <v>244317</v>
      </c>
      <c r="AU24" s="2">
        <v>249032</v>
      </c>
      <c r="AV24" s="2">
        <v>250761</v>
      </c>
      <c r="AW24" s="2">
        <v>253655</v>
      </c>
      <c r="AX24" s="2">
        <v>255533</v>
      </c>
      <c r="AY24" s="2">
        <v>257683</v>
      </c>
      <c r="AZ24" s="2">
        <v>255100</v>
      </c>
      <c r="BA24" s="2">
        <v>256975</v>
      </c>
      <c r="BB24" s="2">
        <v>261627</v>
      </c>
      <c r="BC24" s="2">
        <v>264127</v>
      </c>
      <c r="BD24" s="2">
        <v>269787</v>
      </c>
      <c r="BE24" s="2">
        <v>269737</v>
      </c>
      <c r="BF24" s="2">
        <v>269896</v>
      </c>
      <c r="BG24" s="2">
        <v>272720</v>
      </c>
      <c r="BH24" s="2">
        <v>275136</v>
      </c>
      <c r="BI24" s="2">
        <v>276863</v>
      </c>
      <c r="BJ24" s="2">
        <v>282193</v>
      </c>
      <c r="BK24" s="2">
        <v>284172</v>
      </c>
      <c r="BL24" s="2">
        <v>288385</v>
      </c>
      <c r="BM24" s="2">
        <v>295493</v>
      </c>
      <c r="BN24" s="2">
        <v>298855</v>
      </c>
      <c r="BO24" s="2">
        <v>303698</v>
      </c>
      <c r="BP24" s="2">
        <v>305281</v>
      </c>
      <c r="BQ24" s="2">
        <v>309097</v>
      </c>
      <c r="BR24" s="2">
        <v>311574</v>
      </c>
      <c r="BS24" s="2">
        <v>313083</v>
      </c>
      <c r="BT24" s="2">
        <v>315039</v>
      </c>
      <c r="BU24" s="2">
        <v>315554</v>
      </c>
      <c r="BV24" s="2">
        <v>315515</v>
      </c>
      <c r="BW24" s="2">
        <v>317117</v>
      </c>
      <c r="BX24" s="2">
        <v>319239</v>
      </c>
      <c r="BY24" s="2">
        <v>315744</v>
      </c>
      <c r="BZ24" s="2">
        <v>314148</v>
      </c>
      <c r="CA24" s="2">
        <v>312596</v>
      </c>
      <c r="CB24" s="2">
        <v>312235</v>
      </c>
      <c r="CC24" s="2">
        <v>311624</v>
      </c>
      <c r="CD24" s="2">
        <v>312006</v>
      </c>
      <c r="CE24" s="2">
        <v>311904</v>
      </c>
      <c r="CF24" s="2">
        <v>311418</v>
      </c>
      <c r="CG24" s="2">
        <v>312896</v>
      </c>
      <c r="CH24" s="2">
        <v>315307</v>
      </c>
      <c r="CI24" s="2">
        <v>316882</v>
      </c>
      <c r="CJ24" s="2">
        <v>318302</v>
      </c>
      <c r="CK24" s="2">
        <v>321218</v>
      </c>
      <c r="CL24" s="2">
        <v>323400</v>
      </c>
      <c r="CM24" s="2">
        <v>326585</v>
      </c>
      <c r="CN24" s="2">
        <v>329584</v>
      </c>
      <c r="CO24" s="2">
        <v>332911</v>
      </c>
      <c r="CP24" s="2">
        <v>334363</v>
      </c>
      <c r="CQ24" s="2">
        <v>336090</v>
      </c>
      <c r="CR24" s="2">
        <v>336789</v>
      </c>
      <c r="CS24" s="2">
        <v>340542</v>
      </c>
      <c r="CT24" s="2">
        <v>341602</v>
      </c>
      <c r="CU24" s="2">
        <v>343859</v>
      </c>
      <c r="CV24" s="2">
        <v>344979</v>
      </c>
      <c r="CW24" s="2">
        <v>348214</v>
      </c>
      <c r="CX24" s="2">
        <v>352958</v>
      </c>
      <c r="CY24" s="2">
        <v>358611</v>
      </c>
      <c r="CZ24" s="2">
        <v>362573</v>
      </c>
      <c r="DA24" s="2">
        <v>365942</v>
      </c>
      <c r="DB24" s="2">
        <v>371341</v>
      </c>
      <c r="DC24" s="2">
        <v>374037</v>
      </c>
      <c r="DD24" s="2">
        <v>376421</v>
      </c>
      <c r="DE24" s="2">
        <v>377650</v>
      </c>
      <c r="DF24" s="2">
        <v>380155</v>
      </c>
      <c r="DG24" s="2">
        <v>382789</v>
      </c>
      <c r="DH24" s="2">
        <v>384605</v>
      </c>
      <c r="DI24" s="2">
        <v>390758</v>
      </c>
      <c r="DJ24" s="2">
        <v>396357</v>
      </c>
      <c r="DK24" s="2">
        <v>401242</v>
      </c>
      <c r="DL24" s="2">
        <v>404196</v>
      </c>
      <c r="DM24" s="2">
        <v>406795</v>
      </c>
      <c r="DN24" s="2">
        <v>409411</v>
      </c>
      <c r="DO24" s="2">
        <v>413054</v>
      </c>
      <c r="DP24" s="2">
        <v>414878</v>
      </c>
      <c r="DQ24" s="2">
        <v>417085</v>
      </c>
      <c r="DR24" s="2">
        <v>418445</v>
      </c>
      <c r="DS24" s="2">
        <v>419534</v>
      </c>
      <c r="DT24" s="2">
        <v>421587</v>
      </c>
      <c r="DU24" s="2">
        <v>424425</v>
      </c>
      <c r="DV24" s="2">
        <v>427725</v>
      </c>
      <c r="DW24" s="2">
        <v>430832</v>
      </c>
      <c r="DX24" s="2">
        <v>434837</v>
      </c>
      <c r="DY24" s="2">
        <v>438710</v>
      </c>
      <c r="DZ24" s="2">
        <v>442172</v>
      </c>
      <c r="EA24" s="2">
        <v>443853</v>
      </c>
      <c r="EB24" s="2">
        <v>446443</v>
      </c>
      <c r="EC24" s="2">
        <v>448171</v>
      </c>
      <c r="ED24" s="2">
        <v>450464</v>
      </c>
      <c r="EE24" s="2">
        <v>453784</v>
      </c>
      <c r="EF24" s="2">
        <v>457557</v>
      </c>
      <c r="EG24" s="2">
        <v>461135</v>
      </c>
      <c r="EH24" s="2">
        <v>465451</v>
      </c>
      <c r="EI24" s="2">
        <v>467840</v>
      </c>
      <c r="EJ24" s="2">
        <v>469655</v>
      </c>
      <c r="EK24" s="2">
        <v>470918</v>
      </c>
      <c r="EL24" s="2">
        <v>473372</v>
      </c>
      <c r="EM24" s="2">
        <v>477823</v>
      </c>
      <c r="EN24" s="2">
        <v>481314</v>
      </c>
      <c r="EO24" s="2">
        <v>484544</v>
      </c>
      <c r="EP24" s="2">
        <v>487413</v>
      </c>
      <c r="EQ24" s="2">
        <v>489783</v>
      </c>
      <c r="ER24" s="2">
        <v>487386</v>
      </c>
      <c r="ES24" s="2">
        <v>479872</v>
      </c>
      <c r="ET24" s="2">
        <v>469694</v>
      </c>
      <c r="EU24" s="2">
        <v>460105</v>
      </c>
      <c r="EV24" s="2">
        <v>458599</v>
      </c>
      <c r="EW24" s="2">
        <v>458875</v>
      </c>
      <c r="EX24" s="2">
        <v>460238</v>
      </c>
      <c r="EY24" s="2">
        <v>464543</v>
      </c>
      <c r="EZ24" s="2">
        <v>469606</v>
      </c>
      <c r="FA24" s="2">
        <v>472199</v>
      </c>
      <c r="FB24" s="2">
        <v>472612</v>
      </c>
      <c r="FC24" s="2">
        <v>473819</v>
      </c>
      <c r="FD24" s="2">
        <v>474365</v>
      </c>
      <c r="FE24" s="2">
        <v>475813</v>
      </c>
      <c r="FF24" s="2">
        <v>476479</v>
      </c>
      <c r="FG24" s="2">
        <v>480632</v>
      </c>
      <c r="FH24" s="2">
        <v>479979</v>
      </c>
      <c r="FI24" s="2">
        <v>484579</v>
      </c>
      <c r="FJ24" s="2">
        <v>484039</v>
      </c>
      <c r="FK24" s="2">
        <v>485409</v>
      </c>
      <c r="FL24" s="2">
        <v>488930</v>
      </c>
      <c r="FM24" s="2">
        <v>493002</v>
      </c>
      <c r="FN24" s="2">
        <v>496466</v>
      </c>
      <c r="FO24" s="2">
        <v>500552</v>
      </c>
      <c r="FP24" s="2">
        <v>504939</v>
      </c>
      <c r="FQ24" s="2">
        <v>508741</v>
      </c>
      <c r="FR24" s="2">
        <v>512334</v>
      </c>
      <c r="FS24" s="2">
        <v>513850</v>
      </c>
      <c r="FT24" s="2">
        <v>516876</v>
      </c>
      <c r="FU24" s="2">
        <v>518915</v>
      </c>
      <c r="FV24" s="2">
        <v>521920</v>
      </c>
      <c r="FW24" s="2">
        <v>523813</v>
      </c>
      <c r="FX24" s="2">
        <v>526750</v>
      </c>
      <c r="FY24" s="2">
        <v>528712</v>
      </c>
      <c r="FZ24" s="2">
        <v>532082</v>
      </c>
      <c r="GA24" s="2">
        <v>536566</v>
      </c>
      <c r="GB24" s="2">
        <v>540020</v>
      </c>
      <c r="GC24" s="2">
        <v>543452</v>
      </c>
      <c r="GD24" s="2">
        <v>547377</v>
      </c>
      <c r="GE24" s="2">
        <v>547688</v>
      </c>
      <c r="GF24" s="2">
        <v>548600</v>
      </c>
      <c r="GG24" s="2">
        <v>550425</v>
      </c>
      <c r="GH24" s="2">
        <v>551128</v>
      </c>
      <c r="GI24" s="2">
        <v>555141</v>
      </c>
      <c r="GJ24" s="2">
        <v>556932</v>
      </c>
      <c r="GK24" s="2">
        <v>560987</v>
      </c>
      <c r="GL24" s="2">
        <v>560861</v>
      </c>
      <c r="GM24" s="2">
        <v>545597</v>
      </c>
      <c r="GN24" s="2">
        <v>434718</v>
      </c>
      <c r="GO24" s="2">
        <v>507643</v>
      </c>
      <c r="GP24" s="2">
        <v>514531</v>
      </c>
      <c r="GQ24" s="2">
        <v>509261</v>
      </c>
      <c r="GR24" s="2">
        <v>546579</v>
      </c>
      <c r="GS24" s="2">
        <v>555956</v>
      </c>
      <c r="GT24" s="2">
        <v>564407</v>
      </c>
      <c r="GU24" s="2">
        <v>567396</v>
      </c>
      <c r="GV24" s="2">
        <v>567889</v>
      </c>
      <c r="GW24" s="2">
        <v>567445</v>
      </c>
      <c r="GX24" s="2">
        <v>568034</v>
      </c>
      <c r="GY24" s="2">
        <v>569336</v>
      </c>
      <c r="GZ24" s="2">
        <v>569364</v>
      </c>
      <c r="HA24" s="2">
        <v>568655</v>
      </c>
      <c r="HB24" s="2">
        <v>566695</v>
      </c>
      <c r="HC24" s="3">
        <v>568298.30000000005</v>
      </c>
      <c r="HD24" s="3">
        <v>570108.4</v>
      </c>
      <c r="HE24" s="3">
        <v>572322.4</v>
      </c>
      <c r="HF24" s="3">
        <v>575181.1</v>
      </c>
      <c r="HG24" s="3">
        <v>578211.80000000005</v>
      </c>
      <c r="HH24" s="3">
        <v>581479.30000000005</v>
      </c>
      <c r="HI24" s="3">
        <v>584590.30000000005</v>
      </c>
      <c r="HJ24" s="3">
        <v>587776.1</v>
      </c>
      <c r="HK24" s="3">
        <v>590656.30000000005</v>
      </c>
      <c r="HL24" s="3">
        <v>593256</v>
      </c>
      <c r="HM24" s="3">
        <v>595688.30000000005</v>
      </c>
      <c r="HN24" s="3">
        <v>598071</v>
      </c>
      <c r="HO24" s="3">
        <v>600523.1</v>
      </c>
      <c r="HP24" s="3">
        <v>602925.1</v>
      </c>
      <c r="HQ24" s="3">
        <v>605336.9</v>
      </c>
      <c r="HR24" s="3">
        <v>607818.80000000005</v>
      </c>
      <c r="HS24" s="3">
        <v>610250.1</v>
      </c>
      <c r="HT24" s="3">
        <v>612691.1</v>
      </c>
      <c r="HU24" s="3">
        <v>615080.6</v>
      </c>
      <c r="HV24" s="3">
        <v>617479.4</v>
      </c>
      <c r="HW24" s="3">
        <v>619825.80000000005</v>
      </c>
      <c r="HX24" s="3">
        <v>622181.1</v>
      </c>
      <c r="HY24" s="3">
        <v>624545.4</v>
      </c>
      <c r="HZ24" s="3">
        <v>626949.9</v>
      </c>
      <c r="IA24" s="3">
        <v>629332.30000000005</v>
      </c>
      <c r="IB24" s="3">
        <v>631755.30000000005</v>
      </c>
      <c r="IC24" s="3">
        <v>634155.9</v>
      </c>
      <c r="ID24" s="3">
        <v>636565.80000000005</v>
      </c>
      <c r="IE24" s="3">
        <v>638984.69999999995</v>
      </c>
      <c r="IF24" s="3">
        <v>641412.80000000005</v>
      </c>
      <c r="IG24" s="3">
        <v>643850.19999999995</v>
      </c>
      <c r="IH24" s="3">
        <v>646296.80000000005</v>
      </c>
      <c r="II24" s="3">
        <v>648720.4</v>
      </c>
      <c r="IJ24" s="3">
        <v>651185.6</v>
      </c>
      <c r="IK24" s="3">
        <v>653594.9</v>
      </c>
      <c r="IL24" s="3">
        <v>655947.9</v>
      </c>
      <c r="IM24" s="3">
        <v>658349.6</v>
      </c>
      <c r="IN24" s="3">
        <v>660699.4</v>
      </c>
      <c r="IO24" s="3">
        <v>663036</v>
      </c>
      <c r="IP24" s="3">
        <v>665366.19999999995</v>
      </c>
      <c r="IQ24" s="3">
        <v>667767.30000000005</v>
      </c>
      <c r="IR24" s="3">
        <v>670184.30000000005</v>
      </c>
      <c r="IS24" s="3">
        <v>672514</v>
      </c>
      <c r="IT24" s="3">
        <v>674854</v>
      </c>
      <c r="IU24" s="3">
        <v>677286.9</v>
      </c>
      <c r="IV24" s="3">
        <v>679729.7</v>
      </c>
      <c r="IW24" s="3">
        <v>682182.2</v>
      </c>
      <c r="IX24" s="3">
        <v>684644.4</v>
      </c>
      <c r="IY24" s="3">
        <v>687177.5</v>
      </c>
      <c r="IZ24" s="3">
        <v>689723.4</v>
      </c>
      <c r="JA24" s="3">
        <v>692282.2</v>
      </c>
      <c r="JB24" s="3">
        <v>694853.5</v>
      </c>
      <c r="JC24" s="3">
        <v>697437.4</v>
      </c>
      <c r="JD24" s="3">
        <v>700034.1</v>
      </c>
      <c r="JE24" s="3">
        <v>702643.5</v>
      </c>
      <c r="JF24" s="3">
        <v>705265.6</v>
      </c>
      <c r="JG24" s="3">
        <v>707961.4</v>
      </c>
      <c r="JH24" s="3">
        <v>710670.9</v>
      </c>
      <c r="JI24" s="3">
        <v>713394.5</v>
      </c>
      <c r="JJ24" s="3">
        <v>716132.6</v>
      </c>
      <c r="JK24" s="3">
        <v>718884.7</v>
      </c>
      <c r="JL24" s="3">
        <v>721651.1</v>
      </c>
      <c r="JM24" s="3">
        <v>724431.8</v>
      </c>
      <c r="JN24" s="3">
        <v>727226.9</v>
      </c>
      <c r="JO24" s="3">
        <v>730036.6</v>
      </c>
      <c r="JP24" s="3">
        <v>732854.6</v>
      </c>
      <c r="JQ24" s="3">
        <v>735681.3</v>
      </c>
      <c r="JR24" s="3">
        <v>738516.7</v>
      </c>
      <c r="JS24" s="3">
        <v>741309.9</v>
      </c>
      <c r="JT24" s="3">
        <v>744111.1</v>
      </c>
      <c r="JU24" s="3">
        <v>746920.1</v>
      </c>
      <c r="JV24" s="3">
        <v>749736.9</v>
      </c>
      <c r="JW24" s="3">
        <v>752561.8</v>
      </c>
      <c r="JX24" s="3">
        <v>755394.3</v>
      </c>
      <c r="JY24" s="3">
        <v>758234.8</v>
      </c>
      <c r="JZ24" s="3">
        <v>761083.2</v>
      </c>
      <c r="KA24" s="3">
        <v>763939.3</v>
      </c>
      <c r="KB24" s="3">
        <v>766803</v>
      </c>
      <c r="KC24" s="3">
        <v>769673.8</v>
      </c>
      <c r="KD24" s="3">
        <v>772551.8</v>
      </c>
      <c r="KE24" s="3">
        <v>775437.1</v>
      </c>
      <c r="KF24" s="3">
        <v>778329.4</v>
      </c>
      <c r="KG24" s="3">
        <v>781228.9</v>
      </c>
      <c r="KH24" s="3">
        <v>784135.7</v>
      </c>
      <c r="KI24" s="3">
        <v>787049.5</v>
      </c>
      <c r="KJ24" s="3">
        <v>789970.5</v>
      </c>
      <c r="KK24" s="3">
        <v>792898.9</v>
      </c>
      <c r="KL24" s="3">
        <v>795834.4</v>
      </c>
      <c r="KM24" s="3">
        <v>798777.1</v>
      </c>
      <c r="KN24" s="3">
        <v>801727.1</v>
      </c>
      <c r="KO24" s="3">
        <v>804684.4</v>
      </c>
      <c r="KP24" s="3">
        <v>807649.1</v>
      </c>
      <c r="KQ24" s="3">
        <v>810621.1</v>
      </c>
      <c r="KR24" s="3">
        <v>813600.5</v>
      </c>
      <c r="KS24" s="3">
        <v>816587.5</v>
      </c>
      <c r="KT24" s="3">
        <v>819581.9</v>
      </c>
      <c r="KU24" s="3">
        <v>822583.8</v>
      </c>
      <c r="KV24" s="3">
        <v>825593.4</v>
      </c>
      <c r="KW24" s="3">
        <v>828610.2</v>
      </c>
      <c r="KX24" s="3">
        <v>831634.6</v>
      </c>
      <c r="KY24" s="3">
        <v>834666.7</v>
      </c>
      <c r="KZ24" s="3">
        <v>837706.1</v>
      </c>
      <c r="LA24" s="3">
        <v>840752.9</v>
      </c>
      <c r="LB24" s="3">
        <v>843807.2</v>
      </c>
      <c r="LC24" s="3">
        <v>846868.7</v>
      </c>
      <c r="LD24" s="3">
        <v>849937.8</v>
      </c>
      <c r="LE24" s="3">
        <v>853014.1</v>
      </c>
      <c r="LF24" s="3">
        <v>856097.9</v>
      </c>
      <c r="LG24" t="s">
        <v>335</v>
      </c>
      <c r="LH24" t="b">
        <v>1</v>
      </c>
      <c r="LI24" s="1" t="s">
        <v>336</v>
      </c>
      <c r="LJ24" t="s">
        <v>337</v>
      </c>
      <c r="LK24">
        <v>2023</v>
      </c>
      <c r="LL24">
        <v>4</v>
      </c>
      <c r="LM24" t="s">
        <v>337</v>
      </c>
      <c r="LN24" t="s">
        <v>338</v>
      </c>
      <c r="LO24" s="1" t="s">
        <v>339</v>
      </c>
      <c r="LP24" t="s">
        <v>340</v>
      </c>
      <c r="LQ24" t="s">
        <v>341</v>
      </c>
      <c r="LR24" s="1" t="s">
        <v>358</v>
      </c>
    </row>
    <row r="25" spans="1:330" x14ac:dyDescent="0.25">
      <c r="A25" t="s">
        <v>330</v>
      </c>
      <c r="B25" t="s">
        <v>342</v>
      </c>
      <c r="C25" s="1" t="s">
        <v>357</v>
      </c>
      <c r="D25" t="s">
        <v>343</v>
      </c>
      <c r="E25" t="s">
        <v>337</v>
      </c>
      <c r="F25" t="s">
        <v>334</v>
      </c>
      <c r="G25" s="2">
        <v>11.88749</v>
      </c>
      <c r="H25" s="2">
        <v>12.304600000000001</v>
      </c>
      <c r="I25" s="2">
        <v>12.51315</v>
      </c>
      <c r="J25" s="2">
        <v>13.008459999999999</v>
      </c>
      <c r="K25" s="2">
        <v>13.47771</v>
      </c>
      <c r="L25" s="2">
        <v>14.23371</v>
      </c>
      <c r="M25" s="2">
        <v>14.572609999999999</v>
      </c>
      <c r="N25" s="2">
        <v>15.250400000000001</v>
      </c>
      <c r="O25" s="2">
        <v>16.058540000000001</v>
      </c>
      <c r="P25" s="2">
        <v>17.466270000000002</v>
      </c>
      <c r="Q25" s="2">
        <v>18.222280000000001</v>
      </c>
      <c r="R25" s="2">
        <v>18.847930000000002</v>
      </c>
      <c r="S25" s="2">
        <v>19.42145</v>
      </c>
      <c r="T25" s="2">
        <v>20.125319999999999</v>
      </c>
      <c r="U25" s="2">
        <v>20.594560000000001</v>
      </c>
      <c r="V25" s="2">
        <v>21.506979999999999</v>
      </c>
      <c r="W25" s="2">
        <v>22.471530000000001</v>
      </c>
      <c r="X25" s="2">
        <v>23.410019999999999</v>
      </c>
      <c r="Y25" s="2">
        <v>23.82713</v>
      </c>
      <c r="Z25" s="2">
        <v>24.139949999999999</v>
      </c>
      <c r="AA25" s="2">
        <v>24.452780000000001</v>
      </c>
      <c r="AB25" s="2">
        <v>25.078440000000001</v>
      </c>
      <c r="AC25" s="2">
        <v>25.469480000000001</v>
      </c>
      <c r="AD25" s="2">
        <v>25.860510000000001</v>
      </c>
      <c r="AE25" s="2">
        <v>26.43403</v>
      </c>
      <c r="AF25" s="2">
        <v>27.268239999999999</v>
      </c>
      <c r="AG25" s="2">
        <v>28.910589999999999</v>
      </c>
      <c r="AH25" s="2">
        <v>29.718730000000001</v>
      </c>
      <c r="AI25" s="2">
        <v>30.605080000000001</v>
      </c>
      <c r="AJ25" s="2">
        <v>32.247430000000001</v>
      </c>
      <c r="AK25" s="2">
        <v>32.951300000000003</v>
      </c>
      <c r="AL25" s="2">
        <v>33.550879999999999</v>
      </c>
      <c r="AM25" s="2">
        <v>34.385100000000001</v>
      </c>
      <c r="AN25" s="2">
        <v>36.079590000000003</v>
      </c>
      <c r="AO25" s="2">
        <v>36.731310000000001</v>
      </c>
      <c r="AP25" s="2">
        <v>37.435180000000003</v>
      </c>
      <c r="AQ25" s="2">
        <v>37.878349999999998</v>
      </c>
      <c r="AR25" s="2">
        <v>39.181800000000003</v>
      </c>
      <c r="AS25" s="2">
        <v>39.416420000000002</v>
      </c>
      <c r="AT25" s="2">
        <v>39.885669999999998</v>
      </c>
      <c r="AU25" s="2">
        <v>40.172429999999999</v>
      </c>
      <c r="AV25" s="2">
        <v>40.85022</v>
      </c>
      <c r="AW25" s="2">
        <v>41.293399999999998</v>
      </c>
      <c r="AX25" s="2">
        <v>41.762639999999998</v>
      </c>
      <c r="AY25" s="2">
        <v>41.86692</v>
      </c>
      <c r="AZ25" s="2">
        <v>42.779339999999998</v>
      </c>
      <c r="BA25" s="2">
        <v>42.98789</v>
      </c>
      <c r="BB25" s="2">
        <v>43.431060000000002</v>
      </c>
      <c r="BC25" s="2">
        <v>43.874229999999997</v>
      </c>
      <c r="BD25" s="2">
        <v>44.995199999999997</v>
      </c>
      <c r="BE25" s="2">
        <v>45.125549999999997</v>
      </c>
      <c r="BF25" s="2">
        <v>45.490519999999997</v>
      </c>
      <c r="BG25" s="2">
        <v>45.646929999999998</v>
      </c>
      <c r="BH25" s="2">
        <v>46.3508</v>
      </c>
      <c r="BI25" s="2">
        <v>46.533279999999998</v>
      </c>
      <c r="BJ25" s="2">
        <v>46.924320000000002</v>
      </c>
      <c r="BK25" s="2">
        <v>47.237139999999997</v>
      </c>
      <c r="BL25" s="2">
        <v>47.836730000000003</v>
      </c>
      <c r="BM25" s="2">
        <v>47.888869999999997</v>
      </c>
      <c r="BN25" s="2">
        <v>48.436320000000002</v>
      </c>
      <c r="BO25" s="2">
        <v>48.566670000000002</v>
      </c>
      <c r="BP25" s="2">
        <v>49.5</v>
      </c>
      <c r="BQ25" s="2">
        <v>49.9</v>
      </c>
      <c r="BR25" s="2">
        <v>50.466670000000001</v>
      </c>
      <c r="BS25" s="2">
        <v>51</v>
      </c>
      <c r="BT25" s="2">
        <v>52.133339999999997</v>
      </c>
      <c r="BU25" s="2">
        <v>52.466670000000001</v>
      </c>
      <c r="BV25" s="2">
        <v>53.266669999999998</v>
      </c>
      <c r="BW25" s="2">
        <v>53.933329999999998</v>
      </c>
      <c r="BX25" s="2">
        <v>55.6</v>
      </c>
      <c r="BY25" s="2">
        <v>56.4</v>
      </c>
      <c r="BZ25" s="2">
        <v>57.466670000000001</v>
      </c>
      <c r="CA25" s="2">
        <v>57.666670000000003</v>
      </c>
      <c r="CB25" s="2">
        <v>60.266669999999998</v>
      </c>
      <c r="CC25" s="2">
        <v>60.833329999999997</v>
      </c>
      <c r="CD25" s="2">
        <v>61.466670000000001</v>
      </c>
      <c r="CE25" s="2">
        <v>61.7</v>
      </c>
      <c r="CF25" s="2">
        <v>62.833329999999997</v>
      </c>
      <c r="CG25" s="2">
        <v>62.733330000000002</v>
      </c>
      <c r="CH25" s="2">
        <v>63.133339999999997</v>
      </c>
      <c r="CI25" s="2">
        <v>63.2</v>
      </c>
      <c r="CJ25" s="2">
        <v>64.433329999999998</v>
      </c>
      <c r="CK25" s="2">
        <v>64.5</v>
      </c>
      <c r="CL25" s="2">
        <v>64.666659999999993</v>
      </c>
      <c r="CM25" s="2">
        <v>64.766670000000005</v>
      </c>
      <c r="CN25" s="2">
        <v>65.7</v>
      </c>
      <c r="CO25" s="2">
        <v>65.633330000000001</v>
      </c>
      <c r="CP25" s="2">
        <v>65.8</v>
      </c>
      <c r="CQ25" s="2">
        <v>66.333340000000007</v>
      </c>
      <c r="CR25" s="2">
        <v>67.266670000000005</v>
      </c>
      <c r="CS25" s="2">
        <v>67.400000000000006</v>
      </c>
      <c r="CT25" s="2">
        <v>67.733329999999995</v>
      </c>
      <c r="CU25" s="2">
        <v>68.099999999999994</v>
      </c>
      <c r="CV25" s="2">
        <v>68.866669999999999</v>
      </c>
      <c r="CW25" s="2">
        <v>68.933329999999998</v>
      </c>
      <c r="CX25" s="2">
        <v>69.366669999999999</v>
      </c>
      <c r="CY25" s="2">
        <v>69.366669999999999</v>
      </c>
      <c r="CZ25" s="2">
        <v>70</v>
      </c>
      <c r="DA25" s="2">
        <v>70.266670000000005</v>
      </c>
      <c r="DB25" s="2">
        <v>70.633330000000001</v>
      </c>
      <c r="DC25" s="2">
        <v>70.5</v>
      </c>
      <c r="DD25" s="2">
        <v>71.266670000000005</v>
      </c>
      <c r="DE25" s="2">
        <v>71.233329999999995</v>
      </c>
      <c r="DF25" s="2">
        <v>71.633330000000001</v>
      </c>
      <c r="DG25" s="2">
        <v>71.599999999999994</v>
      </c>
      <c r="DH25" s="2">
        <v>72.3</v>
      </c>
      <c r="DI25" s="2">
        <v>72.133330000000001</v>
      </c>
      <c r="DJ25" s="2">
        <v>72.433329999999998</v>
      </c>
      <c r="DK25" s="2">
        <v>72.133330000000001</v>
      </c>
      <c r="DL25" s="2">
        <v>72.766670000000005</v>
      </c>
      <c r="DM25" s="2">
        <v>72.7</v>
      </c>
      <c r="DN25" s="2">
        <v>73.166659999999993</v>
      </c>
      <c r="DO25" s="2">
        <v>72.766670000000005</v>
      </c>
      <c r="DP25" s="2">
        <v>73.833340000000007</v>
      </c>
      <c r="DQ25" s="2">
        <v>73.866669999999999</v>
      </c>
      <c r="DR25" s="2">
        <v>73.900000000000006</v>
      </c>
      <c r="DS25" s="2">
        <v>73.866669999999999</v>
      </c>
      <c r="DT25" s="2">
        <v>74.533330000000007</v>
      </c>
      <c r="DU25" s="2">
        <v>74.599999999999994</v>
      </c>
      <c r="DV25" s="2">
        <v>75</v>
      </c>
      <c r="DW25" s="2">
        <v>75</v>
      </c>
      <c r="DX25" s="2">
        <v>75.466669999999993</v>
      </c>
      <c r="DY25" s="2">
        <v>75.599999999999994</v>
      </c>
      <c r="DZ25" s="2">
        <v>76.033330000000007</v>
      </c>
      <c r="EA25" s="2">
        <v>75.966669999999993</v>
      </c>
      <c r="EB25" s="2">
        <v>76.533330000000007</v>
      </c>
      <c r="EC25" s="2">
        <v>76.566670000000002</v>
      </c>
      <c r="ED25" s="2">
        <v>77.099999999999994</v>
      </c>
      <c r="EE25" s="2">
        <v>77.233329999999995</v>
      </c>
      <c r="EF25" s="2">
        <v>78</v>
      </c>
      <c r="EG25" s="2">
        <v>78.400000000000006</v>
      </c>
      <c r="EH25" s="2">
        <v>78.766670000000005</v>
      </c>
      <c r="EI25" s="2">
        <v>78.733329999999995</v>
      </c>
      <c r="EJ25" s="2">
        <v>79.8</v>
      </c>
      <c r="EK25" s="2">
        <v>80.3</v>
      </c>
      <c r="EL25" s="2">
        <v>80.900000000000006</v>
      </c>
      <c r="EM25" s="2">
        <v>81</v>
      </c>
      <c r="EN25" s="2">
        <v>81.8</v>
      </c>
      <c r="EO25" s="2">
        <v>81.733329999999995</v>
      </c>
      <c r="EP25" s="2">
        <v>82.6</v>
      </c>
      <c r="EQ25" s="2">
        <v>82.933329999999998</v>
      </c>
      <c r="ER25" s="2">
        <v>84.6</v>
      </c>
      <c r="ES25" s="2">
        <v>85.633330000000001</v>
      </c>
      <c r="ET25" s="2">
        <v>85.733329999999995</v>
      </c>
      <c r="EU25" s="2">
        <v>85.433329999999998</v>
      </c>
      <c r="EV25" s="2">
        <v>86.366669999999999</v>
      </c>
      <c r="EW25" s="2">
        <v>86.933329999999998</v>
      </c>
      <c r="EX25" s="2">
        <v>87.566670000000002</v>
      </c>
      <c r="EY25" s="2">
        <v>88.233329999999995</v>
      </c>
      <c r="EZ25" s="2">
        <v>89.366669999999999</v>
      </c>
      <c r="FA25" s="2">
        <v>89.633330000000001</v>
      </c>
      <c r="FB25" s="2">
        <v>90.5</v>
      </c>
      <c r="FC25" s="2">
        <v>91.833340000000007</v>
      </c>
      <c r="FD25" s="2">
        <v>93.3</v>
      </c>
      <c r="FE25" s="2">
        <v>93.833340000000007</v>
      </c>
      <c r="FF25" s="2">
        <v>94.733329999999995</v>
      </c>
      <c r="FG25" s="2">
        <v>95.033330000000007</v>
      </c>
      <c r="FH25" s="2">
        <v>95.8</v>
      </c>
      <c r="FI25" s="2">
        <v>96.066670000000002</v>
      </c>
      <c r="FJ25" s="2">
        <v>97.266670000000005</v>
      </c>
      <c r="FK25" s="2">
        <v>97.666659999999993</v>
      </c>
      <c r="FL25" s="2">
        <v>98.366669999999999</v>
      </c>
      <c r="FM25" s="2">
        <v>98.7</v>
      </c>
      <c r="FN25" s="2">
        <v>99.3</v>
      </c>
      <c r="FO25" s="2">
        <v>99.4</v>
      </c>
      <c r="FP25" s="2">
        <v>100.1</v>
      </c>
      <c r="FQ25" s="2">
        <v>100.13330000000001</v>
      </c>
      <c r="FR25" s="2">
        <v>100.2</v>
      </c>
      <c r="FS25" s="2">
        <v>99.5</v>
      </c>
      <c r="FT25" s="2">
        <v>100.0667</v>
      </c>
      <c r="FU25" s="2">
        <v>100.16670000000001</v>
      </c>
      <c r="FV25" s="2">
        <v>100.3</v>
      </c>
      <c r="FW25" s="2">
        <v>99.833340000000007</v>
      </c>
      <c r="FX25" s="2">
        <v>100.4</v>
      </c>
      <c r="FY25" s="2">
        <v>100.86669999999999</v>
      </c>
      <c r="FZ25" s="2">
        <v>101.5</v>
      </c>
      <c r="GA25" s="2">
        <v>102</v>
      </c>
      <c r="GB25" s="2">
        <v>103.16670000000001</v>
      </c>
      <c r="GC25" s="2">
        <v>103.7</v>
      </c>
      <c r="GD25" s="2">
        <v>104.5667</v>
      </c>
      <c r="GE25" s="2">
        <v>104.7667</v>
      </c>
      <c r="GF25" s="2">
        <v>105.66670000000001</v>
      </c>
      <c r="GG25" s="2">
        <v>106.3</v>
      </c>
      <c r="GH25" s="2">
        <v>106.9333</v>
      </c>
      <c r="GI25" s="2">
        <v>106.7</v>
      </c>
      <c r="GJ25" s="2">
        <v>107.8</v>
      </c>
      <c r="GK25" s="2">
        <v>108.2667</v>
      </c>
      <c r="GL25" s="2">
        <v>108.4333</v>
      </c>
      <c r="GM25" s="2">
        <v>108.4667</v>
      </c>
      <c r="GN25" s="2">
        <v>108.5333</v>
      </c>
      <c r="GO25" s="2">
        <v>108.9333</v>
      </c>
      <c r="GP25" s="2">
        <v>109.0667</v>
      </c>
      <c r="GQ25" s="2">
        <v>109.16670000000001</v>
      </c>
      <c r="GR25" s="2">
        <v>110.7333</v>
      </c>
      <c r="GS25" s="2">
        <v>111.9333</v>
      </c>
      <c r="GT25" s="2">
        <v>114.4</v>
      </c>
      <c r="GU25" s="2">
        <v>115.9333</v>
      </c>
      <c r="GV25" s="2">
        <v>120.86669999999999</v>
      </c>
      <c r="GW25" s="2">
        <v>123.13330000000001</v>
      </c>
      <c r="GX25" s="2">
        <v>126.7</v>
      </c>
      <c r="GY25" s="2">
        <v>127.7333</v>
      </c>
      <c r="GZ25" s="2">
        <v>131.0667</v>
      </c>
      <c r="HA25" s="2">
        <v>131.4</v>
      </c>
      <c r="HB25" s="2">
        <v>131.9667</v>
      </c>
      <c r="HC25" s="3">
        <v>132.1575</v>
      </c>
      <c r="HD25" s="3">
        <v>133.37219999999999</v>
      </c>
      <c r="HE25" s="3">
        <v>133.6078</v>
      </c>
      <c r="HF25" s="3">
        <v>134.33359999999999</v>
      </c>
      <c r="HG25" s="3">
        <v>134.58430000000001</v>
      </c>
      <c r="HH25" s="3">
        <v>135.9717</v>
      </c>
      <c r="HI25" s="3">
        <v>136.77019999999999</v>
      </c>
      <c r="HJ25" s="3">
        <v>137.55760000000001</v>
      </c>
      <c r="HK25" s="3">
        <v>137.81780000000001</v>
      </c>
      <c r="HL25" s="3">
        <v>139.15379999999999</v>
      </c>
      <c r="HM25" s="3">
        <v>139.9375</v>
      </c>
      <c r="HN25" s="3">
        <v>140.65029999999999</v>
      </c>
      <c r="HO25" s="3">
        <v>140.8519</v>
      </c>
      <c r="HP25" s="3">
        <v>142.1996</v>
      </c>
      <c r="HQ25" s="3">
        <v>142.99289999999999</v>
      </c>
      <c r="HR25" s="3">
        <v>143.66650000000001</v>
      </c>
      <c r="HS25" s="3">
        <v>143.83260000000001</v>
      </c>
      <c r="HT25" s="3">
        <v>145.15049999999999</v>
      </c>
      <c r="HU25" s="3">
        <v>145.9186</v>
      </c>
      <c r="HV25" s="3">
        <v>146.53550000000001</v>
      </c>
      <c r="HW25" s="3">
        <v>146.65700000000001</v>
      </c>
      <c r="HX25" s="3">
        <v>147.97239999999999</v>
      </c>
      <c r="HY25" s="3">
        <v>148.74760000000001</v>
      </c>
      <c r="HZ25" s="3">
        <v>149.34049999999999</v>
      </c>
      <c r="IA25" s="3">
        <v>149.44810000000001</v>
      </c>
      <c r="IB25" s="3">
        <v>150.83690000000001</v>
      </c>
      <c r="IC25" s="3">
        <v>151.69159999999999</v>
      </c>
      <c r="ID25" s="3">
        <v>152.32830000000001</v>
      </c>
      <c r="IE25" s="3">
        <v>152.43700000000001</v>
      </c>
      <c r="IF25" s="3">
        <v>153.8537</v>
      </c>
      <c r="IG25" s="3">
        <v>154.72540000000001</v>
      </c>
      <c r="IH25" s="3">
        <v>155.37479999999999</v>
      </c>
      <c r="II25" s="3">
        <v>155.48580000000001</v>
      </c>
      <c r="IJ25" s="3">
        <v>156.9307</v>
      </c>
      <c r="IK25" s="3">
        <v>157.81989999999999</v>
      </c>
      <c r="IL25" s="3">
        <v>158.48230000000001</v>
      </c>
      <c r="IM25" s="3">
        <v>158.59549999999999</v>
      </c>
      <c r="IN25" s="3">
        <v>160.0694</v>
      </c>
      <c r="IO25" s="3">
        <v>160.97630000000001</v>
      </c>
      <c r="IP25" s="3">
        <v>161.65199999999999</v>
      </c>
      <c r="IQ25" s="3">
        <v>161.76740000000001</v>
      </c>
      <c r="IR25" s="3">
        <v>163.27080000000001</v>
      </c>
      <c r="IS25" s="3">
        <v>164.19579999999999</v>
      </c>
      <c r="IT25" s="3">
        <v>164.88499999999999</v>
      </c>
      <c r="IU25" s="3">
        <v>165.00280000000001</v>
      </c>
      <c r="IV25" s="3">
        <v>166.53620000000001</v>
      </c>
      <c r="IW25" s="3">
        <v>167.47980000000001</v>
      </c>
      <c r="IX25" s="3">
        <v>168.18270000000001</v>
      </c>
      <c r="IY25" s="3">
        <v>168.30279999999999</v>
      </c>
      <c r="IZ25" s="3">
        <v>169.86689999999999</v>
      </c>
      <c r="JA25" s="3">
        <v>170.82939999999999</v>
      </c>
      <c r="JB25" s="3">
        <v>171.54640000000001</v>
      </c>
      <c r="JC25" s="3">
        <v>171.66890000000001</v>
      </c>
      <c r="JD25" s="3">
        <v>173.26419999999999</v>
      </c>
      <c r="JE25" s="3">
        <v>174.24590000000001</v>
      </c>
      <c r="JF25" s="3">
        <v>174.97730000000001</v>
      </c>
      <c r="JG25" s="3">
        <v>175.10220000000001</v>
      </c>
      <c r="JH25" s="3">
        <v>176.7295</v>
      </c>
      <c r="JI25" s="3">
        <v>177.73089999999999</v>
      </c>
      <c r="JJ25" s="3">
        <v>178.4769</v>
      </c>
      <c r="JK25" s="3">
        <v>178.60429999999999</v>
      </c>
      <c r="JL25" s="3">
        <v>180.26410000000001</v>
      </c>
      <c r="JM25" s="3">
        <v>181.28550000000001</v>
      </c>
      <c r="JN25" s="3">
        <v>182.04640000000001</v>
      </c>
      <c r="JO25" s="3">
        <v>182.1764</v>
      </c>
      <c r="JP25" s="3">
        <v>183.86940000000001</v>
      </c>
      <c r="JQ25" s="3">
        <v>184.91120000000001</v>
      </c>
      <c r="JR25" s="3">
        <v>185.68729999999999</v>
      </c>
      <c r="JS25" s="3">
        <v>185.81989999999999</v>
      </c>
      <c r="JT25" s="3">
        <v>187.54679999999999</v>
      </c>
      <c r="JU25" s="3">
        <v>188.60939999999999</v>
      </c>
      <c r="JV25" s="3">
        <v>189.40110000000001</v>
      </c>
      <c r="JW25" s="3">
        <v>189.53630000000001</v>
      </c>
      <c r="JX25" s="3">
        <v>191.29769999999999</v>
      </c>
      <c r="JY25" s="3">
        <v>192.38159999999999</v>
      </c>
      <c r="JZ25" s="3">
        <v>193.1891</v>
      </c>
      <c r="KA25" s="3">
        <v>193.327</v>
      </c>
      <c r="KB25" s="3">
        <v>195.12370000000001</v>
      </c>
      <c r="KC25" s="3">
        <v>196.22919999999999</v>
      </c>
      <c r="KD25" s="3">
        <v>197.05289999999999</v>
      </c>
      <c r="KE25" s="3">
        <v>197.1936</v>
      </c>
      <c r="KF25" s="3">
        <v>199.02610000000001</v>
      </c>
      <c r="KG25" s="3">
        <v>200.15379999999999</v>
      </c>
      <c r="KH25" s="3">
        <v>200.9939</v>
      </c>
      <c r="KI25" s="3">
        <v>201.13749999999999</v>
      </c>
      <c r="KJ25" s="3">
        <v>203.0067</v>
      </c>
      <c r="KK25" s="3">
        <v>204.15690000000001</v>
      </c>
      <c r="KL25" s="3">
        <v>205.0138</v>
      </c>
      <c r="KM25" s="3">
        <v>205.1602</v>
      </c>
      <c r="KN25" s="3">
        <v>207.0668</v>
      </c>
      <c r="KO25" s="3">
        <v>208.24</v>
      </c>
      <c r="KP25" s="3">
        <v>209.11410000000001</v>
      </c>
      <c r="KQ25" s="3">
        <v>209.26339999999999</v>
      </c>
      <c r="KR25" s="3">
        <v>211.2081</v>
      </c>
      <c r="KS25" s="3">
        <v>212.40479999999999</v>
      </c>
      <c r="KT25" s="3">
        <v>213.29640000000001</v>
      </c>
      <c r="KU25" s="3">
        <v>213.4487</v>
      </c>
      <c r="KV25" s="3">
        <v>215.4323</v>
      </c>
      <c r="KW25" s="3">
        <v>216.65289999999999</v>
      </c>
      <c r="KX25" s="3">
        <v>217.56229999999999</v>
      </c>
      <c r="KY25" s="3">
        <v>217.71770000000001</v>
      </c>
      <c r="KZ25" s="3">
        <v>219.74090000000001</v>
      </c>
      <c r="LA25" s="3">
        <v>220.98599999999999</v>
      </c>
      <c r="LB25" s="3">
        <v>221.9135</v>
      </c>
      <c r="LC25" s="3">
        <v>222.072</v>
      </c>
      <c r="LD25" s="3">
        <v>224.13570000000001</v>
      </c>
      <c r="LE25" s="3">
        <v>225.4057</v>
      </c>
      <c r="LF25" s="3">
        <v>226.3518</v>
      </c>
      <c r="LG25" t="s">
        <v>335</v>
      </c>
      <c r="LH25" t="b">
        <v>0</v>
      </c>
      <c r="LI25" t="s">
        <v>337</v>
      </c>
      <c r="LJ25">
        <v>2015</v>
      </c>
      <c r="LK25">
        <v>2023</v>
      </c>
      <c r="LL25">
        <v>4</v>
      </c>
      <c r="LM25" t="s">
        <v>337</v>
      </c>
      <c r="LN25" s="1" t="s">
        <v>344</v>
      </c>
      <c r="LO25" s="1" t="s">
        <v>345</v>
      </c>
      <c r="LP25" t="s">
        <v>340</v>
      </c>
      <c r="LQ25" t="s">
        <v>346</v>
      </c>
      <c r="LR25" s="1" t="s">
        <v>358</v>
      </c>
    </row>
    <row r="26" spans="1:330" x14ac:dyDescent="0.25">
      <c r="A26" t="s">
        <v>330</v>
      </c>
      <c r="B26" t="s">
        <v>331</v>
      </c>
      <c r="C26" s="1" t="s">
        <v>359</v>
      </c>
      <c r="D26" t="s">
        <v>332</v>
      </c>
      <c r="E26" t="s">
        <v>333</v>
      </c>
      <c r="F26" t="s">
        <v>334</v>
      </c>
      <c r="G26" s="2">
        <v>223780</v>
      </c>
      <c r="H26" s="2">
        <v>224213</v>
      </c>
      <c r="I26" s="2">
        <v>222122</v>
      </c>
      <c r="J26" s="2">
        <v>221266</v>
      </c>
      <c r="K26" s="2">
        <v>215122</v>
      </c>
      <c r="L26" s="2">
        <v>218215</v>
      </c>
      <c r="M26" s="2">
        <v>219517</v>
      </c>
      <c r="N26" s="2">
        <v>216301</v>
      </c>
      <c r="O26" s="2">
        <v>216390</v>
      </c>
      <c r="P26" s="2">
        <v>212882</v>
      </c>
      <c r="Q26" s="2">
        <v>212192</v>
      </c>
      <c r="R26" s="2">
        <v>214585</v>
      </c>
      <c r="S26" s="2">
        <v>218180</v>
      </c>
      <c r="T26" s="2">
        <v>217883</v>
      </c>
      <c r="U26" s="2">
        <v>220587</v>
      </c>
      <c r="V26" s="2">
        <v>225228</v>
      </c>
      <c r="W26" s="2">
        <v>225362</v>
      </c>
      <c r="X26" s="2">
        <v>223815</v>
      </c>
      <c r="Y26" s="2">
        <v>225295</v>
      </c>
      <c r="Z26" s="2">
        <v>229115</v>
      </c>
      <c r="AA26" s="2">
        <v>231258</v>
      </c>
      <c r="AB26" s="2">
        <v>233910</v>
      </c>
      <c r="AC26" s="2">
        <v>237107</v>
      </c>
      <c r="AD26" s="2">
        <v>239186</v>
      </c>
      <c r="AE26" s="2">
        <v>238472</v>
      </c>
      <c r="AF26" s="2">
        <v>248867</v>
      </c>
      <c r="AG26" s="2">
        <v>243369</v>
      </c>
      <c r="AH26" s="2">
        <v>245858</v>
      </c>
      <c r="AI26" s="2">
        <v>243513</v>
      </c>
      <c r="AJ26" s="2">
        <v>238722</v>
      </c>
      <c r="AK26" s="2">
        <v>238432</v>
      </c>
      <c r="AL26" s="2">
        <v>235866</v>
      </c>
      <c r="AM26" s="2">
        <v>235712</v>
      </c>
      <c r="AN26" s="2">
        <v>236272</v>
      </c>
      <c r="AO26" s="2">
        <v>238846</v>
      </c>
      <c r="AP26" s="2">
        <v>239131</v>
      </c>
      <c r="AQ26" s="2">
        <v>239578</v>
      </c>
      <c r="AR26" s="2">
        <v>242095</v>
      </c>
      <c r="AS26" s="2">
        <v>242639</v>
      </c>
      <c r="AT26" s="2">
        <v>244317</v>
      </c>
      <c r="AU26" s="2">
        <v>249032</v>
      </c>
      <c r="AV26" s="2">
        <v>250761</v>
      </c>
      <c r="AW26" s="2">
        <v>253655</v>
      </c>
      <c r="AX26" s="2">
        <v>255533</v>
      </c>
      <c r="AY26" s="2">
        <v>257683</v>
      </c>
      <c r="AZ26" s="2">
        <v>255100</v>
      </c>
      <c r="BA26" s="2">
        <v>256975</v>
      </c>
      <c r="BB26" s="2">
        <v>261627</v>
      </c>
      <c r="BC26" s="2">
        <v>264127</v>
      </c>
      <c r="BD26" s="2">
        <v>269787</v>
      </c>
      <c r="BE26" s="2">
        <v>269737</v>
      </c>
      <c r="BF26" s="2">
        <v>269896</v>
      </c>
      <c r="BG26" s="2">
        <v>272720</v>
      </c>
      <c r="BH26" s="2">
        <v>275136</v>
      </c>
      <c r="BI26" s="2">
        <v>276863</v>
      </c>
      <c r="BJ26" s="2">
        <v>282193</v>
      </c>
      <c r="BK26" s="2">
        <v>284172</v>
      </c>
      <c r="BL26" s="2">
        <v>288385</v>
      </c>
      <c r="BM26" s="2">
        <v>295493</v>
      </c>
      <c r="BN26" s="2">
        <v>298855</v>
      </c>
      <c r="BO26" s="2">
        <v>303698</v>
      </c>
      <c r="BP26" s="2">
        <v>305281</v>
      </c>
      <c r="BQ26" s="2">
        <v>309097</v>
      </c>
      <c r="BR26" s="2">
        <v>311574</v>
      </c>
      <c r="BS26" s="2">
        <v>313083</v>
      </c>
      <c r="BT26" s="2">
        <v>315039</v>
      </c>
      <c r="BU26" s="2">
        <v>315554</v>
      </c>
      <c r="BV26" s="2">
        <v>315515</v>
      </c>
      <c r="BW26" s="2">
        <v>317117</v>
      </c>
      <c r="BX26" s="2">
        <v>319239</v>
      </c>
      <c r="BY26" s="2">
        <v>315744</v>
      </c>
      <c r="BZ26" s="2">
        <v>314148</v>
      </c>
      <c r="CA26" s="2">
        <v>312596</v>
      </c>
      <c r="CB26" s="2">
        <v>312235</v>
      </c>
      <c r="CC26" s="2">
        <v>311624</v>
      </c>
      <c r="CD26" s="2">
        <v>312006</v>
      </c>
      <c r="CE26" s="2">
        <v>311904</v>
      </c>
      <c r="CF26" s="2">
        <v>311418</v>
      </c>
      <c r="CG26" s="2">
        <v>312896</v>
      </c>
      <c r="CH26" s="2">
        <v>315307</v>
      </c>
      <c r="CI26" s="2">
        <v>316882</v>
      </c>
      <c r="CJ26" s="2">
        <v>318302</v>
      </c>
      <c r="CK26" s="2">
        <v>321218</v>
      </c>
      <c r="CL26" s="2">
        <v>323400</v>
      </c>
      <c r="CM26" s="2">
        <v>326585</v>
      </c>
      <c r="CN26" s="2">
        <v>329584</v>
      </c>
      <c r="CO26" s="2">
        <v>332911</v>
      </c>
      <c r="CP26" s="2">
        <v>334363</v>
      </c>
      <c r="CQ26" s="2">
        <v>336090</v>
      </c>
      <c r="CR26" s="2">
        <v>336789</v>
      </c>
      <c r="CS26" s="2">
        <v>340542</v>
      </c>
      <c r="CT26" s="2">
        <v>341602</v>
      </c>
      <c r="CU26" s="2">
        <v>343859</v>
      </c>
      <c r="CV26" s="2">
        <v>344979</v>
      </c>
      <c r="CW26" s="2">
        <v>348214</v>
      </c>
      <c r="CX26" s="2">
        <v>352958</v>
      </c>
      <c r="CY26" s="2">
        <v>358611</v>
      </c>
      <c r="CZ26" s="2">
        <v>362573</v>
      </c>
      <c r="DA26" s="2">
        <v>365942</v>
      </c>
      <c r="DB26" s="2">
        <v>371341</v>
      </c>
      <c r="DC26" s="2">
        <v>374037</v>
      </c>
      <c r="DD26" s="2">
        <v>376421</v>
      </c>
      <c r="DE26" s="2">
        <v>377650</v>
      </c>
      <c r="DF26" s="2">
        <v>380155</v>
      </c>
      <c r="DG26" s="2">
        <v>382789</v>
      </c>
      <c r="DH26" s="2">
        <v>384605</v>
      </c>
      <c r="DI26" s="2">
        <v>390758</v>
      </c>
      <c r="DJ26" s="2">
        <v>396357</v>
      </c>
      <c r="DK26" s="2">
        <v>401242</v>
      </c>
      <c r="DL26" s="2">
        <v>404196</v>
      </c>
      <c r="DM26" s="2">
        <v>406795</v>
      </c>
      <c r="DN26" s="2">
        <v>409411</v>
      </c>
      <c r="DO26" s="2">
        <v>413054</v>
      </c>
      <c r="DP26" s="2">
        <v>414878</v>
      </c>
      <c r="DQ26" s="2">
        <v>417085</v>
      </c>
      <c r="DR26" s="2">
        <v>418445</v>
      </c>
      <c r="DS26" s="2">
        <v>419534</v>
      </c>
      <c r="DT26" s="2">
        <v>421587</v>
      </c>
      <c r="DU26" s="2">
        <v>424425</v>
      </c>
      <c r="DV26" s="2">
        <v>427725</v>
      </c>
      <c r="DW26" s="2">
        <v>430832</v>
      </c>
      <c r="DX26" s="2">
        <v>434837</v>
      </c>
      <c r="DY26" s="2">
        <v>438710</v>
      </c>
      <c r="DZ26" s="2">
        <v>442172</v>
      </c>
      <c r="EA26" s="2">
        <v>443853</v>
      </c>
      <c r="EB26" s="2">
        <v>446443</v>
      </c>
      <c r="EC26" s="2">
        <v>448171</v>
      </c>
      <c r="ED26" s="2">
        <v>450464</v>
      </c>
      <c r="EE26" s="2">
        <v>453784</v>
      </c>
      <c r="EF26" s="2">
        <v>457557</v>
      </c>
      <c r="EG26" s="2">
        <v>461135</v>
      </c>
      <c r="EH26" s="2">
        <v>465451</v>
      </c>
      <c r="EI26" s="2">
        <v>467840</v>
      </c>
      <c r="EJ26" s="2">
        <v>469655</v>
      </c>
      <c r="EK26" s="2">
        <v>470918</v>
      </c>
      <c r="EL26" s="2">
        <v>473372</v>
      </c>
      <c r="EM26" s="2">
        <v>477823</v>
      </c>
      <c r="EN26" s="2">
        <v>481314</v>
      </c>
      <c r="EO26" s="2">
        <v>484544</v>
      </c>
      <c r="EP26" s="2">
        <v>487413</v>
      </c>
      <c r="EQ26" s="2">
        <v>489783</v>
      </c>
      <c r="ER26" s="2">
        <v>487386</v>
      </c>
      <c r="ES26" s="2">
        <v>479872</v>
      </c>
      <c r="ET26" s="2">
        <v>469694</v>
      </c>
      <c r="EU26" s="2">
        <v>460105</v>
      </c>
      <c r="EV26" s="2">
        <v>458599</v>
      </c>
      <c r="EW26" s="2">
        <v>458875</v>
      </c>
      <c r="EX26" s="2">
        <v>460238</v>
      </c>
      <c r="EY26" s="2">
        <v>464543</v>
      </c>
      <c r="EZ26" s="2">
        <v>469606</v>
      </c>
      <c r="FA26" s="2">
        <v>472199</v>
      </c>
      <c r="FB26" s="2">
        <v>472612</v>
      </c>
      <c r="FC26" s="2">
        <v>473819</v>
      </c>
      <c r="FD26" s="2">
        <v>474365</v>
      </c>
      <c r="FE26" s="2">
        <v>475813</v>
      </c>
      <c r="FF26" s="2">
        <v>476479</v>
      </c>
      <c r="FG26" s="2">
        <v>480632</v>
      </c>
      <c r="FH26" s="2">
        <v>479979</v>
      </c>
      <c r="FI26" s="2">
        <v>484579</v>
      </c>
      <c r="FJ26" s="2">
        <v>484039</v>
      </c>
      <c r="FK26" s="2">
        <v>485409</v>
      </c>
      <c r="FL26" s="2">
        <v>488930</v>
      </c>
      <c r="FM26" s="2">
        <v>493002</v>
      </c>
      <c r="FN26" s="2">
        <v>496466</v>
      </c>
      <c r="FO26" s="2">
        <v>500552</v>
      </c>
      <c r="FP26" s="2">
        <v>504939</v>
      </c>
      <c r="FQ26" s="2">
        <v>508741</v>
      </c>
      <c r="FR26" s="2">
        <v>512334</v>
      </c>
      <c r="FS26" s="2">
        <v>513850</v>
      </c>
      <c r="FT26" s="2">
        <v>516876</v>
      </c>
      <c r="FU26" s="2">
        <v>518915</v>
      </c>
      <c r="FV26" s="2">
        <v>521920</v>
      </c>
      <c r="FW26" s="2">
        <v>523813</v>
      </c>
      <c r="FX26" s="2">
        <v>526750</v>
      </c>
      <c r="FY26" s="2">
        <v>528712</v>
      </c>
      <c r="FZ26" s="2">
        <v>532082</v>
      </c>
      <c r="GA26" s="2">
        <v>536566</v>
      </c>
      <c r="GB26" s="2">
        <v>540020</v>
      </c>
      <c r="GC26" s="2">
        <v>543452</v>
      </c>
      <c r="GD26" s="2">
        <v>547377</v>
      </c>
      <c r="GE26" s="2">
        <v>547688</v>
      </c>
      <c r="GF26" s="2">
        <v>548600</v>
      </c>
      <c r="GG26" s="2">
        <v>550425</v>
      </c>
      <c r="GH26" s="2">
        <v>551128</v>
      </c>
      <c r="GI26" s="2">
        <v>555141</v>
      </c>
      <c r="GJ26" s="2">
        <v>556932</v>
      </c>
      <c r="GK26" s="2">
        <v>560987</v>
      </c>
      <c r="GL26" s="2">
        <v>560861</v>
      </c>
      <c r="GM26" s="2">
        <v>545597</v>
      </c>
      <c r="GN26" s="2">
        <v>434718</v>
      </c>
      <c r="GO26" s="2">
        <v>507643</v>
      </c>
      <c r="GP26" s="2">
        <v>514531</v>
      </c>
      <c r="GQ26" s="2">
        <v>509261</v>
      </c>
      <c r="GR26" s="2">
        <v>546579</v>
      </c>
      <c r="GS26" s="2">
        <v>555956</v>
      </c>
      <c r="GT26" s="2">
        <v>564407</v>
      </c>
      <c r="GU26" s="2">
        <v>567396</v>
      </c>
      <c r="GV26" s="2">
        <v>567889</v>
      </c>
      <c r="GW26" s="2">
        <v>567445</v>
      </c>
      <c r="GX26" s="2">
        <v>568034</v>
      </c>
      <c r="GY26" s="2">
        <v>569336</v>
      </c>
      <c r="GZ26" s="2">
        <v>569364</v>
      </c>
      <c r="HA26" s="2">
        <v>568655</v>
      </c>
      <c r="HB26" s="2">
        <v>566695</v>
      </c>
      <c r="HC26" s="3">
        <v>568371.30000000005</v>
      </c>
      <c r="HD26" s="3">
        <v>570105.9</v>
      </c>
      <c r="HE26" s="3">
        <v>572319.9</v>
      </c>
      <c r="HF26" s="3">
        <v>575178.6</v>
      </c>
      <c r="HG26" s="3">
        <v>578209.30000000005</v>
      </c>
      <c r="HH26" s="3">
        <v>581476.80000000005</v>
      </c>
      <c r="HI26" s="3">
        <v>584587.80000000005</v>
      </c>
      <c r="HJ26" s="3">
        <v>587773.5</v>
      </c>
      <c r="HK26" s="3">
        <v>590653.69999999995</v>
      </c>
      <c r="HL26" s="3">
        <v>593253.4</v>
      </c>
      <c r="HM26" s="3">
        <v>595685.69999999995</v>
      </c>
      <c r="HN26" s="3">
        <v>598068.4</v>
      </c>
      <c r="HO26" s="3">
        <v>600520.4</v>
      </c>
      <c r="HP26" s="3">
        <v>602922.4</v>
      </c>
      <c r="HQ26" s="3">
        <v>605334.30000000005</v>
      </c>
      <c r="HR26" s="3">
        <v>607816.1</v>
      </c>
      <c r="HS26" s="3">
        <v>610247.4</v>
      </c>
      <c r="HT26" s="3">
        <v>612688.4</v>
      </c>
      <c r="HU26" s="3">
        <v>615077.9</v>
      </c>
      <c r="HV26" s="3">
        <v>617476.69999999995</v>
      </c>
      <c r="HW26" s="3">
        <v>619823.1</v>
      </c>
      <c r="HX26" s="3">
        <v>622178.4</v>
      </c>
      <c r="HY26" s="3">
        <v>624542.69999999995</v>
      </c>
      <c r="HZ26" s="3">
        <v>626947.19999999995</v>
      </c>
      <c r="IA26" s="3">
        <v>629329.6</v>
      </c>
      <c r="IB26" s="3">
        <v>631752.5</v>
      </c>
      <c r="IC26" s="3">
        <v>634153.19999999995</v>
      </c>
      <c r="ID26" s="3">
        <v>636562.9</v>
      </c>
      <c r="IE26" s="3">
        <v>638981.9</v>
      </c>
      <c r="IF26" s="3">
        <v>641410</v>
      </c>
      <c r="IG26" s="3">
        <v>643847.4</v>
      </c>
      <c r="IH26" s="3">
        <v>646294</v>
      </c>
      <c r="II26" s="3">
        <v>648717.6</v>
      </c>
      <c r="IJ26" s="3">
        <v>651182.80000000005</v>
      </c>
      <c r="IK26" s="3">
        <v>653592.1</v>
      </c>
      <c r="IL26" s="3">
        <v>655945</v>
      </c>
      <c r="IM26" s="3">
        <v>658355.30000000005</v>
      </c>
      <c r="IN26" s="3">
        <v>660695.6</v>
      </c>
      <c r="IO26" s="3">
        <v>663032.69999999995</v>
      </c>
      <c r="IP26" s="3">
        <v>665349.30000000005</v>
      </c>
      <c r="IQ26" s="3">
        <v>667752.9</v>
      </c>
      <c r="IR26" s="3">
        <v>670172.30000000005</v>
      </c>
      <c r="IS26" s="3">
        <v>672496.7</v>
      </c>
      <c r="IT26" s="3">
        <v>674830</v>
      </c>
      <c r="IU26" s="3">
        <v>677262.6</v>
      </c>
      <c r="IV26" s="3">
        <v>679705.2</v>
      </c>
      <c r="IW26" s="3">
        <v>682157.4</v>
      </c>
      <c r="IX26" s="3">
        <v>684619.3</v>
      </c>
      <c r="IY26" s="3">
        <v>687152.3</v>
      </c>
      <c r="IZ26" s="3">
        <v>689697.9</v>
      </c>
      <c r="JA26" s="3">
        <v>692256.4</v>
      </c>
      <c r="JB26" s="3">
        <v>694827.4</v>
      </c>
      <c r="JC26" s="3">
        <v>697411.1</v>
      </c>
      <c r="JD26" s="3">
        <v>700007.5</v>
      </c>
      <c r="JE26" s="3">
        <v>702616.6</v>
      </c>
      <c r="JF26" s="3">
        <v>705238.5</v>
      </c>
      <c r="JG26" s="3">
        <v>707934.1</v>
      </c>
      <c r="JH26" s="3">
        <v>710643.3</v>
      </c>
      <c r="JI26" s="3">
        <v>713366.6</v>
      </c>
      <c r="JJ26" s="3">
        <v>716104.5</v>
      </c>
      <c r="JK26" s="3">
        <v>718856.4</v>
      </c>
      <c r="JL26" s="3">
        <v>721622.4</v>
      </c>
      <c r="JM26" s="3">
        <v>724402.9</v>
      </c>
      <c r="JN26" s="3">
        <v>727197.8</v>
      </c>
      <c r="JO26" s="3">
        <v>730007.3</v>
      </c>
      <c r="JP26" s="3">
        <v>732824.9</v>
      </c>
      <c r="JQ26" s="3">
        <v>735651.4</v>
      </c>
      <c r="JR26" s="3">
        <v>738486.7</v>
      </c>
      <c r="JS26" s="3">
        <v>741279.7</v>
      </c>
      <c r="JT26" s="3">
        <v>744080.6</v>
      </c>
      <c r="JU26" s="3">
        <v>746889.4</v>
      </c>
      <c r="JV26" s="3">
        <v>749705.9</v>
      </c>
      <c r="JW26" s="3">
        <v>752530.6</v>
      </c>
      <c r="JX26" s="3">
        <v>755362.9</v>
      </c>
      <c r="JY26" s="3">
        <v>758203.2</v>
      </c>
      <c r="JZ26" s="3">
        <v>761051.4</v>
      </c>
      <c r="KA26" s="3">
        <v>763907.2</v>
      </c>
      <c r="KB26" s="3">
        <v>766770.7</v>
      </c>
      <c r="KC26" s="3">
        <v>769641.3</v>
      </c>
      <c r="KD26" s="3">
        <v>772519.1</v>
      </c>
      <c r="KE26" s="3">
        <v>775404.1</v>
      </c>
      <c r="KF26" s="3">
        <v>778296.3</v>
      </c>
      <c r="KG26" s="3">
        <v>781195.6</v>
      </c>
      <c r="KH26" s="3">
        <v>784102.1</v>
      </c>
      <c r="KI26" s="3">
        <v>787015.8</v>
      </c>
      <c r="KJ26" s="3">
        <v>789936.6</v>
      </c>
      <c r="KK26" s="3">
        <v>792864.8</v>
      </c>
      <c r="KL26" s="3">
        <v>795799.9</v>
      </c>
      <c r="KM26" s="3">
        <v>798742.5</v>
      </c>
      <c r="KN26" s="3">
        <v>801692.3</v>
      </c>
      <c r="KO26" s="3">
        <v>804649.4</v>
      </c>
      <c r="KP26" s="3">
        <v>807613.9</v>
      </c>
      <c r="KQ26" s="3">
        <v>810585.8</v>
      </c>
      <c r="KR26" s="3">
        <v>813564.9</v>
      </c>
      <c r="KS26" s="3">
        <v>816551.7</v>
      </c>
      <c r="KT26" s="3">
        <v>819545.9</v>
      </c>
      <c r="KU26" s="3">
        <v>822547.6</v>
      </c>
      <c r="KV26" s="3">
        <v>825557</v>
      </c>
      <c r="KW26" s="3">
        <v>828573.6</v>
      </c>
      <c r="KX26" s="3">
        <v>831597.9</v>
      </c>
      <c r="KY26" s="3">
        <v>834629.7</v>
      </c>
      <c r="KZ26" s="3">
        <v>837668.9</v>
      </c>
      <c r="LA26" s="3">
        <v>840715.5</v>
      </c>
      <c r="LB26" s="3">
        <v>843769.6</v>
      </c>
      <c r="LC26" s="3">
        <v>846831</v>
      </c>
      <c r="LD26" s="3">
        <v>849899.9</v>
      </c>
      <c r="LE26" s="3">
        <v>852976.1</v>
      </c>
      <c r="LF26" s="3">
        <v>856059.6</v>
      </c>
      <c r="LG26" t="s">
        <v>335</v>
      </c>
      <c r="LH26" t="b">
        <v>1</v>
      </c>
      <c r="LI26" s="1" t="s">
        <v>336</v>
      </c>
      <c r="LJ26" t="s">
        <v>337</v>
      </c>
      <c r="LK26">
        <v>2023</v>
      </c>
      <c r="LL26">
        <v>4</v>
      </c>
      <c r="LM26" t="s">
        <v>337</v>
      </c>
      <c r="LN26" t="s">
        <v>338</v>
      </c>
      <c r="LO26" s="1" t="s">
        <v>339</v>
      </c>
      <c r="LP26" t="s">
        <v>340</v>
      </c>
      <c r="LQ26" t="s">
        <v>341</v>
      </c>
      <c r="LR26" s="1" t="s">
        <v>360</v>
      </c>
    </row>
    <row r="27" spans="1:330" x14ac:dyDescent="0.25">
      <c r="A27" t="s">
        <v>330</v>
      </c>
      <c r="B27" t="s">
        <v>342</v>
      </c>
      <c r="C27" s="1" t="s">
        <v>359</v>
      </c>
      <c r="D27" t="s">
        <v>343</v>
      </c>
      <c r="E27" t="s">
        <v>337</v>
      </c>
      <c r="F27" t="s">
        <v>334</v>
      </c>
      <c r="G27" s="2">
        <v>11.88749</v>
      </c>
      <c r="H27" s="2">
        <v>12.304600000000001</v>
      </c>
      <c r="I27" s="2">
        <v>12.51315</v>
      </c>
      <c r="J27" s="2">
        <v>13.008459999999999</v>
      </c>
      <c r="K27" s="2">
        <v>13.47771</v>
      </c>
      <c r="L27" s="2">
        <v>14.23371</v>
      </c>
      <c r="M27" s="2">
        <v>14.572609999999999</v>
      </c>
      <c r="N27" s="2">
        <v>15.250400000000001</v>
      </c>
      <c r="O27" s="2">
        <v>16.058540000000001</v>
      </c>
      <c r="P27" s="2">
        <v>17.466270000000002</v>
      </c>
      <c r="Q27" s="2">
        <v>18.222280000000001</v>
      </c>
      <c r="R27" s="2">
        <v>18.847930000000002</v>
      </c>
      <c r="S27" s="2">
        <v>19.42145</v>
      </c>
      <c r="T27" s="2">
        <v>20.125319999999999</v>
      </c>
      <c r="U27" s="2">
        <v>20.594560000000001</v>
      </c>
      <c r="V27" s="2">
        <v>21.506979999999999</v>
      </c>
      <c r="W27" s="2">
        <v>22.471530000000001</v>
      </c>
      <c r="X27" s="2">
        <v>23.410019999999999</v>
      </c>
      <c r="Y27" s="2">
        <v>23.82713</v>
      </c>
      <c r="Z27" s="2">
        <v>24.139949999999999</v>
      </c>
      <c r="AA27" s="2">
        <v>24.452780000000001</v>
      </c>
      <c r="AB27" s="2">
        <v>25.078440000000001</v>
      </c>
      <c r="AC27" s="2">
        <v>25.469480000000001</v>
      </c>
      <c r="AD27" s="2">
        <v>25.860510000000001</v>
      </c>
      <c r="AE27" s="2">
        <v>26.43403</v>
      </c>
      <c r="AF27" s="2">
        <v>27.268239999999999</v>
      </c>
      <c r="AG27" s="2">
        <v>28.910589999999999</v>
      </c>
      <c r="AH27" s="2">
        <v>29.718730000000001</v>
      </c>
      <c r="AI27" s="2">
        <v>30.605080000000001</v>
      </c>
      <c r="AJ27" s="2">
        <v>32.247430000000001</v>
      </c>
      <c r="AK27" s="2">
        <v>32.951300000000003</v>
      </c>
      <c r="AL27" s="2">
        <v>33.550879999999999</v>
      </c>
      <c r="AM27" s="2">
        <v>34.385100000000001</v>
      </c>
      <c r="AN27" s="2">
        <v>36.079590000000003</v>
      </c>
      <c r="AO27" s="2">
        <v>36.731310000000001</v>
      </c>
      <c r="AP27" s="2">
        <v>37.435180000000003</v>
      </c>
      <c r="AQ27" s="2">
        <v>37.878349999999998</v>
      </c>
      <c r="AR27" s="2">
        <v>39.181800000000003</v>
      </c>
      <c r="AS27" s="2">
        <v>39.416420000000002</v>
      </c>
      <c r="AT27" s="2">
        <v>39.885669999999998</v>
      </c>
      <c r="AU27" s="2">
        <v>40.172429999999999</v>
      </c>
      <c r="AV27" s="2">
        <v>40.85022</v>
      </c>
      <c r="AW27" s="2">
        <v>41.293399999999998</v>
      </c>
      <c r="AX27" s="2">
        <v>41.762639999999998</v>
      </c>
      <c r="AY27" s="2">
        <v>41.86692</v>
      </c>
      <c r="AZ27" s="2">
        <v>42.779339999999998</v>
      </c>
      <c r="BA27" s="2">
        <v>42.98789</v>
      </c>
      <c r="BB27" s="2">
        <v>43.431060000000002</v>
      </c>
      <c r="BC27" s="2">
        <v>43.874229999999997</v>
      </c>
      <c r="BD27" s="2">
        <v>44.995199999999997</v>
      </c>
      <c r="BE27" s="2">
        <v>45.125549999999997</v>
      </c>
      <c r="BF27" s="2">
        <v>45.490519999999997</v>
      </c>
      <c r="BG27" s="2">
        <v>45.646929999999998</v>
      </c>
      <c r="BH27" s="2">
        <v>46.3508</v>
      </c>
      <c r="BI27" s="2">
        <v>46.533279999999998</v>
      </c>
      <c r="BJ27" s="2">
        <v>46.924320000000002</v>
      </c>
      <c r="BK27" s="2">
        <v>47.237139999999997</v>
      </c>
      <c r="BL27" s="2">
        <v>47.836730000000003</v>
      </c>
      <c r="BM27" s="2">
        <v>47.888869999999997</v>
      </c>
      <c r="BN27" s="2">
        <v>48.436320000000002</v>
      </c>
      <c r="BO27" s="2">
        <v>48.566670000000002</v>
      </c>
      <c r="BP27" s="2">
        <v>49.5</v>
      </c>
      <c r="BQ27" s="2">
        <v>49.9</v>
      </c>
      <c r="BR27" s="2">
        <v>50.466670000000001</v>
      </c>
      <c r="BS27" s="2">
        <v>51</v>
      </c>
      <c r="BT27" s="2">
        <v>52.133339999999997</v>
      </c>
      <c r="BU27" s="2">
        <v>52.466670000000001</v>
      </c>
      <c r="BV27" s="2">
        <v>53.266669999999998</v>
      </c>
      <c r="BW27" s="2">
        <v>53.933329999999998</v>
      </c>
      <c r="BX27" s="2">
        <v>55.6</v>
      </c>
      <c r="BY27" s="2">
        <v>56.4</v>
      </c>
      <c r="BZ27" s="2">
        <v>57.466670000000001</v>
      </c>
      <c r="CA27" s="2">
        <v>57.666670000000003</v>
      </c>
      <c r="CB27" s="2">
        <v>60.266669999999998</v>
      </c>
      <c r="CC27" s="2">
        <v>60.833329999999997</v>
      </c>
      <c r="CD27" s="2">
        <v>61.466670000000001</v>
      </c>
      <c r="CE27" s="2">
        <v>61.7</v>
      </c>
      <c r="CF27" s="2">
        <v>62.833329999999997</v>
      </c>
      <c r="CG27" s="2">
        <v>62.733330000000002</v>
      </c>
      <c r="CH27" s="2">
        <v>63.133339999999997</v>
      </c>
      <c r="CI27" s="2">
        <v>63.2</v>
      </c>
      <c r="CJ27" s="2">
        <v>64.433329999999998</v>
      </c>
      <c r="CK27" s="2">
        <v>64.5</v>
      </c>
      <c r="CL27" s="2">
        <v>64.666659999999993</v>
      </c>
      <c r="CM27" s="2">
        <v>64.766670000000005</v>
      </c>
      <c r="CN27" s="2">
        <v>65.7</v>
      </c>
      <c r="CO27" s="2">
        <v>65.633330000000001</v>
      </c>
      <c r="CP27" s="2">
        <v>65.8</v>
      </c>
      <c r="CQ27" s="2">
        <v>66.333340000000007</v>
      </c>
      <c r="CR27" s="2">
        <v>67.266670000000005</v>
      </c>
      <c r="CS27" s="2">
        <v>67.400000000000006</v>
      </c>
      <c r="CT27" s="2">
        <v>67.733329999999995</v>
      </c>
      <c r="CU27" s="2">
        <v>68.099999999999994</v>
      </c>
      <c r="CV27" s="2">
        <v>68.866669999999999</v>
      </c>
      <c r="CW27" s="2">
        <v>68.933329999999998</v>
      </c>
      <c r="CX27" s="2">
        <v>69.366669999999999</v>
      </c>
      <c r="CY27" s="2">
        <v>69.366669999999999</v>
      </c>
      <c r="CZ27" s="2">
        <v>70</v>
      </c>
      <c r="DA27" s="2">
        <v>70.266670000000005</v>
      </c>
      <c r="DB27" s="2">
        <v>70.633330000000001</v>
      </c>
      <c r="DC27" s="2">
        <v>70.5</v>
      </c>
      <c r="DD27" s="2">
        <v>71.266670000000005</v>
      </c>
      <c r="DE27" s="2">
        <v>71.233329999999995</v>
      </c>
      <c r="DF27" s="2">
        <v>71.633330000000001</v>
      </c>
      <c r="DG27" s="2">
        <v>71.599999999999994</v>
      </c>
      <c r="DH27" s="2">
        <v>72.3</v>
      </c>
      <c r="DI27" s="2">
        <v>72.133330000000001</v>
      </c>
      <c r="DJ27" s="2">
        <v>72.433329999999998</v>
      </c>
      <c r="DK27" s="2">
        <v>72.133330000000001</v>
      </c>
      <c r="DL27" s="2">
        <v>72.766670000000005</v>
      </c>
      <c r="DM27" s="2">
        <v>72.7</v>
      </c>
      <c r="DN27" s="2">
        <v>73.166659999999993</v>
      </c>
      <c r="DO27" s="2">
        <v>72.766670000000005</v>
      </c>
      <c r="DP27" s="2">
        <v>73.833340000000007</v>
      </c>
      <c r="DQ27" s="2">
        <v>73.866669999999999</v>
      </c>
      <c r="DR27" s="2">
        <v>73.900000000000006</v>
      </c>
      <c r="DS27" s="2">
        <v>73.866669999999999</v>
      </c>
      <c r="DT27" s="2">
        <v>74.533330000000007</v>
      </c>
      <c r="DU27" s="2">
        <v>74.599999999999994</v>
      </c>
      <c r="DV27" s="2">
        <v>75</v>
      </c>
      <c r="DW27" s="2">
        <v>75</v>
      </c>
      <c r="DX27" s="2">
        <v>75.466669999999993</v>
      </c>
      <c r="DY27" s="2">
        <v>75.599999999999994</v>
      </c>
      <c r="DZ27" s="2">
        <v>76.033330000000007</v>
      </c>
      <c r="EA27" s="2">
        <v>75.966669999999993</v>
      </c>
      <c r="EB27" s="2">
        <v>76.533330000000007</v>
      </c>
      <c r="EC27" s="2">
        <v>76.566670000000002</v>
      </c>
      <c r="ED27" s="2">
        <v>77.099999999999994</v>
      </c>
      <c r="EE27" s="2">
        <v>77.233329999999995</v>
      </c>
      <c r="EF27" s="2">
        <v>78</v>
      </c>
      <c r="EG27" s="2">
        <v>78.400000000000006</v>
      </c>
      <c r="EH27" s="2">
        <v>78.766670000000005</v>
      </c>
      <c r="EI27" s="2">
        <v>78.733329999999995</v>
      </c>
      <c r="EJ27" s="2">
        <v>79.8</v>
      </c>
      <c r="EK27" s="2">
        <v>80.3</v>
      </c>
      <c r="EL27" s="2">
        <v>80.900000000000006</v>
      </c>
      <c r="EM27" s="2">
        <v>81</v>
      </c>
      <c r="EN27" s="2">
        <v>81.8</v>
      </c>
      <c r="EO27" s="2">
        <v>81.733329999999995</v>
      </c>
      <c r="EP27" s="2">
        <v>82.6</v>
      </c>
      <c r="EQ27" s="2">
        <v>82.933329999999998</v>
      </c>
      <c r="ER27" s="2">
        <v>84.6</v>
      </c>
      <c r="ES27" s="2">
        <v>85.633330000000001</v>
      </c>
      <c r="ET27" s="2">
        <v>85.733329999999995</v>
      </c>
      <c r="EU27" s="2">
        <v>85.433329999999998</v>
      </c>
      <c r="EV27" s="2">
        <v>86.366669999999999</v>
      </c>
      <c r="EW27" s="2">
        <v>86.933329999999998</v>
      </c>
      <c r="EX27" s="2">
        <v>87.566670000000002</v>
      </c>
      <c r="EY27" s="2">
        <v>88.233329999999995</v>
      </c>
      <c r="EZ27" s="2">
        <v>89.366669999999999</v>
      </c>
      <c r="FA27" s="2">
        <v>89.633330000000001</v>
      </c>
      <c r="FB27" s="2">
        <v>90.5</v>
      </c>
      <c r="FC27" s="2">
        <v>91.833340000000007</v>
      </c>
      <c r="FD27" s="2">
        <v>93.3</v>
      </c>
      <c r="FE27" s="2">
        <v>93.833340000000007</v>
      </c>
      <c r="FF27" s="2">
        <v>94.733329999999995</v>
      </c>
      <c r="FG27" s="2">
        <v>95.033330000000007</v>
      </c>
      <c r="FH27" s="2">
        <v>95.8</v>
      </c>
      <c r="FI27" s="2">
        <v>96.066670000000002</v>
      </c>
      <c r="FJ27" s="2">
        <v>97.266670000000005</v>
      </c>
      <c r="FK27" s="2">
        <v>97.666659999999993</v>
      </c>
      <c r="FL27" s="2">
        <v>98.366669999999999</v>
      </c>
      <c r="FM27" s="2">
        <v>98.7</v>
      </c>
      <c r="FN27" s="2">
        <v>99.3</v>
      </c>
      <c r="FO27" s="2">
        <v>99.4</v>
      </c>
      <c r="FP27" s="2">
        <v>100.1</v>
      </c>
      <c r="FQ27" s="2">
        <v>100.13330000000001</v>
      </c>
      <c r="FR27" s="2">
        <v>100.2</v>
      </c>
      <c r="FS27" s="2">
        <v>99.5</v>
      </c>
      <c r="FT27" s="2">
        <v>100.0667</v>
      </c>
      <c r="FU27" s="2">
        <v>100.16670000000001</v>
      </c>
      <c r="FV27" s="2">
        <v>100.3</v>
      </c>
      <c r="FW27" s="2">
        <v>99.833340000000007</v>
      </c>
      <c r="FX27" s="2">
        <v>100.4</v>
      </c>
      <c r="FY27" s="2">
        <v>100.86669999999999</v>
      </c>
      <c r="FZ27" s="2">
        <v>101.5</v>
      </c>
      <c r="GA27" s="2">
        <v>102</v>
      </c>
      <c r="GB27" s="2">
        <v>103.16670000000001</v>
      </c>
      <c r="GC27" s="2">
        <v>103.7</v>
      </c>
      <c r="GD27" s="2">
        <v>104.5667</v>
      </c>
      <c r="GE27" s="2">
        <v>104.7667</v>
      </c>
      <c r="GF27" s="2">
        <v>105.66670000000001</v>
      </c>
      <c r="GG27" s="2">
        <v>106.3</v>
      </c>
      <c r="GH27" s="2">
        <v>106.9333</v>
      </c>
      <c r="GI27" s="2">
        <v>106.7</v>
      </c>
      <c r="GJ27" s="2">
        <v>107.8</v>
      </c>
      <c r="GK27" s="2">
        <v>108.2667</v>
      </c>
      <c r="GL27" s="2">
        <v>108.4333</v>
      </c>
      <c r="GM27" s="2">
        <v>108.4667</v>
      </c>
      <c r="GN27" s="2">
        <v>108.5333</v>
      </c>
      <c r="GO27" s="2">
        <v>108.9333</v>
      </c>
      <c r="GP27" s="2">
        <v>109.0667</v>
      </c>
      <c r="GQ27" s="2">
        <v>109.16670000000001</v>
      </c>
      <c r="GR27" s="2">
        <v>110.7333</v>
      </c>
      <c r="GS27" s="2">
        <v>111.9333</v>
      </c>
      <c r="GT27" s="2">
        <v>114.4</v>
      </c>
      <c r="GU27" s="2">
        <v>115.9333</v>
      </c>
      <c r="GV27" s="2">
        <v>120.86669999999999</v>
      </c>
      <c r="GW27" s="2">
        <v>123.13330000000001</v>
      </c>
      <c r="GX27" s="2">
        <v>126.7</v>
      </c>
      <c r="GY27" s="2">
        <v>127.7333</v>
      </c>
      <c r="GZ27" s="2">
        <v>131.0667</v>
      </c>
      <c r="HA27" s="2">
        <v>131.4</v>
      </c>
      <c r="HB27" s="2">
        <v>131.9667</v>
      </c>
      <c r="HC27" s="3">
        <v>132.1575</v>
      </c>
      <c r="HD27" s="3">
        <v>133.37219999999999</v>
      </c>
      <c r="HE27" s="3">
        <v>133.6078</v>
      </c>
      <c r="HF27" s="3">
        <v>134.33359999999999</v>
      </c>
      <c r="HG27" s="3">
        <v>134.58430000000001</v>
      </c>
      <c r="HH27" s="3">
        <v>135.9717</v>
      </c>
      <c r="HI27" s="3">
        <v>136.77019999999999</v>
      </c>
      <c r="HJ27" s="3">
        <v>137.55760000000001</v>
      </c>
      <c r="HK27" s="3">
        <v>137.81780000000001</v>
      </c>
      <c r="HL27" s="3">
        <v>139.15379999999999</v>
      </c>
      <c r="HM27" s="3">
        <v>139.9375</v>
      </c>
      <c r="HN27" s="3">
        <v>140.65029999999999</v>
      </c>
      <c r="HO27" s="3">
        <v>140.8519</v>
      </c>
      <c r="HP27" s="3">
        <v>142.1996</v>
      </c>
      <c r="HQ27" s="3">
        <v>142.99289999999999</v>
      </c>
      <c r="HR27" s="3">
        <v>143.66650000000001</v>
      </c>
      <c r="HS27" s="3">
        <v>143.83260000000001</v>
      </c>
      <c r="HT27" s="3">
        <v>145.15049999999999</v>
      </c>
      <c r="HU27" s="3">
        <v>145.9186</v>
      </c>
      <c r="HV27" s="3">
        <v>146.53550000000001</v>
      </c>
      <c r="HW27" s="3">
        <v>146.65700000000001</v>
      </c>
      <c r="HX27" s="3">
        <v>147.97239999999999</v>
      </c>
      <c r="HY27" s="3">
        <v>148.74760000000001</v>
      </c>
      <c r="HZ27" s="3">
        <v>149.34049999999999</v>
      </c>
      <c r="IA27" s="3">
        <v>149.44810000000001</v>
      </c>
      <c r="IB27" s="3">
        <v>150.83690000000001</v>
      </c>
      <c r="IC27" s="3">
        <v>151.69159999999999</v>
      </c>
      <c r="ID27" s="3">
        <v>152.32830000000001</v>
      </c>
      <c r="IE27" s="3">
        <v>152.43700000000001</v>
      </c>
      <c r="IF27" s="3">
        <v>153.8537</v>
      </c>
      <c r="IG27" s="3">
        <v>154.72540000000001</v>
      </c>
      <c r="IH27" s="3">
        <v>155.37479999999999</v>
      </c>
      <c r="II27" s="3">
        <v>155.48580000000001</v>
      </c>
      <c r="IJ27" s="3">
        <v>156.9307</v>
      </c>
      <c r="IK27" s="3">
        <v>157.81989999999999</v>
      </c>
      <c r="IL27" s="3">
        <v>158.48230000000001</v>
      </c>
      <c r="IM27" s="3">
        <v>158.59549999999999</v>
      </c>
      <c r="IN27" s="3">
        <v>160.0694</v>
      </c>
      <c r="IO27" s="3">
        <v>160.97630000000001</v>
      </c>
      <c r="IP27" s="3">
        <v>161.65199999999999</v>
      </c>
      <c r="IQ27" s="3">
        <v>161.76740000000001</v>
      </c>
      <c r="IR27" s="3">
        <v>163.27080000000001</v>
      </c>
      <c r="IS27" s="3">
        <v>164.19579999999999</v>
      </c>
      <c r="IT27" s="3">
        <v>164.88499999999999</v>
      </c>
      <c r="IU27" s="3">
        <v>165.00280000000001</v>
      </c>
      <c r="IV27" s="3">
        <v>166.53620000000001</v>
      </c>
      <c r="IW27" s="3">
        <v>167.47980000000001</v>
      </c>
      <c r="IX27" s="3">
        <v>168.18270000000001</v>
      </c>
      <c r="IY27" s="3">
        <v>168.30279999999999</v>
      </c>
      <c r="IZ27" s="3">
        <v>169.86689999999999</v>
      </c>
      <c r="JA27" s="3">
        <v>170.82939999999999</v>
      </c>
      <c r="JB27" s="3">
        <v>171.54640000000001</v>
      </c>
      <c r="JC27" s="3">
        <v>171.66890000000001</v>
      </c>
      <c r="JD27" s="3">
        <v>173.26419999999999</v>
      </c>
      <c r="JE27" s="3">
        <v>174.24590000000001</v>
      </c>
      <c r="JF27" s="3">
        <v>174.97730000000001</v>
      </c>
      <c r="JG27" s="3">
        <v>175.10220000000001</v>
      </c>
      <c r="JH27" s="3">
        <v>176.7295</v>
      </c>
      <c r="JI27" s="3">
        <v>177.73089999999999</v>
      </c>
      <c r="JJ27" s="3">
        <v>178.4769</v>
      </c>
      <c r="JK27" s="3">
        <v>178.60429999999999</v>
      </c>
      <c r="JL27" s="3">
        <v>180.26410000000001</v>
      </c>
      <c r="JM27" s="3">
        <v>181.28550000000001</v>
      </c>
      <c r="JN27" s="3">
        <v>182.04640000000001</v>
      </c>
      <c r="JO27" s="3">
        <v>182.1764</v>
      </c>
      <c r="JP27" s="3">
        <v>183.86940000000001</v>
      </c>
      <c r="JQ27" s="3">
        <v>184.91120000000001</v>
      </c>
      <c r="JR27" s="3">
        <v>185.68729999999999</v>
      </c>
      <c r="JS27" s="3">
        <v>185.81989999999999</v>
      </c>
      <c r="JT27" s="3">
        <v>187.54679999999999</v>
      </c>
      <c r="JU27" s="3">
        <v>188.60939999999999</v>
      </c>
      <c r="JV27" s="3">
        <v>189.40110000000001</v>
      </c>
      <c r="JW27" s="3">
        <v>189.53630000000001</v>
      </c>
      <c r="JX27" s="3">
        <v>191.29769999999999</v>
      </c>
      <c r="JY27" s="3">
        <v>192.38159999999999</v>
      </c>
      <c r="JZ27" s="3">
        <v>193.1891</v>
      </c>
      <c r="KA27" s="3">
        <v>193.327</v>
      </c>
      <c r="KB27" s="3">
        <v>195.12370000000001</v>
      </c>
      <c r="KC27" s="3">
        <v>196.22919999999999</v>
      </c>
      <c r="KD27" s="3">
        <v>197.05289999999999</v>
      </c>
      <c r="KE27" s="3">
        <v>197.1936</v>
      </c>
      <c r="KF27" s="3">
        <v>199.02610000000001</v>
      </c>
      <c r="KG27" s="3">
        <v>200.15379999999999</v>
      </c>
      <c r="KH27" s="3">
        <v>200.9939</v>
      </c>
      <c r="KI27" s="3">
        <v>201.13749999999999</v>
      </c>
      <c r="KJ27" s="3">
        <v>203.0067</v>
      </c>
      <c r="KK27" s="3">
        <v>204.15690000000001</v>
      </c>
      <c r="KL27" s="3">
        <v>205.0138</v>
      </c>
      <c r="KM27" s="3">
        <v>205.1602</v>
      </c>
      <c r="KN27" s="3">
        <v>207.0668</v>
      </c>
      <c r="KO27" s="3">
        <v>208.24</v>
      </c>
      <c r="KP27" s="3">
        <v>209.11410000000001</v>
      </c>
      <c r="KQ27" s="3">
        <v>209.26339999999999</v>
      </c>
      <c r="KR27" s="3">
        <v>211.2081</v>
      </c>
      <c r="KS27" s="3">
        <v>212.40479999999999</v>
      </c>
      <c r="KT27" s="3">
        <v>213.29640000000001</v>
      </c>
      <c r="KU27" s="3">
        <v>213.4487</v>
      </c>
      <c r="KV27" s="3">
        <v>215.4323</v>
      </c>
      <c r="KW27" s="3">
        <v>216.65289999999999</v>
      </c>
      <c r="KX27" s="3">
        <v>217.56229999999999</v>
      </c>
      <c r="KY27" s="3">
        <v>217.71770000000001</v>
      </c>
      <c r="KZ27" s="3">
        <v>219.74090000000001</v>
      </c>
      <c r="LA27" s="3">
        <v>220.98599999999999</v>
      </c>
      <c r="LB27" s="3">
        <v>221.9135</v>
      </c>
      <c r="LC27" s="3">
        <v>222.072</v>
      </c>
      <c r="LD27" s="3">
        <v>224.13570000000001</v>
      </c>
      <c r="LE27" s="3">
        <v>225.4057</v>
      </c>
      <c r="LF27" s="3">
        <v>226.3518</v>
      </c>
      <c r="LG27" t="s">
        <v>335</v>
      </c>
      <c r="LH27" t="b">
        <v>0</v>
      </c>
      <c r="LI27" t="s">
        <v>337</v>
      </c>
      <c r="LJ27">
        <v>2015</v>
      </c>
      <c r="LK27">
        <v>2023</v>
      </c>
      <c r="LL27">
        <v>4</v>
      </c>
      <c r="LM27" t="s">
        <v>337</v>
      </c>
      <c r="LN27" s="1" t="s">
        <v>344</v>
      </c>
      <c r="LO27" s="1" t="s">
        <v>345</v>
      </c>
      <c r="LP27" t="s">
        <v>340</v>
      </c>
      <c r="LQ27" t="s">
        <v>346</v>
      </c>
      <c r="LR27" s="1" t="s">
        <v>360</v>
      </c>
    </row>
    <row r="28" spans="1:330" x14ac:dyDescent="0.25">
      <c r="A28" t="s">
        <v>330</v>
      </c>
      <c r="B28" t="s">
        <v>331</v>
      </c>
      <c r="C28" s="1" t="s">
        <v>361</v>
      </c>
      <c r="D28" t="s">
        <v>332</v>
      </c>
      <c r="E28" t="s">
        <v>333</v>
      </c>
      <c r="F28" t="s">
        <v>334</v>
      </c>
      <c r="G28" s="2">
        <v>223780</v>
      </c>
      <c r="H28" s="2">
        <v>224213</v>
      </c>
      <c r="I28" s="2">
        <v>222122</v>
      </c>
      <c r="J28" s="2">
        <v>221266</v>
      </c>
      <c r="K28" s="2">
        <v>215122</v>
      </c>
      <c r="L28" s="2">
        <v>218215</v>
      </c>
      <c r="M28" s="2">
        <v>219517</v>
      </c>
      <c r="N28" s="2">
        <v>216301</v>
      </c>
      <c r="O28" s="2">
        <v>216390</v>
      </c>
      <c r="P28" s="2">
        <v>212882</v>
      </c>
      <c r="Q28" s="2">
        <v>212192</v>
      </c>
      <c r="R28" s="2">
        <v>214585</v>
      </c>
      <c r="S28" s="2">
        <v>218180</v>
      </c>
      <c r="T28" s="2">
        <v>217883</v>
      </c>
      <c r="U28" s="2">
        <v>220587</v>
      </c>
      <c r="V28" s="2">
        <v>225228</v>
      </c>
      <c r="W28" s="2">
        <v>225362</v>
      </c>
      <c r="X28" s="2">
        <v>223815</v>
      </c>
      <c r="Y28" s="2">
        <v>225295</v>
      </c>
      <c r="Z28" s="2">
        <v>229115</v>
      </c>
      <c r="AA28" s="2">
        <v>231258</v>
      </c>
      <c r="AB28" s="2">
        <v>233910</v>
      </c>
      <c r="AC28" s="2">
        <v>237107</v>
      </c>
      <c r="AD28" s="2">
        <v>239186</v>
      </c>
      <c r="AE28" s="2">
        <v>238472</v>
      </c>
      <c r="AF28" s="2">
        <v>248867</v>
      </c>
      <c r="AG28" s="2">
        <v>243369</v>
      </c>
      <c r="AH28" s="2">
        <v>245858</v>
      </c>
      <c r="AI28" s="2">
        <v>243513</v>
      </c>
      <c r="AJ28" s="2">
        <v>238722</v>
      </c>
      <c r="AK28" s="2">
        <v>238432</v>
      </c>
      <c r="AL28" s="2">
        <v>235866</v>
      </c>
      <c r="AM28" s="2">
        <v>235712</v>
      </c>
      <c r="AN28" s="2">
        <v>236272</v>
      </c>
      <c r="AO28" s="2">
        <v>238846</v>
      </c>
      <c r="AP28" s="2">
        <v>239131</v>
      </c>
      <c r="AQ28" s="2">
        <v>239578</v>
      </c>
      <c r="AR28" s="2">
        <v>242095</v>
      </c>
      <c r="AS28" s="2">
        <v>242639</v>
      </c>
      <c r="AT28" s="2">
        <v>244317</v>
      </c>
      <c r="AU28" s="2">
        <v>249032</v>
      </c>
      <c r="AV28" s="2">
        <v>250761</v>
      </c>
      <c r="AW28" s="2">
        <v>253655</v>
      </c>
      <c r="AX28" s="2">
        <v>255533</v>
      </c>
      <c r="AY28" s="2">
        <v>257683</v>
      </c>
      <c r="AZ28" s="2">
        <v>255100</v>
      </c>
      <c r="BA28" s="2">
        <v>256975</v>
      </c>
      <c r="BB28" s="2">
        <v>261627</v>
      </c>
      <c r="BC28" s="2">
        <v>264127</v>
      </c>
      <c r="BD28" s="2">
        <v>269787</v>
      </c>
      <c r="BE28" s="2">
        <v>269737</v>
      </c>
      <c r="BF28" s="2">
        <v>269896</v>
      </c>
      <c r="BG28" s="2">
        <v>272720</v>
      </c>
      <c r="BH28" s="2">
        <v>275136</v>
      </c>
      <c r="BI28" s="2">
        <v>276863</v>
      </c>
      <c r="BJ28" s="2">
        <v>282193</v>
      </c>
      <c r="BK28" s="2">
        <v>284172</v>
      </c>
      <c r="BL28" s="2">
        <v>288385</v>
      </c>
      <c r="BM28" s="2">
        <v>295493</v>
      </c>
      <c r="BN28" s="2">
        <v>298855</v>
      </c>
      <c r="BO28" s="2">
        <v>303698</v>
      </c>
      <c r="BP28" s="2">
        <v>305281</v>
      </c>
      <c r="BQ28" s="2">
        <v>309097</v>
      </c>
      <c r="BR28" s="2">
        <v>311574</v>
      </c>
      <c r="BS28" s="2">
        <v>313083</v>
      </c>
      <c r="BT28" s="2">
        <v>315039</v>
      </c>
      <c r="BU28" s="2">
        <v>315554</v>
      </c>
      <c r="BV28" s="2">
        <v>315515</v>
      </c>
      <c r="BW28" s="2">
        <v>317117</v>
      </c>
      <c r="BX28" s="2">
        <v>319239</v>
      </c>
      <c r="BY28" s="2">
        <v>315744</v>
      </c>
      <c r="BZ28" s="2">
        <v>314148</v>
      </c>
      <c r="CA28" s="2">
        <v>312596</v>
      </c>
      <c r="CB28" s="2">
        <v>312235</v>
      </c>
      <c r="CC28" s="2">
        <v>311624</v>
      </c>
      <c r="CD28" s="2">
        <v>312006</v>
      </c>
      <c r="CE28" s="2">
        <v>311904</v>
      </c>
      <c r="CF28" s="2">
        <v>311418</v>
      </c>
      <c r="CG28" s="2">
        <v>312896</v>
      </c>
      <c r="CH28" s="2">
        <v>315307</v>
      </c>
      <c r="CI28" s="2">
        <v>316882</v>
      </c>
      <c r="CJ28" s="2">
        <v>318302</v>
      </c>
      <c r="CK28" s="2">
        <v>321218</v>
      </c>
      <c r="CL28" s="2">
        <v>323400</v>
      </c>
      <c r="CM28" s="2">
        <v>326585</v>
      </c>
      <c r="CN28" s="2">
        <v>329584</v>
      </c>
      <c r="CO28" s="2">
        <v>332911</v>
      </c>
      <c r="CP28" s="2">
        <v>334363</v>
      </c>
      <c r="CQ28" s="2">
        <v>336090</v>
      </c>
      <c r="CR28" s="2">
        <v>336789</v>
      </c>
      <c r="CS28" s="2">
        <v>340542</v>
      </c>
      <c r="CT28" s="2">
        <v>341602</v>
      </c>
      <c r="CU28" s="2">
        <v>343859</v>
      </c>
      <c r="CV28" s="2">
        <v>344979</v>
      </c>
      <c r="CW28" s="2">
        <v>348214</v>
      </c>
      <c r="CX28" s="2">
        <v>352958</v>
      </c>
      <c r="CY28" s="2">
        <v>358611</v>
      </c>
      <c r="CZ28" s="2">
        <v>362573</v>
      </c>
      <c r="DA28" s="2">
        <v>365942</v>
      </c>
      <c r="DB28" s="2">
        <v>371341</v>
      </c>
      <c r="DC28" s="2">
        <v>374037</v>
      </c>
      <c r="DD28" s="2">
        <v>376421</v>
      </c>
      <c r="DE28" s="2">
        <v>377650</v>
      </c>
      <c r="DF28" s="2">
        <v>380155</v>
      </c>
      <c r="DG28" s="2">
        <v>382789</v>
      </c>
      <c r="DH28" s="2">
        <v>384605</v>
      </c>
      <c r="DI28" s="2">
        <v>390758</v>
      </c>
      <c r="DJ28" s="2">
        <v>396357</v>
      </c>
      <c r="DK28" s="2">
        <v>401242</v>
      </c>
      <c r="DL28" s="2">
        <v>404196</v>
      </c>
      <c r="DM28" s="2">
        <v>406795</v>
      </c>
      <c r="DN28" s="2">
        <v>409411</v>
      </c>
      <c r="DO28" s="2">
        <v>413054</v>
      </c>
      <c r="DP28" s="2">
        <v>414878</v>
      </c>
      <c r="DQ28" s="2">
        <v>417085</v>
      </c>
      <c r="DR28" s="2">
        <v>418445</v>
      </c>
      <c r="DS28" s="2">
        <v>419534</v>
      </c>
      <c r="DT28" s="2">
        <v>421587</v>
      </c>
      <c r="DU28" s="2">
        <v>424425</v>
      </c>
      <c r="DV28" s="2">
        <v>427725</v>
      </c>
      <c r="DW28" s="2">
        <v>430832</v>
      </c>
      <c r="DX28" s="2">
        <v>434837</v>
      </c>
      <c r="DY28" s="2">
        <v>438710</v>
      </c>
      <c r="DZ28" s="2">
        <v>442172</v>
      </c>
      <c r="EA28" s="2">
        <v>443853</v>
      </c>
      <c r="EB28" s="2">
        <v>446443</v>
      </c>
      <c r="EC28" s="2">
        <v>448171</v>
      </c>
      <c r="ED28" s="2">
        <v>450464</v>
      </c>
      <c r="EE28" s="2">
        <v>453784</v>
      </c>
      <c r="EF28" s="2">
        <v>457557</v>
      </c>
      <c r="EG28" s="2">
        <v>461135</v>
      </c>
      <c r="EH28" s="2">
        <v>465451</v>
      </c>
      <c r="EI28" s="2">
        <v>467840</v>
      </c>
      <c r="EJ28" s="2">
        <v>469655</v>
      </c>
      <c r="EK28" s="2">
        <v>470918</v>
      </c>
      <c r="EL28" s="2">
        <v>473372</v>
      </c>
      <c r="EM28" s="2">
        <v>477823</v>
      </c>
      <c r="EN28" s="2">
        <v>481314</v>
      </c>
      <c r="EO28" s="2">
        <v>484544</v>
      </c>
      <c r="EP28" s="2">
        <v>487413</v>
      </c>
      <c r="EQ28" s="2">
        <v>489783</v>
      </c>
      <c r="ER28" s="2">
        <v>487386</v>
      </c>
      <c r="ES28" s="2">
        <v>479872</v>
      </c>
      <c r="ET28" s="2">
        <v>469694</v>
      </c>
      <c r="EU28" s="2">
        <v>460105</v>
      </c>
      <c r="EV28" s="2">
        <v>458599</v>
      </c>
      <c r="EW28" s="2">
        <v>458875</v>
      </c>
      <c r="EX28" s="2">
        <v>460238</v>
      </c>
      <c r="EY28" s="2">
        <v>464543</v>
      </c>
      <c r="EZ28" s="2">
        <v>469606</v>
      </c>
      <c r="FA28" s="2">
        <v>472199</v>
      </c>
      <c r="FB28" s="2">
        <v>472612</v>
      </c>
      <c r="FC28" s="2">
        <v>473819</v>
      </c>
      <c r="FD28" s="2">
        <v>474365</v>
      </c>
      <c r="FE28" s="2">
        <v>475813</v>
      </c>
      <c r="FF28" s="2">
        <v>476479</v>
      </c>
      <c r="FG28" s="2">
        <v>480632</v>
      </c>
      <c r="FH28" s="2">
        <v>479979</v>
      </c>
      <c r="FI28" s="2">
        <v>484579</v>
      </c>
      <c r="FJ28" s="2">
        <v>484039</v>
      </c>
      <c r="FK28" s="2">
        <v>485409</v>
      </c>
      <c r="FL28" s="2">
        <v>488930</v>
      </c>
      <c r="FM28" s="2">
        <v>493002</v>
      </c>
      <c r="FN28" s="2">
        <v>496466</v>
      </c>
      <c r="FO28" s="2">
        <v>500552</v>
      </c>
      <c r="FP28" s="2">
        <v>504939</v>
      </c>
      <c r="FQ28" s="2">
        <v>508741</v>
      </c>
      <c r="FR28" s="2">
        <v>512334</v>
      </c>
      <c r="FS28" s="2">
        <v>513850</v>
      </c>
      <c r="FT28" s="2">
        <v>516876</v>
      </c>
      <c r="FU28" s="2">
        <v>518915</v>
      </c>
      <c r="FV28" s="2">
        <v>521920</v>
      </c>
      <c r="FW28" s="2">
        <v>523813</v>
      </c>
      <c r="FX28" s="2">
        <v>526750</v>
      </c>
      <c r="FY28" s="2">
        <v>528712</v>
      </c>
      <c r="FZ28" s="2">
        <v>532082</v>
      </c>
      <c r="GA28" s="2">
        <v>536566</v>
      </c>
      <c r="GB28" s="2">
        <v>540020</v>
      </c>
      <c r="GC28" s="2">
        <v>543452</v>
      </c>
      <c r="GD28" s="2">
        <v>547377</v>
      </c>
      <c r="GE28" s="2">
        <v>547688</v>
      </c>
      <c r="GF28" s="2">
        <v>548600</v>
      </c>
      <c r="GG28" s="2">
        <v>550425</v>
      </c>
      <c r="GH28" s="2">
        <v>551128</v>
      </c>
      <c r="GI28" s="2">
        <v>555141</v>
      </c>
      <c r="GJ28" s="2">
        <v>556932</v>
      </c>
      <c r="GK28" s="2">
        <v>560987</v>
      </c>
      <c r="GL28" s="2">
        <v>560861</v>
      </c>
      <c r="GM28" s="2">
        <v>545597</v>
      </c>
      <c r="GN28" s="2">
        <v>434718</v>
      </c>
      <c r="GO28" s="2">
        <v>507643</v>
      </c>
      <c r="GP28" s="2">
        <v>514531</v>
      </c>
      <c r="GQ28" s="2">
        <v>509261</v>
      </c>
      <c r="GR28" s="2">
        <v>546579</v>
      </c>
      <c r="GS28" s="2">
        <v>555956</v>
      </c>
      <c r="GT28" s="2">
        <v>564407</v>
      </c>
      <c r="GU28" s="2">
        <v>567396</v>
      </c>
      <c r="GV28" s="2">
        <v>567889</v>
      </c>
      <c r="GW28" s="2">
        <v>567445</v>
      </c>
      <c r="GX28" s="2">
        <v>568034</v>
      </c>
      <c r="GY28" s="2">
        <v>569027</v>
      </c>
      <c r="GZ28" s="2">
        <v>569076</v>
      </c>
      <c r="HA28" s="2">
        <v>568397</v>
      </c>
      <c r="HB28" s="2">
        <v>566626</v>
      </c>
      <c r="HC28" s="3">
        <v>568279.1</v>
      </c>
      <c r="HD28" s="3">
        <v>569946.69999999995</v>
      </c>
      <c r="HE28" s="3">
        <v>572160.30000000005</v>
      </c>
      <c r="HF28" s="3">
        <v>575018.5</v>
      </c>
      <c r="HG28" s="3">
        <v>578048.4</v>
      </c>
      <c r="HH28" s="3">
        <v>581314.9</v>
      </c>
      <c r="HI28" s="3">
        <v>584425.1</v>
      </c>
      <c r="HJ28" s="3">
        <v>587609.9</v>
      </c>
      <c r="HK28" s="3">
        <v>590518.69999999995</v>
      </c>
      <c r="HL28" s="3">
        <v>593117.80000000005</v>
      </c>
      <c r="HM28" s="3">
        <v>595549.6</v>
      </c>
      <c r="HN28" s="3">
        <v>597931.69999999995</v>
      </c>
      <c r="HO28" s="3">
        <v>600353.30000000005</v>
      </c>
      <c r="HP28" s="3">
        <v>602754.6</v>
      </c>
      <c r="HQ28" s="3">
        <v>605195.9</v>
      </c>
      <c r="HR28" s="3">
        <v>607677.19999999995</v>
      </c>
      <c r="HS28" s="3">
        <v>610107.9</v>
      </c>
      <c r="HT28" s="3">
        <v>612548.30000000005</v>
      </c>
      <c r="HU28" s="3">
        <v>614937.30000000005</v>
      </c>
      <c r="HV28" s="3">
        <v>617335.5</v>
      </c>
      <c r="HW28" s="3">
        <v>619681.4</v>
      </c>
      <c r="HX28" s="3">
        <v>622036.19999999995</v>
      </c>
      <c r="HY28" s="3">
        <v>624399.9</v>
      </c>
      <c r="HZ28" s="3">
        <v>626803.9</v>
      </c>
      <c r="IA28" s="3">
        <v>629185.69999999995</v>
      </c>
      <c r="IB28" s="3">
        <v>631608.1</v>
      </c>
      <c r="IC28" s="3">
        <v>634008.19999999995</v>
      </c>
      <c r="ID28" s="3">
        <v>636417.4</v>
      </c>
      <c r="IE28" s="3">
        <v>638804</v>
      </c>
      <c r="IF28" s="3">
        <v>641231.4</v>
      </c>
      <c r="IG28" s="3">
        <v>643668.1</v>
      </c>
      <c r="IH28" s="3">
        <v>646114.1</v>
      </c>
      <c r="II28" s="3">
        <v>648537</v>
      </c>
      <c r="IJ28" s="3">
        <v>651001.4</v>
      </c>
      <c r="IK28" s="3">
        <v>653410.1</v>
      </c>
      <c r="IL28" s="3">
        <v>655762.4</v>
      </c>
      <c r="IM28" s="3">
        <v>658179.69999999995</v>
      </c>
      <c r="IN28" s="3">
        <v>660558.5</v>
      </c>
      <c r="IO28" s="3">
        <v>662898.19999999995</v>
      </c>
      <c r="IP28" s="3">
        <v>665208.1</v>
      </c>
      <c r="IQ28" s="3">
        <v>667615.4</v>
      </c>
      <c r="IR28" s="3">
        <v>670038.5</v>
      </c>
      <c r="IS28" s="3">
        <v>672361.4</v>
      </c>
      <c r="IT28" s="3">
        <v>674686.4</v>
      </c>
      <c r="IU28" s="3">
        <v>677121.1</v>
      </c>
      <c r="IV28" s="3">
        <v>679565.7</v>
      </c>
      <c r="IW28" s="3">
        <v>682019.9</v>
      </c>
      <c r="IX28" s="3">
        <v>684483.8</v>
      </c>
      <c r="IY28" s="3">
        <v>687018.8</v>
      </c>
      <c r="IZ28" s="3">
        <v>689566.4</v>
      </c>
      <c r="JA28" s="3">
        <v>692126.8</v>
      </c>
      <c r="JB28" s="3">
        <v>694699.8</v>
      </c>
      <c r="JC28" s="3">
        <v>697285.6</v>
      </c>
      <c r="JD28" s="3">
        <v>699883.7</v>
      </c>
      <c r="JE28" s="3">
        <v>702494.8</v>
      </c>
      <c r="JF28" s="3">
        <v>705118.7</v>
      </c>
      <c r="JG28" s="3">
        <v>707816</v>
      </c>
      <c r="JH28" s="3">
        <v>710527.1</v>
      </c>
      <c r="JI28" s="3">
        <v>713252.4</v>
      </c>
      <c r="JJ28" s="3">
        <v>715992</v>
      </c>
      <c r="JK28" s="3">
        <v>718745.7</v>
      </c>
      <c r="JL28" s="3">
        <v>721513.6</v>
      </c>
      <c r="JM28" s="3">
        <v>724295.9</v>
      </c>
      <c r="JN28" s="3">
        <v>727092.7</v>
      </c>
      <c r="JO28" s="3">
        <v>729903.8</v>
      </c>
      <c r="JP28" s="3">
        <v>732723.3</v>
      </c>
      <c r="JQ28" s="3">
        <v>735551.6</v>
      </c>
      <c r="JR28" s="3">
        <v>738388.5</v>
      </c>
      <c r="JS28" s="3">
        <v>741183.5</v>
      </c>
      <c r="JT28" s="3">
        <v>743986.3</v>
      </c>
      <c r="JU28" s="3">
        <v>746797</v>
      </c>
      <c r="JV28" s="3">
        <v>749615.4</v>
      </c>
      <c r="JW28" s="3">
        <v>752441.9</v>
      </c>
      <c r="JX28" s="3">
        <v>755276.1</v>
      </c>
      <c r="JY28" s="3">
        <v>758118.2</v>
      </c>
      <c r="JZ28" s="3">
        <v>760968.1</v>
      </c>
      <c r="KA28" s="3">
        <v>763825.9</v>
      </c>
      <c r="KB28" s="3">
        <v>766691.3</v>
      </c>
      <c r="KC28" s="3">
        <v>769563.8</v>
      </c>
      <c r="KD28" s="3">
        <v>772443.4</v>
      </c>
      <c r="KE28" s="3">
        <v>775330.2</v>
      </c>
      <c r="KF28" s="3">
        <v>778224.2</v>
      </c>
      <c r="KG28" s="3">
        <v>781125.3</v>
      </c>
      <c r="KH28" s="3">
        <v>784033.6</v>
      </c>
      <c r="KI28" s="3">
        <v>786949.1</v>
      </c>
      <c r="KJ28" s="3">
        <v>789871.8</v>
      </c>
      <c r="KK28" s="3">
        <v>792801.7</v>
      </c>
      <c r="KL28" s="3">
        <v>795738.7</v>
      </c>
      <c r="KM28" s="3">
        <v>798683</v>
      </c>
      <c r="KN28" s="3">
        <v>801634.5</v>
      </c>
      <c r="KO28" s="3">
        <v>804593.4</v>
      </c>
      <c r="KP28" s="3">
        <v>807559.6</v>
      </c>
      <c r="KQ28" s="3">
        <v>810533.3</v>
      </c>
      <c r="KR28" s="3">
        <v>813514.3</v>
      </c>
      <c r="KS28" s="3">
        <v>816502.8</v>
      </c>
      <c r="KT28" s="3">
        <v>819498.7</v>
      </c>
      <c r="KU28" s="3">
        <v>822502.2</v>
      </c>
      <c r="KV28" s="3">
        <v>825513.2</v>
      </c>
      <c r="KW28" s="3">
        <v>828531.7</v>
      </c>
      <c r="KX28" s="3">
        <v>831557.7</v>
      </c>
      <c r="KY28" s="3">
        <v>834591.2</v>
      </c>
      <c r="KZ28" s="3">
        <v>837632.3</v>
      </c>
      <c r="LA28" s="3">
        <v>840680.7</v>
      </c>
      <c r="LB28" s="3">
        <v>843736.4</v>
      </c>
      <c r="LC28" s="3">
        <v>846799.6</v>
      </c>
      <c r="LD28" s="3">
        <v>849870.1</v>
      </c>
      <c r="LE28" s="3">
        <v>852947.9</v>
      </c>
      <c r="LF28" s="3">
        <v>856033.3</v>
      </c>
      <c r="LG28" t="s">
        <v>335</v>
      </c>
      <c r="LH28" t="b">
        <v>1</v>
      </c>
      <c r="LI28" s="1" t="s">
        <v>336</v>
      </c>
      <c r="LJ28" t="s">
        <v>337</v>
      </c>
      <c r="LK28">
        <v>2023</v>
      </c>
      <c r="LL28">
        <v>4</v>
      </c>
      <c r="LM28" t="s">
        <v>337</v>
      </c>
      <c r="LN28" t="s">
        <v>338</v>
      </c>
      <c r="LO28" s="1" t="s">
        <v>339</v>
      </c>
      <c r="LP28" t="s">
        <v>340</v>
      </c>
      <c r="LQ28" t="s">
        <v>341</v>
      </c>
      <c r="LR28" s="1" t="s">
        <v>362</v>
      </c>
    </row>
    <row r="29" spans="1:330" x14ac:dyDescent="0.25">
      <c r="A29" t="s">
        <v>330</v>
      </c>
      <c r="B29" t="s">
        <v>342</v>
      </c>
      <c r="C29" s="1" t="s">
        <v>361</v>
      </c>
      <c r="D29" t="s">
        <v>343</v>
      </c>
      <c r="E29" t="s">
        <v>337</v>
      </c>
      <c r="F29" t="s">
        <v>334</v>
      </c>
      <c r="G29" s="2">
        <v>11.88749</v>
      </c>
      <c r="H29" s="2">
        <v>12.304600000000001</v>
      </c>
      <c r="I29" s="2">
        <v>12.51315</v>
      </c>
      <c r="J29" s="2">
        <v>13.008459999999999</v>
      </c>
      <c r="K29" s="2">
        <v>13.47771</v>
      </c>
      <c r="L29" s="2">
        <v>14.23371</v>
      </c>
      <c r="M29" s="2">
        <v>14.572609999999999</v>
      </c>
      <c r="N29" s="2">
        <v>15.250400000000001</v>
      </c>
      <c r="O29" s="2">
        <v>16.058540000000001</v>
      </c>
      <c r="P29" s="2">
        <v>17.466270000000002</v>
      </c>
      <c r="Q29" s="2">
        <v>18.222280000000001</v>
      </c>
      <c r="R29" s="2">
        <v>18.847930000000002</v>
      </c>
      <c r="S29" s="2">
        <v>19.42145</v>
      </c>
      <c r="T29" s="2">
        <v>20.125319999999999</v>
      </c>
      <c r="U29" s="2">
        <v>20.594560000000001</v>
      </c>
      <c r="V29" s="2">
        <v>21.506979999999999</v>
      </c>
      <c r="W29" s="2">
        <v>22.471530000000001</v>
      </c>
      <c r="X29" s="2">
        <v>23.410019999999999</v>
      </c>
      <c r="Y29" s="2">
        <v>23.82713</v>
      </c>
      <c r="Z29" s="2">
        <v>24.139949999999999</v>
      </c>
      <c r="AA29" s="2">
        <v>24.452780000000001</v>
      </c>
      <c r="AB29" s="2">
        <v>25.078440000000001</v>
      </c>
      <c r="AC29" s="2">
        <v>25.469480000000001</v>
      </c>
      <c r="AD29" s="2">
        <v>25.860510000000001</v>
      </c>
      <c r="AE29" s="2">
        <v>26.43403</v>
      </c>
      <c r="AF29" s="2">
        <v>27.268239999999999</v>
      </c>
      <c r="AG29" s="2">
        <v>28.910589999999999</v>
      </c>
      <c r="AH29" s="2">
        <v>29.718730000000001</v>
      </c>
      <c r="AI29" s="2">
        <v>30.605080000000001</v>
      </c>
      <c r="AJ29" s="2">
        <v>32.247430000000001</v>
      </c>
      <c r="AK29" s="2">
        <v>32.951300000000003</v>
      </c>
      <c r="AL29" s="2">
        <v>33.550879999999999</v>
      </c>
      <c r="AM29" s="2">
        <v>34.385100000000001</v>
      </c>
      <c r="AN29" s="2">
        <v>36.079590000000003</v>
      </c>
      <c r="AO29" s="2">
        <v>36.731310000000001</v>
      </c>
      <c r="AP29" s="2">
        <v>37.435180000000003</v>
      </c>
      <c r="AQ29" s="2">
        <v>37.878349999999998</v>
      </c>
      <c r="AR29" s="2">
        <v>39.181800000000003</v>
      </c>
      <c r="AS29" s="2">
        <v>39.416420000000002</v>
      </c>
      <c r="AT29" s="2">
        <v>39.885669999999998</v>
      </c>
      <c r="AU29" s="2">
        <v>40.172429999999999</v>
      </c>
      <c r="AV29" s="2">
        <v>40.85022</v>
      </c>
      <c r="AW29" s="2">
        <v>41.293399999999998</v>
      </c>
      <c r="AX29" s="2">
        <v>41.762639999999998</v>
      </c>
      <c r="AY29" s="2">
        <v>41.86692</v>
      </c>
      <c r="AZ29" s="2">
        <v>42.779339999999998</v>
      </c>
      <c r="BA29" s="2">
        <v>42.98789</v>
      </c>
      <c r="BB29" s="2">
        <v>43.431060000000002</v>
      </c>
      <c r="BC29" s="2">
        <v>43.874229999999997</v>
      </c>
      <c r="BD29" s="2">
        <v>44.995199999999997</v>
      </c>
      <c r="BE29" s="2">
        <v>45.125549999999997</v>
      </c>
      <c r="BF29" s="2">
        <v>45.490519999999997</v>
      </c>
      <c r="BG29" s="2">
        <v>45.646929999999998</v>
      </c>
      <c r="BH29" s="2">
        <v>46.3508</v>
      </c>
      <c r="BI29" s="2">
        <v>46.533279999999998</v>
      </c>
      <c r="BJ29" s="2">
        <v>46.924320000000002</v>
      </c>
      <c r="BK29" s="2">
        <v>47.237139999999997</v>
      </c>
      <c r="BL29" s="2">
        <v>47.836730000000003</v>
      </c>
      <c r="BM29" s="2">
        <v>47.888869999999997</v>
      </c>
      <c r="BN29" s="2">
        <v>48.436320000000002</v>
      </c>
      <c r="BO29" s="2">
        <v>48.566670000000002</v>
      </c>
      <c r="BP29" s="2">
        <v>49.5</v>
      </c>
      <c r="BQ29" s="2">
        <v>49.9</v>
      </c>
      <c r="BR29" s="2">
        <v>50.466670000000001</v>
      </c>
      <c r="BS29" s="2">
        <v>51</v>
      </c>
      <c r="BT29" s="2">
        <v>52.133339999999997</v>
      </c>
      <c r="BU29" s="2">
        <v>52.466670000000001</v>
      </c>
      <c r="BV29" s="2">
        <v>53.266669999999998</v>
      </c>
      <c r="BW29" s="2">
        <v>53.933329999999998</v>
      </c>
      <c r="BX29" s="2">
        <v>55.6</v>
      </c>
      <c r="BY29" s="2">
        <v>56.4</v>
      </c>
      <c r="BZ29" s="2">
        <v>57.466670000000001</v>
      </c>
      <c r="CA29" s="2">
        <v>57.666670000000003</v>
      </c>
      <c r="CB29" s="2">
        <v>60.266669999999998</v>
      </c>
      <c r="CC29" s="2">
        <v>60.833329999999997</v>
      </c>
      <c r="CD29" s="2">
        <v>61.466670000000001</v>
      </c>
      <c r="CE29" s="2">
        <v>61.7</v>
      </c>
      <c r="CF29" s="2">
        <v>62.833329999999997</v>
      </c>
      <c r="CG29" s="2">
        <v>62.733330000000002</v>
      </c>
      <c r="CH29" s="2">
        <v>63.133339999999997</v>
      </c>
      <c r="CI29" s="2">
        <v>63.2</v>
      </c>
      <c r="CJ29" s="2">
        <v>64.433329999999998</v>
      </c>
      <c r="CK29" s="2">
        <v>64.5</v>
      </c>
      <c r="CL29" s="2">
        <v>64.666659999999993</v>
      </c>
      <c r="CM29" s="2">
        <v>64.766670000000005</v>
      </c>
      <c r="CN29" s="2">
        <v>65.7</v>
      </c>
      <c r="CO29" s="2">
        <v>65.633330000000001</v>
      </c>
      <c r="CP29" s="2">
        <v>65.8</v>
      </c>
      <c r="CQ29" s="2">
        <v>66.333340000000007</v>
      </c>
      <c r="CR29" s="2">
        <v>67.266670000000005</v>
      </c>
      <c r="CS29" s="2">
        <v>67.400000000000006</v>
      </c>
      <c r="CT29" s="2">
        <v>67.733329999999995</v>
      </c>
      <c r="CU29" s="2">
        <v>68.099999999999994</v>
      </c>
      <c r="CV29" s="2">
        <v>68.866669999999999</v>
      </c>
      <c r="CW29" s="2">
        <v>68.933329999999998</v>
      </c>
      <c r="CX29" s="2">
        <v>69.366669999999999</v>
      </c>
      <c r="CY29" s="2">
        <v>69.366669999999999</v>
      </c>
      <c r="CZ29" s="2">
        <v>70</v>
      </c>
      <c r="DA29" s="2">
        <v>70.266670000000005</v>
      </c>
      <c r="DB29" s="2">
        <v>70.633330000000001</v>
      </c>
      <c r="DC29" s="2">
        <v>70.5</v>
      </c>
      <c r="DD29" s="2">
        <v>71.266670000000005</v>
      </c>
      <c r="DE29" s="2">
        <v>71.233329999999995</v>
      </c>
      <c r="DF29" s="2">
        <v>71.633330000000001</v>
      </c>
      <c r="DG29" s="2">
        <v>71.599999999999994</v>
      </c>
      <c r="DH29" s="2">
        <v>72.3</v>
      </c>
      <c r="DI29" s="2">
        <v>72.133330000000001</v>
      </c>
      <c r="DJ29" s="2">
        <v>72.433329999999998</v>
      </c>
      <c r="DK29" s="2">
        <v>72.133330000000001</v>
      </c>
      <c r="DL29" s="2">
        <v>72.766670000000005</v>
      </c>
      <c r="DM29" s="2">
        <v>72.7</v>
      </c>
      <c r="DN29" s="2">
        <v>73.166659999999993</v>
      </c>
      <c r="DO29" s="2">
        <v>72.766670000000005</v>
      </c>
      <c r="DP29" s="2">
        <v>73.833340000000007</v>
      </c>
      <c r="DQ29" s="2">
        <v>73.866669999999999</v>
      </c>
      <c r="DR29" s="2">
        <v>73.900000000000006</v>
      </c>
      <c r="DS29" s="2">
        <v>73.866669999999999</v>
      </c>
      <c r="DT29" s="2">
        <v>74.533330000000007</v>
      </c>
      <c r="DU29" s="2">
        <v>74.599999999999994</v>
      </c>
      <c r="DV29" s="2">
        <v>75</v>
      </c>
      <c r="DW29" s="2">
        <v>75</v>
      </c>
      <c r="DX29" s="2">
        <v>75.466669999999993</v>
      </c>
      <c r="DY29" s="2">
        <v>75.599999999999994</v>
      </c>
      <c r="DZ29" s="2">
        <v>76.033330000000007</v>
      </c>
      <c r="EA29" s="2">
        <v>75.966669999999993</v>
      </c>
      <c r="EB29" s="2">
        <v>76.533330000000007</v>
      </c>
      <c r="EC29" s="2">
        <v>76.566670000000002</v>
      </c>
      <c r="ED29" s="2">
        <v>77.099999999999994</v>
      </c>
      <c r="EE29" s="2">
        <v>77.233329999999995</v>
      </c>
      <c r="EF29" s="2">
        <v>78</v>
      </c>
      <c r="EG29" s="2">
        <v>78.400000000000006</v>
      </c>
      <c r="EH29" s="2">
        <v>78.766670000000005</v>
      </c>
      <c r="EI29" s="2">
        <v>78.733329999999995</v>
      </c>
      <c r="EJ29" s="2">
        <v>79.8</v>
      </c>
      <c r="EK29" s="2">
        <v>80.3</v>
      </c>
      <c r="EL29" s="2">
        <v>80.900000000000006</v>
      </c>
      <c r="EM29" s="2">
        <v>81</v>
      </c>
      <c r="EN29" s="2">
        <v>81.8</v>
      </c>
      <c r="EO29" s="2">
        <v>81.733329999999995</v>
      </c>
      <c r="EP29" s="2">
        <v>82.6</v>
      </c>
      <c r="EQ29" s="2">
        <v>82.933329999999998</v>
      </c>
      <c r="ER29" s="2">
        <v>84.6</v>
      </c>
      <c r="ES29" s="2">
        <v>85.633330000000001</v>
      </c>
      <c r="ET29" s="2">
        <v>85.733329999999995</v>
      </c>
      <c r="EU29" s="2">
        <v>85.433329999999998</v>
      </c>
      <c r="EV29" s="2">
        <v>86.366669999999999</v>
      </c>
      <c r="EW29" s="2">
        <v>86.933329999999998</v>
      </c>
      <c r="EX29" s="2">
        <v>87.566670000000002</v>
      </c>
      <c r="EY29" s="2">
        <v>88.233329999999995</v>
      </c>
      <c r="EZ29" s="2">
        <v>89.366669999999999</v>
      </c>
      <c r="FA29" s="2">
        <v>89.633330000000001</v>
      </c>
      <c r="FB29" s="2">
        <v>90.5</v>
      </c>
      <c r="FC29" s="2">
        <v>91.833340000000007</v>
      </c>
      <c r="FD29" s="2">
        <v>93.3</v>
      </c>
      <c r="FE29" s="2">
        <v>93.833340000000007</v>
      </c>
      <c r="FF29" s="2">
        <v>94.733329999999995</v>
      </c>
      <c r="FG29" s="2">
        <v>95.033330000000007</v>
      </c>
      <c r="FH29" s="2">
        <v>95.8</v>
      </c>
      <c r="FI29" s="2">
        <v>96.066670000000002</v>
      </c>
      <c r="FJ29" s="2">
        <v>97.266670000000005</v>
      </c>
      <c r="FK29" s="2">
        <v>97.666659999999993</v>
      </c>
      <c r="FL29" s="2">
        <v>98.366669999999999</v>
      </c>
      <c r="FM29" s="2">
        <v>98.7</v>
      </c>
      <c r="FN29" s="2">
        <v>99.3</v>
      </c>
      <c r="FO29" s="2">
        <v>99.4</v>
      </c>
      <c r="FP29" s="2">
        <v>100.1</v>
      </c>
      <c r="FQ29" s="2">
        <v>100.13330000000001</v>
      </c>
      <c r="FR29" s="2">
        <v>100.2</v>
      </c>
      <c r="FS29" s="2">
        <v>99.5</v>
      </c>
      <c r="FT29" s="2">
        <v>100.0667</v>
      </c>
      <c r="FU29" s="2">
        <v>100.16670000000001</v>
      </c>
      <c r="FV29" s="2">
        <v>100.3</v>
      </c>
      <c r="FW29" s="2">
        <v>99.833340000000007</v>
      </c>
      <c r="FX29" s="2">
        <v>100.4</v>
      </c>
      <c r="FY29" s="2">
        <v>100.86669999999999</v>
      </c>
      <c r="FZ29" s="2">
        <v>101.5</v>
      </c>
      <c r="GA29" s="2">
        <v>102</v>
      </c>
      <c r="GB29" s="2">
        <v>103.16670000000001</v>
      </c>
      <c r="GC29" s="2">
        <v>103.7</v>
      </c>
      <c r="GD29" s="2">
        <v>104.5667</v>
      </c>
      <c r="GE29" s="2">
        <v>104.7667</v>
      </c>
      <c r="GF29" s="2">
        <v>105.66670000000001</v>
      </c>
      <c r="GG29" s="2">
        <v>106.3</v>
      </c>
      <c r="GH29" s="2">
        <v>106.9333</v>
      </c>
      <c r="GI29" s="2">
        <v>106.7</v>
      </c>
      <c r="GJ29" s="2">
        <v>107.8</v>
      </c>
      <c r="GK29" s="2">
        <v>108.2667</v>
      </c>
      <c r="GL29" s="2">
        <v>108.4333</v>
      </c>
      <c r="GM29" s="2">
        <v>108.4667</v>
      </c>
      <c r="GN29" s="2">
        <v>108.5333</v>
      </c>
      <c r="GO29" s="2">
        <v>108.9333</v>
      </c>
      <c r="GP29" s="2">
        <v>109.0667</v>
      </c>
      <c r="GQ29" s="2">
        <v>109.16670000000001</v>
      </c>
      <c r="GR29" s="2">
        <v>110.7333</v>
      </c>
      <c r="GS29" s="2">
        <v>111.9333</v>
      </c>
      <c r="GT29" s="2">
        <v>114.4</v>
      </c>
      <c r="GU29" s="2">
        <v>115.9333</v>
      </c>
      <c r="GV29" s="2">
        <v>120.86669999999999</v>
      </c>
      <c r="GW29" s="2">
        <v>123.13330000000001</v>
      </c>
      <c r="GX29" s="2">
        <v>126.7</v>
      </c>
      <c r="GY29" s="2">
        <v>127.7333</v>
      </c>
      <c r="GZ29" s="2">
        <v>131.0667</v>
      </c>
      <c r="HA29" s="2">
        <v>131.4</v>
      </c>
      <c r="HB29" s="2">
        <v>131.9667</v>
      </c>
      <c r="HC29" s="3">
        <v>132.12110000000001</v>
      </c>
      <c r="HD29" s="3">
        <v>133.3433</v>
      </c>
      <c r="HE29" s="3">
        <v>133.51740000000001</v>
      </c>
      <c r="HF29" s="3">
        <v>134.34270000000001</v>
      </c>
      <c r="HG29" s="3">
        <v>134.6157</v>
      </c>
      <c r="HH29" s="3">
        <v>135.91650000000001</v>
      </c>
      <c r="HI29" s="3">
        <v>136.6061</v>
      </c>
      <c r="HJ29" s="3">
        <v>137.49590000000001</v>
      </c>
      <c r="HK29" s="3">
        <v>137.8373</v>
      </c>
      <c r="HL29" s="3">
        <v>139.12299999999999</v>
      </c>
      <c r="HM29" s="3">
        <v>139.8015</v>
      </c>
      <c r="HN29" s="3">
        <v>140.62530000000001</v>
      </c>
      <c r="HO29" s="3">
        <v>140.91900000000001</v>
      </c>
      <c r="HP29" s="3">
        <v>142.21270000000001</v>
      </c>
      <c r="HQ29" s="3">
        <v>142.89830000000001</v>
      </c>
      <c r="HR29" s="3">
        <v>143.70009999999999</v>
      </c>
      <c r="HS29" s="3">
        <v>143.97470000000001</v>
      </c>
      <c r="HT29" s="3">
        <v>145.2449</v>
      </c>
      <c r="HU29" s="3">
        <v>145.90880000000001</v>
      </c>
      <c r="HV29" s="3">
        <v>146.6748</v>
      </c>
      <c r="HW29" s="3">
        <v>146.92240000000001</v>
      </c>
      <c r="HX29" s="3">
        <v>148.19659999999999</v>
      </c>
      <c r="HY29" s="3">
        <v>148.8657</v>
      </c>
      <c r="HZ29" s="3">
        <v>149.62139999999999</v>
      </c>
      <c r="IA29" s="3">
        <v>149.8639</v>
      </c>
      <c r="IB29" s="3">
        <v>151.16380000000001</v>
      </c>
      <c r="IC29" s="3">
        <v>151.8569</v>
      </c>
      <c r="ID29" s="3">
        <v>152.61670000000001</v>
      </c>
      <c r="IE29" s="3">
        <v>152.8612</v>
      </c>
      <c r="IF29" s="3">
        <v>154.18700000000001</v>
      </c>
      <c r="IG29" s="3">
        <v>154.89410000000001</v>
      </c>
      <c r="IH29" s="3">
        <v>155.66900000000001</v>
      </c>
      <c r="II29" s="3">
        <v>155.91839999999999</v>
      </c>
      <c r="IJ29" s="3">
        <v>157.27080000000001</v>
      </c>
      <c r="IK29" s="3">
        <v>157.99189999999999</v>
      </c>
      <c r="IL29" s="3">
        <v>158.7824</v>
      </c>
      <c r="IM29" s="3">
        <v>159.0368</v>
      </c>
      <c r="IN29" s="3">
        <v>160.4162</v>
      </c>
      <c r="IO29" s="3">
        <v>161.15180000000001</v>
      </c>
      <c r="IP29" s="3">
        <v>161.958</v>
      </c>
      <c r="IQ29" s="3">
        <v>162.2175</v>
      </c>
      <c r="IR29" s="3">
        <v>163.62450000000001</v>
      </c>
      <c r="IS29" s="3">
        <v>164.37479999999999</v>
      </c>
      <c r="IT29" s="3">
        <v>165.19720000000001</v>
      </c>
      <c r="IU29" s="3">
        <v>165.46190000000001</v>
      </c>
      <c r="IV29" s="3">
        <v>166.89699999999999</v>
      </c>
      <c r="IW29" s="3">
        <v>167.66229999999999</v>
      </c>
      <c r="IX29" s="3">
        <v>168.50110000000001</v>
      </c>
      <c r="IY29" s="3">
        <v>168.77109999999999</v>
      </c>
      <c r="IZ29" s="3">
        <v>170.23500000000001</v>
      </c>
      <c r="JA29" s="3">
        <v>171.01560000000001</v>
      </c>
      <c r="JB29" s="3">
        <v>171.87110000000001</v>
      </c>
      <c r="JC29" s="3">
        <v>172.1465</v>
      </c>
      <c r="JD29" s="3">
        <v>173.6396</v>
      </c>
      <c r="JE29" s="3">
        <v>174.4359</v>
      </c>
      <c r="JF29" s="3">
        <v>175.30860000000001</v>
      </c>
      <c r="JG29" s="3">
        <v>175.58949999999999</v>
      </c>
      <c r="JH29" s="3">
        <v>177.11240000000001</v>
      </c>
      <c r="JI29" s="3">
        <v>177.9246</v>
      </c>
      <c r="JJ29" s="3">
        <v>178.81469999999999</v>
      </c>
      <c r="JK29" s="3">
        <v>179.10130000000001</v>
      </c>
      <c r="JL29" s="3">
        <v>180.65469999999999</v>
      </c>
      <c r="JM29" s="3">
        <v>181.48310000000001</v>
      </c>
      <c r="JN29" s="3">
        <v>182.39099999999999</v>
      </c>
      <c r="JO29" s="3">
        <v>182.6833</v>
      </c>
      <c r="JP29" s="3">
        <v>184.26779999999999</v>
      </c>
      <c r="JQ29" s="3">
        <v>185.11269999999999</v>
      </c>
      <c r="JR29" s="3">
        <v>186.03880000000001</v>
      </c>
      <c r="JS29" s="3">
        <v>186.33699999999999</v>
      </c>
      <c r="JT29" s="3">
        <v>187.95310000000001</v>
      </c>
      <c r="JU29" s="3">
        <v>188.815</v>
      </c>
      <c r="JV29" s="3">
        <v>189.75960000000001</v>
      </c>
      <c r="JW29" s="3">
        <v>190.06370000000001</v>
      </c>
      <c r="JX29" s="3">
        <v>191.7122</v>
      </c>
      <c r="JY29" s="3">
        <v>192.59129999999999</v>
      </c>
      <c r="JZ29" s="3">
        <v>193.5548</v>
      </c>
      <c r="KA29" s="3">
        <v>193.86500000000001</v>
      </c>
      <c r="KB29" s="3">
        <v>195.54640000000001</v>
      </c>
      <c r="KC29" s="3">
        <v>196.44309999999999</v>
      </c>
      <c r="KD29" s="3">
        <v>197.42590000000001</v>
      </c>
      <c r="KE29" s="3">
        <v>197.7423</v>
      </c>
      <c r="KF29" s="3">
        <v>199.45740000000001</v>
      </c>
      <c r="KG29" s="3">
        <v>200.37200000000001</v>
      </c>
      <c r="KH29" s="3">
        <v>201.37440000000001</v>
      </c>
      <c r="KI29" s="3">
        <v>201.69710000000001</v>
      </c>
      <c r="KJ29" s="3">
        <v>203.44649999999999</v>
      </c>
      <c r="KK29" s="3">
        <v>204.3794</v>
      </c>
      <c r="KL29" s="3">
        <v>205.40190000000001</v>
      </c>
      <c r="KM29" s="3">
        <v>205.7311</v>
      </c>
      <c r="KN29" s="3">
        <v>207.5155</v>
      </c>
      <c r="KO29" s="3">
        <v>208.46700000000001</v>
      </c>
      <c r="KP29" s="3">
        <v>209.50989999999999</v>
      </c>
      <c r="KQ29" s="3">
        <v>209.84569999999999</v>
      </c>
      <c r="KR29" s="3">
        <v>211.66579999999999</v>
      </c>
      <c r="KS29" s="3">
        <v>212.63640000000001</v>
      </c>
      <c r="KT29" s="3">
        <v>213.70009999999999</v>
      </c>
      <c r="KU29" s="3">
        <v>214.04259999999999</v>
      </c>
      <c r="KV29" s="3">
        <v>215.8991</v>
      </c>
      <c r="KW29" s="3">
        <v>216.88910000000001</v>
      </c>
      <c r="KX29" s="3">
        <v>217.9742</v>
      </c>
      <c r="KY29" s="3">
        <v>218.3235</v>
      </c>
      <c r="KZ29" s="3">
        <v>220.21709999999999</v>
      </c>
      <c r="LA29" s="3">
        <v>221.2269</v>
      </c>
      <c r="LB29" s="3">
        <v>222.33359999999999</v>
      </c>
      <c r="LC29" s="3">
        <v>222.68989999999999</v>
      </c>
      <c r="LD29" s="3">
        <v>224.62139999999999</v>
      </c>
      <c r="LE29" s="3">
        <v>225.6514</v>
      </c>
      <c r="LF29" s="3">
        <v>226.78030000000001</v>
      </c>
      <c r="LG29" t="s">
        <v>335</v>
      </c>
      <c r="LH29" t="b">
        <v>0</v>
      </c>
      <c r="LI29" t="s">
        <v>337</v>
      </c>
      <c r="LJ29">
        <v>2015</v>
      </c>
      <c r="LK29">
        <v>2023</v>
      </c>
      <c r="LL29">
        <v>4</v>
      </c>
      <c r="LM29" t="s">
        <v>337</v>
      </c>
      <c r="LN29" s="1" t="s">
        <v>344</v>
      </c>
      <c r="LO29" s="1" t="s">
        <v>345</v>
      </c>
      <c r="LP29" t="s">
        <v>340</v>
      </c>
      <c r="LQ29" t="s">
        <v>346</v>
      </c>
      <c r="LR29" s="1" t="s">
        <v>362</v>
      </c>
    </row>
    <row r="30" spans="1:330" x14ac:dyDescent="0.25">
      <c r="A30" t="s">
        <v>330</v>
      </c>
      <c r="B30" t="s">
        <v>331</v>
      </c>
      <c r="C30" s="1" t="s">
        <v>363</v>
      </c>
      <c r="D30" t="s">
        <v>332</v>
      </c>
      <c r="E30" t="s">
        <v>333</v>
      </c>
      <c r="F30" t="s">
        <v>334</v>
      </c>
      <c r="G30" s="2">
        <v>223780</v>
      </c>
      <c r="H30" s="2">
        <v>224213</v>
      </c>
      <c r="I30" s="2">
        <v>222122</v>
      </c>
      <c r="J30" s="2">
        <v>221266</v>
      </c>
      <c r="K30" s="2">
        <v>215122</v>
      </c>
      <c r="L30" s="2">
        <v>218215</v>
      </c>
      <c r="M30" s="2">
        <v>219517</v>
      </c>
      <c r="N30" s="2">
        <v>216301</v>
      </c>
      <c r="O30" s="2">
        <v>216390</v>
      </c>
      <c r="P30" s="2">
        <v>212882</v>
      </c>
      <c r="Q30" s="2">
        <v>212192</v>
      </c>
      <c r="R30" s="2">
        <v>214585</v>
      </c>
      <c r="S30" s="2">
        <v>218180</v>
      </c>
      <c r="T30" s="2">
        <v>217883</v>
      </c>
      <c r="U30" s="2">
        <v>220587</v>
      </c>
      <c r="V30" s="2">
        <v>225228</v>
      </c>
      <c r="W30" s="2">
        <v>225362</v>
      </c>
      <c r="X30" s="2">
        <v>223815</v>
      </c>
      <c r="Y30" s="2">
        <v>225295</v>
      </c>
      <c r="Z30" s="2">
        <v>229115</v>
      </c>
      <c r="AA30" s="2">
        <v>231258</v>
      </c>
      <c r="AB30" s="2">
        <v>233910</v>
      </c>
      <c r="AC30" s="2">
        <v>237107</v>
      </c>
      <c r="AD30" s="2">
        <v>239186</v>
      </c>
      <c r="AE30" s="2">
        <v>238472</v>
      </c>
      <c r="AF30" s="2">
        <v>248867</v>
      </c>
      <c r="AG30" s="2">
        <v>243369</v>
      </c>
      <c r="AH30" s="2">
        <v>245858</v>
      </c>
      <c r="AI30" s="2">
        <v>243513</v>
      </c>
      <c r="AJ30" s="2">
        <v>238722</v>
      </c>
      <c r="AK30" s="2">
        <v>238432</v>
      </c>
      <c r="AL30" s="2">
        <v>235866</v>
      </c>
      <c r="AM30" s="2">
        <v>235712</v>
      </c>
      <c r="AN30" s="2">
        <v>236272</v>
      </c>
      <c r="AO30" s="2">
        <v>238846</v>
      </c>
      <c r="AP30" s="2">
        <v>239131</v>
      </c>
      <c r="AQ30" s="2">
        <v>239578</v>
      </c>
      <c r="AR30" s="2">
        <v>242095</v>
      </c>
      <c r="AS30" s="2">
        <v>242639</v>
      </c>
      <c r="AT30" s="2">
        <v>244317</v>
      </c>
      <c r="AU30" s="2">
        <v>249032</v>
      </c>
      <c r="AV30" s="2">
        <v>250761</v>
      </c>
      <c r="AW30" s="2">
        <v>253655</v>
      </c>
      <c r="AX30" s="2">
        <v>255533</v>
      </c>
      <c r="AY30" s="2">
        <v>257683</v>
      </c>
      <c r="AZ30" s="2">
        <v>255100</v>
      </c>
      <c r="BA30" s="2">
        <v>256975</v>
      </c>
      <c r="BB30" s="2">
        <v>261627</v>
      </c>
      <c r="BC30" s="2">
        <v>264127</v>
      </c>
      <c r="BD30" s="2">
        <v>269787</v>
      </c>
      <c r="BE30" s="2">
        <v>269737</v>
      </c>
      <c r="BF30" s="2">
        <v>269896</v>
      </c>
      <c r="BG30" s="2">
        <v>272720</v>
      </c>
      <c r="BH30" s="2">
        <v>275136</v>
      </c>
      <c r="BI30" s="2">
        <v>276863</v>
      </c>
      <c r="BJ30" s="2">
        <v>282193</v>
      </c>
      <c r="BK30" s="2">
        <v>284172</v>
      </c>
      <c r="BL30" s="2">
        <v>288385</v>
      </c>
      <c r="BM30" s="2">
        <v>295493</v>
      </c>
      <c r="BN30" s="2">
        <v>298855</v>
      </c>
      <c r="BO30" s="2">
        <v>303698</v>
      </c>
      <c r="BP30" s="2">
        <v>305281</v>
      </c>
      <c r="BQ30" s="2">
        <v>309097</v>
      </c>
      <c r="BR30" s="2">
        <v>311574</v>
      </c>
      <c r="BS30" s="2">
        <v>313083</v>
      </c>
      <c r="BT30" s="2">
        <v>315039</v>
      </c>
      <c r="BU30" s="2">
        <v>315554</v>
      </c>
      <c r="BV30" s="2">
        <v>315515</v>
      </c>
      <c r="BW30" s="2">
        <v>317117</v>
      </c>
      <c r="BX30" s="2">
        <v>319239</v>
      </c>
      <c r="BY30" s="2">
        <v>315744</v>
      </c>
      <c r="BZ30" s="2">
        <v>314148</v>
      </c>
      <c r="CA30" s="2">
        <v>312596</v>
      </c>
      <c r="CB30" s="2">
        <v>312235</v>
      </c>
      <c r="CC30" s="2">
        <v>311624</v>
      </c>
      <c r="CD30" s="2">
        <v>312006</v>
      </c>
      <c r="CE30" s="2">
        <v>311904</v>
      </c>
      <c r="CF30" s="2">
        <v>311418</v>
      </c>
      <c r="CG30" s="2">
        <v>312896</v>
      </c>
      <c r="CH30" s="2">
        <v>315307</v>
      </c>
      <c r="CI30" s="2">
        <v>316882</v>
      </c>
      <c r="CJ30" s="2">
        <v>318302</v>
      </c>
      <c r="CK30" s="2">
        <v>321218</v>
      </c>
      <c r="CL30" s="2">
        <v>323400</v>
      </c>
      <c r="CM30" s="2">
        <v>326585</v>
      </c>
      <c r="CN30" s="2">
        <v>329584</v>
      </c>
      <c r="CO30" s="2">
        <v>332911</v>
      </c>
      <c r="CP30" s="2">
        <v>334363</v>
      </c>
      <c r="CQ30" s="2">
        <v>336090</v>
      </c>
      <c r="CR30" s="2">
        <v>336789</v>
      </c>
      <c r="CS30" s="2">
        <v>340542</v>
      </c>
      <c r="CT30" s="2">
        <v>341602</v>
      </c>
      <c r="CU30" s="2">
        <v>343859</v>
      </c>
      <c r="CV30" s="2">
        <v>344979</v>
      </c>
      <c r="CW30" s="2">
        <v>348214</v>
      </c>
      <c r="CX30" s="2">
        <v>352958</v>
      </c>
      <c r="CY30" s="2">
        <v>358611</v>
      </c>
      <c r="CZ30" s="2">
        <v>362573</v>
      </c>
      <c r="DA30" s="2">
        <v>365942</v>
      </c>
      <c r="DB30" s="2">
        <v>371341</v>
      </c>
      <c r="DC30" s="2">
        <v>374037</v>
      </c>
      <c r="DD30" s="2">
        <v>376421</v>
      </c>
      <c r="DE30" s="2">
        <v>377650</v>
      </c>
      <c r="DF30" s="2">
        <v>380155</v>
      </c>
      <c r="DG30" s="2">
        <v>382789</v>
      </c>
      <c r="DH30" s="2">
        <v>384605</v>
      </c>
      <c r="DI30" s="2">
        <v>390758</v>
      </c>
      <c r="DJ30" s="2">
        <v>396357</v>
      </c>
      <c r="DK30" s="2">
        <v>401242</v>
      </c>
      <c r="DL30" s="2">
        <v>404196</v>
      </c>
      <c r="DM30" s="2">
        <v>406795</v>
      </c>
      <c r="DN30" s="2">
        <v>409411</v>
      </c>
      <c r="DO30" s="2">
        <v>413054</v>
      </c>
      <c r="DP30" s="2">
        <v>414878</v>
      </c>
      <c r="DQ30" s="2">
        <v>417085</v>
      </c>
      <c r="DR30" s="2">
        <v>418445</v>
      </c>
      <c r="DS30" s="2">
        <v>419534</v>
      </c>
      <c r="DT30" s="2">
        <v>421587</v>
      </c>
      <c r="DU30" s="2">
        <v>424425</v>
      </c>
      <c r="DV30" s="2">
        <v>427725</v>
      </c>
      <c r="DW30" s="2">
        <v>430832</v>
      </c>
      <c r="DX30" s="2">
        <v>434837</v>
      </c>
      <c r="DY30" s="2">
        <v>438710</v>
      </c>
      <c r="DZ30" s="2">
        <v>442172</v>
      </c>
      <c r="EA30" s="2">
        <v>443853</v>
      </c>
      <c r="EB30" s="2">
        <v>446443</v>
      </c>
      <c r="EC30" s="2">
        <v>448171</v>
      </c>
      <c r="ED30" s="2">
        <v>450464</v>
      </c>
      <c r="EE30" s="2">
        <v>453784</v>
      </c>
      <c r="EF30" s="2">
        <v>457557</v>
      </c>
      <c r="EG30" s="2">
        <v>461135</v>
      </c>
      <c r="EH30" s="2">
        <v>465451</v>
      </c>
      <c r="EI30" s="2">
        <v>467840</v>
      </c>
      <c r="EJ30" s="2">
        <v>469655</v>
      </c>
      <c r="EK30" s="2">
        <v>470918</v>
      </c>
      <c r="EL30" s="2">
        <v>473372</v>
      </c>
      <c r="EM30" s="2">
        <v>477823</v>
      </c>
      <c r="EN30" s="2">
        <v>481314</v>
      </c>
      <c r="EO30" s="2">
        <v>484544</v>
      </c>
      <c r="EP30" s="2">
        <v>487413</v>
      </c>
      <c r="EQ30" s="2">
        <v>489783</v>
      </c>
      <c r="ER30" s="2">
        <v>487386</v>
      </c>
      <c r="ES30" s="2">
        <v>479872</v>
      </c>
      <c r="ET30" s="2">
        <v>469694</v>
      </c>
      <c r="EU30" s="2">
        <v>460105</v>
      </c>
      <c r="EV30" s="2">
        <v>458599</v>
      </c>
      <c r="EW30" s="2">
        <v>458875</v>
      </c>
      <c r="EX30" s="2">
        <v>460238</v>
      </c>
      <c r="EY30" s="2">
        <v>464543</v>
      </c>
      <c r="EZ30" s="2">
        <v>469606</v>
      </c>
      <c r="FA30" s="2">
        <v>472199</v>
      </c>
      <c r="FB30" s="2">
        <v>472612</v>
      </c>
      <c r="FC30" s="2">
        <v>473819</v>
      </c>
      <c r="FD30" s="2">
        <v>474365</v>
      </c>
      <c r="FE30" s="2">
        <v>475813</v>
      </c>
      <c r="FF30" s="2">
        <v>476479</v>
      </c>
      <c r="FG30" s="2">
        <v>480632</v>
      </c>
      <c r="FH30" s="2">
        <v>479979</v>
      </c>
      <c r="FI30" s="2">
        <v>484579</v>
      </c>
      <c r="FJ30" s="2">
        <v>484039</v>
      </c>
      <c r="FK30" s="2">
        <v>485409</v>
      </c>
      <c r="FL30" s="2">
        <v>488930</v>
      </c>
      <c r="FM30" s="2">
        <v>493002</v>
      </c>
      <c r="FN30" s="2">
        <v>496466</v>
      </c>
      <c r="FO30" s="2">
        <v>500552</v>
      </c>
      <c r="FP30" s="2">
        <v>504939</v>
      </c>
      <c r="FQ30" s="2">
        <v>508741</v>
      </c>
      <c r="FR30" s="2">
        <v>512334</v>
      </c>
      <c r="FS30" s="2">
        <v>513850</v>
      </c>
      <c r="FT30" s="2">
        <v>516876</v>
      </c>
      <c r="FU30" s="2">
        <v>518915</v>
      </c>
      <c r="FV30" s="2">
        <v>521920</v>
      </c>
      <c r="FW30" s="2">
        <v>523813</v>
      </c>
      <c r="FX30" s="2">
        <v>526750</v>
      </c>
      <c r="FY30" s="2">
        <v>528712</v>
      </c>
      <c r="FZ30" s="2">
        <v>532082</v>
      </c>
      <c r="GA30" s="2">
        <v>536566</v>
      </c>
      <c r="GB30" s="2">
        <v>540020</v>
      </c>
      <c r="GC30" s="2">
        <v>543452</v>
      </c>
      <c r="GD30" s="2">
        <v>547377</v>
      </c>
      <c r="GE30" s="2">
        <v>547688</v>
      </c>
      <c r="GF30" s="2">
        <v>548600</v>
      </c>
      <c r="GG30" s="2">
        <v>550425</v>
      </c>
      <c r="GH30" s="2">
        <v>551128</v>
      </c>
      <c r="GI30" s="2">
        <v>555141</v>
      </c>
      <c r="GJ30" s="2">
        <v>556932</v>
      </c>
      <c r="GK30" s="2">
        <v>560987</v>
      </c>
      <c r="GL30" s="2">
        <v>560861</v>
      </c>
      <c r="GM30" s="2">
        <v>545597</v>
      </c>
      <c r="GN30" s="2">
        <v>434718</v>
      </c>
      <c r="GO30" s="2">
        <v>507643</v>
      </c>
      <c r="GP30" s="2">
        <v>514531</v>
      </c>
      <c r="GQ30" s="2">
        <v>509261</v>
      </c>
      <c r="GR30" s="2">
        <v>546579</v>
      </c>
      <c r="GS30" s="2">
        <v>555956</v>
      </c>
      <c r="GT30" s="2">
        <v>564407</v>
      </c>
      <c r="GU30" s="2">
        <v>567396</v>
      </c>
      <c r="GV30" s="2">
        <v>567889</v>
      </c>
      <c r="GW30" s="2">
        <v>567445</v>
      </c>
      <c r="GX30" s="2">
        <v>568034</v>
      </c>
      <c r="GY30" s="2">
        <v>569027</v>
      </c>
      <c r="GZ30" s="2">
        <v>569076</v>
      </c>
      <c r="HA30" s="2">
        <v>568397</v>
      </c>
      <c r="HB30" s="2">
        <v>566626</v>
      </c>
      <c r="HC30" s="3">
        <v>568810.30000000005</v>
      </c>
      <c r="HD30" s="3">
        <v>570318.80000000005</v>
      </c>
      <c r="HE30" s="3">
        <v>572564.9</v>
      </c>
      <c r="HF30" s="3">
        <v>575422.6</v>
      </c>
      <c r="HG30" s="3">
        <v>578454.6</v>
      </c>
      <c r="HH30" s="3">
        <v>581723.4</v>
      </c>
      <c r="HI30" s="3">
        <v>584835.80000000005</v>
      </c>
      <c r="HJ30" s="3">
        <v>588022.80000000005</v>
      </c>
      <c r="HK30" s="3">
        <v>590933.6</v>
      </c>
      <c r="HL30" s="3">
        <v>593534.6</v>
      </c>
      <c r="HM30" s="3">
        <v>595938.4</v>
      </c>
      <c r="HN30" s="3">
        <v>598322.1</v>
      </c>
      <c r="HO30" s="3">
        <v>600745.30000000005</v>
      </c>
      <c r="HP30" s="3">
        <v>603148.1</v>
      </c>
      <c r="HQ30" s="3">
        <v>605591</v>
      </c>
      <c r="HR30" s="3">
        <v>608073.9</v>
      </c>
      <c r="HS30" s="3">
        <v>610506.19999999995</v>
      </c>
      <c r="HT30" s="3">
        <v>612948.30000000005</v>
      </c>
      <c r="HU30" s="3">
        <v>615338.80000000005</v>
      </c>
      <c r="HV30" s="3">
        <v>617738.6</v>
      </c>
      <c r="HW30" s="3">
        <v>620085.9</v>
      </c>
      <c r="HX30" s="3">
        <v>622442.30000000005</v>
      </c>
      <c r="HY30" s="3">
        <v>624745.30000000005</v>
      </c>
      <c r="HZ30" s="3">
        <v>627088.1</v>
      </c>
      <c r="IA30" s="3">
        <v>629471.1</v>
      </c>
      <c r="IB30" s="3">
        <v>631831.6</v>
      </c>
      <c r="IC30" s="3">
        <v>634169.30000000005</v>
      </c>
      <c r="ID30" s="3">
        <v>636547.5</v>
      </c>
      <c r="IE30" s="3">
        <v>638934.5</v>
      </c>
      <c r="IF30" s="3">
        <v>641362.5</v>
      </c>
      <c r="IG30" s="3">
        <v>643767.6</v>
      </c>
      <c r="IH30" s="3">
        <v>646181.69999999995</v>
      </c>
      <c r="II30" s="3">
        <v>648572.6</v>
      </c>
      <c r="IJ30" s="3">
        <v>651004.80000000005</v>
      </c>
      <c r="IK30" s="3">
        <v>653380.9</v>
      </c>
      <c r="IL30" s="3">
        <v>655733.1</v>
      </c>
      <c r="IM30" s="3">
        <v>658155.30000000005</v>
      </c>
      <c r="IN30" s="3">
        <v>660559.5</v>
      </c>
      <c r="IO30" s="3">
        <v>662901.6</v>
      </c>
      <c r="IP30" s="3">
        <v>665207.6</v>
      </c>
      <c r="IQ30" s="3">
        <v>667618.1</v>
      </c>
      <c r="IR30" s="3">
        <v>670044.1</v>
      </c>
      <c r="IS30" s="3">
        <v>672366.8</v>
      </c>
      <c r="IT30" s="3">
        <v>674709</v>
      </c>
      <c r="IU30" s="3">
        <v>677144.2</v>
      </c>
      <c r="IV30" s="3">
        <v>679589.4</v>
      </c>
      <c r="IW30" s="3">
        <v>682044.2</v>
      </c>
      <c r="IX30" s="3">
        <v>684508.5</v>
      </c>
      <c r="IY30" s="3">
        <v>687044.1</v>
      </c>
      <c r="IZ30" s="3">
        <v>689592.2</v>
      </c>
      <c r="JA30" s="3">
        <v>692153.1</v>
      </c>
      <c r="JB30" s="3">
        <v>694726.7</v>
      </c>
      <c r="JC30" s="3">
        <v>697312.9</v>
      </c>
      <c r="JD30" s="3">
        <v>699911.6</v>
      </c>
      <c r="JE30" s="3">
        <v>702523.1</v>
      </c>
      <c r="JF30" s="3">
        <v>705147.6</v>
      </c>
      <c r="JG30" s="3">
        <v>707845.4</v>
      </c>
      <c r="JH30" s="3">
        <v>710556.9</v>
      </c>
      <c r="JI30" s="3">
        <v>713282.8</v>
      </c>
      <c r="JJ30" s="3">
        <v>716022.8</v>
      </c>
      <c r="JK30" s="3">
        <v>718777.1</v>
      </c>
      <c r="JL30" s="3">
        <v>721545.4</v>
      </c>
      <c r="JM30" s="3">
        <v>724328.2</v>
      </c>
      <c r="JN30" s="3">
        <v>727125.4</v>
      </c>
      <c r="JO30" s="3">
        <v>729936.9</v>
      </c>
      <c r="JP30" s="3">
        <v>732757</v>
      </c>
      <c r="JQ30" s="3">
        <v>735585.8</v>
      </c>
      <c r="JR30" s="3">
        <v>738423.1</v>
      </c>
      <c r="JS30" s="3">
        <v>741218.6</v>
      </c>
      <c r="JT30" s="3">
        <v>744021.9</v>
      </c>
      <c r="JU30" s="3">
        <v>746832.9</v>
      </c>
      <c r="JV30" s="3">
        <v>749651.9</v>
      </c>
      <c r="JW30" s="3">
        <v>752478.7</v>
      </c>
      <c r="JX30" s="3">
        <v>755313.4</v>
      </c>
      <c r="JY30" s="3">
        <v>758155.9</v>
      </c>
      <c r="JZ30" s="3">
        <v>761006.3</v>
      </c>
      <c r="KA30" s="3">
        <v>763864.5</v>
      </c>
      <c r="KB30" s="3">
        <v>766730.3</v>
      </c>
      <c r="KC30" s="3">
        <v>769603.2</v>
      </c>
      <c r="KD30" s="3">
        <v>772483.2</v>
      </c>
      <c r="KE30" s="3">
        <v>775370.4</v>
      </c>
      <c r="KF30" s="3">
        <v>778264.8</v>
      </c>
      <c r="KG30" s="3">
        <v>781166.3</v>
      </c>
      <c r="KH30" s="3">
        <v>784075</v>
      </c>
      <c r="KI30" s="3">
        <v>786990.9</v>
      </c>
      <c r="KJ30" s="3">
        <v>789913.9</v>
      </c>
      <c r="KK30" s="3">
        <v>792844.3</v>
      </c>
      <c r="KL30" s="3">
        <v>795781.6</v>
      </c>
      <c r="KM30" s="3">
        <v>798726.4</v>
      </c>
      <c r="KN30" s="3">
        <v>801678.3</v>
      </c>
      <c r="KO30" s="3">
        <v>804637.5</v>
      </c>
      <c r="KP30" s="3">
        <v>807604.1</v>
      </c>
      <c r="KQ30" s="3">
        <v>810578.1</v>
      </c>
      <c r="KR30" s="3">
        <v>813559.5</v>
      </c>
      <c r="KS30" s="3">
        <v>816548.4</v>
      </c>
      <c r="KT30" s="3">
        <v>819544.6</v>
      </c>
      <c r="KU30" s="3">
        <v>822548.6</v>
      </c>
      <c r="KV30" s="3">
        <v>825559.9</v>
      </c>
      <c r="KW30" s="3">
        <v>828578.8</v>
      </c>
      <c r="KX30" s="3">
        <v>831605.1</v>
      </c>
      <c r="KY30" s="3">
        <v>834638.9</v>
      </c>
      <c r="KZ30" s="3">
        <v>837680.4</v>
      </c>
      <c r="LA30" s="3">
        <v>840729.1</v>
      </c>
      <c r="LB30" s="3">
        <v>843785.1</v>
      </c>
      <c r="LC30" s="3">
        <v>846848.7</v>
      </c>
      <c r="LD30" s="3">
        <v>849919.5</v>
      </c>
      <c r="LE30" s="3">
        <v>852997.8</v>
      </c>
      <c r="LF30" s="3">
        <v>856083.4</v>
      </c>
      <c r="LG30" t="s">
        <v>335</v>
      </c>
      <c r="LH30" t="b">
        <v>1</v>
      </c>
      <c r="LI30" s="1" t="s">
        <v>336</v>
      </c>
      <c r="LJ30" t="s">
        <v>337</v>
      </c>
      <c r="LK30">
        <v>2023</v>
      </c>
      <c r="LL30">
        <v>4</v>
      </c>
      <c r="LM30" t="s">
        <v>337</v>
      </c>
      <c r="LN30" t="s">
        <v>338</v>
      </c>
      <c r="LO30" s="1" t="s">
        <v>339</v>
      </c>
      <c r="LP30" t="s">
        <v>340</v>
      </c>
      <c r="LQ30" t="s">
        <v>341</v>
      </c>
      <c r="LR30" s="1" t="s">
        <v>364</v>
      </c>
    </row>
    <row r="31" spans="1:330" x14ac:dyDescent="0.25">
      <c r="A31" t="s">
        <v>330</v>
      </c>
      <c r="B31" t="s">
        <v>342</v>
      </c>
      <c r="C31" s="1" t="s">
        <v>363</v>
      </c>
      <c r="D31" t="s">
        <v>343</v>
      </c>
      <c r="E31" t="s">
        <v>337</v>
      </c>
      <c r="F31" t="s">
        <v>334</v>
      </c>
      <c r="G31" s="2">
        <v>11.88749</v>
      </c>
      <c r="H31" s="2">
        <v>12.304600000000001</v>
      </c>
      <c r="I31" s="2">
        <v>12.51315</v>
      </c>
      <c r="J31" s="2">
        <v>13.008459999999999</v>
      </c>
      <c r="K31" s="2">
        <v>13.47771</v>
      </c>
      <c r="L31" s="2">
        <v>14.23371</v>
      </c>
      <c r="M31" s="2">
        <v>14.572609999999999</v>
      </c>
      <c r="N31" s="2">
        <v>15.250400000000001</v>
      </c>
      <c r="O31" s="2">
        <v>16.058540000000001</v>
      </c>
      <c r="P31" s="2">
        <v>17.466270000000002</v>
      </c>
      <c r="Q31" s="2">
        <v>18.222280000000001</v>
      </c>
      <c r="R31" s="2">
        <v>18.847930000000002</v>
      </c>
      <c r="S31" s="2">
        <v>19.42145</v>
      </c>
      <c r="T31" s="2">
        <v>20.125319999999999</v>
      </c>
      <c r="U31" s="2">
        <v>20.594560000000001</v>
      </c>
      <c r="V31" s="2">
        <v>21.506979999999999</v>
      </c>
      <c r="W31" s="2">
        <v>22.471530000000001</v>
      </c>
      <c r="X31" s="2">
        <v>23.410019999999999</v>
      </c>
      <c r="Y31" s="2">
        <v>23.82713</v>
      </c>
      <c r="Z31" s="2">
        <v>24.139949999999999</v>
      </c>
      <c r="AA31" s="2">
        <v>24.452780000000001</v>
      </c>
      <c r="AB31" s="2">
        <v>25.078440000000001</v>
      </c>
      <c r="AC31" s="2">
        <v>25.469480000000001</v>
      </c>
      <c r="AD31" s="2">
        <v>25.860510000000001</v>
      </c>
      <c r="AE31" s="2">
        <v>26.43403</v>
      </c>
      <c r="AF31" s="2">
        <v>27.268239999999999</v>
      </c>
      <c r="AG31" s="2">
        <v>28.910589999999999</v>
      </c>
      <c r="AH31" s="2">
        <v>29.718730000000001</v>
      </c>
      <c r="AI31" s="2">
        <v>30.605080000000001</v>
      </c>
      <c r="AJ31" s="2">
        <v>32.247430000000001</v>
      </c>
      <c r="AK31" s="2">
        <v>32.951300000000003</v>
      </c>
      <c r="AL31" s="2">
        <v>33.550879999999999</v>
      </c>
      <c r="AM31" s="2">
        <v>34.385100000000001</v>
      </c>
      <c r="AN31" s="2">
        <v>36.079590000000003</v>
      </c>
      <c r="AO31" s="2">
        <v>36.731310000000001</v>
      </c>
      <c r="AP31" s="2">
        <v>37.435180000000003</v>
      </c>
      <c r="AQ31" s="2">
        <v>37.878349999999998</v>
      </c>
      <c r="AR31" s="2">
        <v>39.181800000000003</v>
      </c>
      <c r="AS31" s="2">
        <v>39.416420000000002</v>
      </c>
      <c r="AT31" s="2">
        <v>39.885669999999998</v>
      </c>
      <c r="AU31" s="2">
        <v>40.172429999999999</v>
      </c>
      <c r="AV31" s="2">
        <v>40.85022</v>
      </c>
      <c r="AW31" s="2">
        <v>41.293399999999998</v>
      </c>
      <c r="AX31" s="2">
        <v>41.762639999999998</v>
      </c>
      <c r="AY31" s="2">
        <v>41.86692</v>
      </c>
      <c r="AZ31" s="2">
        <v>42.779339999999998</v>
      </c>
      <c r="BA31" s="2">
        <v>42.98789</v>
      </c>
      <c r="BB31" s="2">
        <v>43.431060000000002</v>
      </c>
      <c r="BC31" s="2">
        <v>43.874229999999997</v>
      </c>
      <c r="BD31" s="2">
        <v>44.995199999999997</v>
      </c>
      <c r="BE31" s="2">
        <v>45.125549999999997</v>
      </c>
      <c r="BF31" s="2">
        <v>45.490519999999997</v>
      </c>
      <c r="BG31" s="2">
        <v>45.646929999999998</v>
      </c>
      <c r="BH31" s="2">
        <v>46.3508</v>
      </c>
      <c r="BI31" s="2">
        <v>46.533279999999998</v>
      </c>
      <c r="BJ31" s="2">
        <v>46.924320000000002</v>
      </c>
      <c r="BK31" s="2">
        <v>47.237139999999997</v>
      </c>
      <c r="BL31" s="2">
        <v>47.836730000000003</v>
      </c>
      <c r="BM31" s="2">
        <v>47.888869999999997</v>
      </c>
      <c r="BN31" s="2">
        <v>48.436320000000002</v>
      </c>
      <c r="BO31" s="2">
        <v>48.566670000000002</v>
      </c>
      <c r="BP31" s="2">
        <v>49.5</v>
      </c>
      <c r="BQ31" s="2">
        <v>49.9</v>
      </c>
      <c r="BR31" s="2">
        <v>50.466670000000001</v>
      </c>
      <c r="BS31" s="2">
        <v>51</v>
      </c>
      <c r="BT31" s="2">
        <v>52.133339999999997</v>
      </c>
      <c r="BU31" s="2">
        <v>52.466670000000001</v>
      </c>
      <c r="BV31" s="2">
        <v>53.266669999999998</v>
      </c>
      <c r="BW31" s="2">
        <v>53.933329999999998</v>
      </c>
      <c r="BX31" s="2">
        <v>55.6</v>
      </c>
      <c r="BY31" s="2">
        <v>56.4</v>
      </c>
      <c r="BZ31" s="2">
        <v>57.466670000000001</v>
      </c>
      <c r="CA31" s="2">
        <v>57.666670000000003</v>
      </c>
      <c r="CB31" s="2">
        <v>60.266669999999998</v>
      </c>
      <c r="CC31" s="2">
        <v>60.833329999999997</v>
      </c>
      <c r="CD31" s="2">
        <v>61.466670000000001</v>
      </c>
      <c r="CE31" s="2">
        <v>61.7</v>
      </c>
      <c r="CF31" s="2">
        <v>62.833329999999997</v>
      </c>
      <c r="CG31" s="2">
        <v>62.733330000000002</v>
      </c>
      <c r="CH31" s="2">
        <v>63.133339999999997</v>
      </c>
      <c r="CI31" s="2">
        <v>63.2</v>
      </c>
      <c r="CJ31" s="2">
        <v>64.433329999999998</v>
      </c>
      <c r="CK31" s="2">
        <v>64.5</v>
      </c>
      <c r="CL31" s="2">
        <v>64.666659999999993</v>
      </c>
      <c r="CM31" s="2">
        <v>64.766670000000005</v>
      </c>
      <c r="CN31" s="2">
        <v>65.7</v>
      </c>
      <c r="CO31" s="2">
        <v>65.633330000000001</v>
      </c>
      <c r="CP31" s="2">
        <v>65.8</v>
      </c>
      <c r="CQ31" s="2">
        <v>66.333340000000007</v>
      </c>
      <c r="CR31" s="2">
        <v>67.266670000000005</v>
      </c>
      <c r="CS31" s="2">
        <v>67.400000000000006</v>
      </c>
      <c r="CT31" s="2">
        <v>67.733329999999995</v>
      </c>
      <c r="CU31" s="2">
        <v>68.099999999999994</v>
      </c>
      <c r="CV31" s="2">
        <v>68.866669999999999</v>
      </c>
      <c r="CW31" s="2">
        <v>68.933329999999998</v>
      </c>
      <c r="CX31" s="2">
        <v>69.366669999999999</v>
      </c>
      <c r="CY31" s="2">
        <v>69.366669999999999</v>
      </c>
      <c r="CZ31" s="2">
        <v>70</v>
      </c>
      <c r="DA31" s="2">
        <v>70.266670000000005</v>
      </c>
      <c r="DB31" s="2">
        <v>70.633330000000001</v>
      </c>
      <c r="DC31" s="2">
        <v>70.5</v>
      </c>
      <c r="DD31" s="2">
        <v>71.266670000000005</v>
      </c>
      <c r="DE31" s="2">
        <v>71.233329999999995</v>
      </c>
      <c r="DF31" s="2">
        <v>71.633330000000001</v>
      </c>
      <c r="DG31" s="2">
        <v>71.599999999999994</v>
      </c>
      <c r="DH31" s="2">
        <v>72.3</v>
      </c>
      <c r="DI31" s="2">
        <v>72.133330000000001</v>
      </c>
      <c r="DJ31" s="2">
        <v>72.433329999999998</v>
      </c>
      <c r="DK31" s="2">
        <v>72.133330000000001</v>
      </c>
      <c r="DL31" s="2">
        <v>72.766670000000005</v>
      </c>
      <c r="DM31" s="2">
        <v>72.7</v>
      </c>
      <c r="DN31" s="2">
        <v>73.166659999999993</v>
      </c>
      <c r="DO31" s="2">
        <v>72.766670000000005</v>
      </c>
      <c r="DP31" s="2">
        <v>73.833340000000007</v>
      </c>
      <c r="DQ31" s="2">
        <v>73.866669999999999</v>
      </c>
      <c r="DR31" s="2">
        <v>73.900000000000006</v>
      </c>
      <c r="DS31" s="2">
        <v>73.866669999999999</v>
      </c>
      <c r="DT31" s="2">
        <v>74.533330000000007</v>
      </c>
      <c r="DU31" s="2">
        <v>74.599999999999994</v>
      </c>
      <c r="DV31" s="2">
        <v>75</v>
      </c>
      <c r="DW31" s="2">
        <v>75</v>
      </c>
      <c r="DX31" s="2">
        <v>75.466669999999993</v>
      </c>
      <c r="DY31" s="2">
        <v>75.599999999999994</v>
      </c>
      <c r="DZ31" s="2">
        <v>76.033330000000007</v>
      </c>
      <c r="EA31" s="2">
        <v>75.966669999999993</v>
      </c>
      <c r="EB31" s="2">
        <v>76.533330000000007</v>
      </c>
      <c r="EC31" s="2">
        <v>76.566670000000002</v>
      </c>
      <c r="ED31" s="2">
        <v>77.099999999999994</v>
      </c>
      <c r="EE31" s="2">
        <v>77.233329999999995</v>
      </c>
      <c r="EF31" s="2">
        <v>78</v>
      </c>
      <c r="EG31" s="2">
        <v>78.400000000000006</v>
      </c>
      <c r="EH31" s="2">
        <v>78.766670000000005</v>
      </c>
      <c r="EI31" s="2">
        <v>78.733329999999995</v>
      </c>
      <c r="EJ31" s="2">
        <v>79.8</v>
      </c>
      <c r="EK31" s="2">
        <v>80.3</v>
      </c>
      <c r="EL31" s="2">
        <v>80.900000000000006</v>
      </c>
      <c r="EM31" s="2">
        <v>81</v>
      </c>
      <c r="EN31" s="2">
        <v>81.8</v>
      </c>
      <c r="EO31" s="2">
        <v>81.733329999999995</v>
      </c>
      <c r="EP31" s="2">
        <v>82.6</v>
      </c>
      <c r="EQ31" s="2">
        <v>82.933329999999998</v>
      </c>
      <c r="ER31" s="2">
        <v>84.6</v>
      </c>
      <c r="ES31" s="2">
        <v>85.633330000000001</v>
      </c>
      <c r="ET31" s="2">
        <v>85.733329999999995</v>
      </c>
      <c r="EU31" s="2">
        <v>85.433329999999998</v>
      </c>
      <c r="EV31" s="2">
        <v>86.366669999999999</v>
      </c>
      <c r="EW31" s="2">
        <v>86.933329999999998</v>
      </c>
      <c r="EX31" s="2">
        <v>87.566670000000002</v>
      </c>
      <c r="EY31" s="2">
        <v>88.233329999999995</v>
      </c>
      <c r="EZ31" s="2">
        <v>89.366669999999999</v>
      </c>
      <c r="FA31" s="2">
        <v>89.633330000000001</v>
      </c>
      <c r="FB31" s="2">
        <v>90.5</v>
      </c>
      <c r="FC31" s="2">
        <v>91.833340000000007</v>
      </c>
      <c r="FD31" s="2">
        <v>93.3</v>
      </c>
      <c r="FE31" s="2">
        <v>93.833340000000007</v>
      </c>
      <c r="FF31" s="2">
        <v>94.733329999999995</v>
      </c>
      <c r="FG31" s="2">
        <v>95.033330000000007</v>
      </c>
      <c r="FH31" s="2">
        <v>95.8</v>
      </c>
      <c r="FI31" s="2">
        <v>96.066670000000002</v>
      </c>
      <c r="FJ31" s="2">
        <v>97.266670000000005</v>
      </c>
      <c r="FK31" s="2">
        <v>97.666659999999993</v>
      </c>
      <c r="FL31" s="2">
        <v>98.366669999999999</v>
      </c>
      <c r="FM31" s="2">
        <v>98.7</v>
      </c>
      <c r="FN31" s="2">
        <v>99.3</v>
      </c>
      <c r="FO31" s="2">
        <v>99.4</v>
      </c>
      <c r="FP31" s="2">
        <v>100.1</v>
      </c>
      <c r="FQ31" s="2">
        <v>100.13330000000001</v>
      </c>
      <c r="FR31" s="2">
        <v>100.2</v>
      </c>
      <c r="FS31" s="2">
        <v>99.5</v>
      </c>
      <c r="FT31" s="2">
        <v>100.0667</v>
      </c>
      <c r="FU31" s="2">
        <v>100.16670000000001</v>
      </c>
      <c r="FV31" s="2">
        <v>100.3</v>
      </c>
      <c r="FW31" s="2">
        <v>99.833340000000007</v>
      </c>
      <c r="FX31" s="2">
        <v>100.4</v>
      </c>
      <c r="FY31" s="2">
        <v>100.86669999999999</v>
      </c>
      <c r="FZ31" s="2">
        <v>101.5</v>
      </c>
      <c r="GA31" s="2">
        <v>102</v>
      </c>
      <c r="GB31" s="2">
        <v>103.16670000000001</v>
      </c>
      <c r="GC31" s="2">
        <v>103.7</v>
      </c>
      <c r="GD31" s="2">
        <v>104.5667</v>
      </c>
      <c r="GE31" s="2">
        <v>104.7667</v>
      </c>
      <c r="GF31" s="2">
        <v>105.66670000000001</v>
      </c>
      <c r="GG31" s="2">
        <v>106.3</v>
      </c>
      <c r="GH31" s="2">
        <v>106.9333</v>
      </c>
      <c r="GI31" s="2">
        <v>106.7</v>
      </c>
      <c r="GJ31" s="2">
        <v>107.8</v>
      </c>
      <c r="GK31" s="2">
        <v>108.2667</v>
      </c>
      <c r="GL31" s="2">
        <v>108.4333</v>
      </c>
      <c r="GM31" s="2">
        <v>108.4667</v>
      </c>
      <c r="GN31" s="2">
        <v>108.5333</v>
      </c>
      <c r="GO31" s="2">
        <v>108.9333</v>
      </c>
      <c r="GP31" s="2">
        <v>109.0667</v>
      </c>
      <c r="GQ31" s="2">
        <v>109.16670000000001</v>
      </c>
      <c r="GR31" s="2">
        <v>110.7333</v>
      </c>
      <c r="GS31" s="2">
        <v>111.9333</v>
      </c>
      <c r="GT31" s="2">
        <v>114.4</v>
      </c>
      <c r="GU31" s="2">
        <v>115.9333</v>
      </c>
      <c r="GV31" s="2">
        <v>120.86669999999999</v>
      </c>
      <c r="GW31" s="2">
        <v>123.13330000000001</v>
      </c>
      <c r="GX31" s="2">
        <v>126.7</v>
      </c>
      <c r="GY31" s="2">
        <v>127.7333</v>
      </c>
      <c r="GZ31" s="2">
        <v>131.0667</v>
      </c>
      <c r="HA31" s="2">
        <v>131.4</v>
      </c>
      <c r="HB31" s="2">
        <v>131.9667</v>
      </c>
      <c r="HC31" s="2">
        <v>132.26669999999999</v>
      </c>
      <c r="HD31" s="3">
        <v>133.56780000000001</v>
      </c>
      <c r="HE31" s="3">
        <v>133.80340000000001</v>
      </c>
      <c r="HF31" s="3">
        <v>134.6797</v>
      </c>
      <c r="HG31" s="3">
        <v>134.93379999999999</v>
      </c>
      <c r="HH31" s="3">
        <v>136.2373</v>
      </c>
      <c r="HI31" s="3">
        <v>136.92490000000001</v>
      </c>
      <c r="HJ31" s="3">
        <v>137.798</v>
      </c>
      <c r="HK31" s="3">
        <v>138.12039999999999</v>
      </c>
      <c r="HL31" s="3">
        <v>139.4272</v>
      </c>
      <c r="HM31" s="3">
        <v>140.12360000000001</v>
      </c>
      <c r="HN31" s="3">
        <v>140.9573</v>
      </c>
      <c r="HO31" s="3">
        <v>141.26169999999999</v>
      </c>
      <c r="HP31" s="3">
        <v>142.5675</v>
      </c>
      <c r="HQ31" s="3">
        <v>143.2664</v>
      </c>
      <c r="HR31" s="3">
        <v>144.07339999999999</v>
      </c>
      <c r="HS31" s="3">
        <v>144.35470000000001</v>
      </c>
      <c r="HT31" s="3">
        <v>145.6327</v>
      </c>
      <c r="HU31" s="3">
        <v>146.30549999999999</v>
      </c>
      <c r="HV31" s="3">
        <v>147.07210000000001</v>
      </c>
      <c r="HW31" s="3">
        <v>147.3219</v>
      </c>
      <c r="HX31" s="3">
        <v>148.6001</v>
      </c>
      <c r="HY31" s="3">
        <v>149.27500000000001</v>
      </c>
      <c r="HZ31" s="3">
        <v>150.02850000000001</v>
      </c>
      <c r="IA31" s="3">
        <v>150.27109999999999</v>
      </c>
      <c r="IB31" s="3">
        <v>151.5736</v>
      </c>
      <c r="IC31" s="3">
        <v>152.27180000000001</v>
      </c>
      <c r="ID31" s="3">
        <v>153.0284</v>
      </c>
      <c r="IE31" s="3">
        <v>153.2766</v>
      </c>
      <c r="IF31" s="3">
        <v>154.60509999999999</v>
      </c>
      <c r="IG31" s="3">
        <v>155.31720000000001</v>
      </c>
      <c r="IH31" s="3">
        <v>156.0889</v>
      </c>
      <c r="II31" s="3">
        <v>156.34209999999999</v>
      </c>
      <c r="IJ31" s="3">
        <v>157.69720000000001</v>
      </c>
      <c r="IK31" s="3">
        <v>158.42349999999999</v>
      </c>
      <c r="IL31" s="3">
        <v>159.2107</v>
      </c>
      <c r="IM31" s="3">
        <v>159.46889999999999</v>
      </c>
      <c r="IN31" s="3">
        <v>160.8511</v>
      </c>
      <c r="IO31" s="3">
        <v>161.59200000000001</v>
      </c>
      <c r="IP31" s="3">
        <v>162.39490000000001</v>
      </c>
      <c r="IQ31" s="3">
        <v>162.6583</v>
      </c>
      <c r="IR31" s="3">
        <v>164.06809999999999</v>
      </c>
      <c r="IS31" s="3">
        <v>164.82380000000001</v>
      </c>
      <c r="IT31" s="3">
        <v>165.64279999999999</v>
      </c>
      <c r="IU31" s="3">
        <v>165.91149999999999</v>
      </c>
      <c r="IV31" s="3">
        <v>167.34950000000001</v>
      </c>
      <c r="IW31" s="3">
        <v>168.12029999999999</v>
      </c>
      <c r="IX31" s="3">
        <v>168.95570000000001</v>
      </c>
      <c r="IY31" s="3">
        <v>169.22970000000001</v>
      </c>
      <c r="IZ31" s="3">
        <v>170.69649999999999</v>
      </c>
      <c r="JA31" s="3">
        <v>171.48269999999999</v>
      </c>
      <c r="JB31" s="3">
        <v>172.3348</v>
      </c>
      <c r="JC31" s="3">
        <v>172.61429999999999</v>
      </c>
      <c r="JD31" s="3">
        <v>174.1104</v>
      </c>
      <c r="JE31" s="3">
        <v>174.91239999999999</v>
      </c>
      <c r="JF31" s="3">
        <v>175.78149999999999</v>
      </c>
      <c r="JG31" s="3">
        <v>176.06659999999999</v>
      </c>
      <c r="JH31" s="3">
        <v>177.5926</v>
      </c>
      <c r="JI31" s="3">
        <v>178.41059999999999</v>
      </c>
      <c r="JJ31" s="3">
        <v>179.2971</v>
      </c>
      <c r="JK31" s="3">
        <v>179.58789999999999</v>
      </c>
      <c r="JL31" s="3">
        <v>181.14449999999999</v>
      </c>
      <c r="JM31" s="3">
        <v>181.97880000000001</v>
      </c>
      <c r="JN31" s="3">
        <v>182.88310000000001</v>
      </c>
      <c r="JO31" s="3">
        <v>183.1797</v>
      </c>
      <c r="JP31" s="3">
        <v>184.76740000000001</v>
      </c>
      <c r="JQ31" s="3">
        <v>185.61840000000001</v>
      </c>
      <c r="JR31" s="3">
        <v>186.54069999999999</v>
      </c>
      <c r="JS31" s="3">
        <v>186.8433</v>
      </c>
      <c r="JT31" s="3">
        <v>188.46270000000001</v>
      </c>
      <c r="JU31" s="3">
        <v>189.33080000000001</v>
      </c>
      <c r="JV31" s="3">
        <v>190.2715</v>
      </c>
      <c r="JW31" s="3">
        <v>190.58009999999999</v>
      </c>
      <c r="JX31" s="3">
        <v>192.232</v>
      </c>
      <c r="JY31" s="3">
        <v>193.1174</v>
      </c>
      <c r="JZ31" s="3">
        <v>194.077</v>
      </c>
      <c r="KA31" s="3">
        <v>194.39169999999999</v>
      </c>
      <c r="KB31" s="3">
        <v>196.07660000000001</v>
      </c>
      <c r="KC31" s="3">
        <v>196.97980000000001</v>
      </c>
      <c r="KD31" s="3">
        <v>197.95849999999999</v>
      </c>
      <c r="KE31" s="3">
        <v>198.27959999999999</v>
      </c>
      <c r="KF31" s="3">
        <v>199.99809999999999</v>
      </c>
      <c r="KG31" s="3">
        <v>200.91929999999999</v>
      </c>
      <c r="KH31" s="3">
        <v>201.9177</v>
      </c>
      <c r="KI31" s="3">
        <v>202.24510000000001</v>
      </c>
      <c r="KJ31" s="3">
        <v>203.99809999999999</v>
      </c>
      <c r="KK31" s="3">
        <v>204.93770000000001</v>
      </c>
      <c r="KL31" s="3">
        <v>205.95599999999999</v>
      </c>
      <c r="KM31" s="3">
        <v>206.2901</v>
      </c>
      <c r="KN31" s="3">
        <v>208.07810000000001</v>
      </c>
      <c r="KO31" s="3">
        <v>209.03649999999999</v>
      </c>
      <c r="KP31" s="3">
        <v>210.07509999999999</v>
      </c>
      <c r="KQ31" s="3">
        <v>210.41589999999999</v>
      </c>
      <c r="KR31" s="3">
        <v>212.2396</v>
      </c>
      <c r="KS31" s="3">
        <v>213.21719999999999</v>
      </c>
      <c r="KT31" s="3">
        <v>214.2766</v>
      </c>
      <c r="KU31" s="3">
        <v>214.6242</v>
      </c>
      <c r="KV31" s="3">
        <v>216.48439999999999</v>
      </c>
      <c r="KW31" s="3">
        <v>217.48159999999999</v>
      </c>
      <c r="KX31" s="3">
        <v>218.56219999999999</v>
      </c>
      <c r="KY31" s="3">
        <v>218.91669999999999</v>
      </c>
      <c r="KZ31" s="3">
        <v>220.8141</v>
      </c>
      <c r="LA31" s="3">
        <v>221.8312</v>
      </c>
      <c r="LB31" s="3">
        <v>222.93340000000001</v>
      </c>
      <c r="LC31" s="3">
        <v>223.29499999999999</v>
      </c>
      <c r="LD31" s="3">
        <v>225.2304</v>
      </c>
      <c r="LE31" s="3">
        <v>226.26779999999999</v>
      </c>
      <c r="LF31" s="3">
        <v>227.3921</v>
      </c>
      <c r="LG31" t="s">
        <v>335</v>
      </c>
      <c r="LH31" t="b">
        <v>0</v>
      </c>
      <c r="LI31" t="s">
        <v>337</v>
      </c>
      <c r="LJ31">
        <v>2015</v>
      </c>
      <c r="LK31">
        <v>2024</v>
      </c>
      <c r="LL31">
        <v>1</v>
      </c>
      <c r="LM31" t="s">
        <v>337</v>
      </c>
      <c r="LN31" s="1" t="s">
        <v>344</v>
      </c>
      <c r="LO31" s="1" t="s">
        <v>345</v>
      </c>
      <c r="LP31" t="s">
        <v>340</v>
      </c>
      <c r="LQ31" t="s">
        <v>346</v>
      </c>
      <c r="LR31" s="1" t="s">
        <v>364</v>
      </c>
    </row>
    <row r="32" spans="1:330" x14ac:dyDescent="0.25">
      <c r="A32" t="s">
        <v>330</v>
      </c>
      <c r="B32" t="s">
        <v>331</v>
      </c>
      <c r="C32" s="1" t="s">
        <v>365</v>
      </c>
      <c r="D32" t="s">
        <v>332</v>
      </c>
      <c r="E32" t="s">
        <v>333</v>
      </c>
      <c r="F32" t="s">
        <v>334</v>
      </c>
      <c r="G32" s="2">
        <v>223780</v>
      </c>
      <c r="H32" s="2">
        <v>224213</v>
      </c>
      <c r="I32" s="2">
        <v>222122</v>
      </c>
      <c r="J32" s="2">
        <v>221266</v>
      </c>
      <c r="K32" s="2">
        <v>215122</v>
      </c>
      <c r="L32" s="2">
        <v>218215</v>
      </c>
      <c r="M32" s="2">
        <v>219517</v>
      </c>
      <c r="N32" s="2">
        <v>216301</v>
      </c>
      <c r="O32" s="2">
        <v>216390</v>
      </c>
      <c r="P32" s="2">
        <v>212882</v>
      </c>
      <c r="Q32" s="2">
        <v>212192</v>
      </c>
      <c r="R32" s="2">
        <v>214585</v>
      </c>
      <c r="S32" s="2">
        <v>218180</v>
      </c>
      <c r="T32" s="2">
        <v>217883</v>
      </c>
      <c r="U32" s="2">
        <v>220587</v>
      </c>
      <c r="V32" s="2">
        <v>225228</v>
      </c>
      <c r="W32" s="2">
        <v>225362</v>
      </c>
      <c r="X32" s="2">
        <v>223815</v>
      </c>
      <c r="Y32" s="2">
        <v>225295</v>
      </c>
      <c r="Z32" s="2">
        <v>229115</v>
      </c>
      <c r="AA32" s="2">
        <v>231258</v>
      </c>
      <c r="AB32" s="2">
        <v>233910</v>
      </c>
      <c r="AC32" s="2">
        <v>237107</v>
      </c>
      <c r="AD32" s="2">
        <v>239186</v>
      </c>
      <c r="AE32" s="2">
        <v>238472</v>
      </c>
      <c r="AF32" s="2">
        <v>248867</v>
      </c>
      <c r="AG32" s="2">
        <v>243369</v>
      </c>
      <c r="AH32" s="2">
        <v>245858</v>
      </c>
      <c r="AI32" s="2">
        <v>243513</v>
      </c>
      <c r="AJ32" s="2">
        <v>238722</v>
      </c>
      <c r="AK32" s="2">
        <v>238432</v>
      </c>
      <c r="AL32" s="2">
        <v>235866</v>
      </c>
      <c r="AM32" s="2">
        <v>235712</v>
      </c>
      <c r="AN32" s="2">
        <v>236272</v>
      </c>
      <c r="AO32" s="2">
        <v>238846</v>
      </c>
      <c r="AP32" s="2">
        <v>239131</v>
      </c>
      <c r="AQ32" s="2">
        <v>239578</v>
      </c>
      <c r="AR32" s="2">
        <v>242095</v>
      </c>
      <c r="AS32" s="2">
        <v>242639</v>
      </c>
      <c r="AT32" s="2">
        <v>244317</v>
      </c>
      <c r="AU32" s="2">
        <v>249032</v>
      </c>
      <c r="AV32" s="2">
        <v>250761</v>
      </c>
      <c r="AW32" s="2">
        <v>253655</v>
      </c>
      <c r="AX32" s="2">
        <v>255533</v>
      </c>
      <c r="AY32" s="2">
        <v>257683</v>
      </c>
      <c r="AZ32" s="2">
        <v>255100</v>
      </c>
      <c r="BA32" s="2">
        <v>256975</v>
      </c>
      <c r="BB32" s="2">
        <v>261627</v>
      </c>
      <c r="BC32" s="2">
        <v>264127</v>
      </c>
      <c r="BD32" s="2">
        <v>269787</v>
      </c>
      <c r="BE32" s="2">
        <v>269737</v>
      </c>
      <c r="BF32" s="2">
        <v>269896</v>
      </c>
      <c r="BG32" s="2">
        <v>272720</v>
      </c>
      <c r="BH32" s="2">
        <v>275136</v>
      </c>
      <c r="BI32" s="2">
        <v>276863</v>
      </c>
      <c r="BJ32" s="2">
        <v>282193</v>
      </c>
      <c r="BK32" s="2">
        <v>284172</v>
      </c>
      <c r="BL32" s="2">
        <v>288385</v>
      </c>
      <c r="BM32" s="2">
        <v>295493</v>
      </c>
      <c r="BN32" s="2">
        <v>298855</v>
      </c>
      <c r="BO32" s="2">
        <v>303698</v>
      </c>
      <c r="BP32" s="2">
        <v>305281</v>
      </c>
      <c r="BQ32" s="2">
        <v>309097</v>
      </c>
      <c r="BR32" s="2">
        <v>311574</v>
      </c>
      <c r="BS32" s="2">
        <v>313083</v>
      </c>
      <c r="BT32" s="2">
        <v>315039</v>
      </c>
      <c r="BU32" s="2">
        <v>315554</v>
      </c>
      <c r="BV32" s="2">
        <v>315515</v>
      </c>
      <c r="BW32" s="2">
        <v>317117</v>
      </c>
      <c r="BX32" s="2">
        <v>319239</v>
      </c>
      <c r="BY32" s="2">
        <v>315744</v>
      </c>
      <c r="BZ32" s="2">
        <v>314148</v>
      </c>
      <c r="CA32" s="2">
        <v>312596</v>
      </c>
      <c r="CB32" s="2">
        <v>312235</v>
      </c>
      <c r="CC32" s="2">
        <v>311624</v>
      </c>
      <c r="CD32" s="2">
        <v>312006</v>
      </c>
      <c r="CE32" s="2">
        <v>311904</v>
      </c>
      <c r="CF32" s="2">
        <v>311418</v>
      </c>
      <c r="CG32" s="2">
        <v>312896</v>
      </c>
      <c r="CH32" s="2">
        <v>315307</v>
      </c>
      <c r="CI32" s="2">
        <v>316882</v>
      </c>
      <c r="CJ32" s="2">
        <v>318302</v>
      </c>
      <c r="CK32" s="2">
        <v>321218</v>
      </c>
      <c r="CL32" s="2">
        <v>323400</v>
      </c>
      <c r="CM32" s="2">
        <v>326585</v>
      </c>
      <c r="CN32" s="2">
        <v>329584</v>
      </c>
      <c r="CO32" s="2">
        <v>332911</v>
      </c>
      <c r="CP32" s="2">
        <v>334363</v>
      </c>
      <c r="CQ32" s="2">
        <v>336090</v>
      </c>
      <c r="CR32" s="2">
        <v>336789</v>
      </c>
      <c r="CS32" s="2">
        <v>340542</v>
      </c>
      <c r="CT32" s="2">
        <v>341602</v>
      </c>
      <c r="CU32" s="2">
        <v>343859</v>
      </c>
      <c r="CV32" s="2">
        <v>344979</v>
      </c>
      <c r="CW32" s="2">
        <v>348214</v>
      </c>
      <c r="CX32" s="2">
        <v>352958</v>
      </c>
      <c r="CY32" s="2">
        <v>358611</v>
      </c>
      <c r="CZ32" s="2">
        <v>362573</v>
      </c>
      <c r="DA32" s="2">
        <v>365942</v>
      </c>
      <c r="DB32" s="2">
        <v>371341</v>
      </c>
      <c r="DC32" s="2">
        <v>374037</v>
      </c>
      <c r="DD32" s="2">
        <v>376421</v>
      </c>
      <c r="DE32" s="2">
        <v>377650</v>
      </c>
      <c r="DF32" s="2">
        <v>380155</v>
      </c>
      <c r="DG32" s="2">
        <v>382789</v>
      </c>
      <c r="DH32" s="2">
        <v>384605</v>
      </c>
      <c r="DI32" s="2">
        <v>390758</v>
      </c>
      <c r="DJ32" s="2">
        <v>396357</v>
      </c>
      <c r="DK32" s="2">
        <v>401242</v>
      </c>
      <c r="DL32" s="2">
        <v>404196</v>
      </c>
      <c r="DM32" s="2">
        <v>406795</v>
      </c>
      <c r="DN32" s="2">
        <v>409411</v>
      </c>
      <c r="DO32" s="2">
        <v>413054</v>
      </c>
      <c r="DP32" s="2">
        <v>414878</v>
      </c>
      <c r="DQ32" s="2">
        <v>417085</v>
      </c>
      <c r="DR32" s="2">
        <v>418445</v>
      </c>
      <c r="DS32" s="2">
        <v>419534</v>
      </c>
      <c r="DT32" s="2">
        <v>421587</v>
      </c>
      <c r="DU32" s="2">
        <v>424425</v>
      </c>
      <c r="DV32" s="2">
        <v>427725</v>
      </c>
      <c r="DW32" s="2">
        <v>430832</v>
      </c>
      <c r="DX32" s="2">
        <v>434837</v>
      </c>
      <c r="DY32" s="2">
        <v>438710</v>
      </c>
      <c r="DZ32" s="2">
        <v>442172</v>
      </c>
      <c r="EA32" s="2">
        <v>443853</v>
      </c>
      <c r="EB32" s="2">
        <v>446443</v>
      </c>
      <c r="EC32" s="2">
        <v>448171</v>
      </c>
      <c r="ED32" s="2">
        <v>450464</v>
      </c>
      <c r="EE32" s="2">
        <v>453784</v>
      </c>
      <c r="EF32" s="2">
        <v>457557</v>
      </c>
      <c r="EG32" s="2">
        <v>461135</v>
      </c>
      <c r="EH32" s="2">
        <v>465451</v>
      </c>
      <c r="EI32" s="2">
        <v>467840</v>
      </c>
      <c r="EJ32" s="2">
        <v>469655</v>
      </c>
      <c r="EK32" s="2">
        <v>470918</v>
      </c>
      <c r="EL32" s="2">
        <v>473372</v>
      </c>
      <c r="EM32" s="2">
        <v>477823</v>
      </c>
      <c r="EN32" s="2">
        <v>481314</v>
      </c>
      <c r="EO32" s="2">
        <v>484544</v>
      </c>
      <c r="EP32" s="2">
        <v>487413</v>
      </c>
      <c r="EQ32" s="2">
        <v>489783</v>
      </c>
      <c r="ER32" s="2">
        <v>487386</v>
      </c>
      <c r="ES32" s="2">
        <v>479872</v>
      </c>
      <c r="ET32" s="2">
        <v>469694</v>
      </c>
      <c r="EU32" s="2">
        <v>460105</v>
      </c>
      <c r="EV32" s="2">
        <v>458599</v>
      </c>
      <c r="EW32" s="2">
        <v>458875</v>
      </c>
      <c r="EX32" s="2">
        <v>460238</v>
      </c>
      <c r="EY32" s="2">
        <v>464543</v>
      </c>
      <c r="EZ32" s="2">
        <v>469606</v>
      </c>
      <c r="FA32" s="2">
        <v>472199</v>
      </c>
      <c r="FB32" s="2">
        <v>472612</v>
      </c>
      <c r="FC32" s="2">
        <v>473819</v>
      </c>
      <c r="FD32" s="2">
        <v>474365</v>
      </c>
      <c r="FE32" s="2">
        <v>475813</v>
      </c>
      <c r="FF32" s="2">
        <v>476479</v>
      </c>
      <c r="FG32" s="2">
        <v>480632</v>
      </c>
      <c r="FH32" s="2">
        <v>479979</v>
      </c>
      <c r="FI32" s="2">
        <v>484579</v>
      </c>
      <c r="FJ32" s="2">
        <v>484039</v>
      </c>
      <c r="FK32" s="2">
        <v>485409</v>
      </c>
      <c r="FL32" s="2">
        <v>488930</v>
      </c>
      <c r="FM32" s="2">
        <v>493002</v>
      </c>
      <c r="FN32" s="2">
        <v>496466</v>
      </c>
      <c r="FO32" s="2">
        <v>500552</v>
      </c>
      <c r="FP32" s="2">
        <v>504939</v>
      </c>
      <c r="FQ32" s="2">
        <v>508741</v>
      </c>
      <c r="FR32" s="2">
        <v>512334</v>
      </c>
      <c r="FS32" s="2">
        <v>513850</v>
      </c>
      <c r="FT32" s="2">
        <v>516876</v>
      </c>
      <c r="FU32" s="2">
        <v>518915</v>
      </c>
      <c r="FV32" s="2">
        <v>521920</v>
      </c>
      <c r="FW32" s="2">
        <v>523813</v>
      </c>
      <c r="FX32" s="2">
        <v>526750</v>
      </c>
      <c r="FY32" s="2">
        <v>528712</v>
      </c>
      <c r="FZ32" s="2">
        <v>532082</v>
      </c>
      <c r="GA32" s="2">
        <v>536566</v>
      </c>
      <c r="GB32" s="2">
        <v>540020</v>
      </c>
      <c r="GC32" s="2">
        <v>543452</v>
      </c>
      <c r="GD32" s="2">
        <v>547377</v>
      </c>
      <c r="GE32" s="2">
        <v>547688</v>
      </c>
      <c r="GF32" s="2">
        <v>548600</v>
      </c>
      <c r="GG32" s="2">
        <v>550425</v>
      </c>
      <c r="GH32" s="2">
        <v>551128</v>
      </c>
      <c r="GI32" s="2">
        <v>555141</v>
      </c>
      <c r="GJ32" s="2">
        <v>556932</v>
      </c>
      <c r="GK32" s="2">
        <v>560987</v>
      </c>
      <c r="GL32" s="2">
        <v>560861</v>
      </c>
      <c r="GM32" s="2">
        <v>545597</v>
      </c>
      <c r="GN32" s="2">
        <v>434718</v>
      </c>
      <c r="GO32" s="2">
        <v>507643</v>
      </c>
      <c r="GP32" s="2">
        <v>514531</v>
      </c>
      <c r="GQ32" s="2">
        <v>509261</v>
      </c>
      <c r="GR32" s="2">
        <v>546579</v>
      </c>
      <c r="GS32" s="2">
        <v>555956</v>
      </c>
      <c r="GT32" s="2">
        <v>564407</v>
      </c>
      <c r="GU32" s="2">
        <v>567396</v>
      </c>
      <c r="GV32" s="2">
        <v>567889</v>
      </c>
      <c r="GW32" s="2">
        <v>567445</v>
      </c>
      <c r="GX32" s="2">
        <v>568034</v>
      </c>
      <c r="GY32" s="2">
        <v>569027</v>
      </c>
      <c r="GZ32" s="2">
        <v>569076</v>
      </c>
      <c r="HA32" s="2">
        <v>568397</v>
      </c>
      <c r="HB32" s="2">
        <v>566626</v>
      </c>
      <c r="HC32" s="3">
        <v>568810.30000000005</v>
      </c>
      <c r="HD32" s="3">
        <v>570318.80000000005</v>
      </c>
      <c r="HE32" s="3">
        <v>572564.9</v>
      </c>
      <c r="HF32" s="3">
        <v>575422.6</v>
      </c>
      <c r="HG32" s="3">
        <v>578454.6</v>
      </c>
      <c r="HH32" s="3">
        <v>581723.4</v>
      </c>
      <c r="HI32" s="3">
        <v>584835.80000000005</v>
      </c>
      <c r="HJ32" s="3">
        <v>588022.80000000005</v>
      </c>
      <c r="HK32" s="3">
        <v>590933.6</v>
      </c>
      <c r="HL32" s="3">
        <v>593534.6</v>
      </c>
      <c r="HM32" s="3">
        <v>595938.4</v>
      </c>
      <c r="HN32" s="3">
        <v>598322.1</v>
      </c>
      <c r="HO32" s="3">
        <v>600745.30000000005</v>
      </c>
      <c r="HP32" s="3">
        <v>603148.1</v>
      </c>
      <c r="HQ32" s="3">
        <v>605591</v>
      </c>
      <c r="HR32" s="3">
        <v>608073.9</v>
      </c>
      <c r="HS32" s="3">
        <v>610506.19999999995</v>
      </c>
      <c r="HT32" s="3">
        <v>612948.30000000005</v>
      </c>
      <c r="HU32" s="3">
        <v>615338.80000000005</v>
      </c>
      <c r="HV32" s="3">
        <v>617738.6</v>
      </c>
      <c r="HW32" s="3">
        <v>620085.9</v>
      </c>
      <c r="HX32" s="3">
        <v>622442.30000000005</v>
      </c>
      <c r="HY32" s="3">
        <v>624745.30000000005</v>
      </c>
      <c r="HZ32" s="3">
        <v>627088.1</v>
      </c>
      <c r="IA32" s="3">
        <v>629471.1</v>
      </c>
      <c r="IB32" s="3">
        <v>631831.6</v>
      </c>
      <c r="IC32" s="3">
        <v>634169.30000000005</v>
      </c>
      <c r="ID32" s="3">
        <v>636547.5</v>
      </c>
      <c r="IE32" s="3">
        <v>638934.5</v>
      </c>
      <c r="IF32" s="3">
        <v>641362.5</v>
      </c>
      <c r="IG32" s="3">
        <v>643767.6</v>
      </c>
      <c r="IH32" s="3">
        <v>646181.69999999995</v>
      </c>
      <c r="II32" s="3">
        <v>648572.6</v>
      </c>
      <c r="IJ32" s="3">
        <v>651004.80000000005</v>
      </c>
      <c r="IK32" s="3">
        <v>653380.9</v>
      </c>
      <c r="IL32" s="3">
        <v>655733.1</v>
      </c>
      <c r="IM32" s="3">
        <v>658155.30000000005</v>
      </c>
      <c r="IN32" s="3">
        <v>660559.5</v>
      </c>
      <c r="IO32" s="3">
        <v>662901.6</v>
      </c>
      <c r="IP32" s="3">
        <v>665207.6</v>
      </c>
      <c r="IQ32" s="3">
        <v>667618.1</v>
      </c>
      <c r="IR32" s="3">
        <v>670044.1</v>
      </c>
      <c r="IS32" s="3">
        <v>672366.8</v>
      </c>
      <c r="IT32" s="3">
        <v>674709</v>
      </c>
      <c r="IU32" s="3">
        <v>677144.2</v>
      </c>
      <c r="IV32" s="3">
        <v>679589.4</v>
      </c>
      <c r="IW32" s="3">
        <v>682044.2</v>
      </c>
      <c r="IX32" s="3">
        <v>684508.5</v>
      </c>
      <c r="IY32" s="3">
        <v>687044.1</v>
      </c>
      <c r="IZ32" s="3">
        <v>689592.2</v>
      </c>
      <c r="JA32" s="3">
        <v>692153.1</v>
      </c>
      <c r="JB32" s="3">
        <v>694726.7</v>
      </c>
      <c r="JC32" s="3">
        <v>697312.9</v>
      </c>
      <c r="JD32" s="3">
        <v>699911.6</v>
      </c>
      <c r="JE32" s="3">
        <v>702523.1</v>
      </c>
      <c r="JF32" s="3">
        <v>705147.6</v>
      </c>
      <c r="JG32" s="3">
        <v>707845.4</v>
      </c>
      <c r="JH32" s="3">
        <v>710556.9</v>
      </c>
      <c r="JI32" s="3">
        <v>713282.8</v>
      </c>
      <c r="JJ32" s="3">
        <v>716022.8</v>
      </c>
      <c r="JK32" s="3">
        <v>718777.1</v>
      </c>
      <c r="JL32" s="3">
        <v>721545.4</v>
      </c>
      <c r="JM32" s="3">
        <v>724328.2</v>
      </c>
      <c r="JN32" s="3">
        <v>727125.4</v>
      </c>
      <c r="JO32" s="3">
        <v>729936.9</v>
      </c>
      <c r="JP32" s="3">
        <v>732757</v>
      </c>
      <c r="JQ32" s="3">
        <v>735585.8</v>
      </c>
      <c r="JR32" s="3">
        <v>738423.1</v>
      </c>
      <c r="JS32" s="3">
        <v>741218.6</v>
      </c>
      <c r="JT32" s="3">
        <v>744021.9</v>
      </c>
      <c r="JU32" s="3">
        <v>746832.9</v>
      </c>
      <c r="JV32" s="3">
        <v>749651.9</v>
      </c>
      <c r="JW32" s="3">
        <v>752478.7</v>
      </c>
      <c r="JX32" s="3">
        <v>755313.4</v>
      </c>
      <c r="JY32" s="3">
        <v>758155.9</v>
      </c>
      <c r="JZ32" s="3">
        <v>761006.3</v>
      </c>
      <c r="KA32" s="3">
        <v>763864.5</v>
      </c>
      <c r="KB32" s="3">
        <v>766730.3</v>
      </c>
      <c r="KC32" s="3">
        <v>769603.2</v>
      </c>
      <c r="KD32" s="3">
        <v>772483.2</v>
      </c>
      <c r="KE32" s="3">
        <v>775370.4</v>
      </c>
      <c r="KF32" s="3">
        <v>778264.8</v>
      </c>
      <c r="KG32" s="3">
        <v>781166.3</v>
      </c>
      <c r="KH32" s="3">
        <v>784075</v>
      </c>
      <c r="KI32" s="3">
        <v>786990.9</v>
      </c>
      <c r="KJ32" s="3">
        <v>789913.9</v>
      </c>
      <c r="KK32" s="3">
        <v>792844.3</v>
      </c>
      <c r="KL32" s="3">
        <v>795781.6</v>
      </c>
      <c r="KM32" s="3">
        <v>798726.4</v>
      </c>
      <c r="KN32" s="3">
        <v>801678.3</v>
      </c>
      <c r="KO32" s="3">
        <v>804637.5</v>
      </c>
      <c r="KP32" s="3">
        <v>807604.1</v>
      </c>
      <c r="KQ32" s="3">
        <v>810578.1</v>
      </c>
      <c r="KR32" s="3">
        <v>813559.5</v>
      </c>
      <c r="KS32" s="3">
        <v>816548.4</v>
      </c>
      <c r="KT32" s="3">
        <v>819544.6</v>
      </c>
      <c r="KU32" s="3">
        <v>822548.6</v>
      </c>
      <c r="KV32" s="3">
        <v>825559.9</v>
      </c>
      <c r="KW32" s="3">
        <v>828578.8</v>
      </c>
      <c r="KX32" s="3">
        <v>831605.1</v>
      </c>
      <c r="KY32" s="3">
        <v>834638.9</v>
      </c>
      <c r="KZ32" s="3">
        <v>837680.4</v>
      </c>
      <c r="LA32" s="3">
        <v>840729.1</v>
      </c>
      <c r="LB32" s="3">
        <v>843785.1</v>
      </c>
      <c r="LC32" s="3">
        <v>846848.7</v>
      </c>
      <c r="LD32" s="3">
        <v>849919.5</v>
      </c>
      <c r="LE32" s="3">
        <v>852997.8</v>
      </c>
      <c r="LF32" s="3">
        <v>856083.4</v>
      </c>
      <c r="LG32" t="s">
        <v>335</v>
      </c>
      <c r="LH32" t="b">
        <v>1</v>
      </c>
      <c r="LI32" s="1" t="s">
        <v>336</v>
      </c>
      <c r="LJ32" t="s">
        <v>337</v>
      </c>
      <c r="LK32">
        <v>2023</v>
      </c>
      <c r="LL32">
        <v>4</v>
      </c>
      <c r="LM32" t="s">
        <v>337</v>
      </c>
      <c r="LN32" t="s">
        <v>338</v>
      </c>
      <c r="LO32" s="1" t="s">
        <v>339</v>
      </c>
      <c r="LP32" t="s">
        <v>340</v>
      </c>
      <c r="LQ32" t="s">
        <v>341</v>
      </c>
      <c r="LR32" s="1" t="s">
        <v>366</v>
      </c>
    </row>
    <row r="33" spans="1:330" x14ac:dyDescent="0.25">
      <c r="A33" t="s">
        <v>330</v>
      </c>
      <c r="B33" t="s">
        <v>342</v>
      </c>
      <c r="C33" s="1" t="s">
        <v>365</v>
      </c>
      <c r="D33" t="s">
        <v>343</v>
      </c>
      <c r="E33" t="s">
        <v>337</v>
      </c>
      <c r="F33" t="s">
        <v>334</v>
      </c>
      <c r="G33" s="2">
        <v>11.88749</v>
      </c>
      <c r="H33" s="2">
        <v>12.304600000000001</v>
      </c>
      <c r="I33" s="2">
        <v>12.51315</v>
      </c>
      <c r="J33" s="2">
        <v>13.008459999999999</v>
      </c>
      <c r="K33" s="2">
        <v>13.47771</v>
      </c>
      <c r="L33" s="2">
        <v>14.23371</v>
      </c>
      <c r="M33" s="2">
        <v>14.572609999999999</v>
      </c>
      <c r="N33" s="2">
        <v>15.250400000000001</v>
      </c>
      <c r="O33" s="2">
        <v>16.058540000000001</v>
      </c>
      <c r="P33" s="2">
        <v>17.466270000000002</v>
      </c>
      <c r="Q33" s="2">
        <v>18.222280000000001</v>
      </c>
      <c r="R33" s="2">
        <v>18.847930000000002</v>
      </c>
      <c r="S33" s="2">
        <v>19.42145</v>
      </c>
      <c r="T33" s="2">
        <v>20.125319999999999</v>
      </c>
      <c r="U33" s="2">
        <v>20.594560000000001</v>
      </c>
      <c r="V33" s="2">
        <v>21.506979999999999</v>
      </c>
      <c r="W33" s="2">
        <v>22.471530000000001</v>
      </c>
      <c r="X33" s="2">
        <v>23.410019999999999</v>
      </c>
      <c r="Y33" s="2">
        <v>23.82713</v>
      </c>
      <c r="Z33" s="2">
        <v>24.139949999999999</v>
      </c>
      <c r="AA33" s="2">
        <v>24.452780000000001</v>
      </c>
      <c r="AB33" s="2">
        <v>25.078440000000001</v>
      </c>
      <c r="AC33" s="2">
        <v>25.469480000000001</v>
      </c>
      <c r="AD33" s="2">
        <v>25.860510000000001</v>
      </c>
      <c r="AE33" s="2">
        <v>26.43403</v>
      </c>
      <c r="AF33" s="2">
        <v>27.268239999999999</v>
      </c>
      <c r="AG33" s="2">
        <v>28.910589999999999</v>
      </c>
      <c r="AH33" s="2">
        <v>29.718730000000001</v>
      </c>
      <c r="AI33" s="2">
        <v>30.605080000000001</v>
      </c>
      <c r="AJ33" s="2">
        <v>32.247430000000001</v>
      </c>
      <c r="AK33" s="2">
        <v>32.951300000000003</v>
      </c>
      <c r="AL33" s="2">
        <v>33.550879999999999</v>
      </c>
      <c r="AM33" s="2">
        <v>34.385100000000001</v>
      </c>
      <c r="AN33" s="2">
        <v>36.079590000000003</v>
      </c>
      <c r="AO33" s="2">
        <v>36.731310000000001</v>
      </c>
      <c r="AP33" s="2">
        <v>37.435180000000003</v>
      </c>
      <c r="AQ33" s="2">
        <v>37.878349999999998</v>
      </c>
      <c r="AR33" s="2">
        <v>39.181800000000003</v>
      </c>
      <c r="AS33" s="2">
        <v>39.416420000000002</v>
      </c>
      <c r="AT33" s="2">
        <v>39.885669999999998</v>
      </c>
      <c r="AU33" s="2">
        <v>40.172429999999999</v>
      </c>
      <c r="AV33" s="2">
        <v>40.85022</v>
      </c>
      <c r="AW33" s="2">
        <v>41.293399999999998</v>
      </c>
      <c r="AX33" s="2">
        <v>41.762639999999998</v>
      </c>
      <c r="AY33" s="2">
        <v>41.86692</v>
      </c>
      <c r="AZ33" s="2">
        <v>42.779339999999998</v>
      </c>
      <c r="BA33" s="2">
        <v>42.98789</v>
      </c>
      <c r="BB33" s="2">
        <v>43.431060000000002</v>
      </c>
      <c r="BC33" s="2">
        <v>43.874229999999997</v>
      </c>
      <c r="BD33" s="2">
        <v>44.995199999999997</v>
      </c>
      <c r="BE33" s="2">
        <v>45.125549999999997</v>
      </c>
      <c r="BF33" s="2">
        <v>45.490519999999997</v>
      </c>
      <c r="BG33" s="2">
        <v>45.646929999999998</v>
      </c>
      <c r="BH33" s="2">
        <v>46.3508</v>
      </c>
      <c r="BI33" s="2">
        <v>46.533279999999998</v>
      </c>
      <c r="BJ33" s="2">
        <v>46.924320000000002</v>
      </c>
      <c r="BK33" s="2">
        <v>47.237139999999997</v>
      </c>
      <c r="BL33" s="2">
        <v>47.836730000000003</v>
      </c>
      <c r="BM33" s="2">
        <v>47.888869999999997</v>
      </c>
      <c r="BN33" s="2">
        <v>48.436320000000002</v>
      </c>
      <c r="BO33" s="2">
        <v>48.566670000000002</v>
      </c>
      <c r="BP33" s="2">
        <v>49.5</v>
      </c>
      <c r="BQ33" s="2">
        <v>49.9</v>
      </c>
      <c r="BR33" s="2">
        <v>50.466670000000001</v>
      </c>
      <c r="BS33" s="2">
        <v>51</v>
      </c>
      <c r="BT33" s="2">
        <v>52.133339999999997</v>
      </c>
      <c r="BU33" s="2">
        <v>52.466670000000001</v>
      </c>
      <c r="BV33" s="2">
        <v>53.266669999999998</v>
      </c>
      <c r="BW33" s="2">
        <v>53.933329999999998</v>
      </c>
      <c r="BX33" s="2">
        <v>55.6</v>
      </c>
      <c r="BY33" s="2">
        <v>56.4</v>
      </c>
      <c r="BZ33" s="2">
        <v>57.466670000000001</v>
      </c>
      <c r="CA33" s="2">
        <v>57.666670000000003</v>
      </c>
      <c r="CB33" s="2">
        <v>60.266669999999998</v>
      </c>
      <c r="CC33" s="2">
        <v>60.833329999999997</v>
      </c>
      <c r="CD33" s="2">
        <v>61.466670000000001</v>
      </c>
      <c r="CE33" s="2">
        <v>61.7</v>
      </c>
      <c r="CF33" s="2">
        <v>62.833329999999997</v>
      </c>
      <c r="CG33" s="2">
        <v>62.733330000000002</v>
      </c>
      <c r="CH33" s="2">
        <v>63.133339999999997</v>
      </c>
      <c r="CI33" s="2">
        <v>63.2</v>
      </c>
      <c r="CJ33" s="2">
        <v>64.433329999999998</v>
      </c>
      <c r="CK33" s="2">
        <v>64.5</v>
      </c>
      <c r="CL33" s="2">
        <v>64.666659999999993</v>
      </c>
      <c r="CM33" s="2">
        <v>64.766670000000005</v>
      </c>
      <c r="CN33" s="2">
        <v>65.7</v>
      </c>
      <c r="CO33" s="2">
        <v>65.633330000000001</v>
      </c>
      <c r="CP33" s="2">
        <v>65.8</v>
      </c>
      <c r="CQ33" s="2">
        <v>66.333340000000007</v>
      </c>
      <c r="CR33" s="2">
        <v>67.266670000000005</v>
      </c>
      <c r="CS33" s="2">
        <v>67.400000000000006</v>
      </c>
      <c r="CT33" s="2">
        <v>67.733329999999995</v>
      </c>
      <c r="CU33" s="2">
        <v>68.099999999999994</v>
      </c>
      <c r="CV33" s="2">
        <v>68.866669999999999</v>
      </c>
      <c r="CW33" s="2">
        <v>68.933329999999998</v>
      </c>
      <c r="CX33" s="2">
        <v>69.366669999999999</v>
      </c>
      <c r="CY33" s="2">
        <v>69.366669999999999</v>
      </c>
      <c r="CZ33" s="2">
        <v>70</v>
      </c>
      <c r="DA33" s="2">
        <v>70.266670000000005</v>
      </c>
      <c r="DB33" s="2">
        <v>70.633330000000001</v>
      </c>
      <c r="DC33" s="2">
        <v>70.5</v>
      </c>
      <c r="DD33" s="2">
        <v>71.266670000000005</v>
      </c>
      <c r="DE33" s="2">
        <v>71.233329999999995</v>
      </c>
      <c r="DF33" s="2">
        <v>71.633330000000001</v>
      </c>
      <c r="DG33" s="2">
        <v>71.599999999999994</v>
      </c>
      <c r="DH33" s="2">
        <v>72.3</v>
      </c>
      <c r="DI33" s="2">
        <v>72.133330000000001</v>
      </c>
      <c r="DJ33" s="2">
        <v>72.433329999999998</v>
      </c>
      <c r="DK33" s="2">
        <v>72.133330000000001</v>
      </c>
      <c r="DL33" s="2">
        <v>72.766670000000005</v>
      </c>
      <c r="DM33" s="2">
        <v>72.7</v>
      </c>
      <c r="DN33" s="2">
        <v>73.166659999999993</v>
      </c>
      <c r="DO33" s="2">
        <v>72.766670000000005</v>
      </c>
      <c r="DP33" s="2">
        <v>73.833340000000007</v>
      </c>
      <c r="DQ33" s="2">
        <v>73.866669999999999</v>
      </c>
      <c r="DR33" s="2">
        <v>73.900000000000006</v>
      </c>
      <c r="DS33" s="2">
        <v>73.866669999999999</v>
      </c>
      <c r="DT33" s="2">
        <v>74.533330000000007</v>
      </c>
      <c r="DU33" s="2">
        <v>74.599999999999994</v>
      </c>
      <c r="DV33" s="2">
        <v>75</v>
      </c>
      <c r="DW33" s="2">
        <v>75</v>
      </c>
      <c r="DX33" s="2">
        <v>75.466669999999993</v>
      </c>
      <c r="DY33" s="2">
        <v>75.599999999999994</v>
      </c>
      <c r="DZ33" s="2">
        <v>76.033330000000007</v>
      </c>
      <c r="EA33" s="2">
        <v>75.966669999999993</v>
      </c>
      <c r="EB33" s="2">
        <v>76.533330000000007</v>
      </c>
      <c r="EC33" s="2">
        <v>76.566670000000002</v>
      </c>
      <c r="ED33" s="2">
        <v>77.099999999999994</v>
      </c>
      <c r="EE33" s="2">
        <v>77.233329999999995</v>
      </c>
      <c r="EF33" s="2">
        <v>78</v>
      </c>
      <c r="EG33" s="2">
        <v>78.400000000000006</v>
      </c>
      <c r="EH33" s="2">
        <v>78.766670000000005</v>
      </c>
      <c r="EI33" s="2">
        <v>78.733329999999995</v>
      </c>
      <c r="EJ33" s="2">
        <v>79.8</v>
      </c>
      <c r="EK33" s="2">
        <v>80.3</v>
      </c>
      <c r="EL33" s="2">
        <v>80.900000000000006</v>
      </c>
      <c r="EM33" s="2">
        <v>81</v>
      </c>
      <c r="EN33" s="2">
        <v>81.8</v>
      </c>
      <c r="EO33" s="2">
        <v>81.733329999999995</v>
      </c>
      <c r="EP33" s="2">
        <v>82.6</v>
      </c>
      <c r="EQ33" s="2">
        <v>82.933329999999998</v>
      </c>
      <c r="ER33" s="2">
        <v>84.6</v>
      </c>
      <c r="ES33" s="2">
        <v>85.633330000000001</v>
      </c>
      <c r="ET33" s="2">
        <v>85.733329999999995</v>
      </c>
      <c r="EU33" s="2">
        <v>85.433329999999998</v>
      </c>
      <c r="EV33" s="2">
        <v>86.366669999999999</v>
      </c>
      <c r="EW33" s="2">
        <v>86.933329999999998</v>
      </c>
      <c r="EX33" s="2">
        <v>87.566670000000002</v>
      </c>
      <c r="EY33" s="2">
        <v>88.233329999999995</v>
      </c>
      <c r="EZ33" s="2">
        <v>89.366669999999999</v>
      </c>
      <c r="FA33" s="2">
        <v>89.633330000000001</v>
      </c>
      <c r="FB33" s="2">
        <v>90.5</v>
      </c>
      <c r="FC33" s="2">
        <v>91.833340000000007</v>
      </c>
      <c r="FD33" s="2">
        <v>93.3</v>
      </c>
      <c r="FE33" s="2">
        <v>93.833340000000007</v>
      </c>
      <c r="FF33" s="2">
        <v>94.733329999999995</v>
      </c>
      <c r="FG33" s="2">
        <v>95.033330000000007</v>
      </c>
      <c r="FH33" s="2">
        <v>95.8</v>
      </c>
      <c r="FI33" s="2">
        <v>96.066670000000002</v>
      </c>
      <c r="FJ33" s="2">
        <v>97.266670000000005</v>
      </c>
      <c r="FK33" s="2">
        <v>97.666659999999993</v>
      </c>
      <c r="FL33" s="2">
        <v>98.366669999999999</v>
      </c>
      <c r="FM33" s="2">
        <v>98.7</v>
      </c>
      <c r="FN33" s="2">
        <v>99.3</v>
      </c>
      <c r="FO33" s="2">
        <v>99.4</v>
      </c>
      <c r="FP33" s="2">
        <v>100.1</v>
      </c>
      <c r="FQ33" s="2">
        <v>100.13330000000001</v>
      </c>
      <c r="FR33" s="2">
        <v>100.2</v>
      </c>
      <c r="FS33" s="2">
        <v>99.5</v>
      </c>
      <c r="FT33" s="2">
        <v>100.0667</v>
      </c>
      <c r="FU33" s="2">
        <v>100.16670000000001</v>
      </c>
      <c r="FV33" s="2">
        <v>100.3</v>
      </c>
      <c r="FW33" s="2">
        <v>99.833340000000007</v>
      </c>
      <c r="FX33" s="2">
        <v>100.4</v>
      </c>
      <c r="FY33" s="2">
        <v>100.86669999999999</v>
      </c>
      <c r="FZ33" s="2">
        <v>101.5</v>
      </c>
      <c r="GA33" s="2">
        <v>102</v>
      </c>
      <c r="GB33" s="2">
        <v>103.16670000000001</v>
      </c>
      <c r="GC33" s="2">
        <v>103.7</v>
      </c>
      <c r="GD33" s="2">
        <v>104.5667</v>
      </c>
      <c r="GE33" s="2">
        <v>104.7667</v>
      </c>
      <c r="GF33" s="2">
        <v>105.66670000000001</v>
      </c>
      <c r="GG33" s="2">
        <v>106.3</v>
      </c>
      <c r="GH33" s="2">
        <v>106.9333</v>
      </c>
      <c r="GI33" s="2">
        <v>106.7</v>
      </c>
      <c r="GJ33" s="2">
        <v>107.8</v>
      </c>
      <c r="GK33" s="2">
        <v>108.2667</v>
      </c>
      <c r="GL33" s="2">
        <v>108.4333</v>
      </c>
      <c r="GM33" s="2">
        <v>108.4667</v>
      </c>
      <c r="GN33" s="2">
        <v>108.5333</v>
      </c>
      <c r="GO33" s="2">
        <v>108.9333</v>
      </c>
      <c r="GP33" s="2">
        <v>109.0667</v>
      </c>
      <c r="GQ33" s="2">
        <v>109.16670000000001</v>
      </c>
      <c r="GR33" s="2">
        <v>110.7333</v>
      </c>
      <c r="GS33" s="2">
        <v>111.9333</v>
      </c>
      <c r="GT33" s="2">
        <v>114.4</v>
      </c>
      <c r="GU33" s="2">
        <v>115.9333</v>
      </c>
      <c r="GV33" s="2">
        <v>120.86669999999999</v>
      </c>
      <c r="GW33" s="2">
        <v>123.13330000000001</v>
      </c>
      <c r="GX33" s="2">
        <v>126.7</v>
      </c>
      <c r="GY33" s="2">
        <v>127.7333</v>
      </c>
      <c r="GZ33" s="2">
        <v>131.0667</v>
      </c>
      <c r="HA33" s="2">
        <v>131.4</v>
      </c>
      <c r="HB33" s="2">
        <v>131.9667</v>
      </c>
      <c r="HC33" s="2">
        <v>132.26669999999999</v>
      </c>
      <c r="HD33" s="3">
        <v>133.56780000000001</v>
      </c>
      <c r="HE33" s="3">
        <v>133.80340000000001</v>
      </c>
      <c r="HF33" s="3">
        <v>134.6797</v>
      </c>
      <c r="HG33" s="3">
        <v>134.93379999999999</v>
      </c>
      <c r="HH33" s="3">
        <v>136.2373</v>
      </c>
      <c r="HI33" s="3">
        <v>136.92490000000001</v>
      </c>
      <c r="HJ33" s="3">
        <v>137.798</v>
      </c>
      <c r="HK33" s="3">
        <v>138.12039999999999</v>
      </c>
      <c r="HL33" s="3">
        <v>139.4272</v>
      </c>
      <c r="HM33" s="3">
        <v>140.12360000000001</v>
      </c>
      <c r="HN33" s="3">
        <v>140.9573</v>
      </c>
      <c r="HO33" s="3">
        <v>141.26169999999999</v>
      </c>
      <c r="HP33" s="3">
        <v>142.5675</v>
      </c>
      <c r="HQ33" s="3">
        <v>143.2664</v>
      </c>
      <c r="HR33" s="3">
        <v>144.07339999999999</v>
      </c>
      <c r="HS33" s="3">
        <v>144.35470000000001</v>
      </c>
      <c r="HT33" s="3">
        <v>145.6327</v>
      </c>
      <c r="HU33" s="3">
        <v>146.30549999999999</v>
      </c>
      <c r="HV33" s="3">
        <v>147.07210000000001</v>
      </c>
      <c r="HW33" s="3">
        <v>147.3219</v>
      </c>
      <c r="HX33" s="3">
        <v>148.6001</v>
      </c>
      <c r="HY33" s="3">
        <v>149.27500000000001</v>
      </c>
      <c r="HZ33" s="3">
        <v>150.02850000000001</v>
      </c>
      <c r="IA33" s="3">
        <v>150.27109999999999</v>
      </c>
      <c r="IB33" s="3">
        <v>151.5736</v>
      </c>
      <c r="IC33" s="3">
        <v>152.27180000000001</v>
      </c>
      <c r="ID33" s="3">
        <v>153.0284</v>
      </c>
      <c r="IE33" s="3">
        <v>153.2766</v>
      </c>
      <c r="IF33" s="3">
        <v>154.60509999999999</v>
      </c>
      <c r="IG33" s="3">
        <v>155.31720000000001</v>
      </c>
      <c r="IH33" s="3">
        <v>156.0889</v>
      </c>
      <c r="II33" s="3">
        <v>156.34209999999999</v>
      </c>
      <c r="IJ33" s="3">
        <v>157.69720000000001</v>
      </c>
      <c r="IK33" s="3">
        <v>158.42349999999999</v>
      </c>
      <c r="IL33" s="3">
        <v>159.2107</v>
      </c>
      <c r="IM33" s="3">
        <v>159.46889999999999</v>
      </c>
      <c r="IN33" s="3">
        <v>160.8511</v>
      </c>
      <c r="IO33" s="3">
        <v>161.59200000000001</v>
      </c>
      <c r="IP33" s="3">
        <v>162.39490000000001</v>
      </c>
      <c r="IQ33" s="3">
        <v>162.6583</v>
      </c>
      <c r="IR33" s="3">
        <v>164.06809999999999</v>
      </c>
      <c r="IS33" s="3">
        <v>164.82380000000001</v>
      </c>
      <c r="IT33" s="3">
        <v>165.64279999999999</v>
      </c>
      <c r="IU33" s="3">
        <v>165.91149999999999</v>
      </c>
      <c r="IV33" s="3">
        <v>167.34950000000001</v>
      </c>
      <c r="IW33" s="3">
        <v>168.12029999999999</v>
      </c>
      <c r="IX33" s="3">
        <v>168.95570000000001</v>
      </c>
      <c r="IY33" s="3">
        <v>169.22970000000001</v>
      </c>
      <c r="IZ33" s="3">
        <v>170.69649999999999</v>
      </c>
      <c r="JA33" s="3">
        <v>171.48269999999999</v>
      </c>
      <c r="JB33" s="3">
        <v>172.3348</v>
      </c>
      <c r="JC33" s="3">
        <v>172.61429999999999</v>
      </c>
      <c r="JD33" s="3">
        <v>174.1104</v>
      </c>
      <c r="JE33" s="3">
        <v>174.91239999999999</v>
      </c>
      <c r="JF33" s="3">
        <v>175.78149999999999</v>
      </c>
      <c r="JG33" s="3">
        <v>176.06659999999999</v>
      </c>
      <c r="JH33" s="3">
        <v>177.5926</v>
      </c>
      <c r="JI33" s="3">
        <v>178.41059999999999</v>
      </c>
      <c r="JJ33" s="3">
        <v>179.2971</v>
      </c>
      <c r="JK33" s="3">
        <v>179.58789999999999</v>
      </c>
      <c r="JL33" s="3">
        <v>181.14449999999999</v>
      </c>
      <c r="JM33" s="3">
        <v>181.97880000000001</v>
      </c>
      <c r="JN33" s="3">
        <v>182.88310000000001</v>
      </c>
      <c r="JO33" s="3">
        <v>183.1797</v>
      </c>
      <c r="JP33" s="3">
        <v>184.76740000000001</v>
      </c>
      <c r="JQ33" s="3">
        <v>185.61840000000001</v>
      </c>
      <c r="JR33" s="3">
        <v>186.54069999999999</v>
      </c>
      <c r="JS33" s="3">
        <v>186.8433</v>
      </c>
      <c r="JT33" s="3">
        <v>188.46270000000001</v>
      </c>
      <c r="JU33" s="3">
        <v>189.33080000000001</v>
      </c>
      <c r="JV33" s="3">
        <v>190.2715</v>
      </c>
      <c r="JW33" s="3">
        <v>190.58009999999999</v>
      </c>
      <c r="JX33" s="3">
        <v>192.232</v>
      </c>
      <c r="JY33" s="3">
        <v>193.1174</v>
      </c>
      <c r="JZ33" s="3">
        <v>194.077</v>
      </c>
      <c r="KA33" s="3">
        <v>194.39169999999999</v>
      </c>
      <c r="KB33" s="3">
        <v>196.07660000000001</v>
      </c>
      <c r="KC33" s="3">
        <v>196.97980000000001</v>
      </c>
      <c r="KD33" s="3">
        <v>197.95849999999999</v>
      </c>
      <c r="KE33" s="3">
        <v>198.27959999999999</v>
      </c>
      <c r="KF33" s="3">
        <v>199.99809999999999</v>
      </c>
      <c r="KG33" s="3">
        <v>200.91929999999999</v>
      </c>
      <c r="KH33" s="3">
        <v>201.9177</v>
      </c>
      <c r="KI33" s="3">
        <v>202.24510000000001</v>
      </c>
      <c r="KJ33" s="3">
        <v>203.99809999999999</v>
      </c>
      <c r="KK33" s="3">
        <v>204.93770000000001</v>
      </c>
      <c r="KL33" s="3">
        <v>205.95599999999999</v>
      </c>
      <c r="KM33" s="3">
        <v>206.2901</v>
      </c>
      <c r="KN33" s="3">
        <v>208.07810000000001</v>
      </c>
      <c r="KO33" s="3">
        <v>209.03649999999999</v>
      </c>
      <c r="KP33" s="3">
        <v>210.07509999999999</v>
      </c>
      <c r="KQ33" s="3">
        <v>210.41589999999999</v>
      </c>
      <c r="KR33" s="3">
        <v>212.2396</v>
      </c>
      <c r="KS33" s="3">
        <v>213.21719999999999</v>
      </c>
      <c r="KT33" s="3">
        <v>214.2766</v>
      </c>
      <c r="KU33" s="3">
        <v>214.6242</v>
      </c>
      <c r="KV33" s="3">
        <v>216.48439999999999</v>
      </c>
      <c r="KW33" s="3">
        <v>217.48159999999999</v>
      </c>
      <c r="KX33" s="3">
        <v>218.56219999999999</v>
      </c>
      <c r="KY33" s="3">
        <v>218.91669999999999</v>
      </c>
      <c r="KZ33" s="3">
        <v>220.8141</v>
      </c>
      <c r="LA33" s="3">
        <v>221.8312</v>
      </c>
      <c r="LB33" s="3">
        <v>222.93340000000001</v>
      </c>
      <c r="LC33" s="3">
        <v>223.29499999999999</v>
      </c>
      <c r="LD33" s="3">
        <v>225.2304</v>
      </c>
      <c r="LE33" s="3">
        <v>226.26779999999999</v>
      </c>
      <c r="LF33" s="3">
        <v>227.3921</v>
      </c>
      <c r="LG33" t="s">
        <v>335</v>
      </c>
      <c r="LH33" t="b">
        <v>0</v>
      </c>
      <c r="LI33" t="s">
        <v>337</v>
      </c>
      <c r="LJ33">
        <v>2015</v>
      </c>
      <c r="LK33">
        <v>2024</v>
      </c>
      <c r="LL33">
        <v>1</v>
      </c>
      <c r="LM33" t="s">
        <v>337</v>
      </c>
      <c r="LN33" s="1" t="s">
        <v>344</v>
      </c>
      <c r="LO33" s="1" t="s">
        <v>345</v>
      </c>
      <c r="LP33" t="s">
        <v>340</v>
      </c>
      <c r="LQ33" t="s">
        <v>346</v>
      </c>
      <c r="LR33" s="1" t="s">
        <v>366</v>
      </c>
    </row>
    <row r="34" spans="1:330" x14ac:dyDescent="0.25">
      <c r="A34" t="s">
        <v>330</v>
      </c>
      <c r="B34" t="s">
        <v>331</v>
      </c>
      <c r="C34" s="1" t="s">
        <v>367</v>
      </c>
      <c r="D34" t="s">
        <v>332</v>
      </c>
      <c r="E34" t="s">
        <v>333</v>
      </c>
      <c r="F34" t="s">
        <v>334</v>
      </c>
      <c r="G34" s="2">
        <v>223780</v>
      </c>
      <c r="H34" s="2">
        <v>224213</v>
      </c>
      <c r="I34" s="2">
        <v>222122</v>
      </c>
      <c r="J34" s="2">
        <v>221266</v>
      </c>
      <c r="K34" s="2">
        <v>215122</v>
      </c>
      <c r="L34" s="2">
        <v>218215</v>
      </c>
      <c r="M34" s="2">
        <v>219517</v>
      </c>
      <c r="N34" s="2">
        <v>216301</v>
      </c>
      <c r="O34" s="2">
        <v>216390</v>
      </c>
      <c r="P34" s="2">
        <v>212882</v>
      </c>
      <c r="Q34" s="2">
        <v>212192</v>
      </c>
      <c r="R34" s="2">
        <v>214585</v>
      </c>
      <c r="S34" s="2">
        <v>218180</v>
      </c>
      <c r="T34" s="2">
        <v>217883</v>
      </c>
      <c r="U34" s="2">
        <v>220587</v>
      </c>
      <c r="V34" s="2">
        <v>225228</v>
      </c>
      <c r="W34" s="2">
        <v>225362</v>
      </c>
      <c r="X34" s="2">
        <v>223815</v>
      </c>
      <c r="Y34" s="2">
        <v>225295</v>
      </c>
      <c r="Z34" s="2">
        <v>229115</v>
      </c>
      <c r="AA34" s="2">
        <v>231258</v>
      </c>
      <c r="AB34" s="2">
        <v>233910</v>
      </c>
      <c r="AC34" s="2">
        <v>237107</v>
      </c>
      <c r="AD34" s="2">
        <v>239186</v>
      </c>
      <c r="AE34" s="2">
        <v>238472</v>
      </c>
      <c r="AF34" s="2">
        <v>248867</v>
      </c>
      <c r="AG34" s="2">
        <v>243369</v>
      </c>
      <c r="AH34" s="2">
        <v>245858</v>
      </c>
      <c r="AI34" s="2">
        <v>243513</v>
      </c>
      <c r="AJ34" s="2">
        <v>238722</v>
      </c>
      <c r="AK34" s="2">
        <v>238432</v>
      </c>
      <c r="AL34" s="2">
        <v>235866</v>
      </c>
      <c r="AM34" s="2">
        <v>235712</v>
      </c>
      <c r="AN34" s="2">
        <v>236272</v>
      </c>
      <c r="AO34" s="2">
        <v>238846</v>
      </c>
      <c r="AP34" s="2">
        <v>239131</v>
      </c>
      <c r="AQ34" s="2">
        <v>239578</v>
      </c>
      <c r="AR34" s="2">
        <v>242095</v>
      </c>
      <c r="AS34" s="2">
        <v>242639</v>
      </c>
      <c r="AT34" s="2">
        <v>244317</v>
      </c>
      <c r="AU34" s="2">
        <v>249032</v>
      </c>
      <c r="AV34" s="2">
        <v>250761</v>
      </c>
      <c r="AW34" s="2">
        <v>253655</v>
      </c>
      <c r="AX34" s="2">
        <v>255533</v>
      </c>
      <c r="AY34" s="2">
        <v>257683</v>
      </c>
      <c r="AZ34" s="2">
        <v>255100</v>
      </c>
      <c r="BA34" s="2">
        <v>256975</v>
      </c>
      <c r="BB34" s="2">
        <v>261627</v>
      </c>
      <c r="BC34" s="2">
        <v>264127</v>
      </c>
      <c r="BD34" s="2">
        <v>269787</v>
      </c>
      <c r="BE34" s="2">
        <v>269737</v>
      </c>
      <c r="BF34" s="2">
        <v>269896</v>
      </c>
      <c r="BG34" s="2">
        <v>272720</v>
      </c>
      <c r="BH34" s="2">
        <v>275136</v>
      </c>
      <c r="BI34" s="2">
        <v>276863</v>
      </c>
      <c r="BJ34" s="2">
        <v>282193</v>
      </c>
      <c r="BK34" s="2">
        <v>284172</v>
      </c>
      <c r="BL34" s="2">
        <v>288385</v>
      </c>
      <c r="BM34" s="2">
        <v>295493</v>
      </c>
      <c r="BN34" s="2">
        <v>298855</v>
      </c>
      <c r="BO34" s="2">
        <v>303698</v>
      </c>
      <c r="BP34" s="2">
        <v>305281</v>
      </c>
      <c r="BQ34" s="2">
        <v>309097</v>
      </c>
      <c r="BR34" s="2">
        <v>311574</v>
      </c>
      <c r="BS34" s="2">
        <v>313083</v>
      </c>
      <c r="BT34" s="2">
        <v>315039</v>
      </c>
      <c r="BU34" s="2">
        <v>315554</v>
      </c>
      <c r="BV34" s="2">
        <v>315515</v>
      </c>
      <c r="BW34" s="2">
        <v>317117</v>
      </c>
      <c r="BX34" s="2">
        <v>319239</v>
      </c>
      <c r="BY34" s="2">
        <v>315744</v>
      </c>
      <c r="BZ34" s="2">
        <v>314148</v>
      </c>
      <c r="CA34" s="2">
        <v>312596</v>
      </c>
      <c r="CB34" s="2">
        <v>312235</v>
      </c>
      <c r="CC34" s="2">
        <v>311624</v>
      </c>
      <c r="CD34" s="2">
        <v>312006</v>
      </c>
      <c r="CE34" s="2">
        <v>311904</v>
      </c>
      <c r="CF34" s="2">
        <v>311418</v>
      </c>
      <c r="CG34" s="2">
        <v>312896</v>
      </c>
      <c r="CH34" s="2">
        <v>315307</v>
      </c>
      <c r="CI34" s="2">
        <v>316882</v>
      </c>
      <c r="CJ34" s="2">
        <v>318302</v>
      </c>
      <c r="CK34" s="2">
        <v>321218</v>
      </c>
      <c r="CL34" s="2">
        <v>323400</v>
      </c>
      <c r="CM34" s="2">
        <v>326585</v>
      </c>
      <c r="CN34" s="2">
        <v>329584</v>
      </c>
      <c r="CO34" s="2">
        <v>332911</v>
      </c>
      <c r="CP34" s="2">
        <v>334363</v>
      </c>
      <c r="CQ34" s="2">
        <v>336090</v>
      </c>
      <c r="CR34" s="2">
        <v>336789</v>
      </c>
      <c r="CS34" s="2">
        <v>340542</v>
      </c>
      <c r="CT34" s="2">
        <v>341602</v>
      </c>
      <c r="CU34" s="2">
        <v>343859</v>
      </c>
      <c r="CV34" s="2">
        <v>344979</v>
      </c>
      <c r="CW34" s="2">
        <v>348214</v>
      </c>
      <c r="CX34" s="2">
        <v>352958</v>
      </c>
      <c r="CY34" s="2">
        <v>358611</v>
      </c>
      <c r="CZ34" s="2">
        <v>362573</v>
      </c>
      <c r="DA34" s="2">
        <v>365942</v>
      </c>
      <c r="DB34" s="2">
        <v>371341</v>
      </c>
      <c r="DC34" s="2">
        <v>374037</v>
      </c>
      <c r="DD34" s="2">
        <v>376421</v>
      </c>
      <c r="DE34" s="2">
        <v>377650</v>
      </c>
      <c r="DF34" s="2">
        <v>380155</v>
      </c>
      <c r="DG34" s="2">
        <v>382789</v>
      </c>
      <c r="DH34" s="2">
        <v>384605</v>
      </c>
      <c r="DI34" s="2">
        <v>390758</v>
      </c>
      <c r="DJ34" s="2">
        <v>396357</v>
      </c>
      <c r="DK34" s="2">
        <v>401242</v>
      </c>
      <c r="DL34" s="2">
        <v>404196</v>
      </c>
      <c r="DM34" s="2">
        <v>406795</v>
      </c>
      <c r="DN34" s="2">
        <v>409411</v>
      </c>
      <c r="DO34" s="2">
        <v>413054</v>
      </c>
      <c r="DP34" s="2">
        <v>414878</v>
      </c>
      <c r="DQ34" s="2">
        <v>417085</v>
      </c>
      <c r="DR34" s="2">
        <v>418445</v>
      </c>
      <c r="DS34" s="2">
        <v>419534</v>
      </c>
      <c r="DT34" s="2">
        <v>421587</v>
      </c>
      <c r="DU34" s="2">
        <v>424425</v>
      </c>
      <c r="DV34" s="2">
        <v>427725</v>
      </c>
      <c r="DW34" s="2">
        <v>430832</v>
      </c>
      <c r="DX34" s="2">
        <v>434837</v>
      </c>
      <c r="DY34" s="2">
        <v>438710</v>
      </c>
      <c r="DZ34" s="2">
        <v>442172</v>
      </c>
      <c r="EA34" s="2">
        <v>443853</v>
      </c>
      <c r="EB34" s="2">
        <v>446443</v>
      </c>
      <c r="EC34" s="2">
        <v>448171</v>
      </c>
      <c r="ED34" s="2">
        <v>450464</v>
      </c>
      <c r="EE34" s="2">
        <v>453784</v>
      </c>
      <c r="EF34" s="2">
        <v>457557</v>
      </c>
      <c r="EG34" s="2">
        <v>461135</v>
      </c>
      <c r="EH34" s="2">
        <v>465451</v>
      </c>
      <c r="EI34" s="2">
        <v>467840</v>
      </c>
      <c r="EJ34" s="2">
        <v>469655</v>
      </c>
      <c r="EK34" s="2">
        <v>470918</v>
      </c>
      <c r="EL34" s="2">
        <v>473372</v>
      </c>
      <c r="EM34" s="2">
        <v>477823</v>
      </c>
      <c r="EN34" s="2">
        <v>481314</v>
      </c>
      <c r="EO34" s="2">
        <v>484544</v>
      </c>
      <c r="EP34" s="2">
        <v>487413</v>
      </c>
      <c r="EQ34" s="2">
        <v>489783</v>
      </c>
      <c r="ER34" s="2">
        <v>487386</v>
      </c>
      <c r="ES34" s="2">
        <v>479872</v>
      </c>
      <c r="ET34" s="2">
        <v>469694</v>
      </c>
      <c r="EU34" s="2">
        <v>460105</v>
      </c>
      <c r="EV34" s="2">
        <v>458599</v>
      </c>
      <c r="EW34" s="2">
        <v>458875</v>
      </c>
      <c r="EX34" s="2">
        <v>460238</v>
      </c>
      <c r="EY34" s="2">
        <v>464543</v>
      </c>
      <c r="EZ34" s="2">
        <v>469606</v>
      </c>
      <c r="FA34" s="2">
        <v>472199</v>
      </c>
      <c r="FB34" s="2">
        <v>472612</v>
      </c>
      <c r="FC34" s="2">
        <v>473819</v>
      </c>
      <c r="FD34" s="2">
        <v>474365</v>
      </c>
      <c r="FE34" s="2">
        <v>475813</v>
      </c>
      <c r="FF34" s="2">
        <v>476479</v>
      </c>
      <c r="FG34" s="2">
        <v>480632</v>
      </c>
      <c r="FH34" s="2">
        <v>479979</v>
      </c>
      <c r="FI34" s="2">
        <v>484579</v>
      </c>
      <c r="FJ34" s="2">
        <v>484039</v>
      </c>
      <c r="FK34" s="2">
        <v>485409</v>
      </c>
      <c r="FL34" s="2">
        <v>488930</v>
      </c>
      <c r="FM34" s="2">
        <v>493002</v>
      </c>
      <c r="FN34" s="2">
        <v>496466</v>
      </c>
      <c r="FO34" s="2">
        <v>500552</v>
      </c>
      <c r="FP34" s="2">
        <v>504939</v>
      </c>
      <c r="FQ34" s="2">
        <v>508741</v>
      </c>
      <c r="FR34" s="2">
        <v>512334</v>
      </c>
      <c r="FS34" s="2">
        <v>513850</v>
      </c>
      <c r="FT34" s="2">
        <v>516876</v>
      </c>
      <c r="FU34" s="2">
        <v>518915</v>
      </c>
      <c r="FV34" s="2">
        <v>521920</v>
      </c>
      <c r="FW34" s="2">
        <v>523813</v>
      </c>
      <c r="FX34" s="2">
        <v>526750</v>
      </c>
      <c r="FY34" s="2">
        <v>528712</v>
      </c>
      <c r="FZ34" s="2">
        <v>532082</v>
      </c>
      <c r="GA34" s="2">
        <v>536566</v>
      </c>
      <c r="GB34" s="2">
        <v>540020</v>
      </c>
      <c r="GC34" s="2">
        <v>543452</v>
      </c>
      <c r="GD34" s="2">
        <v>547377</v>
      </c>
      <c r="GE34" s="2">
        <v>547688</v>
      </c>
      <c r="GF34" s="2">
        <v>548600</v>
      </c>
      <c r="GG34" s="2">
        <v>550425</v>
      </c>
      <c r="GH34" s="2">
        <v>551128</v>
      </c>
      <c r="GI34" s="2">
        <v>555141</v>
      </c>
      <c r="GJ34" s="2">
        <v>556932</v>
      </c>
      <c r="GK34" s="2">
        <v>560987</v>
      </c>
      <c r="GL34" s="2">
        <v>560861</v>
      </c>
      <c r="GM34" s="2">
        <v>545597</v>
      </c>
      <c r="GN34" s="2">
        <v>434718</v>
      </c>
      <c r="GO34" s="2">
        <v>507643</v>
      </c>
      <c r="GP34" s="2">
        <v>514531</v>
      </c>
      <c r="GQ34" s="2">
        <v>509261</v>
      </c>
      <c r="GR34" s="2">
        <v>546579</v>
      </c>
      <c r="GS34" s="2">
        <v>555956</v>
      </c>
      <c r="GT34" s="2">
        <v>564407</v>
      </c>
      <c r="GU34" s="2">
        <v>567396</v>
      </c>
      <c r="GV34" s="2">
        <v>567889</v>
      </c>
      <c r="GW34" s="2">
        <v>567445</v>
      </c>
      <c r="GX34" s="2">
        <v>568034</v>
      </c>
      <c r="GY34" s="2">
        <v>569027</v>
      </c>
      <c r="GZ34" s="2">
        <v>569076</v>
      </c>
      <c r="HA34" s="2">
        <v>568397</v>
      </c>
      <c r="HB34" s="2">
        <v>566626</v>
      </c>
      <c r="HC34" s="2">
        <v>570196</v>
      </c>
      <c r="HD34" s="3">
        <v>572045.1</v>
      </c>
      <c r="HE34" s="3">
        <v>574261.4</v>
      </c>
      <c r="HF34" s="3">
        <v>577118.9</v>
      </c>
      <c r="HG34" s="3">
        <v>580159.9</v>
      </c>
      <c r="HH34" s="3">
        <v>583438.30000000005</v>
      </c>
      <c r="HI34" s="3">
        <v>586559.9</v>
      </c>
      <c r="HJ34" s="3">
        <v>589638.9</v>
      </c>
      <c r="HK34" s="3">
        <v>592557.80000000005</v>
      </c>
      <c r="HL34" s="3">
        <v>595165.9</v>
      </c>
      <c r="HM34" s="3">
        <v>597606.1</v>
      </c>
      <c r="HN34" s="3">
        <v>600026.30000000005</v>
      </c>
      <c r="HO34" s="3">
        <v>602486.4</v>
      </c>
      <c r="HP34" s="3">
        <v>604896.30000000005</v>
      </c>
      <c r="HQ34" s="3">
        <v>607346.30000000005</v>
      </c>
      <c r="HR34" s="3">
        <v>609836.30000000005</v>
      </c>
      <c r="HS34" s="3">
        <v>612275.69999999995</v>
      </c>
      <c r="HT34" s="3">
        <v>614724.80000000005</v>
      </c>
      <c r="HU34" s="3">
        <v>617122.19999999995</v>
      </c>
      <c r="HV34" s="3">
        <v>619529</v>
      </c>
      <c r="HW34" s="3">
        <v>621945.1</v>
      </c>
      <c r="HX34" s="3">
        <v>624308.6</v>
      </c>
      <c r="HY34" s="3">
        <v>626618.5</v>
      </c>
      <c r="HZ34" s="3">
        <v>628968.30000000005</v>
      </c>
      <c r="IA34" s="3">
        <v>631358.4</v>
      </c>
      <c r="IB34" s="3">
        <v>633726</v>
      </c>
      <c r="IC34" s="3">
        <v>636102.40000000002</v>
      </c>
      <c r="ID34" s="3">
        <v>638487.80000000005</v>
      </c>
      <c r="IE34" s="3">
        <v>640882.1</v>
      </c>
      <c r="IF34" s="3">
        <v>643317.5</v>
      </c>
      <c r="IG34" s="3">
        <v>645762.1</v>
      </c>
      <c r="IH34" s="3">
        <v>648183.80000000005</v>
      </c>
      <c r="II34" s="3">
        <v>650582</v>
      </c>
      <c r="IJ34" s="3">
        <v>653021.69999999995</v>
      </c>
      <c r="IK34" s="3">
        <v>655405.19999999995</v>
      </c>
      <c r="IL34" s="3">
        <v>657797.4</v>
      </c>
      <c r="IM34" s="3">
        <v>660243.9</v>
      </c>
      <c r="IN34" s="3">
        <v>662686.6</v>
      </c>
      <c r="IO34" s="3">
        <v>665052.69999999995</v>
      </c>
      <c r="IP34" s="3">
        <v>667379.69999999995</v>
      </c>
      <c r="IQ34" s="3">
        <v>669816.4</v>
      </c>
      <c r="IR34" s="3">
        <v>672269.6</v>
      </c>
      <c r="IS34" s="3">
        <v>674617.8</v>
      </c>
      <c r="IT34" s="3">
        <v>676981.2</v>
      </c>
      <c r="IU34" s="3">
        <v>679443.9</v>
      </c>
      <c r="IV34" s="3">
        <v>681917.3</v>
      </c>
      <c r="IW34" s="3">
        <v>684401.1</v>
      </c>
      <c r="IX34" s="3">
        <v>686895.1</v>
      </c>
      <c r="IY34" s="3">
        <v>689461.4</v>
      </c>
      <c r="IZ34" s="3">
        <v>692041.1</v>
      </c>
      <c r="JA34" s="3">
        <v>694634.3</v>
      </c>
      <c r="JB34" s="3">
        <v>697240.8</v>
      </c>
      <c r="JC34" s="3">
        <v>699860.8</v>
      </c>
      <c r="JD34" s="3">
        <v>702494</v>
      </c>
      <c r="JE34" s="3">
        <v>705140.8</v>
      </c>
      <c r="JF34" s="3">
        <v>707801.2</v>
      </c>
      <c r="JG34" s="3">
        <v>710536</v>
      </c>
      <c r="JH34" s="3">
        <v>713285.3</v>
      </c>
      <c r="JI34" s="3">
        <v>716049.5</v>
      </c>
      <c r="JJ34" s="3">
        <v>718828.7</v>
      </c>
      <c r="JK34" s="3">
        <v>721622.8</v>
      </c>
      <c r="JL34" s="3">
        <v>724431.8</v>
      </c>
      <c r="JM34" s="3">
        <v>727255.9</v>
      </c>
      <c r="JN34" s="3">
        <v>730095.1</v>
      </c>
      <c r="JO34" s="3">
        <v>732949.4</v>
      </c>
      <c r="JP34" s="3">
        <v>735812.8</v>
      </c>
      <c r="JQ34" s="3">
        <v>738685.5</v>
      </c>
      <c r="JR34" s="3">
        <v>741567.4</v>
      </c>
      <c r="JS34" s="3">
        <v>744407.8</v>
      </c>
      <c r="JT34" s="3">
        <v>747256.6</v>
      </c>
      <c r="JU34" s="3">
        <v>750113.8</v>
      </c>
      <c r="JV34" s="3">
        <v>752979.3</v>
      </c>
      <c r="JW34" s="3">
        <v>755853.4</v>
      </c>
      <c r="JX34" s="3">
        <v>758735.9</v>
      </c>
      <c r="JY34" s="3">
        <v>761626.8</v>
      </c>
      <c r="JZ34" s="3">
        <v>764526.1</v>
      </c>
      <c r="KA34" s="3">
        <v>767433.8</v>
      </c>
      <c r="KB34" s="3">
        <v>770349.7</v>
      </c>
      <c r="KC34" s="3">
        <v>773273.3</v>
      </c>
      <c r="KD34" s="3">
        <v>776204.4</v>
      </c>
      <c r="KE34" s="3">
        <v>779143.4</v>
      </c>
      <c r="KF34" s="3">
        <v>782090.1</v>
      </c>
      <c r="KG34" s="3">
        <v>785044.4</v>
      </c>
      <c r="KH34" s="3">
        <v>788006.40000000002</v>
      </c>
      <c r="KI34" s="3">
        <v>790976.3</v>
      </c>
      <c r="KJ34" s="3">
        <v>793953.9</v>
      </c>
      <c r="KK34" s="3">
        <v>796939.2</v>
      </c>
      <c r="KL34" s="3">
        <v>799932.1</v>
      </c>
      <c r="KM34" s="3">
        <v>802933</v>
      </c>
      <c r="KN34" s="3">
        <v>805941.6</v>
      </c>
      <c r="KO34" s="3">
        <v>808958</v>
      </c>
      <c r="KP34" s="3">
        <v>811982.3</v>
      </c>
      <c r="KQ34" s="3">
        <v>815014.6</v>
      </c>
      <c r="KR34" s="3">
        <v>818054.8</v>
      </c>
      <c r="KS34" s="3">
        <v>821103</v>
      </c>
      <c r="KT34" s="3">
        <v>824159.2</v>
      </c>
      <c r="KU34" s="3">
        <v>827223.5</v>
      </c>
      <c r="KV34" s="3">
        <v>830295.8</v>
      </c>
      <c r="KW34" s="3">
        <v>833376.1</v>
      </c>
      <c r="KX34" s="3">
        <v>836464.5</v>
      </c>
      <c r="KY34" s="3">
        <v>839560.9</v>
      </c>
      <c r="KZ34" s="3">
        <v>842665.4</v>
      </c>
      <c r="LA34" s="3">
        <v>845777.8</v>
      </c>
      <c r="LB34" s="3">
        <v>848897.9</v>
      </c>
      <c r="LC34" s="3">
        <v>852026.1</v>
      </c>
      <c r="LD34" s="3">
        <v>855162.1</v>
      </c>
      <c r="LE34" s="3">
        <v>858306.1</v>
      </c>
      <c r="LF34" s="3">
        <v>861458</v>
      </c>
      <c r="LG34" t="s">
        <v>335</v>
      </c>
      <c r="LH34" t="b">
        <v>1</v>
      </c>
      <c r="LI34" s="1" t="s">
        <v>336</v>
      </c>
      <c r="LJ34" t="s">
        <v>337</v>
      </c>
      <c r="LK34">
        <v>2024</v>
      </c>
      <c r="LL34">
        <v>1</v>
      </c>
      <c r="LM34" t="s">
        <v>337</v>
      </c>
      <c r="LN34" t="s">
        <v>338</v>
      </c>
      <c r="LO34" s="1" t="s">
        <v>339</v>
      </c>
      <c r="LP34" t="s">
        <v>340</v>
      </c>
      <c r="LQ34" t="s">
        <v>341</v>
      </c>
      <c r="LR34" s="1" t="s">
        <v>368</v>
      </c>
    </row>
    <row r="35" spans="1:330" x14ac:dyDescent="0.25">
      <c r="A35" t="s">
        <v>330</v>
      </c>
      <c r="B35" t="s">
        <v>342</v>
      </c>
      <c r="C35" s="1" t="s">
        <v>367</v>
      </c>
      <c r="D35" t="s">
        <v>343</v>
      </c>
      <c r="E35" t="s">
        <v>337</v>
      </c>
      <c r="F35" t="s">
        <v>334</v>
      </c>
      <c r="G35" s="2">
        <v>11.88749</v>
      </c>
      <c r="H35" s="2">
        <v>12.304600000000001</v>
      </c>
      <c r="I35" s="2">
        <v>12.51315</v>
      </c>
      <c r="J35" s="2">
        <v>13.008459999999999</v>
      </c>
      <c r="K35" s="2">
        <v>13.47771</v>
      </c>
      <c r="L35" s="2">
        <v>14.23371</v>
      </c>
      <c r="M35" s="2">
        <v>14.572609999999999</v>
      </c>
      <c r="N35" s="2">
        <v>15.250400000000001</v>
      </c>
      <c r="O35" s="2">
        <v>16.058540000000001</v>
      </c>
      <c r="P35" s="2">
        <v>17.466270000000002</v>
      </c>
      <c r="Q35" s="2">
        <v>18.222280000000001</v>
      </c>
      <c r="R35" s="2">
        <v>18.847930000000002</v>
      </c>
      <c r="S35" s="2">
        <v>19.42145</v>
      </c>
      <c r="T35" s="2">
        <v>20.125319999999999</v>
      </c>
      <c r="U35" s="2">
        <v>20.594560000000001</v>
      </c>
      <c r="V35" s="2">
        <v>21.506979999999999</v>
      </c>
      <c r="W35" s="2">
        <v>22.471530000000001</v>
      </c>
      <c r="X35" s="2">
        <v>23.410019999999999</v>
      </c>
      <c r="Y35" s="2">
        <v>23.82713</v>
      </c>
      <c r="Z35" s="2">
        <v>24.139949999999999</v>
      </c>
      <c r="AA35" s="2">
        <v>24.452780000000001</v>
      </c>
      <c r="AB35" s="2">
        <v>25.078440000000001</v>
      </c>
      <c r="AC35" s="2">
        <v>25.469480000000001</v>
      </c>
      <c r="AD35" s="2">
        <v>25.860510000000001</v>
      </c>
      <c r="AE35" s="2">
        <v>26.43403</v>
      </c>
      <c r="AF35" s="2">
        <v>27.268239999999999</v>
      </c>
      <c r="AG35" s="2">
        <v>28.910589999999999</v>
      </c>
      <c r="AH35" s="2">
        <v>29.718730000000001</v>
      </c>
      <c r="AI35" s="2">
        <v>30.605080000000001</v>
      </c>
      <c r="AJ35" s="2">
        <v>32.247430000000001</v>
      </c>
      <c r="AK35" s="2">
        <v>32.951300000000003</v>
      </c>
      <c r="AL35" s="2">
        <v>33.550879999999999</v>
      </c>
      <c r="AM35" s="2">
        <v>34.385100000000001</v>
      </c>
      <c r="AN35" s="2">
        <v>36.079590000000003</v>
      </c>
      <c r="AO35" s="2">
        <v>36.731310000000001</v>
      </c>
      <c r="AP35" s="2">
        <v>37.435180000000003</v>
      </c>
      <c r="AQ35" s="2">
        <v>37.878349999999998</v>
      </c>
      <c r="AR35" s="2">
        <v>39.181800000000003</v>
      </c>
      <c r="AS35" s="2">
        <v>39.416420000000002</v>
      </c>
      <c r="AT35" s="2">
        <v>39.885669999999998</v>
      </c>
      <c r="AU35" s="2">
        <v>40.172429999999999</v>
      </c>
      <c r="AV35" s="2">
        <v>40.85022</v>
      </c>
      <c r="AW35" s="2">
        <v>41.293399999999998</v>
      </c>
      <c r="AX35" s="2">
        <v>41.762639999999998</v>
      </c>
      <c r="AY35" s="2">
        <v>41.86692</v>
      </c>
      <c r="AZ35" s="2">
        <v>42.779339999999998</v>
      </c>
      <c r="BA35" s="2">
        <v>42.98789</v>
      </c>
      <c r="BB35" s="2">
        <v>43.431060000000002</v>
      </c>
      <c r="BC35" s="2">
        <v>43.874229999999997</v>
      </c>
      <c r="BD35" s="2">
        <v>44.995199999999997</v>
      </c>
      <c r="BE35" s="2">
        <v>45.125549999999997</v>
      </c>
      <c r="BF35" s="2">
        <v>45.490519999999997</v>
      </c>
      <c r="BG35" s="2">
        <v>45.646929999999998</v>
      </c>
      <c r="BH35" s="2">
        <v>46.3508</v>
      </c>
      <c r="BI35" s="2">
        <v>46.533279999999998</v>
      </c>
      <c r="BJ35" s="2">
        <v>46.924320000000002</v>
      </c>
      <c r="BK35" s="2">
        <v>47.237139999999997</v>
      </c>
      <c r="BL35" s="2">
        <v>47.836730000000003</v>
      </c>
      <c r="BM35" s="2">
        <v>47.888869999999997</v>
      </c>
      <c r="BN35" s="2">
        <v>48.436320000000002</v>
      </c>
      <c r="BO35" s="2">
        <v>48.566670000000002</v>
      </c>
      <c r="BP35" s="2">
        <v>49.5</v>
      </c>
      <c r="BQ35" s="2">
        <v>49.9</v>
      </c>
      <c r="BR35" s="2">
        <v>50.466670000000001</v>
      </c>
      <c r="BS35" s="2">
        <v>51</v>
      </c>
      <c r="BT35" s="2">
        <v>52.133339999999997</v>
      </c>
      <c r="BU35" s="2">
        <v>52.466670000000001</v>
      </c>
      <c r="BV35" s="2">
        <v>53.266669999999998</v>
      </c>
      <c r="BW35" s="2">
        <v>53.933329999999998</v>
      </c>
      <c r="BX35" s="2">
        <v>55.6</v>
      </c>
      <c r="BY35" s="2">
        <v>56.4</v>
      </c>
      <c r="BZ35" s="2">
        <v>57.466670000000001</v>
      </c>
      <c r="CA35" s="2">
        <v>57.666670000000003</v>
      </c>
      <c r="CB35" s="2">
        <v>60.266669999999998</v>
      </c>
      <c r="CC35" s="2">
        <v>60.833329999999997</v>
      </c>
      <c r="CD35" s="2">
        <v>61.466670000000001</v>
      </c>
      <c r="CE35" s="2">
        <v>61.7</v>
      </c>
      <c r="CF35" s="2">
        <v>62.833329999999997</v>
      </c>
      <c r="CG35" s="2">
        <v>62.733330000000002</v>
      </c>
      <c r="CH35" s="2">
        <v>63.133339999999997</v>
      </c>
      <c r="CI35" s="2">
        <v>63.2</v>
      </c>
      <c r="CJ35" s="2">
        <v>64.433329999999998</v>
      </c>
      <c r="CK35" s="2">
        <v>64.5</v>
      </c>
      <c r="CL35" s="2">
        <v>64.666659999999993</v>
      </c>
      <c r="CM35" s="2">
        <v>64.766670000000005</v>
      </c>
      <c r="CN35" s="2">
        <v>65.7</v>
      </c>
      <c r="CO35" s="2">
        <v>65.633330000000001</v>
      </c>
      <c r="CP35" s="2">
        <v>65.8</v>
      </c>
      <c r="CQ35" s="2">
        <v>66.333340000000007</v>
      </c>
      <c r="CR35" s="2">
        <v>67.266670000000005</v>
      </c>
      <c r="CS35" s="2">
        <v>67.400000000000006</v>
      </c>
      <c r="CT35" s="2">
        <v>67.733329999999995</v>
      </c>
      <c r="CU35" s="2">
        <v>68.099999999999994</v>
      </c>
      <c r="CV35" s="2">
        <v>68.866669999999999</v>
      </c>
      <c r="CW35" s="2">
        <v>68.933329999999998</v>
      </c>
      <c r="CX35" s="2">
        <v>69.366669999999999</v>
      </c>
      <c r="CY35" s="2">
        <v>69.366669999999999</v>
      </c>
      <c r="CZ35" s="2">
        <v>70</v>
      </c>
      <c r="DA35" s="2">
        <v>70.266670000000005</v>
      </c>
      <c r="DB35" s="2">
        <v>70.633330000000001</v>
      </c>
      <c r="DC35" s="2">
        <v>70.5</v>
      </c>
      <c r="DD35" s="2">
        <v>71.266670000000005</v>
      </c>
      <c r="DE35" s="2">
        <v>71.233329999999995</v>
      </c>
      <c r="DF35" s="2">
        <v>71.633330000000001</v>
      </c>
      <c r="DG35" s="2">
        <v>71.599999999999994</v>
      </c>
      <c r="DH35" s="2">
        <v>72.3</v>
      </c>
      <c r="DI35" s="2">
        <v>72.133330000000001</v>
      </c>
      <c r="DJ35" s="2">
        <v>72.433329999999998</v>
      </c>
      <c r="DK35" s="2">
        <v>72.133330000000001</v>
      </c>
      <c r="DL35" s="2">
        <v>72.766670000000005</v>
      </c>
      <c r="DM35" s="2">
        <v>72.7</v>
      </c>
      <c r="DN35" s="2">
        <v>73.166659999999993</v>
      </c>
      <c r="DO35" s="2">
        <v>72.766670000000005</v>
      </c>
      <c r="DP35" s="2">
        <v>73.833340000000007</v>
      </c>
      <c r="DQ35" s="2">
        <v>73.866669999999999</v>
      </c>
      <c r="DR35" s="2">
        <v>73.900000000000006</v>
      </c>
      <c r="DS35" s="2">
        <v>73.866669999999999</v>
      </c>
      <c r="DT35" s="2">
        <v>74.533330000000007</v>
      </c>
      <c r="DU35" s="2">
        <v>74.599999999999994</v>
      </c>
      <c r="DV35" s="2">
        <v>75</v>
      </c>
      <c r="DW35" s="2">
        <v>75</v>
      </c>
      <c r="DX35" s="2">
        <v>75.466669999999993</v>
      </c>
      <c r="DY35" s="2">
        <v>75.599999999999994</v>
      </c>
      <c r="DZ35" s="2">
        <v>76.033330000000007</v>
      </c>
      <c r="EA35" s="2">
        <v>75.966669999999993</v>
      </c>
      <c r="EB35" s="2">
        <v>76.533330000000007</v>
      </c>
      <c r="EC35" s="2">
        <v>76.566670000000002</v>
      </c>
      <c r="ED35" s="2">
        <v>77.099999999999994</v>
      </c>
      <c r="EE35" s="2">
        <v>77.233329999999995</v>
      </c>
      <c r="EF35" s="2">
        <v>78</v>
      </c>
      <c r="EG35" s="2">
        <v>78.400000000000006</v>
      </c>
      <c r="EH35" s="2">
        <v>78.766670000000005</v>
      </c>
      <c r="EI35" s="2">
        <v>78.733329999999995</v>
      </c>
      <c r="EJ35" s="2">
        <v>79.8</v>
      </c>
      <c r="EK35" s="2">
        <v>80.3</v>
      </c>
      <c r="EL35" s="2">
        <v>80.900000000000006</v>
      </c>
      <c r="EM35" s="2">
        <v>81</v>
      </c>
      <c r="EN35" s="2">
        <v>81.8</v>
      </c>
      <c r="EO35" s="2">
        <v>81.733329999999995</v>
      </c>
      <c r="EP35" s="2">
        <v>82.6</v>
      </c>
      <c r="EQ35" s="2">
        <v>82.933329999999998</v>
      </c>
      <c r="ER35" s="2">
        <v>84.6</v>
      </c>
      <c r="ES35" s="2">
        <v>85.633330000000001</v>
      </c>
      <c r="ET35" s="2">
        <v>85.733329999999995</v>
      </c>
      <c r="EU35" s="2">
        <v>85.433329999999998</v>
      </c>
      <c r="EV35" s="2">
        <v>86.366669999999999</v>
      </c>
      <c r="EW35" s="2">
        <v>86.933329999999998</v>
      </c>
      <c r="EX35" s="2">
        <v>87.566670000000002</v>
      </c>
      <c r="EY35" s="2">
        <v>88.233329999999995</v>
      </c>
      <c r="EZ35" s="2">
        <v>89.366669999999999</v>
      </c>
      <c r="FA35" s="2">
        <v>89.633330000000001</v>
      </c>
      <c r="FB35" s="2">
        <v>90.5</v>
      </c>
      <c r="FC35" s="2">
        <v>91.833340000000007</v>
      </c>
      <c r="FD35" s="2">
        <v>93.3</v>
      </c>
      <c r="FE35" s="2">
        <v>93.833340000000007</v>
      </c>
      <c r="FF35" s="2">
        <v>94.733329999999995</v>
      </c>
      <c r="FG35" s="2">
        <v>95.033330000000007</v>
      </c>
      <c r="FH35" s="2">
        <v>95.8</v>
      </c>
      <c r="FI35" s="2">
        <v>96.066670000000002</v>
      </c>
      <c r="FJ35" s="2">
        <v>97.266670000000005</v>
      </c>
      <c r="FK35" s="2">
        <v>97.666659999999993</v>
      </c>
      <c r="FL35" s="2">
        <v>98.366669999999999</v>
      </c>
      <c r="FM35" s="2">
        <v>98.7</v>
      </c>
      <c r="FN35" s="2">
        <v>99.3</v>
      </c>
      <c r="FO35" s="2">
        <v>99.4</v>
      </c>
      <c r="FP35" s="2">
        <v>100.1</v>
      </c>
      <c r="FQ35" s="2">
        <v>100.13330000000001</v>
      </c>
      <c r="FR35" s="2">
        <v>100.2</v>
      </c>
      <c r="FS35" s="2">
        <v>99.5</v>
      </c>
      <c r="FT35" s="2">
        <v>100.0667</v>
      </c>
      <c r="FU35" s="2">
        <v>100.16670000000001</v>
      </c>
      <c r="FV35" s="2">
        <v>100.3</v>
      </c>
      <c r="FW35" s="2">
        <v>99.833340000000007</v>
      </c>
      <c r="FX35" s="2">
        <v>100.4</v>
      </c>
      <c r="FY35" s="2">
        <v>100.86669999999999</v>
      </c>
      <c r="FZ35" s="2">
        <v>101.5</v>
      </c>
      <c r="GA35" s="2">
        <v>102</v>
      </c>
      <c r="GB35" s="2">
        <v>103.16670000000001</v>
      </c>
      <c r="GC35" s="2">
        <v>103.7</v>
      </c>
      <c r="GD35" s="2">
        <v>104.5667</v>
      </c>
      <c r="GE35" s="2">
        <v>104.7667</v>
      </c>
      <c r="GF35" s="2">
        <v>105.66670000000001</v>
      </c>
      <c r="GG35" s="2">
        <v>106.3</v>
      </c>
      <c r="GH35" s="2">
        <v>106.9333</v>
      </c>
      <c r="GI35" s="2">
        <v>106.7</v>
      </c>
      <c r="GJ35" s="2">
        <v>107.8</v>
      </c>
      <c r="GK35" s="2">
        <v>108.2667</v>
      </c>
      <c r="GL35" s="2">
        <v>108.4333</v>
      </c>
      <c r="GM35" s="2">
        <v>108.4667</v>
      </c>
      <c r="GN35" s="2">
        <v>108.5333</v>
      </c>
      <c r="GO35" s="2">
        <v>108.9333</v>
      </c>
      <c r="GP35" s="2">
        <v>109.0667</v>
      </c>
      <c r="GQ35" s="2">
        <v>109.16670000000001</v>
      </c>
      <c r="GR35" s="2">
        <v>110.7333</v>
      </c>
      <c r="GS35" s="2">
        <v>111.9333</v>
      </c>
      <c r="GT35" s="2">
        <v>114.4</v>
      </c>
      <c r="GU35" s="2">
        <v>115.9333</v>
      </c>
      <c r="GV35" s="2">
        <v>120.86669999999999</v>
      </c>
      <c r="GW35" s="2">
        <v>123.13330000000001</v>
      </c>
      <c r="GX35" s="2">
        <v>126.7</v>
      </c>
      <c r="GY35" s="2">
        <v>127.7333</v>
      </c>
      <c r="GZ35" s="2">
        <v>131.0667</v>
      </c>
      <c r="HA35" s="2">
        <v>131.4</v>
      </c>
      <c r="HB35" s="2">
        <v>131.9667</v>
      </c>
      <c r="HC35" s="2">
        <v>132.26669999999999</v>
      </c>
      <c r="HD35" s="3">
        <v>133.56780000000001</v>
      </c>
      <c r="HE35" s="3">
        <v>133.80340000000001</v>
      </c>
      <c r="HF35" s="3">
        <v>134.6797</v>
      </c>
      <c r="HG35" s="3">
        <v>134.93379999999999</v>
      </c>
      <c r="HH35" s="3">
        <v>136.2373</v>
      </c>
      <c r="HI35" s="3">
        <v>136.92490000000001</v>
      </c>
      <c r="HJ35" s="3">
        <v>137.798</v>
      </c>
      <c r="HK35" s="3">
        <v>138.12039999999999</v>
      </c>
      <c r="HL35" s="3">
        <v>139.4272</v>
      </c>
      <c r="HM35" s="3">
        <v>140.12360000000001</v>
      </c>
      <c r="HN35" s="3">
        <v>140.9573</v>
      </c>
      <c r="HO35" s="3">
        <v>141.26169999999999</v>
      </c>
      <c r="HP35" s="3">
        <v>142.5675</v>
      </c>
      <c r="HQ35" s="3">
        <v>143.2664</v>
      </c>
      <c r="HR35" s="3">
        <v>144.07339999999999</v>
      </c>
      <c r="HS35" s="3">
        <v>144.35470000000001</v>
      </c>
      <c r="HT35" s="3">
        <v>145.6327</v>
      </c>
      <c r="HU35" s="3">
        <v>146.30549999999999</v>
      </c>
      <c r="HV35" s="3">
        <v>147.07210000000001</v>
      </c>
      <c r="HW35" s="3">
        <v>147.3219</v>
      </c>
      <c r="HX35" s="3">
        <v>148.6001</v>
      </c>
      <c r="HY35" s="3">
        <v>149.27500000000001</v>
      </c>
      <c r="HZ35" s="3">
        <v>150.02850000000001</v>
      </c>
      <c r="IA35" s="3">
        <v>150.27109999999999</v>
      </c>
      <c r="IB35" s="3">
        <v>151.5736</v>
      </c>
      <c r="IC35" s="3">
        <v>152.27180000000001</v>
      </c>
      <c r="ID35" s="3">
        <v>153.0284</v>
      </c>
      <c r="IE35" s="3">
        <v>153.2766</v>
      </c>
      <c r="IF35" s="3">
        <v>154.60509999999999</v>
      </c>
      <c r="IG35" s="3">
        <v>155.31720000000001</v>
      </c>
      <c r="IH35" s="3">
        <v>156.0889</v>
      </c>
      <c r="II35" s="3">
        <v>156.34209999999999</v>
      </c>
      <c r="IJ35" s="3">
        <v>157.69720000000001</v>
      </c>
      <c r="IK35" s="3">
        <v>158.42349999999999</v>
      </c>
      <c r="IL35" s="3">
        <v>159.2107</v>
      </c>
      <c r="IM35" s="3">
        <v>159.46889999999999</v>
      </c>
      <c r="IN35" s="3">
        <v>160.8511</v>
      </c>
      <c r="IO35" s="3">
        <v>161.59200000000001</v>
      </c>
      <c r="IP35" s="3">
        <v>162.39490000000001</v>
      </c>
      <c r="IQ35" s="3">
        <v>162.6583</v>
      </c>
      <c r="IR35" s="3">
        <v>164.06809999999999</v>
      </c>
      <c r="IS35" s="3">
        <v>164.82380000000001</v>
      </c>
      <c r="IT35" s="3">
        <v>165.64279999999999</v>
      </c>
      <c r="IU35" s="3">
        <v>165.91149999999999</v>
      </c>
      <c r="IV35" s="3">
        <v>167.34950000000001</v>
      </c>
      <c r="IW35" s="3">
        <v>168.12029999999999</v>
      </c>
      <c r="IX35" s="3">
        <v>168.95570000000001</v>
      </c>
      <c r="IY35" s="3">
        <v>169.22970000000001</v>
      </c>
      <c r="IZ35" s="3">
        <v>170.69649999999999</v>
      </c>
      <c r="JA35" s="3">
        <v>171.48269999999999</v>
      </c>
      <c r="JB35" s="3">
        <v>172.3348</v>
      </c>
      <c r="JC35" s="3">
        <v>172.61429999999999</v>
      </c>
      <c r="JD35" s="3">
        <v>174.1104</v>
      </c>
      <c r="JE35" s="3">
        <v>174.91239999999999</v>
      </c>
      <c r="JF35" s="3">
        <v>175.78149999999999</v>
      </c>
      <c r="JG35" s="3">
        <v>176.06659999999999</v>
      </c>
      <c r="JH35" s="3">
        <v>177.5926</v>
      </c>
      <c r="JI35" s="3">
        <v>178.41059999999999</v>
      </c>
      <c r="JJ35" s="3">
        <v>179.2971</v>
      </c>
      <c r="JK35" s="3">
        <v>179.58789999999999</v>
      </c>
      <c r="JL35" s="3">
        <v>181.14449999999999</v>
      </c>
      <c r="JM35" s="3">
        <v>181.97880000000001</v>
      </c>
      <c r="JN35" s="3">
        <v>182.88310000000001</v>
      </c>
      <c r="JO35" s="3">
        <v>183.1797</v>
      </c>
      <c r="JP35" s="3">
        <v>184.76740000000001</v>
      </c>
      <c r="JQ35" s="3">
        <v>185.61840000000001</v>
      </c>
      <c r="JR35" s="3">
        <v>186.54069999999999</v>
      </c>
      <c r="JS35" s="3">
        <v>186.8433</v>
      </c>
      <c r="JT35" s="3">
        <v>188.46270000000001</v>
      </c>
      <c r="JU35" s="3">
        <v>189.33080000000001</v>
      </c>
      <c r="JV35" s="3">
        <v>190.2715</v>
      </c>
      <c r="JW35" s="3">
        <v>190.58009999999999</v>
      </c>
      <c r="JX35" s="3">
        <v>192.232</v>
      </c>
      <c r="JY35" s="3">
        <v>193.1174</v>
      </c>
      <c r="JZ35" s="3">
        <v>194.077</v>
      </c>
      <c r="KA35" s="3">
        <v>194.39169999999999</v>
      </c>
      <c r="KB35" s="3">
        <v>196.07660000000001</v>
      </c>
      <c r="KC35" s="3">
        <v>196.97980000000001</v>
      </c>
      <c r="KD35" s="3">
        <v>197.95849999999999</v>
      </c>
      <c r="KE35" s="3">
        <v>198.27959999999999</v>
      </c>
      <c r="KF35" s="3">
        <v>199.99809999999999</v>
      </c>
      <c r="KG35" s="3">
        <v>200.91929999999999</v>
      </c>
      <c r="KH35" s="3">
        <v>201.9177</v>
      </c>
      <c r="KI35" s="3">
        <v>202.24510000000001</v>
      </c>
      <c r="KJ35" s="3">
        <v>203.99809999999999</v>
      </c>
      <c r="KK35" s="3">
        <v>204.93770000000001</v>
      </c>
      <c r="KL35" s="3">
        <v>205.95599999999999</v>
      </c>
      <c r="KM35" s="3">
        <v>206.2901</v>
      </c>
      <c r="KN35" s="3">
        <v>208.07810000000001</v>
      </c>
      <c r="KO35" s="3">
        <v>209.03649999999999</v>
      </c>
      <c r="KP35" s="3">
        <v>210.07509999999999</v>
      </c>
      <c r="KQ35" s="3">
        <v>210.41589999999999</v>
      </c>
      <c r="KR35" s="3">
        <v>212.2396</v>
      </c>
      <c r="KS35" s="3">
        <v>213.21719999999999</v>
      </c>
      <c r="KT35" s="3">
        <v>214.2766</v>
      </c>
      <c r="KU35" s="3">
        <v>214.6242</v>
      </c>
      <c r="KV35" s="3">
        <v>216.48439999999999</v>
      </c>
      <c r="KW35" s="3">
        <v>217.48159999999999</v>
      </c>
      <c r="KX35" s="3">
        <v>218.56219999999999</v>
      </c>
      <c r="KY35" s="3">
        <v>218.91669999999999</v>
      </c>
      <c r="KZ35" s="3">
        <v>220.8141</v>
      </c>
      <c r="LA35" s="3">
        <v>221.8312</v>
      </c>
      <c r="LB35" s="3">
        <v>222.93340000000001</v>
      </c>
      <c r="LC35" s="3">
        <v>223.29499999999999</v>
      </c>
      <c r="LD35" s="3">
        <v>225.2304</v>
      </c>
      <c r="LE35" s="3">
        <v>226.26779999999999</v>
      </c>
      <c r="LF35" s="3">
        <v>227.3921</v>
      </c>
      <c r="LG35" t="s">
        <v>335</v>
      </c>
      <c r="LH35" t="b">
        <v>0</v>
      </c>
      <c r="LI35" t="s">
        <v>337</v>
      </c>
      <c r="LJ35">
        <v>2015</v>
      </c>
      <c r="LK35">
        <v>2024</v>
      </c>
      <c r="LL35">
        <v>1</v>
      </c>
      <c r="LM35" t="s">
        <v>337</v>
      </c>
      <c r="LN35" s="1" t="s">
        <v>344</v>
      </c>
      <c r="LO35" s="1" t="s">
        <v>345</v>
      </c>
      <c r="LP35" t="s">
        <v>340</v>
      </c>
      <c r="LQ35" t="s">
        <v>346</v>
      </c>
      <c r="LR35" s="1" t="s">
        <v>368</v>
      </c>
    </row>
    <row r="36" spans="1:330" x14ac:dyDescent="0.25">
      <c r="A36" t="s">
        <v>330</v>
      </c>
      <c r="B36" t="s">
        <v>331</v>
      </c>
      <c r="C36" s="1" t="s">
        <v>369</v>
      </c>
      <c r="D36" t="s">
        <v>332</v>
      </c>
      <c r="E36" t="s">
        <v>333</v>
      </c>
      <c r="F36" t="s">
        <v>334</v>
      </c>
      <c r="G36" s="2">
        <v>223780</v>
      </c>
      <c r="H36" s="2">
        <v>224213</v>
      </c>
      <c r="I36" s="2">
        <v>222122</v>
      </c>
      <c r="J36" s="2">
        <v>221266</v>
      </c>
      <c r="K36" s="2">
        <v>215122</v>
      </c>
      <c r="L36" s="2">
        <v>218215</v>
      </c>
      <c r="M36" s="2">
        <v>219517</v>
      </c>
      <c r="N36" s="2">
        <v>216301</v>
      </c>
      <c r="O36" s="2">
        <v>216390</v>
      </c>
      <c r="P36" s="2">
        <v>212882</v>
      </c>
      <c r="Q36" s="2">
        <v>212192</v>
      </c>
      <c r="R36" s="2">
        <v>214585</v>
      </c>
      <c r="S36" s="2">
        <v>218180</v>
      </c>
      <c r="T36" s="2">
        <v>217883</v>
      </c>
      <c r="U36" s="2">
        <v>220587</v>
      </c>
      <c r="V36" s="2">
        <v>225228</v>
      </c>
      <c r="W36" s="2">
        <v>225362</v>
      </c>
      <c r="X36" s="2">
        <v>223815</v>
      </c>
      <c r="Y36" s="2">
        <v>225295</v>
      </c>
      <c r="Z36" s="2">
        <v>229115</v>
      </c>
      <c r="AA36" s="2">
        <v>231258</v>
      </c>
      <c r="AB36" s="2">
        <v>233910</v>
      </c>
      <c r="AC36" s="2">
        <v>237107</v>
      </c>
      <c r="AD36" s="2">
        <v>239186</v>
      </c>
      <c r="AE36" s="2">
        <v>238472</v>
      </c>
      <c r="AF36" s="2">
        <v>248867</v>
      </c>
      <c r="AG36" s="2">
        <v>243369</v>
      </c>
      <c r="AH36" s="2">
        <v>245858</v>
      </c>
      <c r="AI36" s="2">
        <v>243513</v>
      </c>
      <c r="AJ36" s="2">
        <v>238722</v>
      </c>
      <c r="AK36" s="2">
        <v>238432</v>
      </c>
      <c r="AL36" s="2">
        <v>235866</v>
      </c>
      <c r="AM36" s="2">
        <v>235712</v>
      </c>
      <c r="AN36" s="2">
        <v>236272</v>
      </c>
      <c r="AO36" s="2">
        <v>238846</v>
      </c>
      <c r="AP36" s="2">
        <v>239131</v>
      </c>
      <c r="AQ36" s="2">
        <v>239578</v>
      </c>
      <c r="AR36" s="2">
        <v>242095</v>
      </c>
      <c r="AS36" s="2">
        <v>242639</v>
      </c>
      <c r="AT36" s="2">
        <v>244317</v>
      </c>
      <c r="AU36" s="2">
        <v>249032</v>
      </c>
      <c r="AV36" s="2">
        <v>250761</v>
      </c>
      <c r="AW36" s="2">
        <v>253655</v>
      </c>
      <c r="AX36" s="2">
        <v>255533</v>
      </c>
      <c r="AY36" s="2">
        <v>257683</v>
      </c>
      <c r="AZ36" s="2">
        <v>255100</v>
      </c>
      <c r="BA36" s="2">
        <v>256975</v>
      </c>
      <c r="BB36" s="2">
        <v>261627</v>
      </c>
      <c r="BC36" s="2">
        <v>264127</v>
      </c>
      <c r="BD36" s="2">
        <v>269787</v>
      </c>
      <c r="BE36" s="2">
        <v>269737</v>
      </c>
      <c r="BF36" s="2">
        <v>269896</v>
      </c>
      <c r="BG36" s="2">
        <v>272720</v>
      </c>
      <c r="BH36" s="2">
        <v>275136</v>
      </c>
      <c r="BI36" s="2">
        <v>276863</v>
      </c>
      <c r="BJ36" s="2">
        <v>282193</v>
      </c>
      <c r="BK36" s="2">
        <v>284172</v>
      </c>
      <c r="BL36" s="2">
        <v>288385</v>
      </c>
      <c r="BM36" s="2">
        <v>295493</v>
      </c>
      <c r="BN36" s="2">
        <v>298855</v>
      </c>
      <c r="BO36" s="2">
        <v>303698</v>
      </c>
      <c r="BP36" s="2">
        <v>305281</v>
      </c>
      <c r="BQ36" s="2">
        <v>309097</v>
      </c>
      <c r="BR36" s="2">
        <v>311574</v>
      </c>
      <c r="BS36" s="2">
        <v>313083</v>
      </c>
      <c r="BT36" s="2">
        <v>315039</v>
      </c>
      <c r="BU36" s="2">
        <v>315554</v>
      </c>
      <c r="BV36" s="2">
        <v>315515</v>
      </c>
      <c r="BW36" s="2">
        <v>317117</v>
      </c>
      <c r="BX36" s="2">
        <v>319239</v>
      </c>
      <c r="BY36" s="2">
        <v>315744</v>
      </c>
      <c r="BZ36" s="2">
        <v>314148</v>
      </c>
      <c r="CA36" s="2">
        <v>312596</v>
      </c>
      <c r="CB36" s="2">
        <v>312235</v>
      </c>
      <c r="CC36" s="2">
        <v>311624</v>
      </c>
      <c r="CD36" s="2">
        <v>312006</v>
      </c>
      <c r="CE36" s="2">
        <v>311904</v>
      </c>
      <c r="CF36" s="2">
        <v>311418</v>
      </c>
      <c r="CG36" s="2">
        <v>312896</v>
      </c>
      <c r="CH36" s="2">
        <v>315307</v>
      </c>
      <c r="CI36" s="2">
        <v>316882</v>
      </c>
      <c r="CJ36" s="2">
        <v>318302</v>
      </c>
      <c r="CK36" s="2">
        <v>321218</v>
      </c>
      <c r="CL36" s="2">
        <v>323400</v>
      </c>
      <c r="CM36" s="2">
        <v>326585</v>
      </c>
      <c r="CN36" s="2">
        <v>329584</v>
      </c>
      <c r="CO36" s="2">
        <v>332911</v>
      </c>
      <c r="CP36" s="2">
        <v>334363</v>
      </c>
      <c r="CQ36" s="2">
        <v>336090</v>
      </c>
      <c r="CR36" s="2">
        <v>336789</v>
      </c>
      <c r="CS36" s="2">
        <v>340542</v>
      </c>
      <c r="CT36" s="2">
        <v>341602</v>
      </c>
      <c r="CU36" s="2">
        <v>343859</v>
      </c>
      <c r="CV36" s="2">
        <v>344979</v>
      </c>
      <c r="CW36" s="2">
        <v>348214</v>
      </c>
      <c r="CX36" s="2">
        <v>352958</v>
      </c>
      <c r="CY36" s="2">
        <v>358611</v>
      </c>
      <c r="CZ36" s="2">
        <v>362573</v>
      </c>
      <c r="DA36" s="2">
        <v>365942</v>
      </c>
      <c r="DB36" s="2">
        <v>371341</v>
      </c>
      <c r="DC36" s="2">
        <v>374037</v>
      </c>
      <c r="DD36" s="2">
        <v>376421</v>
      </c>
      <c r="DE36" s="2">
        <v>377650</v>
      </c>
      <c r="DF36" s="2">
        <v>380155</v>
      </c>
      <c r="DG36" s="2">
        <v>382789</v>
      </c>
      <c r="DH36" s="2">
        <v>384605</v>
      </c>
      <c r="DI36" s="2">
        <v>390758</v>
      </c>
      <c r="DJ36" s="2">
        <v>396357</v>
      </c>
      <c r="DK36" s="2">
        <v>401242</v>
      </c>
      <c r="DL36" s="2">
        <v>404196</v>
      </c>
      <c r="DM36" s="2">
        <v>406795</v>
      </c>
      <c r="DN36" s="2">
        <v>409411</v>
      </c>
      <c r="DO36" s="2">
        <v>413054</v>
      </c>
      <c r="DP36" s="2">
        <v>414878</v>
      </c>
      <c r="DQ36" s="2">
        <v>417085</v>
      </c>
      <c r="DR36" s="2">
        <v>418445</v>
      </c>
      <c r="DS36" s="2">
        <v>419534</v>
      </c>
      <c r="DT36" s="2">
        <v>421587</v>
      </c>
      <c r="DU36" s="2">
        <v>424425</v>
      </c>
      <c r="DV36" s="2">
        <v>427725</v>
      </c>
      <c r="DW36" s="2">
        <v>430832</v>
      </c>
      <c r="DX36" s="2">
        <v>434837</v>
      </c>
      <c r="DY36" s="2">
        <v>438710</v>
      </c>
      <c r="DZ36" s="2">
        <v>442172</v>
      </c>
      <c r="EA36" s="2">
        <v>443853</v>
      </c>
      <c r="EB36" s="2">
        <v>446443</v>
      </c>
      <c r="EC36" s="2">
        <v>448171</v>
      </c>
      <c r="ED36" s="2">
        <v>450464</v>
      </c>
      <c r="EE36" s="2">
        <v>453784</v>
      </c>
      <c r="EF36" s="2">
        <v>457557</v>
      </c>
      <c r="EG36" s="2">
        <v>461135</v>
      </c>
      <c r="EH36" s="2">
        <v>465451</v>
      </c>
      <c r="EI36" s="2">
        <v>467840</v>
      </c>
      <c r="EJ36" s="2">
        <v>469655</v>
      </c>
      <c r="EK36" s="2">
        <v>470918</v>
      </c>
      <c r="EL36" s="2">
        <v>473372</v>
      </c>
      <c r="EM36" s="2">
        <v>477823</v>
      </c>
      <c r="EN36" s="2">
        <v>481314</v>
      </c>
      <c r="EO36" s="2">
        <v>484544</v>
      </c>
      <c r="EP36" s="2">
        <v>487413</v>
      </c>
      <c r="EQ36" s="2">
        <v>489783</v>
      </c>
      <c r="ER36" s="2">
        <v>487386</v>
      </c>
      <c r="ES36" s="2">
        <v>479872</v>
      </c>
      <c r="ET36" s="2">
        <v>469694</v>
      </c>
      <c r="EU36" s="2">
        <v>460105</v>
      </c>
      <c r="EV36" s="2">
        <v>458599</v>
      </c>
      <c r="EW36" s="2">
        <v>458875</v>
      </c>
      <c r="EX36" s="2">
        <v>460238</v>
      </c>
      <c r="EY36" s="2">
        <v>464543</v>
      </c>
      <c r="EZ36" s="2">
        <v>469606</v>
      </c>
      <c r="FA36" s="2">
        <v>472199</v>
      </c>
      <c r="FB36" s="2">
        <v>472612</v>
      </c>
      <c r="FC36" s="2">
        <v>473819</v>
      </c>
      <c r="FD36" s="2">
        <v>474365</v>
      </c>
      <c r="FE36" s="2">
        <v>475813</v>
      </c>
      <c r="FF36" s="2">
        <v>476479</v>
      </c>
      <c r="FG36" s="2">
        <v>480632</v>
      </c>
      <c r="FH36" s="2">
        <v>479979</v>
      </c>
      <c r="FI36" s="2">
        <v>484579</v>
      </c>
      <c r="FJ36" s="2">
        <v>484039</v>
      </c>
      <c r="FK36" s="2">
        <v>485409</v>
      </c>
      <c r="FL36" s="2">
        <v>488930</v>
      </c>
      <c r="FM36" s="2">
        <v>493002</v>
      </c>
      <c r="FN36" s="2">
        <v>496466</v>
      </c>
      <c r="FO36" s="2">
        <v>500552</v>
      </c>
      <c r="FP36" s="2">
        <v>504939</v>
      </c>
      <c r="FQ36" s="2">
        <v>508741</v>
      </c>
      <c r="FR36" s="2">
        <v>512334</v>
      </c>
      <c r="FS36" s="2">
        <v>513850</v>
      </c>
      <c r="FT36" s="2">
        <v>516876</v>
      </c>
      <c r="FU36" s="2">
        <v>518915</v>
      </c>
      <c r="FV36" s="2">
        <v>521920</v>
      </c>
      <c r="FW36" s="2">
        <v>523813</v>
      </c>
      <c r="FX36" s="2">
        <v>526750</v>
      </c>
      <c r="FY36" s="2">
        <v>528712</v>
      </c>
      <c r="FZ36" s="2">
        <v>532082</v>
      </c>
      <c r="GA36" s="2">
        <v>536566</v>
      </c>
      <c r="GB36" s="2">
        <v>540020</v>
      </c>
      <c r="GC36" s="2">
        <v>543452</v>
      </c>
      <c r="GD36" s="2">
        <v>547377</v>
      </c>
      <c r="GE36" s="2">
        <v>547688</v>
      </c>
      <c r="GF36" s="2">
        <v>548600</v>
      </c>
      <c r="GG36" s="2">
        <v>550425</v>
      </c>
      <c r="GH36" s="2">
        <v>551128</v>
      </c>
      <c r="GI36" s="2">
        <v>555141</v>
      </c>
      <c r="GJ36" s="2">
        <v>556932</v>
      </c>
      <c r="GK36" s="2">
        <v>560987</v>
      </c>
      <c r="GL36" s="2">
        <v>560861</v>
      </c>
      <c r="GM36" s="2">
        <v>545597</v>
      </c>
      <c r="GN36" s="2">
        <v>434718</v>
      </c>
      <c r="GO36" s="2">
        <v>507643</v>
      </c>
      <c r="GP36" s="2">
        <v>514531</v>
      </c>
      <c r="GQ36" s="2">
        <v>509261</v>
      </c>
      <c r="GR36" s="2">
        <v>546579</v>
      </c>
      <c r="GS36" s="2">
        <v>555956</v>
      </c>
      <c r="GT36" s="2">
        <v>564407</v>
      </c>
      <c r="GU36" s="2">
        <v>567396</v>
      </c>
      <c r="GV36" s="2">
        <v>567889</v>
      </c>
      <c r="GW36" s="2">
        <v>567445</v>
      </c>
      <c r="GX36" s="2">
        <v>568034</v>
      </c>
      <c r="GY36" s="2">
        <v>569027</v>
      </c>
      <c r="GZ36" s="2">
        <v>569076</v>
      </c>
      <c r="HA36" s="2">
        <v>568397</v>
      </c>
      <c r="HB36" s="2">
        <v>566626</v>
      </c>
      <c r="HC36" s="2">
        <v>570196</v>
      </c>
      <c r="HD36" s="3">
        <v>571523.1</v>
      </c>
      <c r="HE36" s="3">
        <v>574003.6</v>
      </c>
      <c r="HF36" s="3">
        <v>576946.80000000005</v>
      </c>
      <c r="HG36" s="3">
        <v>579986.80000000005</v>
      </c>
      <c r="HH36" s="3">
        <v>583264.30000000005</v>
      </c>
      <c r="HI36" s="3">
        <v>586384.9</v>
      </c>
      <c r="HJ36" s="3">
        <v>589463</v>
      </c>
      <c r="HK36" s="3">
        <v>592381</v>
      </c>
      <c r="HL36" s="3">
        <v>594988.30000000005</v>
      </c>
      <c r="HM36" s="3">
        <v>597427.80000000005</v>
      </c>
      <c r="HN36" s="3">
        <v>599847.30000000005</v>
      </c>
      <c r="HO36" s="3">
        <v>602306.6</v>
      </c>
      <c r="HP36" s="3">
        <v>604715.80000000005</v>
      </c>
      <c r="HQ36" s="3">
        <v>607165.1</v>
      </c>
      <c r="HR36" s="3">
        <v>609715.1</v>
      </c>
      <c r="HS36" s="3">
        <v>612214.9</v>
      </c>
      <c r="HT36" s="3">
        <v>614725</v>
      </c>
      <c r="HU36" s="3">
        <v>617183.9</v>
      </c>
      <c r="HV36" s="3">
        <v>619652.6</v>
      </c>
      <c r="HW36" s="3">
        <v>622069.30000000005</v>
      </c>
      <c r="HX36" s="3">
        <v>624433.1</v>
      </c>
      <c r="HY36" s="3">
        <v>626743.6</v>
      </c>
      <c r="HZ36" s="3">
        <v>629093.80000000005</v>
      </c>
      <c r="IA36" s="3">
        <v>631484.4</v>
      </c>
      <c r="IB36" s="3">
        <v>633852.4</v>
      </c>
      <c r="IC36" s="3">
        <v>636229.4</v>
      </c>
      <c r="ID36" s="3">
        <v>638615.30000000005</v>
      </c>
      <c r="IE36" s="3">
        <v>641010.1</v>
      </c>
      <c r="IF36" s="3">
        <v>643445.9</v>
      </c>
      <c r="IG36" s="3">
        <v>645891</v>
      </c>
      <c r="IH36" s="3">
        <v>648313.1</v>
      </c>
      <c r="II36" s="3">
        <v>650711.80000000005</v>
      </c>
      <c r="IJ36" s="3">
        <v>653152</v>
      </c>
      <c r="IK36" s="3">
        <v>655536</v>
      </c>
      <c r="IL36" s="3">
        <v>657928.80000000005</v>
      </c>
      <c r="IM36" s="3">
        <v>660402.1</v>
      </c>
      <c r="IN36" s="3">
        <v>662816.1</v>
      </c>
      <c r="IO36" s="3">
        <v>665208.9</v>
      </c>
      <c r="IP36" s="3">
        <v>667559.6</v>
      </c>
      <c r="IQ36" s="3">
        <v>670025.9</v>
      </c>
      <c r="IR36" s="3">
        <v>672510.3</v>
      </c>
      <c r="IS36" s="3">
        <v>674888.3</v>
      </c>
      <c r="IT36" s="3">
        <v>677232.8</v>
      </c>
      <c r="IU36" s="3">
        <v>679718.40000000002</v>
      </c>
      <c r="IV36" s="3">
        <v>682215.2</v>
      </c>
      <c r="IW36" s="3">
        <v>684722.9</v>
      </c>
      <c r="IX36" s="3">
        <v>687241</v>
      </c>
      <c r="IY36" s="3">
        <v>689831.7</v>
      </c>
      <c r="IZ36" s="3">
        <v>692436.1</v>
      </c>
      <c r="JA36" s="3">
        <v>695054.6</v>
      </c>
      <c r="JB36" s="3">
        <v>697686.7</v>
      </c>
      <c r="JC36" s="3">
        <v>700332.5</v>
      </c>
      <c r="JD36" s="3">
        <v>702992</v>
      </c>
      <c r="JE36" s="3">
        <v>705665.4</v>
      </c>
      <c r="JF36" s="3">
        <v>708352.9</v>
      </c>
      <c r="JG36" s="3">
        <v>711115.2</v>
      </c>
      <c r="JH36" s="3">
        <v>713892.2</v>
      </c>
      <c r="JI36" s="3">
        <v>716684.80000000005</v>
      </c>
      <c r="JJ36" s="3">
        <v>719492.8</v>
      </c>
      <c r="JK36" s="3">
        <v>722316.1</v>
      </c>
      <c r="JL36" s="3">
        <v>725154.7</v>
      </c>
      <c r="JM36" s="3">
        <v>728008.9</v>
      </c>
      <c r="JN36" s="3">
        <v>730878.9</v>
      </c>
      <c r="JO36" s="3">
        <v>733764.4</v>
      </c>
      <c r="JP36" s="3">
        <v>736659.4</v>
      </c>
      <c r="JQ36" s="3">
        <v>739564.5</v>
      </c>
      <c r="JR36" s="3">
        <v>742479.1</v>
      </c>
      <c r="JS36" s="3">
        <v>745341.4</v>
      </c>
      <c r="JT36" s="3">
        <v>748212.4</v>
      </c>
      <c r="JU36" s="3">
        <v>751092.3</v>
      </c>
      <c r="JV36" s="3">
        <v>753980.9</v>
      </c>
      <c r="JW36" s="3">
        <v>756878.3</v>
      </c>
      <c r="JX36" s="3">
        <v>759784.6</v>
      </c>
      <c r="JY36" s="3">
        <v>762699.6</v>
      </c>
      <c r="JZ36" s="3">
        <v>765623.3</v>
      </c>
      <c r="KA36" s="3">
        <v>768555.9</v>
      </c>
      <c r="KB36" s="3">
        <v>771496.9</v>
      </c>
      <c r="KC36" s="3">
        <v>774445.9</v>
      </c>
      <c r="KD36" s="3">
        <v>777403.2</v>
      </c>
      <c r="KE36" s="3">
        <v>780368.3</v>
      </c>
      <c r="KF36" s="3">
        <v>783341.7</v>
      </c>
      <c r="KG36" s="3">
        <v>786323</v>
      </c>
      <c r="KH36" s="3">
        <v>789312.4</v>
      </c>
      <c r="KI36" s="3">
        <v>792309.8</v>
      </c>
      <c r="KJ36" s="3">
        <v>795315.4</v>
      </c>
      <c r="KK36" s="3">
        <v>798329.1</v>
      </c>
      <c r="KL36" s="3">
        <v>801350.9</v>
      </c>
      <c r="KM36" s="3">
        <v>804381</v>
      </c>
      <c r="KN36" s="3">
        <v>807419.1</v>
      </c>
      <c r="KO36" s="3">
        <v>810465.6</v>
      </c>
      <c r="KP36" s="3">
        <v>813520.5</v>
      </c>
      <c r="KQ36" s="3">
        <v>816583.6</v>
      </c>
      <c r="KR36" s="3">
        <v>819655.1</v>
      </c>
      <c r="KS36" s="3">
        <v>822735.1</v>
      </c>
      <c r="KT36" s="3">
        <v>825823.6</v>
      </c>
      <c r="KU36" s="3">
        <v>828920.8</v>
      </c>
      <c r="KV36" s="3">
        <v>832026.3</v>
      </c>
      <c r="KW36" s="3">
        <v>835140.3</v>
      </c>
      <c r="KX36" s="3">
        <v>838262.9</v>
      </c>
      <c r="KY36" s="3">
        <v>841394.1</v>
      </c>
      <c r="KZ36" s="3">
        <v>844533.8</v>
      </c>
      <c r="LA36" s="3">
        <v>847681.8</v>
      </c>
      <c r="LB36" s="3">
        <v>850838.3</v>
      </c>
      <c r="LC36" s="3">
        <v>854003.3</v>
      </c>
      <c r="LD36" s="3">
        <v>857176.6</v>
      </c>
      <c r="LE36" s="3">
        <v>860358.4</v>
      </c>
      <c r="LF36" s="3">
        <v>863548.7</v>
      </c>
      <c r="LG36" t="s">
        <v>335</v>
      </c>
      <c r="LH36" t="b">
        <v>1</v>
      </c>
      <c r="LI36" s="1" t="s">
        <v>336</v>
      </c>
      <c r="LJ36" t="s">
        <v>337</v>
      </c>
      <c r="LK36">
        <v>2024</v>
      </c>
      <c r="LL36">
        <v>1</v>
      </c>
      <c r="LM36" t="s">
        <v>337</v>
      </c>
      <c r="LN36" t="s">
        <v>338</v>
      </c>
      <c r="LO36" s="1" t="s">
        <v>339</v>
      </c>
      <c r="LP36" t="s">
        <v>340</v>
      </c>
      <c r="LQ36" t="s">
        <v>341</v>
      </c>
      <c r="LR36" s="1" t="s">
        <v>370</v>
      </c>
    </row>
    <row r="37" spans="1:330" x14ac:dyDescent="0.25">
      <c r="A37" t="s">
        <v>330</v>
      </c>
      <c r="B37" t="s">
        <v>342</v>
      </c>
      <c r="C37" s="1" t="s">
        <v>369</v>
      </c>
      <c r="D37" t="s">
        <v>343</v>
      </c>
      <c r="E37" t="s">
        <v>337</v>
      </c>
      <c r="F37" t="s">
        <v>334</v>
      </c>
      <c r="G37" s="2">
        <v>11.88749</v>
      </c>
      <c r="H37" s="2">
        <v>12.304600000000001</v>
      </c>
      <c r="I37" s="2">
        <v>12.51315</v>
      </c>
      <c r="J37" s="2">
        <v>13.008459999999999</v>
      </c>
      <c r="K37" s="2">
        <v>13.47771</v>
      </c>
      <c r="L37" s="2">
        <v>14.23371</v>
      </c>
      <c r="M37" s="2">
        <v>14.572609999999999</v>
      </c>
      <c r="N37" s="2">
        <v>15.250400000000001</v>
      </c>
      <c r="O37" s="2">
        <v>16.058540000000001</v>
      </c>
      <c r="P37" s="2">
        <v>17.466270000000002</v>
      </c>
      <c r="Q37" s="2">
        <v>18.222280000000001</v>
      </c>
      <c r="R37" s="2">
        <v>18.847930000000002</v>
      </c>
      <c r="S37" s="2">
        <v>19.42145</v>
      </c>
      <c r="T37" s="2">
        <v>20.125319999999999</v>
      </c>
      <c r="U37" s="2">
        <v>20.594560000000001</v>
      </c>
      <c r="V37" s="2">
        <v>21.506979999999999</v>
      </c>
      <c r="W37" s="2">
        <v>22.471530000000001</v>
      </c>
      <c r="X37" s="2">
        <v>23.410019999999999</v>
      </c>
      <c r="Y37" s="2">
        <v>23.82713</v>
      </c>
      <c r="Z37" s="2">
        <v>24.139949999999999</v>
      </c>
      <c r="AA37" s="2">
        <v>24.452780000000001</v>
      </c>
      <c r="AB37" s="2">
        <v>25.078440000000001</v>
      </c>
      <c r="AC37" s="2">
        <v>25.469480000000001</v>
      </c>
      <c r="AD37" s="2">
        <v>25.860510000000001</v>
      </c>
      <c r="AE37" s="2">
        <v>26.43403</v>
      </c>
      <c r="AF37" s="2">
        <v>27.268239999999999</v>
      </c>
      <c r="AG37" s="2">
        <v>28.910589999999999</v>
      </c>
      <c r="AH37" s="2">
        <v>29.718730000000001</v>
      </c>
      <c r="AI37" s="2">
        <v>30.605080000000001</v>
      </c>
      <c r="AJ37" s="2">
        <v>32.247430000000001</v>
      </c>
      <c r="AK37" s="2">
        <v>32.951300000000003</v>
      </c>
      <c r="AL37" s="2">
        <v>33.550879999999999</v>
      </c>
      <c r="AM37" s="2">
        <v>34.385100000000001</v>
      </c>
      <c r="AN37" s="2">
        <v>36.079590000000003</v>
      </c>
      <c r="AO37" s="2">
        <v>36.731310000000001</v>
      </c>
      <c r="AP37" s="2">
        <v>37.435180000000003</v>
      </c>
      <c r="AQ37" s="2">
        <v>37.878349999999998</v>
      </c>
      <c r="AR37" s="2">
        <v>39.181800000000003</v>
      </c>
      <c r="AS37" s="2">
        <v>39.416420000000002</v>
      </c>
      <c r="AT37" s="2">
        <v>39.885669999999998</v>
      </c>
      <c r="AU37" s="2">
        <v>40.172429999999999</v>
      </c>
      <c r="AV37" s="2">
        <v>40.85022</v>
      </c>
      <c r="AW37" s="2">
        <v>41.293399999999998</v>
      </c>
      <c r="AX37" s="2">
        <v>41.762639999999998</v>
      </c>
      <c r="AY37" s="2">
        <v>41.86692</v>
      </c>
      <c r="AZ37" s="2">
        <v>42.779339999999998</v>
      </c>
      <c r="BA37" s="2">
        <v>42.98789</v>
      </c>
      <c r="BB37" s="2">
        <v>43.431060000000002</v>
      </c>
      <c r="BC37" s="2">
        <v>43.874229999999997</v>
      </c>
      <c r="BD37" s="2">
        <v>44.995199999999997</v>
      </c>
      <c r="BE37" s="2">
        <v>45.125549999999997</v>
      </c>
      <c r="BF37" s="2">
        <v>45.490519999999997</v>
      </c>
      <c r="BG37" s="2">
        <v>45.646929999999998</v>
      </c>
      <c r="BH37" s="2">
        <v>46.3508</v>
      </c>
      <c r="BI37" s="2">
        <v>46.533279999999998</v>
      </c>
      <c r="BJ37" s="2">
        <v>46.924320000000002</v>
      </c>
      <c r="BK37" s="2">
        <v>47.237139999999997</v>
      </c>
      <c r="BL37" s="2">
        <v>47.836730000000003</v>
      </c>
      <c r="BM37" s="2">
        <v>47.888869999999997</v>
      </c>
      <c r="BN37" s="2">
        <v>48.436320000000002</v>
      </c>
      <c r="BO37" s="2">
        <v>48.566670000000002</v>
      </c>
      <c r="BP37" s="2">
        <v>49.5</v>
      </c>
      <c r="BQ37" s="2">
        <v>49.9</v>
      </c>
      <c r="BR37" s="2">
        <v>50.466670000000001</v>
      </c>
      <c r="BS37" s="2">
        <v>51</v>
      </c>
      <c r="BT37" s="2">
        <v>52.133339999999997</v>
      </c>
      <c r="BU37" s="2">
        <v>52.466670000000001</v>
      </c>
      <c r="BV37" s="2">
        <v>53.266669999999998</v>
      </c>
      <c r="BW37" s="2">
        <v>53.933329999999998</v>
      </c>
      <c r="BX37" s="2">
        <v>55.6</v>
      </c>
      <c r="BY37" s="2">
        <v>56.4</v>
      </c>
      <c r="BZ37" s="2">
        <v>57.466670000000001</v>
      </c>
      <c r="CA37" s="2">
        <v>57.666670000000003</v>
      </c>
      <c r="CB37" s="2">
        <v>60.266669999999998</v>
      </c>
      <c r="CC37" s="2">
        <v>60.833329999999997</v>
      </c>
      <c r="CD37" s="2">
        <v>61.466670000000001</v>
      </c>
      <c r="CE37" s="2">
        <v>61.7</v>
      </c>
      <c r="CF37" s="2">
        <v>62.833329999999997</v>
      </c>
      <c r="CG37" s="2">
        <v>62.733330000000002</v>
      </c>
      <c r="CH37" s="2">
        <v>63.133339999999997</v>
      </c>
      <c r="CI37" s="2">
        <v>63.2</v>
      </c>
      <c r="CJ37" s="2">
        <v>64.433329999999998</v>
      </c>
      <c r="CK37" s="2">
        <v>64.5</v>
      </c>
      <c r="CL37" s="2">
        <v>64.666659999999993</v>
      </c>
      <c r="CM37" s="2">
        <v>64.766670000000005</v>
      </c>
      <c r="CN37" s="2">
        <v>65.7</v>
      </c>
      <c r="CO37" s="2">
        <v>65.633330000000001</v>
      </c>
      <c r="CP37" s="2">
        <v>65.8</v>
      </c>
      <c r="CQ37" s="2">
        <v>66.333340000000007</v>
      </c>
      <c r="CR37" s="2">
        <v>67.266670000000005</v>
      </c>
      <c r="CS37" s="2">
        <v>67.400000000000006</v>
      </c>
      <c r="CT37" s="2">
        <v>67.733329999999995</v>
      </c>
      <c r="CU37" s="2">
        <v>68.099999999999994</v>
      </c>
      <c r="CV37" s="2">
        <v>68.866669999999999</v>
      </c>
      <c r="CW37" s="2">
        <v>68.933329999999998</v>
      </c>
      <c r="CX37" s="2">
        <v>69.366669999999999</v>
      </c>
      <c r="CY37" s="2">
        <v>69.366669999999999</v>
      </c>
      <c r="CZ37" s="2">
        <v>70</v>
      </c>
      <c r="DA37" s="2">
        <v>70.266670000000005</v>
      </c>
      <c r="DB37" s="2">
        <v>70.633330000000001</v>
      </c>
      <c r="DC37" s="2">
        <v>70.5</v>
      </c>
      <c r="DD37" s="2">
        <v>71.266670000000005</v>
      </c>
      <c r="DE37" s="2">
        <v>71.233329999999995</v>
      </c>
      <c r="DF37" s="2">
        <v>71.633330000000001</v>
      </c>
      <c r="DG37" s="2">
        <v>71.599999999999994</v>
      </c>
      <c r="DH37" s="2">
        <v>72.3</v>
      </c>
      <c r="DI37" s="2">
        <v>72.133330000000001</v>
      </c>
      <c r="DJ37" s="2">
        <v>72.433329999999998</v>
      </c>
      <c r="DK37" s="2">
        <v>72.133330000000001</v>
      </c>
      <c r="DL37" s="2">
        <v>72.766670000000005</v>
      </c>
      <c r="DM37" s="2">
        <v>72.7</v>
      </c>
      <c r="DN37" s="2">
        <v>73.166659999999993</v>
      </c>
      <c r="DO37" s="2">
        <v>72.766670000000005</v>
      </c>
      <c r="DP37" s="2">
        <v>73.833340000000007</v>
      </c>
      <c r="DQ37" s="2">
        <v>73.866669999999999</v>
      </c>
      <c r="DR37" s="2">
        <v>73.900000000000006</v>
      </c>
      <c r="DS37" s="2">
        <v>73.866669999999999</v>
      </c>
      <c r="DT37" s="2">
        <v>74.533330000000007</v>
      </c>
      <c r="DU37" s="2">
        <v>74.599999999999994</v>
      </c>
      <c r="DV37" s="2">
        <v>75</v>
      </c>
      <c r="DW37" s="2">
        <v>75</v>
      </c>
      <c r="DX37" s="2">
        <v>75.466669999999993</v>
      </c>
      <c r="DY37" s="2">
        <v>75.599999999999994</v>
      </c>
      <c r="DZ37" s="2">
        <v>76.033330000000007</v>
      </c>
      <c r="EA37" s="2">
        <v>75.966669999999993</v>
      </c>
      <c r="EB37" s="2">
        <v>76.533330000000007</v>
      </c>
      <c r="EC37" s="2">
        <v>76.566670000000002</v>
      </c>
      <c r="ED37" s="2">
        <v>77.099999999999994</v>
      </c>
      <c r="EE37" s="2">
        <v>77.233329999999995</v>
      </c>
      <c r="EF37" s="2">
        <v>78</v>
      </c>
      <c r="EG37" s="2">
        <v>78.400000000000006</v>
      </c>
      <c r="EH37" s="2">
        <v>78.766670000000005</v>
      </c>
      <c r="EI37" s="2">
        <v>78.733329999999995</v>
      </c>
      <c r="EJ37" s="2">
        <v>79.8</v>
      </c>
      <c r="EK37" s="2">
        <v>80.3</v>
      </c>
      <c r="EL37" s="2">
        <v>80.900000000000006</v>
      </c>
      <c r="EM37" s="2">
        <v>81</v>
      </c>
      <c r="EN37" s="2">
        <v>81.8</v>
      </c>
      <c r="EO37" s="2">
        <v>81.733329999999995</v>
      </c>
      <c r="EP37" s="2">
        <v>82.6</v>
      </c>
      <c r="EQ37" s="2">
        <v>82.933329999999998</v>
      </c>
      <c r="ER37" s="2">
        <v>84.6</v>
      </c>
      <c r="ES37" s="2">
        <v>85.633330000000001</v>
      </c>
      <c r="ET37" s="2">
        <v>85.733329999999995</v>
      </c>
      <c r="EU37" s="2">
        <v>85.433329999999998</v>
      </c>
      <c r="EV37" s="2">
        <v>86.366669999999999</v>
      </c>
      <c r="EW37" s="2">
        <v>86.933329999999998</v>
      </c>
      <c r="EX37" s="2">
        <v>87.566670000000002</v>
      </c>
      <c r="EY37" s="2">
        <v>88.233329999999995</v>
      </c>
      <c r="EZ37" s="2">
        <v>89.366669999999999</v>
      </c>
      <c r="FA37" s="2">
        <v>89.633330000000001</v>
      </c>
      <c r="FB37" s="2">
        <v>90.5</v>
      </c>
      <c r="FC37" s="2">
        <v>91.833340000000007</v>
      </c>
      <c r="FD37" s="2">
        <v>93.3</v>
      </c>
      <c r="FE37" s="2">
        <v>93.833340000000007</v>
      </c>
      <c r="FF37" s="2">
        <v>94.733329999999995</v>
      </c>
      <c r="FG37" s="2">
        <v>95.033330000000007</v>
      </c>
      <c r="FH37" s="2">
        <v>95.8</v>
      </c>
      <c r="FI37" s="2">
        <v>96.066670000000002</v>
      </c>
      <c r="FJ37" s="2">
        <v>97.266670000000005</v>
      </c>
      <c r="FK37" s="2">
        <v>97.666659999999993</v>
      </c>
      <c r="FL37" s="2">
        <v>98.366669999999999</v>
      </c>
      <c r="FM37" s="2">
        <v>98.7</v>
      </c>
      <c r="FN37" s="2">
        <v>99.3</v>
      </c>
      <c r="FO37" s="2">
        <v>99.4</v>
      </c>
      <c r="FP37" s="2">
        <v>100.1</v>
      </c>
      <c r="FQ37" s="2">
        <v>100.13330000000001</v>
      </c>
      <c r="FR37" s="2">
        <v>100.2</v>
      </c>
      <c r="FS37" s="2">
        <v>99.5</v>
      </c>
      <c r="FT37" s="2">
        <v>100.0667</v>
      </c>
      <c r="FU37" s="2">
        <v>100.16670000000001</v>
      </c>
      <c r="FV37" s="2">
        <v>100.3</v>
      </c>
      <c r="FW37" s="2">
        <v>99.833340000000007</v>
      </c>
      <c r="FX37" s="2">
        <v>100.4</v>
      </c>
      <c r="FY37" s="2">
        <v>100.86669999999999</v>
      </c>
      <c r="FZ37" s="2">
        <v>101.5</v>
      </c>
      <c r="GA37" s="2">
        <v>102</v>
      </c>
      <c r="GB37" s="2">
        <v>103.16670000000001</v>
      </c>
      <c r="GC37" s="2">
        <v>103.7</v>
      </c>
      <c r="GD37" s="2">
        <v>104.5667</v>
      </c>
      <c r="GE37" s="2">
        <v>104.7667</v>
      </c>
      <c r="GF37" s="2">
        <v>105.66670000000001</v>
      </c>
      <c r="GG37" s="2">
        <v>106.3</v>
      </c>
      <c r="GH37" s="2">
        <v>106.9333</v>
      </c>
      <c r="GI37" s="2">
        <v>106.7</v>
      </c>
      <c r="GJ37" s="2">
        <v>107.8</v>
      </c>
      <c r="GK37" s="2">
        <v>108.2667</v>
      </c>
      <c r="GL37" s="2">
        <v>108.4333</v>
      </c>
      <c r="GM37" s="2">
        <v>108.4667</v>
      </c>
      <c r="GN37" s="2">
        <v>108.5333</v>
      </c>
      <c r="GO37" s="2">
        <v>108.9333</v>
      </c>
      <c r="GP37" s="2">
        <v>109.0667</v>
      </c>
      <c r="GQ37" s="2">
        <v>109.16670000000001</v>
      </c>
      <c r="GR37" s="2">
        <v>110.7333</v>
      </c>
      <c r="GS37" s="2">
        <v>111.9333</v>
      </c>
      <c r="GT37" s="2">
        <v>114.4</v>
      </c>
      <c r="GU37" s="2">
        <v>115.9333</v>
      </c>
      <c r="GV37" s="2">
        <v>120.86669999999999</v>
      </c>
      <c r="GW37" s="2">
        <v>123.13330000000001</v>
      </c>
      <c r="GX37" s="2">
        <v>126.7</v>
      </c>
      <c r="GY37" s="2">
        <v>127.7333</v>
      </c>
      <c r="GZ37" s="2">
        <v>131.0667</v>
      </c>
      <c r="HA37" s="2">
        <v>131.4</v>
      </c>
      <c r="HB37" s="2">
        <v>131.9667</v>
      </c>
      <c r="HC37" s="2">
        <v>132.26669999999999</v>
      </c>
      <c r="HD37" s="3">
        <v>133.75540000000001</v>
      </c>
      <c r="HE37" s="3">
        <v>134.035</v>
      </c>
      <c r="HF37" s="3">
        <v>135.20050000000001</v>
      </c>
      <c r="HG37" s="3">
        <v>135.5223</v>
      </c>
      <c r="HH37" s="3">
        <v>136.8664</v>
      </c>
      <c r="HI37" s="3">
        <v>137.5848</v>
      </c>
      <c r="HJ37" s="3">
        <v>138.47970000000001</v>
      </c>
      <c r="HK37" s="3">
        <v>138.74440000000001</v>
      </c>
      <c r="HL37" s="3">
        <v>140.0138</v>
      </c>
      <c r="HM37" s="3">
        <v>140.6712</v>
      </c>
      <c r="HN37" s="3">
        <v>141.45920000000001</v>
      </c>
      <c r="HO37" s="3">
        <v>141.7936</v>
      </c>
      <c r="HP37" s="3">
        <v>143.10130000000001</v>
      </c>
      <c r="HQ37" s="3">
        <v>143.80500000000001</v>
      </c>
      <c r="HR37" s="3">
        <v>144.60820000000001</v>
      </c>
      <c r="HS37" s="3">
        <v>144.89570000000001</v>
      </c>
      <c r="HT37" s="3">
        <v>146.18180000000001</v>
      </c>
      <c r="HU37" s="3">
        <v>146.86439999999999</v>
      </c>
      <c r="HV37" s="3">
        <v>147.62979999999999</v>
      </c>
      <c r="HW37" s="3">
        <v>147.88329999999999</v>
      </c>
      <c r="HX37" s="3">
        <v>149.1687</v>
      </c>
      <c r="HY37" s="3">
        <v>149.8519</v>
      </c>
      <c r="HZ37" s="3">
        <v>150.60169999999999</v>
      </c>
      <c r="IA37" s="3">
        <v>150.8458</v>
      </c>
      <c r="IB37" s="3">
        <v>152.1534</v>
      </c>
      <c r="IC37" s="3">
        <v>152.85820000000001</v>
      </c>
      <c r="ID37" s="3">
        <v>153.6086</v>
      </c>
      <c r="IE37" s="3">
        <v>153.86269999999999</v>
      </c>
      <c r="IF37" s="3">
        <v>155.19649999999999</v>
      </c>
      <c r="IG37" s="3">
        <v>155.9153</v>
      </c>
      <c r="IH37" s="3">
        <v>156.6808</v>
      </c>
      <c r="II37" s="3">
        <v>156.94</v>
      </c>
      <c r="IJ37" s="3">
        <v>158.3004</v>
      </c>
      <c r="IK37" s="3">
        <v>159.03360000000001</v>
      </c>
      <c r="IL37" s="3">
        <v>159.81440000000001</v>
      </c>
      <c r="IM37" s="3">
        <v>160.0788</v>
      </c>
      <c r="IN37" s="3">
        <v>161.46639999999999</v>
      </c>
      <c r="IO37" s="3">
        <v>162.21430000000001</v>
      </c>
      <c r="IP37" s="3">
        <v>163.01070000000001</v>
      </c>
      <c r="IQ37" s="3">
        <v>163.28039999999999</v>
      </c>
      <c r="IR37" s="3">
        <v>164.69579999999999</v>
      </c>
      <c r="IS37" s="3">
        <v>165.45859999999999</v>
      </c>
      <c r="IT37" s="3">
        <v>166.27090000000001</v>
      </c>
      <c r="IU37" s="3">
        <v>166.54599999999999</v>
      </c>
      <c r="IV37" s="3">
        <v>167.9897</v>
      </c>
      <c r="IW37" s="3">
        <v>168.76769999999999</v>
      </c>
      <c r="IX37" s="3">
        <v>169.59630000000001</v>
      </c>
      <c r="IY37" s="3">
        <v>169.87690000000001</v>
      </c>
      <c r="IZ37" s="3">
        <v>171.34950000000001</v>
      </c>
      <c r="JA37" s="3">
        <v>172.1431</v>
      </c>
      <c r="JB37" s="3">
        <v>172.98830000000001</v>
      </c>
      <c r="JC37" s="3">
        <v>173.27440000000001</v>
      </c>
      <c r="JD37" s="3">
        <v>174.7765</v>
      </c>
      <c r="JE37" s="3">
        <v>175.58600000000001</v>
      </c>
      <c r="JF37" s="3">
        <v>176.44800000000001</v>
      </c>
      <c r="JG37" s="3">
        <v>176.73990000000001</v>
      </c>
      <c r="JH37" s="3">
        <v>178.27199999999999</v>
      </c>
      <c r="JI37" s="3">
        <v>179.0977</v>
      </c>
      <c r="JJ37" s="3">
        <v>179.977</v>
      </c>
      <c r="JK37" s="3">
        <v>180.2747</v>
      </c>
      <c r="JL37" s="3">
        <v>181.8374</v>
      </c>
      <c r="JM37" s="3">
        <v>182.67959999999999</v>
      </c>
      <c r="JN37" s="3">
        <v>183.57650000000001</v>
      </c>
      <c r="JO37" s="3">
        <v>183.8802</v>
      </c>
      <c r="JP37" s="3">
        <v>185.4742</v>
      </c>
      <c r="JQ37" s="3">
        <v>186.33320000000001</v>
      </c>
      <c r="JR37" s="3">
        <v>187.24809999999999</v>
      </c>
      <c r="JS37" s="3">
        <v>187.55779999999999</v>
      </c>
      <c r="JT37" s="3">
        <v>189.18369999999999</v>
      </c>
      <c r="JU37" s="3">
        <v>190.0599</v>
      </c>
      <c r="JV37" s="3">
        <v>190.99299999999999</v>
      </c>
      <c r="JW37" s="3">
        <v>191.309</v>
      </c>
      <c r="JX37" s="3">
        <v>192.96729999999999</v>
      </c>
      <c r="JY37" s="3">
        <v>193.86109999999999</v>
      </c>
      <c r="JZ37" s="3">
        <v>194.81290000000001</v>
      </c>
      <c r="KA37" s="3">
        <v>195.13509999999999</v>
      </c>
      <c r="KB37" s="3">
        <v>196.82669999999999</v>
      </c>
      <c r="KC37" s="3">
        <v>197.73830000000001</v>
      </c>
      <c r="KD37" s="3">
        <v>198.70920000000001</v>
      </c>
      <c r="KE37" s="3">
        <v>199.0378</v>
      </c>
      <c r="KF37" s="3">
        <v>200.76320000000001</v>
      </c>
      <c r="KG37" s="3">
        <v>201.69309999999999</v>
      </c>
      <c r="KH37" s="3">
        <v>202.6833</v>
      </c>
      <c r="KI37" s="3">
        <v>203.01859999999999</v>
      </c>
      <c r="KJ37" s="3">
        <v>204.77850000000001</v>
      </c>
      <c r="KK37" s="3">
        <v>205.7269</v>
      </c>
      <c r="KL37" s="3">
        <v>206.73699999999999</v>
      </c>
      <c r="KM37" s="3">
        <v>207.07900000000001</v>
      </c>
      <c r="KN37" s="3">
        <v>208.874</v>
      </c>
      <c r="KO37" s="3">
        <v>209.8415</v>
      </c>
      <c r="KP37" s="3">
        <v>210.8717</v>
      </c>
      <c r="KQ37" s="3">
        <v>211.22059999999999</v>
      </c>
      <c r="KR37" s="3">
        <v>213.0515</v>
      </c>
      <c r="KS37" s="3">
        <v>214.03829999999999</v>
      </c>
      <c r="KT37" s="3">
        <v>215.08920000000001</v>
      </c>
      <c r="KU37" s="3">
        <v>215.44499999999999</v>
      </c>
      <c r="KV37" s="3">
        <v>217.3126</v>
      </c>
      <c r="KW37" s="3">
        <v>218.31909999999999</v>
      </c>
      <c r="KX37" s="3">
        <v>219.39099999999999</v>
      </c>
      <c r="KY37" s="3">
        <v>219.75389999999999</v>
      </c>
      <c r="KZ37" s="3">
        <v>221.65880000000001</v>
      </c>
      <c r="LA37" s="3">
        <v>222.68549999999999</v>
      </c>
      <c r="LB37" s="3">
        <v>223.77879999999999</v>
      </c>
      <c r="LC37" s="3">
        <v>224.1489</v>
      </c>
      <c r="LD37" s="3">
        <v>226.09200000000001</v>
      </c>
      <c r="LE37" s="3">
        <v>227.13919999999999</v>
      </c>
      <c r="LF37" s="3">
        <v>228.2543</v>
      </c>
      <c r="LG37" t="s">
        <v>335</v>
      </c>
      <c r="LH37" t="b">
        <v>0</v>
      </c>
      <c r="LI37" t="s">
        <v>337</v>
      </c>
      <c r="LJ37">
        <v>2015</v>
      </c>
      <c r="LK37">
        <v>2024</v>
      </c>
      <c r="LL37">
        <v>1</v>
      </c>
      <c r="LM37" t="s">
        <v>337</v>
      </c>
      <c r="LN37" s="1" t="s">
        <v>344</v>
      </c>
      <c r="LO37" s="1" t="s">
        <v>345</v>
      </c>
      <c r="LP37" t="s">
        <v>340</v>
      </c>
      <c r="LQ37" t="s">
        <v>346</v>
      </c>
      <c r="LR37" s="1" t="s">
        <v>370</v>
      </c>
    </row>
    <row r="38" spans="1:330" x14ac:dyDescent="0.25">
      <c r="A38" t="s">
        <v>330</v>
      </c>
      <c r="B38" t="s">
        <v>331</v>
      </c>
      <c r="C38" s="1" t="s">
        <v>371</v>
      </c>
      <c r="D38" t="s">
        <v>332</v>
      </c>
      <c r="E38" t="s">
        <v>333</v>
      </c>
      <c r="F38" t="s">
        <v>334</v>
      </c>
      <c r="G38" s="2">
        <v>223780</v>
      </c>
      <c r="H38" s="2">
        <v>224213</v>
      </c>
      <c r="I38" s="2">
        <v>222122</v>
      </c>
      <c r="J38" s="2">
        <v>221266</v>
      </c>
      <c r="K38" s="2">
        <v>215122</v>
      </c>
      <c r="L38" s="2">
        <v>218215</v>
      </c>
      <c r="M38" s="2">
        <v>219517</v>
      </c>
      <c r="N38" s="2">
        <v>216301</v>
      </c>
      <c r="O38" s="2">
        <v>216390</v>
      </c>
      <c r="P38" s="2">
        <v>212882</v>
      </c>
      <c r="Q38" s="2">
        <v>212192</v>
      </c>
      <c r="R38" s="2">
        <v>214585</v>
      </c>
      <c r="S38" s="2">
        <v>218180</v>
      </c>
      <c r="T38" s="2">
        <v>217883</v>
      </c>
      <c r="U38" s="2">
        <v>220587</v>
      </c>
      <c r="V38" s="2">
        <v>225228</v>
      </c>
      <c r="W38" s="2">
        <v>225362</v>
      </c>
      <c r="X38" s="2">
        <v>223815</v>
      </c>
      <c r="Y38" s="2">
        <v>225295</v>
      </c>
      <c r="Z38" s="2">
        <v>229115</v>
      </c>
      <c r="AA38" s="2">
        <v>231258</v>
      </c>
      <c r="AB38" s="2">
        <v>233910</v>
      </c>
      <c r="AC38" s="2">
        <v>237107</v>
      </c>
      <c r="AD38" s="2">
        <v>239186</v>
      </c>
      <c r="AE38" s="2">
        <v>238472</v>
      </c>
      <c r="AF38" s="2">
        <v>248867</v>
      </c>
      <c r="AG38" s="2">
        <v>243369</v>
      </c>
      <c r="AH38" s="2">
        <v>245858</v>
      </c>
      <c r="AI38" s="2">
        <v>243513</v>
      </c>
      <c r="AJ38" s="2">
        <v>238722</v>
      </c>
      <c r="AK38" s="2">
        <v>238432</v>
      </c>
      <c r="AL38" s="2">
        <v>235866</v>
      </c>
      <c r="AM38" s="2">
        <v>235712</v>
      </c>
      <c r="AN38" s="2">
        <v>236272</v>
      </c>
      <c r="AO38" s="2">
        <v>238846</v>
      </c>
      <c r="AP38" s="2">
        <v>239131</v>
      </c>
      <c r="AQ38" s="2">
        <v>239578</v>
      </c>
      <c r="AR38" s="2">
        <v>242095</v>
      </c>
      <c r="AS38" s="2">
        <v>242639</v>
      </c>
      <c r="AT38" s="2">
        <v>244317</v>
      </c>
      <c r="AU38" s="2">
        <v>249032</v>
      </c>
      <c r="AV38" s="2">
        <v>250761</v>
      </c>
      <c r="AW38" s="2">
        <v>253655</v>
      </c>
      <c r="AX38" s="2">
        <v>255533</v>
      </c>
      <c r="AY38" s="2">
        <v>257683</v>
      </c>
      <c r="AZ38" s="2">
        <v>255100</v>
      </c>
      <c r="BA38" s="2">
        <v>256975</v>
      </c>
      <c r="BB38" s="2">
        <v>261627</v>
      </c>
      <c r="BC38" s="2">
        <v>264127</v>
      </c>
      <c r="BD38" s="2">
        <v>269787</v>
      </c>
      <c r="BE38" s="2">
        <v>269737</v>
      </c>
      <c r="BF38" s="2">
        <v>269896</v>
      </c>
      <c r="BG38" s="2">
        <v>272720</v>
      </c>
      <c r="BH38" s="2">
        <v>275136</v>
      </c>
      <c r="BI38" s="2">
        <v>276863</v>
      </c>
      <c r="BJ38" s="2">
        <v>282193</v>
      </c>
      <c r="BK38" s="2">
        <v>284172</v>
      </c>
      <c r="BL38" s="2">
        <v>288385</v>
      </c>
      <c r="BM38" s="2">
        <v>295493</v>
      </c>
      <c r="BN38" s="2">
        <v>298855</v>
      </c>
      <c r="BO38" s="2">
        <v>303698</v>
      </c>
      <c r="BP38" s="2">
        <v>305281</v>
      </c>
      <c r="BQ38" s="2">
        <v>309097</v>
      </c>
      <c r="BR38" s="2">
        <v>311574</v>
      </c>
      <c r="BS38" s="2">
        <v>313083</v>
      </c>
      <c r="BT38" s="2">
        <v>315039</v>
      </c>
      <c r="BU38" s="2">
        <v>315554</v>
      </c>
      <c r="BV38" s="2">
        <v>315515</v>
      </c>
      <c r="BW38" s="2">
        <v>317117</v>
      </c>
      <c r="BX38" s="2">
        <v>319239</v>
      </c>
      <c r="BY38" s="2">
        <v>315744</v>
      </c>
      <c r="BZ38" s="2">
        <v>314148</v>
      </c>
      <c r="CA38" s="2">
        <v>312596</v>
      </c>
      <c r="CB38" s="2">
        <v>312235</v>
      </c>
      <c r="CC38" s="2">
        <v>311624</v>
      </c>
      <c r="CD38" s="2">
        <v>312006</v>
      </c>
      <c r="CE38" s="2">
        <v>311904</v>
      </c>
      <c r="CF38" s="2">
        <v>311418</v>
      </c>
      <c r="CG38" s="2">
        <v>312896</v>
      </c>
      <c r="CH38" s="2">
        <v>315307</v>
      </c>
      <c r="CI38" s="2">
        <v>316882</v>
      </c>
      <c r="CJ38" s="2">
        <v>318302</v>
      </c>
      <c r="CK38" s="2">
        <v>321218</v>
      </c>
      <c r="CL38" s="2">
        <v>323400</v>
      </c>
      <c r="CM38" s="2">
        <v>326585</v>
      </c>
      <c r="CN38" s="2">
        <v>329584</v>
      </c>
      <c r="CO38" s="2">
        <v>332911</v>
      </c>
      <c r="CP38" s="2">
        <v>334363</v>
      </c>
      <c r="CQ38" s="2">
        <v>336090</v>
      </c>
      <c r="CR38" s="2">
        <v>336789</v>
      </c>
      <c r="CS38" s="2">
        <v>340542</v>
      </c>
      <c r="CT38" s="2">
        <v>341602</v>
      </c>
      <c r="CU38" s="2">
        <v>343859</v>
      </c>
      <c r="CV38" s="2">
        <v>344979</v>
      </c>
      <c r="CW38" s="2">
        <v>348214</v>
      </c>
      <c r="CX38" s="2">
        <v>352958</v>
      </c>
      <c r="CY38" s="2">
        <v>358611</v>
      </c>
      <c r="CZ38" s="2">
        <v>362573</v>
      </c>
      <c r="DA38" s="2">
        <v>365942</v>
      </c>
      <c r="DB38" s="2">
        <v>371341</v>
      </c>
      <c r="DC38" s="2">
        <v>374037</v>
      </c>
      <c r="DD38" s="2">
        <v>376421</v>
      </c>
      <c r="DE38" s="2">
        <v>377650</v>
      </c>
      <c r="DF38" s="2">
        <v>380155</v>
      </c>
      <c r="DG38" s="2">
        <v>382789</v>
      </c>
      <c r="DH38" s="2">
        <v>384605</v>
      </c>
      <c r="DI38" s="2">
        <v>390758</v>
      </c>
      <c r="DJ38" s="2">
        <v>396357</v>
      </c>
      <c r="DK38" s="2">
        <v>401242</v>
      </c>
      <c r="DL38" s="2">
        <v>404196</v>
      </c>
      <c r="DM38" s="2">
        <v>406795</v>
      </c>
      <c r="DN38" s="2">
        <v>409411</v>
      </c>
      <c r="DO38" s="2">
        <v>413054</v>
      </c>
      <c r="DP38" s="2">
        <v>414878</v>
      </c>
      <c r="DQ38" s="2">
        <v>417085</v>
      </c>
      <c r="DR38" s="2">
        <v>418445</v>
      </c>
      <c r="DS38" s="2">
        <v>419534</v>
      </c>
      <c r="DT38" s="2">
        <v>421587</v>
      </c>
      <c r="DU38" s="2">
        <v>424425</v>
      </c>
      <c r="DV38" s="2">
        <v>427725</v>
      </c>
      <c r="DW38" s="2">
        <v>430832</v>
      </c>
      <c r="DX38" s="2">
        <v>434837</v>
      </c>
      <c r="DY38" s="2">
        <v>438710</v>
      </c>
      <c r="DZ38" s="2">
        <v>442172</v>
      </c>
      <c r="EA38" s="2">
        <v>443853</v>
      </c>
      <c r="EB38" s="2">
        <v>446443</v>
      </c>
      <c r="EC38" s="2">
        <v>448171</v>
      </c>
      <c r="ED38" s="2">
        <v>450464</v>
      </c>
      <c r="EE38" s="2">
        <v>453784</v>
      </c>
      <c r="EF38" s="2">
        <v>457557</v>
      </c>
      <c r="EG38" s="2">
        <v>461135</v>
      </c>
      <c r="EH38" s="2">
        <v>465451</v>
      </c>
      <c r="EI38" s="2">
        <v>467840</v>
      </c>
      <c r="EJ38" s="2">
        <v>469655</v>
      </c>
      <c r="EK38" s="2">
        <v>470918</v>
      </c>
      <c r="EL38" s="2">
        <v>473372</v>
      </c>
      <c r="EM38" s="2">
        <v>477823</v>
      </c>
      <c r="EN38" s="2">
        <v>481314</v>
      </c>
      <c r="EO38" s="2">
        <v>484544</v>
      </c>
      <c r="EP38" s="2">
        <v>487413</v>
      </c>
      <c r="EQ38" s="2">
        <v>489783</v>
      </c>
      <c r="ER38" s="2">
        <v>487386</v>
      </c>
      <c r="ES38" s="2">
        <v>479872</v>
      </c>
      <c r="ET38" s="2">
        <v>469694</v>
      </c>
      <c r="EU38" s="2">
        <v>460105</v>
      </c>
      <c r="EV38" s="2">
        <v>458599</v>
      </c>
      <c r="EW38" s="2">
        <v>458875</v>
      </c>
      <c r="EX38" s="2">
        <v>460238</v>
      </c>
      <c r="EY38" s="2">
        <v>464543</v>
      </c>
      <c r="EZ38" s="2">
        <v>469606</v>
      </c>
      <c r="FA38" s="2">
        <v>472199</v>
      </c>
      <c r="FB38" s="2">
        <v>472612</v>
      </c>
      <c r="FC38" s="2">
        <v>473819</v>
      </c>
      <c r="FD38" s="2">
        <v>474365</v>
      </c>
      <c r="FE38" s="2">
        <v>475813</v>
      </c>
      <c r="FF38" s="2">
        <v>476479</v>
      </c>
      <c r="FG38" s="2">
        <v>480632</v>
      </c>
      <c r="FH38" s="2">
        <v>479979</v>
      </c>
      <c r="FI38" s="2">
        <v>484579</v>
      </c>
      <c r="FJ38" s="2">
        <v>484039</v>
      </c>
      <c r="FK38" s="2">
        <v>485409</v>
      </c>
      <c r="FL38" s="2">
        <v>488930</v>
      </c>
      <c r="FM38" s="2">
        <v>493002</v>
      </c>
      <c r="FN38" s="2">
        <v>496466</v>
      </c>
      <c r="FO38" s="2">
        <v>500552</v>
      </c>
      <c r="FP38" s="2">
        <v>504939</v>
      </c>
      <c r="FQ38" s="2">
        <v>508741</v>
      </c>
      <c r="FR38" s="2">
        <v>512334</v>
      </c>
      <c r="FS38" s="2">
        <v>513850</v>
      </c>
      <c r="FT38" s="2">
        <v>516876</v>
      </c>
      <c r="FU38" s="2">
        <v>518915</v>
      </c>
      <c r="FV38" s="2">
        <v>521920</v>
      </c>
      <c r="FW38" s="2">
        <v>523813</v>
      </c>
      <c r="FX38" s="2">
        <v>526750</v>
      </c>
      <c r="FY38" s="2">
        <v>528712</v>
      </c>
      <c r="FZ38" s="2">
        <v>532082</v>
      </c>
      <c r="GA38" s="2">
        <v>536566</v>
      </c>
      <c r="GB38" s="2">
        <v>540020</v>
      </c>
      <c r="GC38" s="2">
        <v>543452</v>
      </c>
      <c r="GD38" s="2">
        <v>547377</v>
      </c>
      <c r="GE38" s="2">
        <v>547688</v>
      </c>
      <c r="GF38" s="2">
        <v>548600</v>
      </c>
      <c r="GG38" s="2">
        <v>550425</v>
      </c>
      <c r="GH38" s="2">
        <v>551128</v>
      </c>
      <c r="GI38" s="2">
        <v>555141</v>
      </c>
      <c r="GJ38" s="2">
        <v>556932</v>
      </c>
      <c r="GK38" s="2">
        <v>560987</v>
      </c>
      <c r="GL38" s="2">
        <v>560861</v>
      </c>
      <c r="GM38" s="2">
        <v>545597</v>
      </c>
      <c r="GN38" s="2">
        <v>434718</v>
      </c>
      <c r="GO38" s="2">
        <v>507643</v>
      </c>
      <c r="GP38" s="2">
        <v>514531</v>
      </c>
      <c r="GQ38" s="2">
        <v>509261</v>
      </c>
      <c r="GR38" s="2">
        <v>546579</v>
      </c>
      <c r="GS38" s="2">
        <v>555956</v>
      </c>
      <c r="GT38" s="2">
        <v>564407</v>
      </c>
      <c r="GU38" s="2">
        <v>567396</v>
      </c>
      <c r="GV38" s="2">
        <v>567889</v>
      </c>
      <c r="GW38" s="2">
        <v>567445</v>
      </c>
      <c r="GX38" s="2">
        <v>568034</v>
      </c>
      <c r="GY38" s="2">
        <v>569027</v>
      </c>
      <c r="GZ38" s="2">
        <v>569076</v>
      </c>
      <c r="HA38" s="2">
        <v>568397</v>
      </c>
      <c r="HB38" s="2">
        <v>566626</v>
      </c>
      <c r="HC38" s="2">
        <v>570196</v>
      </c>
      <c r="HD38" s="3">
        <v>572293.1</v>
      </c>
      <c r="HE38" s="3">
        <v>574441.6</v>
      </c>
      <c r="HF38" s="3">
        <v>577384.69999999995</v>
      </c>
      <c r="HG38" s="3">
        <v>580427</v>
      </c>
      <c r="HH38" s="3">
        <v>583706.9</v>
      </c>
      <c r="HI38" s="3">
        <v>586771.6</v>
      </c>
      <c r="HJ38" s="3">
        <v>589851.69999999995</v>
      </c>
      <c r="HK38" s="3">
        <v>592771.6</v>
      </c>
      <c r="HL38" s="3">
        <v>595380.6</v>
      </c>
      <c r="HM38" s="3">
        <v>597821.80000000005</v>
      </c>
      <c r="HN38" s="3">
        <v>600242.80000000005</v>
      </c>
      <c r="HO38" s="3">
        <v>602703.80000000005</v>
      </c>
      <c r="HP38" s="3">
        <v>605114.6</v>
      </c>
      <c r="HQ38" s="3">
        <v>607565.4</v>
      </c>
      <c r="HR38" s="3">
        <v>610117.1</v>
      </c>
      <c r="HS38" s="3">
        <v>612618.6</v>
      </c>
      <c r="HT38" s="3">
        <v>615130.4</v>
      </c>
      <c r="HU38" s="3">
        <v>617590.9</v>
      </c>
      <c r="HV38" s="3">
        <v>620061.30000000005</v>
      </c>
      <c r="HW38" s="3">
        <v>622479.5</v>
      </c>
      <c r="HX38" s="3">
        <v>624844.9</v>
      </c>
      <c r="HY38" s="3">
        <v>627188.1</v>
      </c>
      <c r="HZ38" s="3">
        <v>629540.1</v>
      </c>
      <c r="IA38" s="3">
        <v>631932.30000000005</v>
      </c>
      <c r="IB38" s="3">
        <v>634302.1</v>
      </c>
      <c r="IC38" s="3">
        <v>636680.69999999995</v>
      </c>
      <c r="ID38" s="3">
        <v>639068.19999999995</v>
      </c>
      <c r="IE38" s="3">
        <v>641464.80000000005</v>
      </c>
      <c r="IF38" s="3">
        <v>643902.30000000005</v>
      </c>
      <c r="IG38" s="3">
        <v>646349.1</v>
      </c>
      <c r="IH38" s="3">
        <v>648772.9</v>
      </c>
      <c r="II38" s="3">
        <v>651173.4</v>
      </c>
      <c r="IJ38" s="3">
        <v>653615.30000000005</v>
      </c>
      <c r="IK38" s="3">
        <v>656001</v>
      </c>
      <c r="IL38" s="3">
        <v>658395.4</v>
      </c>
      <c r="IM38" s="3">
        <v>660794.6</v>
      </c>
      <c r="IN38" s="3">
        <v>663161.9</v>
      </c>
      <c r="IO38" s="3">
        <v>665521.4</v>
      </c>
      <c r="IP38" s="3">
        <v>667859.30000000005</v>
      </c>
      <c r="IQ38" s="3">
        <v>670292.4</v>
      </c>
      <c r="IR38" s="3">
        <v>672743.2</v>
      </c>
      <c r="IS38" s="3">
        <v>675130.7</v>
      </c>
      <c r="IT38" s="3">
        <v>677517.4</v>
      </c>
      <c r="IU38" s="3">
        <v>680002.2</v>
      </c>
      <c r="IV38" s="3">
        <v>682498.2</v>
      </c>
      <c r="IW38" s="3">
        <v>685005.1</v>
      </c>
      <c r="IX38" s="3">
        <v>687522.4</v>
      </c>
      <c r="IY38" s="3">
        <v>690112.3</v>
      </c>
      <c r="IZ38" s="3">
        <v>692716.1</v>
      </c>
      <c r="JA38" s="3">
        <v>695333.8</v>
      </c>
      <c r="JB38" s="3">
        <v>697965.2</v>
      </c>
      <c r="JC38" s="3">
        <v>700610.3</v>
      </c>
      <c r="JD38" s="3">
        <v>703269.1</v>
      </c>
      <c r="JE38" s="3">
        <v>705941.9</v>
      </c>
      <c r="JF38" s="3">
        <v>708628.8</v>
      </c>
      <c r="JG38" s="3">
        <v>711390.4</v>
      </c>
      <c r="JH38" s="3">
        <v>714166.8</v>
      </c>
      <c r="JI38" s="3">
        <v>716958.9</v>
      </c>
      <c r="JJ38" s="3">
        <v>719766.3</v>
      </c>
      <c r="JK38" s="3">
        <v>722589.1</v>
      </c>
      <c r="JL38" s="3">
        <v>725427.19999999995</v>
      </c>
      <c r="JM38" s="3">
        <v>728280.9</v>
      </c>
      <c r="JN38" s="3">
        <v>731150.4</v>
      </c>
      <c r="JO38" s="3">
        <v>734035.4</v>
      </c>
      <c r="JP38" s="3">
        <v>736930</v>
      </c>
      <c r="JQ38" s="3">
        <v>739834.6</v>
      </c>
      <c r="JR38" s="3">
        <v>742748.8</v>
      </c>
      <c r="JS38" s="3">
        <v>745610.6</v>
      </c>
      <c r="JT38" s="3">
        <v>748481.3</v>
      </c>
      <c r="JU38" s="3">
        <v>751360.7</v>
      </c>
      <c r="JV38" s="3">
        <v>754248.8</v>
      </c>
      <c r="JW38" s="3">
        <v>757145.8</v>
      </c>
      <c r="JX38" s="3">
        <v>760051.8</v>
      </c>
      <c r="JY38" s="3">
        <v>762966.4</v>
      </c>
      <c r="JZ38" s="3">
        <v>765889.8</v>
      </c>
      <c r="KA38" s="3">
        <v>768822</v>
      </c>
      <c r="KB38" s="3">
        <v>771762.7</v>
      </c>
      <c r="KC38" s="3">
        <v>774711.4</v>
      </c>
      <c r="KD38" s="3">
        <v>777668.3</v>
      </c>
      <c r="KE38" s="3">
        <v>780633.2</v>
      </c>
      <c r="KF38" s="3">
        <v>783606.3</v>
      </c>
      <c r="KG38" s="3">
        <v>786587.3</v>
      </c>
      <c r="KH38" s="3">
        <v>789576.4</v>
      </c>
      <c r="KI38" s="3">
        <v>792573.5</v>
      </c>
      <c r="KJ38" s="3">
        <v>795578.9</v>
      </c>
      <c r="KK38" s="3">
        <v>798592.4</v>
      </c>
      <c r="KL38" s="3">
        <v>801613.9</v>
      </c>
      <c r="KM38" s="3">
        <v>804643.8</v>
      </c>
      <c r="KN38" s="3">
        <v>807681.7</v>
      </c>
      <c r="KO38" s="3">
        <v>810728</v>
      </c>
      <c r="KP38" s="3">
        <v>813782.7</v>
      </c>
      <c r="KQ38" s="3">
        <v>816845.6</v>
      </c>
      <c r="KR38" s="3">
        <v>819916.9</v>
      </c>
      <c r="KS38" s="3">
        <v>822996.8</v>
      </c>
      <c r="KT38" s="3">
        <v>826085.1</v>
      </c>
      <c r="KU38" s="3">
        <v>829182.1</v>
      </c>
      <c r="KV38" s="3">
        <v>832287.4</v>
      </c>
      <c r="KW38" s="3">
        <v>835401.4</v>
      </c>
      <c r="KX38" s="3">
        <v>838523.8</v>
      </c>
      <c r="KY38" s="3">
        <v>841654.9</v>
      </c>
      <c r="KZ38" s="3">
        <v>844794.5</v>
      </c>
      <c r="LA38" s="3">
        <v>847942.4</v>
      </c>
      <c r="LB38" s="3">
        <v>851098.8</v>
      </c>
      <c r="LC38" s="3">
        <v>854263.6</v>
      </c>
      <c r="LD38" s="3">
        <v>857437</v>
      </c>
      <c r="LE38" s="3">
        <v>860618.7</v>
      </c>
      <c r="LF38" s="3">
        <v>863808.9</v>
      </c>
      <c r="LG38" t="s">
        <v>335</v>
      </c>
      <c r="LH38" t="b">
        <v>1</v>
      </c>
      <c r="LI38" s="1" t="s">
        <v>336</v>
      </c>
      <c r="LJ38" t="s">
        <v>337</v>
      </c>
      <c r="LK38">
        <v>2024</v>
      </c>
      <c r="LL38">
        <v>1</v>
      </c>
      <c r="LM38" t="s">
        <v>337</v>
      </c>
      <c r="LN38" t="s">
        <v>338</v>
      </c>
      <c r="LO38" s="1" t="s">
        <v>339</v>
      </c>
      <c r="LP38" t="s">
        <v>340</v>
      </c>
      <c r="LQ38" t="s">
        <v>341</v>
      </c>
      <c r="LR38" s="1" t="s">
        <v>372</v>
      </c>
    </row>
    <row r="39" spans="1:330" x14ac:dyDescent="0.25">
      <c r="A39" t="s">
        <v>330</v>
      </c>
      <c r="B39" t="s">
        <v>342</v>
      </c>
      <c r="C39" s="1" t="s">
        <v>371</v>
      </c>
      <c r="D39" t="s">
        <v>343</v>
      </c>
      <c r="E39" t="s">
        <v>337</v>
      </c>
      <c r="F39" t="s">
        <v>334</v>
      </c>
      <c r="G39" s="2">
        <v>11.88749</v>
      </c>
      <c r="H39" s="2">
        <v>12.304600000000001</v>
      </c>
      <c r="I39" s="2">
        <v>12.51315</v>
      </c>
      <c r="J39" s="2">
        <v>13.008459999999999</v>
      </c>
      <c r="K39" s="2">
        <v>13.47771</v>
      </c>
      <c r="L39" s="2">
        <v>14.23371</v>
      </c>
      <c r="M39" s="2">
        <v>14.572609999999999</v>
      </c>
      <c r="N39" s="2">
        <v>15.250400000000001</v>
      </c>
      <c r="O39" s="2">
        <v>16.058540000000001</v>
      </c>
      <c r="P39" s="2">
        <v>17.466270000000002</v>
      </c>
      <c r="Q39" s="2">
        <v>18.222280000000001</v>
      </c>
      <c r="R39" s="2">
        <v>18.847930000000002</v>
      </c>
      <c r="S39" s="2">
        <v>19.42145</v>
      </c>
      <c r="T39" s="2">
        <v>20.125319999999999</v>
      </c>
      <c r="U39" s="2">
        <v>20.594560000000001</v>
      </c>
      <c r="V39" s="2">
        <v>21.506979999999999</v>
      </c>
      <c r="W39" s="2">
        <v>22.471530000000001</v>
      </c>
      <c r="X39" s="2">
        <v>23.410019999999999</v>
      </c>
      <c r="Y39" s="2">
        <v>23.82713</v>
      </c>
      <c r="Z39" s="2">
        <v>24.139949999999999</v>
      </c>
      <c r="AA39" s="2">
        <v>24.452780000000001</v>
      </c>
      <c r="AB39" s="2">
        <v>25.078440000000001</v>
      </c>
      <c r="AC39" s="2">
        <v>25.469480000000001</v>
      </c>
      <c r="AD39" s="2">
        <v>25.860510000000001</v>
      </c>
      <c r="AE39" s="2">
        <v>26.43403</v>
      </c>
      <c r="AF39" s="2">
        <v>27.268239999999999</v>
      </c>
      <c r="AG39" s="2">
        <v>28.910589999999999</v>
      </c>
      <c r="AH39" s="2">
        <v>29.718730000000001</v>
      </c>
      <c r="AI39" s="2">
        <v>30.605080000000001</v>
      </c>
      <c r="AJ39" s="2">
        <v>32.247430000000001</v>
      </c>
      <c r="AK39" s="2">
        <v>32.951300000000003</v>
      </c>
      <c r="AL39" s="2">
        <v>33.550879999999999</v>
      </c>
      <c r="AM39" s="2">
        <v>34.385100000000001</v>
      </c>
      <c r="AN39" s="2">
        <v>36.079590000000003</v>
      </c>
      <c r="AO39" s="2">
        <v>36.731310000000001</v>
      </c>
      <c r="AP39" s="2">
        <v>37.435180000000003</v>
      </c>
      <c r="AQ39" s="2">
        <v>37.878349999999998</v>
      </c>
      <c r="AR39" s="2">
        <v>39.181800000000003</v>
      </c>
      <c r="AS39" s="2">
        <v>39.416420000000002</v>
      </c>
      <c r="AT39" s="2">
        <v>39.885669999999998</v>
      </c>
      <c r="AU39" s="2">
        <v>40.172429999999999</v>
      </c>
      <c r="AV39" s="2">
        <v>40.85022</v>
      </c>
      <c r="AW39" s="2">
        <v>41.293399999999998</v>
      </c>
      <c r="AX39" s="2">
        <v>41.762639999999998</v>
      </c>
      <c r="AY39" s="2">
        <v>41.86692</v>
      </c>
      <c r="AZ39" s="2">
        <v>42.779339999999998</v>
      </c>
      <c r="BA39" s="2">
        <v>42.98789</v>
      </c>
      <c r="BB39" s="2">
        <v>43.431060000000002</v>
      </c>
      <c r="BC39" s="2">
        <v>43.874229999999997</v>
      </c>
      <c r="BD39" s="2">
        <v>44.995199999999997</v>
      </c>
      <c r="BE39" s="2">
        <v>45.125549999999997</v>
      </c>
      <c r="BF39" s="2">
        <v>45.490519999999997</v>
      </c>
      <c r="BG39" s="2">
        <v>45.646929999999998</v>
      </c>
      <c r="BH39" s="2">
        <v>46.3508</v>
      </c>
      <c r="BI39" s="2">
        <v>46.533279999999998</v>
      </c>
      <c r="BJ39" s="2">
        <v>46.924320000000002</v>
      </c>
      <c r="BK39" s="2">
        <v>47.237139999999997</v>
      </c>
      <c r="BL39" s="2">
        <v>47.836730000000003</v>
      </c>
      <c r="BM39" s="2">
        <v>47.888869999999997</v>
      </c>
      <c r="BN39" s="2">
        <v>48.436320000000002</v>
      </c>
      <c r="BO39" s="2">
        <v>48.566670000000002</v>
      </c>
      <c r="BP39" s="2">
        <v>49.5</v>
      </c>
      <c r="BQ39" s="2">
        <v>49.9</v>
      </c>
      <c r="BR39" s="2">
        <v>50.466670000000001</v>
      </c>
      <c r="BS39" s="2">
        <v>51</v>
      </c>
      <c r="BT39" s="2">
        <v>52.133339999999997</v>
      </c>
      <c r="BU39" s="2">
        <v>52.466670000000001</v>
      </c>
      <c r="BV39" s="2">
        <v>53.266669999999998</v>
      </c>
      <c r="BW39" s="2">
        <v>53.933329999999998</v>
      </c>
      <c r="BX39" s="2">
        <v>55.6</v>
      </c>
      <c r="BY39" s="2">
        <v>56.4</v>
      </c>
      <c r="BZ39" s="2">
        <v>57.466670000000001</v>
      </c>
      <c r="CA39" s="2">
        <v>57.666670000000003</v>
      </c>
      <c r="CB39" s="2">
        <v>60.266669999999998</v>
      </c>
      <c r="CC39" s="2">
        <v>60.833329999999997</v>
      </c>
      <c r="CD39" s="2">
        <v>61.466670000000001</v>
      </c>
      <c r="CE39" s="2">
        <v>61.7</v>
      </c>
      <c r="CF39" s="2">
        <v>62.833329999999997</v>
      </c>
      <c r="CG39" s="2">
        <v>62.733330000000002</v>
      </c>
      <c r="CH39" s="2">
        <v>63.133339999999997</v>
      </c>
      <c r="CI39" s="2">
        <v>63.2</v>
      </c>
      <c r="CJ39" s="2">
        <v>64.433329999999998</v>
      </c>
      <c r="CK39" s="2">
        <v>64.5</v>
      </c>
      <c r="CL39" s="2">
        <v>64.666659999999993</v>
      </c>
      <c r="CM39" s="2">
        <v>64.766670000000005</v>
      </c>
      <c r="CN39" s="2">
        <v>65.7</v>
      </c>
      <c r="CO39" s="2">
        <v>65.633330000000001</v>
      </c>
      <c r="CP39" s="2">
        <v>65.8</v>
      </c>
      <c r="CQ39" s="2">
        <v>66.333340000000007</v>
      </c>
      <c r="CR39" s="2">
        <v>67.266670000000005</v>
      </c>
      <c r="CS39" s="2">
        <v>67.400000000000006</v>
      </c>
      <c r="CT39" s="2">
        <v>67.733329999999995</v>
      </c>
      <c r="CU39" s="2">
        <v>68.099999999999994</v>
      </c>
      <c r="CV39" s="2">
        <v>68.866669999999999</v>
      </c>
      <c r="CW39" s="2">
        <v>68.933329999999998</v>
      </c>
      <c r="CX39" s="2">
        <v>69.366669999999999</v>
      </c>
      <c r="CY39" s="2">
        <v>69.366669999999999</v>
      </c>
      <c r="CZ39" s="2">
        <v>70</v>
      </c>
      <c r="DA39" s="2">
        <v>70.266670000000005</v>
      </c>
      <c r="DB39" s="2">
        <v>70.633330000000001</v>
      </c>
      <c r="DC39" s="2">
        <v>70.5</v>
      </c>
      <c r="DD39" s="2">
        <v>71.266670000000005</v>
      </c>
      <c r="DE39" s="2">
        <v>71.233329999999995</v>
      </c>
      <c r="DF39" s="2">
        <v>71.633330000000001</v>
      </c>
      <c r="DG39" s="2">
        <v>71.599999999999994</v>
      </c>
      <c r="DH39" s="2">
        <v>72.3</v>
      </c>
      <c r="DI39" s="2">
        <v>72.133330000000001</v>
      </c>
      <c r="DJ39" s="2">
        <v>72.433329999999998</v>
      </c>
      <c r="DK39" s="2">
        <v>72.133330000000001</v>
      </c>
      <c r="DL39" s="2">
        <v>72.766670000000005</v>
      </c>
      <c r="DM39" s="2">
        <v>72.7</v>
      </c>
      <c r="DN39" s="2">
        <v>73.166659999999993</v>
      </c>
      <c r="DO39" s="2">
        <v>72.766670000000005</v>
      </c>
      <c r="DP39" s="2">
        <v>73.833340000000007</v>
      </c>
      <c r="DQ39" s="2">
        <v>73.866669999999999</v>
      </c>
      <c r="DR39" s="2">
        <v>73.900000000000006</v>
      </c>
      <c r="DS39" s="2">
        <v>73.866669999999999</v>
      </c>
      <c r="DT39" s="2">
        <v>74.533330000000007</v>
      </c>
      <c r="DU39" s="2">
        <v>74.599999999999994</v>
      </c>
      <c r="DV39" s="2">
        <v>75</v>
      </c>
      <c r="DW39" s="2">
        <v>75</v>
      </c>
      <c r="DX39" s="2">
        <v>75.466669999999993</v>
      </c>
      <c r="DY39" s="2">
        <v>75.599999999999994</v>
      </c>
      <c r="DZ39" s="2">
        <v>76.033330000000007</v>
      </c>
      <c r="EA39" s="2">
        <v>75.966669999999993</v>
      </c>
      <c r="EB39" s="2">
        <v>76.533330000000007</v>
      </c>
      <c r="EC39" s="2">
        <v>76.566670000000002</v>
      </c>
      <c r="ED39" s="2">
        <v>77.099999999999994</v>
      </c>
      <c r="EE39" s="2">
        <v>77.233329999999995</v>
      </c>
      <c r="EF39" s="2">
        <v>78</v>
      </c>
      <c r="EG39" s="2">
        <v>78.400000000000006</v>
      </c>
      <c r="EH39" s="2">
        <v>78.766670000000005</v>
      </c>
      <c r="EI39" s="2">
        <v>78.733329999999995</v>
      </c>
      <c r="EJ39" s="2">
        <v>79.8</v>
      </c>
      <c r="EK39" s="2">
        <v>80.3</v>
      </c>
      <c r="EL39" s="2">
        <v>80.900000000000006</v>
      </c>
      <c r="EM39" s="2">
        <v>81</v>
      </c>
      <c r="EN39" s="2">
        <v>81.8</v>
      </c>
      <c r="EO39" s="2">
        <v>81.733329999999995</v>
      </c>
      <c r="EP39" s="2">
        <v>82.6</v>
      </c>
      <c r="EQ39" s="2">
        <v>82.933329999999998</v>
      </c>
      <c r="ER39" s="2">
        <v>84.6</v>
      </c>
      <c r="ES39" s="2">
        <v>85.633330000000001</v>
      </c>
      <c r="ET39" s="2">
        <v>85.733329999999995</v>
      </c>
      <c r="EU39" s="2">
        <v>85.433329999999998</v>
      </c>
      <c r="EV39" s="2">
        <v>86.366669999999999</v>
      </c>
      <c r="EW39" s="2">
        <v>86.933329999999998</v>
      </c>
      <c r="EX39" s="2">
        <v>87.566670000000002</v>
      </c>
      <c r="EY39" s="2">
        <v>88.233329999999995</v>
      </c>
      <c r="EZ39" s="2">
        <v>89.366669999999999</v>
      </c>
      <c r="FA39" s="2">
        <v>89.633330000000001</v>
      </c>
      <c r="FB39" s="2">
        <v>90.5</v>
      </c>
      <c r="FC39" s="2">
        <v>91.833340000000007</v>
      </c>
      <c r="FD39" s="2">
        <v>93.3</v>
      </c>
      <c r="FE39" s="2">
        <v>93.833340000000007</v>
      </c>
      <c r="FF39" s="2">
        <v>94.733329999999995</v>
      </c>
      <c r="FG39" s="2">
        <v>95.033330000000007</v>
      </c>
      <c r="FH39" s="2">
        <v>95.8</v>
      </c>
      <c r="FI39" s="2">
        <v>96.066670000000002</v>
      </c>
      <c r="FJ39" s="2">
        <v>97.266670000000005</v>
      </c>
      <c r="FK39" s="2">
        <v>97.666659999999993</v>
      </c>
      <c r="FL39" s="2">
        <v>98.366669999999999</v>
      </c>
      <c r="FM39" s="2">
        <v>98.7</v>
      </c>
      <c r="FN39" s="2">
        <v>99.3</v>
      </c>
      <c r="FO39" s="2">
        <v>99.4</v>
      </c>
      <c r="FP39" s="2">
        <v>100.1</v>
      </c>
      <c r="FQ39" s="2">
        <v>100.13330000000001</v>
      </c>
      <c r="FR39" s="2">
        <v>100.2</v>
      </c>
      <c r="FS39" s="2">
        <v>99.5</v>
      </c>
      <c r="FT39" s="2">
        <v>100.0667</v>
      </c>
      <c r="FU39" s="2">
        <v>100.16670000000001</v>
      </c>
      <c r="FV39" s="2">
        <v>100.3</v>
      </c>
      <c r="FW39" s="2">
        <v>99.833340000000007</v>
      </c>
      <c r="FX39" s="2">
        <v>100.4</v>
      </c>
      <c r="FY39" s="2">
        <v>100.86669999999999</v>
      </c>
      <c r="FZ39" s="2">
        <v>101.5</v>
      </c>
      <c r="GA39" s="2">
        <v>102</v>
      </c>
      <c r="GB39" s="2">
        <v>103.16670000000001</v>
      </c>
      <c r="GC39" s="2">
        <v>103.7</v>
      </c>
      <c r="GD39" s="2">
        <v>104.5667</v>
      </c>
      <c r="GE39" s="2">
        <v>104.7667</v>
      </c>
      <c r="GF39" s="2">
        <v>105.66670000000001</v>
      </c>
      <c r="GG39" s="2">
        <v>106.3</v>
      </c>
      <c r="GH39" s="2">
        <v>106.9333</v>
      </c>
      <c r="GI39" s="2">
        <v>106.7</v>
      </c>
      <c r="GJ39" s="2">
        <v>107.8</v>
      </c>
      <c r="GK39" s="2">
        <v>108.2667</v>
      </c>
      <c r="GL39" s="2">
        <v>108.4333</v>
      </c>
      <c r="GM39" s="2">
        <v>108.4667</v>
      </c>
      <c r="GN39" s="2">
        <v>108.5333</v>
      </c>
      <c r="GO39" s="2">
        <v>108.9333</v>
      </c>
      <c r="GP39" s="2">
        <v>109.0667</v>
      </c>
      <c r="GQ39" s="2">
        <v>109.16670000000001</v>
      </c>
      <c r="GR39" s="2">
        <v>110.7333</v>
      </c>
      <c r="GS39" s="2">
        <v>111.9333</v>
      </c>
      <c r="GT39" s="2">
        <v>114.4</v>
      </c>
      <c r="GU39" s="2">
        <v>115.9333</v>
      </c>
      <c r="GV39" s="2">
        <v>120.86669999999999</v>
      </c>
      <c r="GW39" s="2">
        <v>123.13330000000001</v>
      </c>
      <c r="GX39" s="2">
        <v>126.7</v>
      </c>
      <c r="GY39" s="2">
        <v>127.7333</v>
      </c>
      <c r="GZ39" s="2">
        <v>131.0667</v>
      </c>
      <c r="HA39" s="2">
        <v>131.4</v>
      </c>
      <c r="HB39" s="2">
        <v>131.9667</v>
      </c>
      <c r="HC39" s="2">
        <v>132.26669999999999</v>
      </c>
      <c r="HD39" s="3">
        <v>133.75540000000001</v>
      </c>
      <c r="HE39" s="3">
        <v>134.035</v>
      </c>
      <c r="HF39" s="3">
        <v>135.20050000000001</v>
      </c>
      <c r="HG39" s="3">
        <v>135.5223</v>
      </c>
      <c r="HH39" s="3">
        <v>136.8664</v>
      </c>
      <c r="HI39" s="3">
        <v>137.5848</v>
      </c>
      <c r="HJ39" s="3">
        <v>138.47970000000001</v>
      </c>
      <c r="HK39" s="3">
        <v>138.74440000000001</v>
      </c>
      <c r="HL39" s="3">
        <v>140.0138</v>
      </c>
      <c r="HM39" s="3">
        <v>140.6712</v>
      </c>
      <c r="HN39" s="3">
        <v>141.45920000000001</v>
      </c>
      <c r="HO39" s="3">
        <v>141.7936</v>
      </c>
      <c r="HP39" s="3">
        <v>143.10130000000001</v>
      </c>
      <c r="HQ39" s="3">
        <v>143.80500000000001</v>
      </c>
      <c r="HR39" s="3">
        <v>144.60820000000001</v>
      </c>
      <c r="HS39" s="3">
        <v>144.89570000000001</v>
      </c>
      <c r="HT39" s="3">
        <v>146.18180000000001</v>
      </c>
      <c r="HU39" s="3">
        <v>146.86439999999999</v>
      </c>
      <c r="HV39" s="3">
        <v>147.62979999999999</v>
      </c>
      <c r="HW39" s="3">
        <v>147.88329999999999</v>
      </c>
      <c r="HX39" s="3">
        <v>149.1687</v>
      </c>
      <c r="HY39" s="3">
        <v>149.8519</v>
      </c>
      <c r="HZ39" s="3">
        <v>150.60169999999999</v>
      </c>
      <c r="IA39" s="3">
        <v>150.8458</v>
      </c>
      <c r="IB39" s="3">
        <v>152.1534</v>
      </c>
      <c r="IC39" s="3">
        <v>152.85820000000001</v>
      </c>
      <c r="ID39" s="3">
        <v>153.6086</v>
      </c>
      <c r="IE39" s="3">
        <v>153.86269999999999</v>
      </c>
      <c r="IF39" s="3">
        <v>155.19649999999999</v>
      </c>
      <c r="IG39" s="3">
        <v>155.9153</v>
      </c>
      <c r="IH39" s="3">
        <v>156.6808</v>
      </c>
      <c r="II39" s="3">
        <v>156.94</v>
      </c>
      <c r="IJ39" s="3">
        <v>158.3004</v>
      </c>
      <c r="IK39" s="3">
        <v>159.03360000000001</v>
      </c>
      <c r="IL39" s="3">
        <v>159.81440000000001</v>
      </c>
      <c r="IM39" s="3">
        <v>160.0788</v>
      </c>
      <c r="IN39" s="3">
        <v>161.46639999999999</v>
      </c>
      <c r="IO39" s="3">
        <v>162.21430000000001</v>
      </c>
      <c r="IP39" s="3">
        <v>163.01070000000001</v>
      </c>
      <c r="IQ39" s="3">
        <v>163.28039999999999</v>
      </c>
      <c r="IR39" s="3">
        <v>164.69579999999999</v>
      </c>
      <c r="IS39" s="3">
        <v>165.45859999999999</v>
      </c>
      <c r="IT39" s="3">
        <v>166.27090000000001</v>
      </c>
      <c r="IU39" s="3">
        <v>166.54599999999999</v>
      </c>
      <c r="IV39" s="3">
        <v>167.9897</v>
      </c>
      <c r="IW39" s="3">
        <v>168.76769999999999</v>
      </c>
      <c r="IX39" s="3">
        <v>169.59630000000001</v>
      </c>
      <c r="IY39" s="3">
        <v>169.87690000000001</v>
      </c>
      <c r="IZ39" s="3">
        <v>171.34950000000001</v>
      </c>
      <c r="JA39" s="3">
        <v>172.1431</v>
      </c>
      <c r="JB39" s="3">
        <v>172.98830000000001</v>
      </c>
      <c r="JC39" s="3">
        <v>173.27440000000001</v>
      </c>
      <c r="JD39" s="3">
        <v>174.7765</v>
      </c>
      <c r="JE39" s="3">
        <v>175.58600000000001</v>
      </c>
      <c r="JF39" s="3">
        <v>176.44800000000001</v>
      </c>
      <c r="JG39" s="3">
        <v>176.73990000000001</v>
      </c>
      <c r="JH39" s="3">
        <v>178.27199999999999</v>
      </c>
      <c r="JI39" s="3">
        <v>179.0977</v>
      </c>
      <c r="JJ39" s="3">
        <v>179.977</v>
      </c>
      <c r="JK39" s="3">
        <v>180.2747</v>
      </c>
      <c r="JL39" s="3">
        <v>181.8374</v>
      </c>
      <c r="JM39" s="3">
        <v>182.67959999999999</v>
      </c>
      <c r="JN39" s="3">
        <v>183.57650000000001</v>
      </c>
      <c r="JO39" s="3">
        <v>183.8802</v>
      </c>
      <c r="JP39" s="3">
        <v>185.4742</v>
      </c>
      <c r="JQ39" s="3">
        <v>186.33320000000001</v>
      </c>
      <c r="JR39" s="3">
        <v>187.24809999999999</v>
      </c>
      <c r="JS39" s="3">
        <v>187.55779999999999</v>
      </c>
      <c r="JT39" s="3">
        <v>189.18369999999999</v>
      </c>
      <c r="JU39" s="3">
        <v>190.0599</v>
      </c>
      <c r="JV39" s="3">
        <v>190.99299999999999</v>
      </c>
      <c r="JW39" s="3">
        <v>191.309</v>
      </c>
      <c r="JX39" s="3">
        <v>192.96729999999999</v>
      </c>
      <c r="JY39" s="3">
        <v>193.86109999999999</v>
      </c>
      <c r="JZ39" s="3">
        <v>194.81290000000001</v>
      </c>
      <c r="KA39" s="3">
        <v>195.13509999999999</v>
      </c>
      <c r="KB39" s="3">
        <v>196.82669999999999</v>
      </c>
      <c r="KC39" s="3">
        <v>197.73830000000001</v>
      </c>
      <c r="KD39" s="3">
        <v>198.70920000000001</v>
      </c>
      <c r="KE39" s="3">
        <v>199.0378</v>
      </c>
      <c r="KF39" s="3">
        <v>200.76320000000001</v>
      </c>
      <c r="KG39" s="3">
        <v>201.69309999999999</v>
      </c>
      <c r="KH39" s="3">
        <v>202.6833</v>
      </c>
      <c r="KI39" s="3">
        <v>203.01859999999999</v>
      </c>
      <c r="KJ39" s="3">
        <v>204.77850000000001</v>
      </c>
      <c r="KK39" s="3">
        <v>205.7269</v>
      </c>
      <c r="KL39" s="3">
        <v>206.73699999999999</v>
      </c>
      <c r="KM39" s="3">
        <v>207.07900000000001</v>
      </c>
      <c r="KN39" s="3">
        <v>208.874</v>
      </c>
      <c r="KO39" s="3">
        <v>209.8415</v>
      </c>
      <c r="KP39" s="3">
        <v>210.8717</v>
      </c>
      <c r="KQ39" s="3">
        <v>211.22059999999999</v>
      </c>
      <c r="KR39" s="3">
        <v>213.0515</v>
      </c>
      <c r="KS39" s="3">
        <v>214.03829999999999</v>
      </c>
      <c r="KT39" s="3">
        <v>215.08920000000001</v>
      </c>
      <c r="KU39" s="3">
        <v>215.44499999999999</v>
      </c>
      <c r="KV39" s="3">
        <v>217.3126</v>
      </c>
      <c r="KW39" s="3">
        <v>218.31909999999999</v>
      </c>
      <c r="KX39" s="3">
        <v>219.39099999999999</v>
      </c>
      <c r="KY39" s="3">
        <v>219.75389999999999</v>
      </c>
      <c r="KZ39" s="3">
        <v>221.65880000000001</v>
      </c>
      <c r="LA39" s="3">
        <v>222.68549999999999</v>
      </c>
      <c r="LB39" s="3">
        <v>223.77879999999999</v>
      </c>
      <c r="LC39" s="3">
        <v>224.1489</v>
      </c>
      <c r="LD39" s="3">
        <v>226.09200000000001</v>
      </c>
      <c r="LE39" s="3">
        <v>227.13919999999999</v>
      </c>
      <c r="LF39" s="3">
        <v>228.2543</v>
      </c>
      <c r="LG39" t="s">
        <v>335</v>
      </c>
      <c r="LH39" t="b">
        <v>0</v>
      </c>
      <c r="LI39" t="s">
        <v>337</v>
      </c>
      <c r="LJ39">
        <v>2015</v>
      </c>
      <c r="LK39">
        <v>2024</v>
      </c>
      <c r="LL39">
        <v>1</v>
      </c>
      <c r="LM39" t="s">
        <v>337</v>
      </c>
      <c r="LN39" s="1" t="s">
        <v>344</v>
      </c>
      <c r="LO39" s="1" t="s">
        <v>345</v>
      </c>
      <c r="LP39" t="s">
        <v>340</v>
      </c>
      <c r="LQ39" t="s">
        <v>346</v>
      </c>
      <c r="LR39" s="1" t="s">
        <v>372</v>
      </c>
    </row>
    <row r="40" spans="1:330" x14ac:dyDescent="0.25">
      <c r="A40" t="s">
        <v>330</v>
      </c>
      <c r="B40" t="s">
        <v>331</v>
      </c>
      <c r="C40" s="1" t="s">
        <v>373</v>
      </c>
      <c r="D40" t="s">
        <v>332</v>
      </c>
      <c r="E40" t="s">
        <v>333</v>
      </c>
      <c r="F40" t="s">
        <v>334</v>
      </c>
      <c r="G40" s="2">
        <v>223780</v>
      </c>
      <c r="H40" s="2">
        <v>224213</v>
      </c>
      <c r="I40" s="2">
        <v>222122</v>
      </c>
      <c r="J40" s="2">
        <v>221266</v>
      </c>
      <c r="K40" s="2">
        <v>215122</v>
      </c>
      <c r="L40" s="2">
        <v>218215</v>
      </c>
      <c r="M40" s="2">
        <v>219517</v>
      </c>
      <c r="N40" s="2">
        <v>216301</v>
      </c>
      <c r="O40" s="2">
        <v>216390</v>
      </c>
      <c r="P40" s="2">
        <v>212882</v>
      </c>
      <c r="Q40" s="2">
        <v>212192</v>
      </c>
      <c r="R40" s="2">
        <v>214585</v>
      </c>
      <c r="S40" s="2">
        <v>218180</v>
      </c>
      <c r="T40" s="2">
        <v>217883</v>
      </c>
      <c r="U40" s="2">
        <v>220587</v>
      </c>
      <c r="V40" s="2">
        <v>225228</v>
      </c>
      <c r="W40" s="2">
        <v>225362</v>
      </c>
      <c r="X40" s="2">
        <v>223815</v>
      </c>
      <c r="Y40" s="2">
        <v>225295</v>
      </c>
      <c r="Z40" s="2">
        <v>229115</v>
      </c>
      <c r="AA40" s="2">
        <v>231258</v>
      </c>
      <c r="AB40" s="2">
        <v>233910</v>
      </c>
      <c r="AC40" s="2">
        <v>237107</v>
      </c>
      <c r="AD40" s="2">
        <v>239186</v>
      </c>
      <c r="AE40" s="2">
        <v>238472</v>
      </c>
      <c r="AF40" s="2">
        <v>248867</v>
      </c>
      <c r="AG40" s="2">
        <v>243369</v>
      </c>
      <c r="AH40" s="2">
        <v>245858</v>
      </c>
      <c r="AI40" s="2">
        <v>243513</v>
      </c>
      <c r="AJ40" s="2">
        <v>238722</v>
      </c>
      <c r="AK40" s="2">
        <v>238432</v>
      </c>
      <c r="AL40" s="2">
        <v>235866</v>
      </c>
      <c r="AM40" s="2">
        <v>235712</v>
      </c>
      <c r="AN40" s="2">
        <v>236272</v>
      </c>
      <c r="AO40" s="2">
        <v>238846</v>
      </c>
      <c r="AP40" s="2">
        <v>239131</v>
      </c>
      <c r="AQ40" s="2">
        <v>239578</v>
      </c>
      <c r="AR40" s="2">
        <v>242095</v>
      </c>
      <c r="AS40" s="2">
        <v>242639</v>
      </c>
      <c r="AT40" s="2">
        <v>244317</v>
      </c>
      <c r="AU40" s="2">
        <v>249032</v>
      </c>
      <c r="AV40" s="2">
        <v>250761</v>
      </c>
      <c r="AW40" s="2">
        <v>253655</v>
      </c>
      <c r="AX40" s="2">
        <v>255533</v>
      </c>
      <c r="AY40" s="2">
        <v>257683</v>
      </c>
      <c r="AZ40" s="2">
        <v>255100</v>
      </c>
      <c r="BA40" s="2">
        <v>256975</v>
      </c>
      <c r="BB40" s="2">
        <v>261627</v>
      </c>
      <c r="BC40" s="2">
        <v>264127</v>
      </c>
      <c r="BD40" s="2">
        <v>269787</v>
      </c>
      <c r="BE40" s="2">
        <v>269737</v>
      </c>
      <c r="BF40" s="2">
        <v>269896</v>
      </c>
      <c r="BG40" s="2">
        <v>272720</v>
      </c>
      <c r="BH40" s="2">
        <v>275136</v>
      </c>
      <c r="BI40" s="2">
        <v>276863</v>
      </c>
      <c r="BJ40" s="2">
        <v>282193</v>
      </c>
      <c r="BK40" s="2">
        <v>284172</v>
      </c>
      <c r="BL40" s="2">
        <v>288385</v>
      </c>
      <c r="BM40" s="2">
        <v>295493</v>
      </c>
      <c r="BN40" s="2">
        <v>298855</v>
      </c>
      <c r="BO40" s="2">
        <v>303698</v>
      </c>
      <c r="BP40" s="2">
        <v>305281</v>
      </c>
      <c r="BQ40" s="2">
        <v>309097</v>
      </c>
      <c r="BR40" s="2">
        <v>311574</v>
      </c>
      <c r="BS40" s="2">
        <v>313083</v>
      </c>
      <c r="BT40" s="2">
        <v>315039</v>
      </c>
      <c r="BU40" s="2">
        <v>315554</v>
      </c>
      <c r="BV40" s="2">
        <v>315515</v>
      </c>
      <c r="BW40" s="2">
        <v>317117</v>
      </c>
      <c r="BX40" s="2">
        <v>319239</v>
      </c>
      <c r="BY40" s="2">
        <v>315744</v>
      </c>
      <c r="BZ40" s="2">
        <v>314148</v>
      </c>
      <c r="CA40" s="2">
        <v>312596</v>
      </c>
      <c r="CB40" s="2">
        <v>312235</v>
      </c>
      <c r="CC40" s="2">
        <v>311624</v>
      </c>
      <c r="CD40" s="2">
        <v>312006</v>
      </c>
      <c r="CE40" s="2">
        <v>311904</v>
      </c>
      <c r="CF40" s="2">
        <v>311418</v>
      </c>
      <c r="CG40" s="2">
        <v>312896</v>
      </c>
      <c r="CH40" s="2">
        <v>315307</v>
      </c>
      <c r="CI40" s="2">
        <v>316882</v>
      </c>
      <c r="CJ40" s="2">
        <v>318302</v>
      </c>
      <c r="CK40" s="2">
        <v>321218</v>
      </c>
      <c r="CL40" s="2">
        <v>323400</v>
      </c>
      <c r="CM40" s="2">
        <v>326585</v>
      </c>
      <c r="CN40" s="2">
        <v>329584</v>
      </c>
      <c r="CO40" s="2">
        <v>332911</v>
      </c>
      <c r="CP40" s="2">
        <v>334363</v>
      </c>
      <c r="CQ40" s="2">
        <v>336090</v>
      </c>
      <c r="CR40" s="2">
        <v>336789</v>
      </c>
      <c r="CS40" s="2">
        <v>340542</v>
      </c>
      <c r="CT40" s="2">
        <v>341602</v>
      </c>
      <c r="CU40" s="2">
        <v>343859</v>
      </c>
      <c r="CV40" s="2">
        <v>344979</v>
      </c>
      <c r="CW40" s="2">
        <v>348214</v>
      </c>
      <c r="CX40" s="2">
        <v>352958</v>
      </c>
      <c r="CY40" s="2">
        <v>358611</v>
      </c>
      <c r="CZ40" s="2">
        <v>362573</v>
      </c>
      <c r="DA40" s="2">
        <v>365942</v>
      </c>
      <c r="DB40" s="2">
        <v>371341</v>
      </c>
      <c r="DC40" s="2">
        <v>374037</v>
      </c>
      <c r="DD40" s="2">
        <v>376421</v>
      </c>
      <c r="DE40" s="2">
        <v>377650</v>
      </c>
      <c r="DF40" s="2">
        <v>380155</v>
      </c>
      <c r="DG40" s="2">
        <v>382789</v>
      </c>
      <c r="DH40" s="2">
        <v>384605</v>
      </c>
      <c r="DI40" s="2">
        <v>390758</v>
      </c>
      <c r="DJ40" s="2">
        <v>396357</v>
      </c>
      <c r="DK40" s="2">
        <v>401242</v>
      </c>
      <c r="DL40" s="2">
        <v>404196</v>
      </c>
      <c r="DM40" s="2">
        <v>406795</v>
      </c>
      <c r="DN40" s="2">
        <v>409411</v>
      </c>
      <c r="DO40" s="2">
        <v>413054</v>
      </c>
      <c r="DP40" s="2">
        <v>414878</v>
      </c>
      <c r="DQ40" s="2">
        <v>417085</v>
      </c>
      <c r="DR40" s="2">
        <v>418445</v>
      </c>
      <c r="DS40" s="2">
        <v>419534</v>
      </c>
      <c r="DT40" s="2">
        <v>421587</v>
      </c>
      <c r="DU40" s="2">
        <v>424425</v>
      </c>
      <c r="DV40" s="2">
        <v>427725</v>
      </c>
      <c r="DW40" s="2">
        <v>430832</v>
      </c>
      <c r="DX40" s="2">
        <v>434837</v>
      </c>
      <c r="DY40" s="2">
        <v>438710</v>
      </c>
      <c r="DZ40" s="2">
        <v>442172</v>
      </c>
      <c r="EA40" s="2">
        <v>443853</v>
      </c>
      <c r="EB40" s="2">
        <v>446443</v>
      </c>
      <c r="EC40" s="2">
        <v>448171</v>
      </c>
      <c r="ED40" s="2">
        <v>450464</v>
      </c>
      <c r="EE40" s="2">
        <v>453784</v>
      </c>
      <c r="EF40" s="2">
        <v>457557</v>
      </c>
      <c r="EG40" s="2">
        <v>461135</v>
      </c>
      <c r="EH40" s="2">
        <v>465451</v>
      </c>
      <c r="EI40" s="2">
        <v>467840</v>
      </c>
      <c r="EJ40" s="2">
        <v>469655</v>
      </c>
      <c r="EK40" s="2">
        <v>470918</v>
      </c>
      <c r="EL40" s="2">
        <v>473372</v>
      </c>
      <c r="EM40" s="2">
        <v>477823</v>
      </c>
      <c r="EN40" s="2">
        <v>481314</v>
      </c>
      <c r="EO40" s="2">
        <v>484544</v>
      </c>
      <c r="EP40" s="2">
        <v>487413</v>
      </c>
      <c r="EQ40" s="2">
        <v>489783</v>
      </c>
      <c r="ER40" s="2">
        <v>487386</v>
      </c>
      <c r="ES40" s="2">
        <v>479872</v>
      </c>
      <c r="ET40" s="2">
        <v>469694</v>
      </c>
      <c r="EU40" s="2">
        <v>460105</v>
      </c>
      <c r="EV40" s="2">
        <v>458599</v>
      </c>
      <c r="EW40" s="2">
        <v>458875</v>
      </c>
      <c r="EX40" s="2">
        <v>460238</v>
      </c>
      <c r="EY40" s="2">
        <v>464543</v>
      </c>
      <c r="EZ40" s="2">
        <v>469606</v>
      </c>
      <c r="FA40" s="2">
        <v>472199</v>
      </c>
      <c r="FB40" s="2">
        <v>472612</v>
      </c>
      <c r="FC40" s="2">
        <v>473819</v>
      </c>
      <c r="FD40" s="2">
        <v>474365</v>
      </c>
      <c r="FE40" s="2">
        <v>475813</v>
      </c>
      <c r="FF40" s="2">
        <v>476479</v>
      </c>
      <c r="FG40" s="2">
        <v>480632</v>
      </c>
      <c r="FH40" s="2">
        <v>479979</v>
      </c>
      <c r="FI40" s="2">
        <v>484579</v>
      </c>
      <c r="FJ40" s="2">
        <v>484039</v>
      </c>
      <c r="FK40" s="2">
        <v>485409</v>
      </c>
      <c r="FL40" s="2">
        <v>488930</v>
      </c>
      <c r="FM40" s="2">
        <v>493002</v>
      </c>
      <c r="FN40" s="2">
        <v>496466</v>
      </c>
      <c r="FO40" s="2">
        <v>500552</v>
      </c>
      <c r="FP40" s="2">
        <v>504939</v>
      </c>
      <c r="FQ40" s="2">
        <v>508741</v>
      </c>
      <c r="FR40" s="2">
        <v>512334</v>
      </c>
      <c r="FS40" s="2">
        <v>513850</v>
      </c>
      <c r="FT40" s="2">
        <v>516876</v>
      </c>
      <c r="FU40" s="2">
        <v>518915</v>
      </c>
      <c r="FV40" s="2">
        <v>521920</v>
      </c>
      <c r="FW40" s="2">
        <v>523813</v>
      </c>
      <c r="FX40" s="2">
        <v>526750</v>
      </c>
      <c r="FY40" s="2">
        <v>528712</v>
      </c>
      <c r="FZ40" s="2">
        <v>532082</v>
      </c>
      <c r="GA40" s="2">
        <v>536566</v>
      </c>
      <c r="GB40" s="2">
        <v>540020</v>
      </c>
      <c r="GC40" s="2">
        <v>543452</v>
      </c>
      <c r="GD40" s="2">
        <v>547377</v>
      </c>
      <c r="GE40" s="2">
        <v>547688</v>
      </c>
      <c r="GF40" s="2">
        <v>548600</v>
      </c>
      <c r="GG40" s="2">
        <v>550425</v>
      </c>
      <c r="GH40" s="2">
        <v>551128</v>
      </c>
      <c r="GI40" s="2">
        <v>555141</v>
      </c>
      <c r="GJ40" s="2">
        <v>556932</v>
      </c>
      <c r="GK40" s="2">
        <v>560987</v>
      </c>
      <c r="GL40" s="2">
        <v>560861</v>
      </c>
      <c r="GM40" s="2">
        <v>545597</v>
      </c>
      <c r="GN40" s="2">
        <v>434718</v>
      </c>
      <c r="GO40" s="2">
        <v>507643</v>
      </c>
      <c r="GP40" s="2">
        <v>514531</v>
      </c>
      <c r="GQ40" s="2">
        <v>509261</v>
      </c>
      <c r="GR40" s="2">
        <v>546579</v>
      </c>
      <c r="GS40" s="2">
        <v>555956</v>
      </c>
      <c r="GT40" s="2">
        <v>564407</v>
      </c>
      <c r="GU40" s="2">
        <v>567396</v>
      </c>
      <c r="GV40" s="2">
        <v>567889</v>
      </c>
      <c r="GW40" s="2">
        <v>567445</v>
      </c>
      <c r="GX40" s="2">
        <v>568034</v>
      </c>
      <c r="GY40" s="2">
        <v>569027</v>
      </c>
      <c r="GZ40" s="2">
        <v>569076</v>
      </c>
      <c r="HA40" s="2">
        <v>568397</v>
      </c>
      <c r="HB40" s="2">
        <v>566626</v>
      </c>
      <c r="HC40" s="2">
        <v>570694</v>
      </c>
      <c r="HD40" s="3">
        <v>573054.30000000005</v>
      </c>
      <c r="HE40" s="3">
        <v>575242</v>
      </c>
      <c r="HF40" s="3">
        <v>578185.9</v>
      </c>
      <c r="HG40" s="3">
        <v>581232.4</v>
      </c>
      <c r="HH40" s="3">
        <v>584516.9</v>
      </c>
      <c r="HI40" s="3">
        <v>587585.80000000005</v>
      </c>
      <c r="HJ40" s="3">
        <v>590670.19999999995</v>
      </c>
      <c r="HK40" s="3">
        <v>593594.1</v>
      </c>
      <c r="HL40" s="3">
        <v>596206.80000000005</v>
      </c>
      <c r="HM40" s="3">
        <v>598651.4</v>
      </c>
      <c r="HN40" s="3">
        <v>601075.69999999995</v>
      </c>
      <c r="HO40" s="3">
        <v>603540.1</v>
      </c>
      <c r="HP40" s="3">
        <v>606014.6</v>
      </c>
      <c r="HQ40" s="3">
        <v>608469.1</v>
      </c>
      <c r="HR40" s="3">
        <v>611024.6</v>
      </c>
      <c r="HS40" s="3">
        <v>613590.9</v>
      </c>
      <c r="HT40" s="3">
        <v>616168</v>
      </c>
      <c r="HU40" s="3">
        <v>618663.4</v>
      </c>
      <c r="HV40" s="3">
        <v>621169.1</v>
      </c>
      <c r="HW40" s="3">
        <v>623622.69999999995</v>
      </c>
      <c r="HX40" s="3">
        <v>626054.80000000005</v>
      </c>
      <c r="HY40" s="3">
        <v>628433.80000000005</v>
      </c>
      <c r="HZ40" s="3">
        <v>630821.9</v>
      </c>
      <c r="IA40" s="3">
        <v>633219</v>
      </c>
      <c r="IB40" s="3">
        <v>635593.6</v>
      </c>
      <c r="IC40" s="3">
        <v>637977</v>
      </c>
      <c r="ID40" s="3">
        <v>640369.4</v>
      </c>
      <c r="IE40" s="3">
        <v>642770.80000000005</v>
      </c>
      <c r="IF40" s="3">
        <v>645213.4</v>
      </c>
      <c r="IG40" s="3">
        <v>647665.19999999995</v>
      </c>
      <c r="IH40" s="3">
        <v>650093.9</v>
      </c>
      <c r="II40" s="3">
        <v>652499.30000000005</v>
      </c>
      <c r="IJ40" s="3">
        <v>654946.1</v>
      </c>
      <c r="IK40" s="3">
        <v>657336.69999999995</v>
      </c>
      <c r="IL40" s="3">
        <v>659735.9</v>
      </c>
      <c r="IM40" s="3">
        <v>662209.6</v>
      </c>
      <c r="IN40" s="3">
        <v>664606.1</v>
      </c>
      <c r="IO40" s="3">
        <v>667004.9</v>
      </c>
      <c r="IP40" s="3">
        <v>669399.80000000005</v>
      </c>
      <c r="IQ40" s="3">
        <v>671864.7</v>
      </c>
      <c r="IR40" s="3">
        <v>674343.1</v>
      </c>
      <c r="IS40" s="3">
        <v>676800.1</v>
      </c>
      <c r="IT40" s="3">
        <v>679254.1</v>
      </c>
      <c r="IU40" s="3">
        <v>681800.9</v>
      </c>
      <c r="IV40" s="3">
        <v>684356.9</v>
      </c>
      <c r="IW40" s="3">
        <v>686921.9</v>
      </c>
      <c r="IX40" s="3">
        <v>689495.6</v>
      </c>
      <c r="IY40" s="3">
        <v>692140.6</v>
      </c>
      <c r="IZ40" s="3">
        <v>694797.6</v>
      </c>
      <c r="JA40" s="3">
        <v>697466.9</v>
      </c>
      <c r="JB40" s="3">
        <v>700148</v>
      </c>
      <c r="JC40" s="3">
        <v>702841.2</v>
      </c>
      <c r="JD40" s="3">
        <v>705546.4</v>
      </c>
      <c r="JE40" s="3">
        <v>708263.8</v>
      </c>
      <c r="JF40" s="3">
        <v>710993.6</v>
      </c>
      <c r="JG40" s="3">
        <v>713797.2</v>
      </c>
      <c r="JH40" s="3">
        <v>716613.9</v>
      </c>
      <c r="JI40" s="3">
        <v>719444.7</v>
      </c>
      <c r="JJ40" s="3">
        <v>722289.1</v>
      </c>
      <c r="JK40" s="3">
        <v>725147.5</v>
      </c>
      <c r="JL40" s="3">
        <v>728019.6</v>
      </c>
      <c r="JM40" s="3">
        <v>730905.8</v>
      </c>
      <c r="JN40" s="3">
        <v>733806.2</v>
      </c>
      <c r="JO40" s="3">
        <v>736720.7</v>
      </c>
      <c r="JP40" s="3">
        <v>739643.4</v>
      </c>
      <c r="JQ40" s="3">
        <v>742574.7</v>
      </c>
      <c r="JR40" s="3">
        <v>745514.3</v>
      </c>
      <c r="JS40" s="3">
        <v>748399.9</v>
      </c>
      <c r="JT40" s="3">
        <v>751293.1</v>
      </c>
      <c r="JU40" s="3">
        <v>754193.8</v>
      </c>
      <c r="JV40" s="3">
        <v>757102</v>
      </c>
      <c r="JW40" s="3">
        <v>760017.6</v>
      </c>
      <c r="JX40" s="3">
        <v>762941.1</v>
      </c>
      <c r="JY40" s="3">
        <v>765871.9</v>
      </c>
      <c r="JZ40" s="3">
        <v>768810.3</v>
      </c>
      <c r="KA40" s="3">
        <v>771756.3</v>
      </c>
      <c r="KB40" s="3">
        <v>774709.6</v>
      </c>
      <c r="KC40" s="3">
        <v>777669.6</v>
      </c>
      <c r="KD40" s="3">
        <v>780636.7</v>
      </c>
      <c r="KE40" s="3">
        <v>783610.6</v>
      </c>
      <c r="KF40" s="3">
        <v>786591.5</v>
      </c>
      <c r="KG40" s="3">
        <v>789579.2</v>
      </c>
      <c r="KH40" s="3">
        <v>792573.8</v>
      </c>
      <c r="KI40" s="3">
        <v>795575.4</v>
      </c>
      <c r="KJ40" s="3">
        <v>798584</v>
      </c>
      <c r="KK40" s="3">
        <v>801599.6</v>
      </c>
      <c r="KL40" s="3">
        <v>804622.2</v>
      </c>
      <c r="KM40" s="3">
        <v>807652</v>
      </c>
      <c r="KN40" s="3">
        <v>810688.8</v>
      </c>
      <c r="KO40" s="3">
        <v>813732.8</v>
      </c>
      <c r="KP40" s="3">
        <v>816784.2</v>
      </c>
      <c r="KQ40" s="3">
        <v>819842.7</v>
      </c>
      <c r="KR40" s="3">
        <v>822908.6</v>
      </c>
      <c r="KS40" s="3">
        <v>825981.9</v>
      </c>
      <c r="KT40" s="3">
        <v>829062.6</v>
      </c>
      <c r="KU40" s="3">
        <v>832151.1</v>
      </c>
      <c r="KV40" s="3">
        <v>835246.8</v>
      </c>
      <c r="KW40" s="3">
        <v>838350.1</v>
      </c>
      <c r="KX40" s="3">
        <v>841460.9</v>
      </c>
      <c r="KY40" s="3">
        <v>844579.3</v>
      </c>
      <c r="KZ40" s="3">
        <v>847705.3</v>
      </c>
      <c r="LA40" s="3">
        <v>850838.5</v>
      </c>
      <c r="LB40" s="3">
        <v>853979.4</v>
      </c>
      <c r="LC40" s="3">
        <v>857127.6</v>
      </c>
      <c r="LD40" s="3">
        <v>860283.3</v>
      </c>
      <c r="LE40" s="3">
        <v>863446.4</v>
      </c>
      <c r="LF40" s="3">
        <v>866617.1</v>
      </c>
      <c r="LG40" t="s">
        <v>335</v>
      </c>
      <c r="LH40" t="b">
        <v>1</v>
      </c>
      <c r="LI40" s="1" t="s">
        <v>336</v>
      </c>
      <c r="LJ40" t="s">
        <v>337</v>
      </c>
      <c r="LK40">
        <v>2024</v>
      </c>
      <c r="LL40">
        <v>1</v>
      </c>
      <c r="LM40" t="s">
        <v>337</v>
      </c>
      <c r="LN40" t="s">
        <v>338</v>
      </c>
      <c r="LO40" s="1" t="s">
        <v>339</v>
      </c>
      <c r="LP40" t="s">
        <v>340</v>
      </c>
      <c r="LQ40" t="s">
        <v>341</v>
      </c>
      <c r="LR40" s="1" t="s">
        <v>374</v>
      </c>
    </row>
    <row r="41" spans="1:330" x14ac:dyDescent="0.25">
      <c r="A41" t="s">
        <v>330</v>
      </c>
      <c r="B41" t="s">
        <v>342</v>
      </c>
      <c r="C41" s="1" t="s">
        <v>373</v>
      </c>
      <c r="D41" t="s">
        <v>343</v>
      </c>
      <c r="E41" t="s">
        <v>337</v>
      </c>
      <c r="F41" t="s">
        <v>334</v>
      </c>
      <c r="G41" s="2">
        <v>11.88749</v>
      </c>
      <c r="H41" s="2">
        <v>12.304600000000001</v>
      </c>
      <c r="I41" s="2">
        <v>12.51315</v>
      </c>
      <c r="J41" s="2">
        <v>13.008459999999999</v>
      </c>
      <c r="K41" s="2">
        <v>13.47771</v>
      </c>
      <c r="L41" s="2">
        <v>14.23371</v>
      </c>
      <c r="M41" s="2">
        <v>14.572609999999999</v>
      </c>
      <c r="N41" s="2">
        <v>15.250400000000001</v>
      </c>
      <c r="O41" s="2">
        <v>16.058540000000001</v>
      </c>
      <c r="P41" s="2">
        <v>17.466270000000002</v>
      </c>
      <c r="Q41" s="2">
        <v>18.222280000000001</v>
      </c>
      <c r="R41" s="2">
        <v>18.847930000000002</v>
      </c>
      <c r="S41" s="2">
        <v>19.42145</v>
      </c>
      <c r="T41" s="2">
        <v>20.125319999999999</v>
      </c>
      <c r="U41" s="2">
        <v>20.594560000000001</v>
      </c>
      <c r="V41" s="2">
        <v>21.506979999999999</v>
      </c>
      <c r="W41" s="2">
        <v>22.471530000000001</v>
      </c>
      <c r="X41" s="2">
        <v>23.410019999999999</v>
      </c>
      <c r="Y41" s="2">
        <v>23.82713</v>
      </c>
      <c r="Z41" s="2">
        <v>24.139949999999999</v>
      </c>
      <c r="AA41" s="2">
        <v>24.452780000000001</v>
      </c>
      <c r="AB41" s="2">
        <v>25.078440000000001</v>
      </c>
      <c r="AC41" s="2">
        <v>25.469480000000001</v>
      </c>
      <c r="AD41" s="2">
        <v>25.860510000000001</v>
      </c>
      <c r="AE41" s="2">
        <v>26.43403</v>
      </c>
      <c r="AF41" s="2">
        <v>27.268239999999999</v>
      </c>
      <c r="AG41" s="2">
        <v>28.910589999999999</v>
      </c>
      <c r="AH41" s="2">
        <v>29.718730000000001</v>
      </c>
      <c r="AI41" s="2">
        <v>30.605080000000001</v>
      </c>
      <c r="AJ41" s="2">
        <v>32.247430000000001</v>
      </c>
      <c r="AK41" s="2">
        <v>32.951300000000003</v>
      </c>
      <c r="AL41" s="2">
        <v>33.550879999999999</v>
      </c>
      <c r="AM41" s="2">
        <v>34.385100000000001</v>
      </c>
      <c r="AN41" s="2">
        <v>36.079590000000003</v>
      </c>
      <c r="AO41" s="2">
        <v>36.731310000000001</v>
      </c>
      <c r="AP41" s="2">
        <v>37.435180000000003</v>
      </c>
      <c r="AQ41" s="2">
        <v>37.878349999999998</v>
      </c>
      <c r="AR41" s="2">
        <v>39.181800000000003</v>
      </c>
      <c r="AS41" s="2">
        <v>39.416420000000002</v>
      </c>
      <c r="AT41" s="2">
        <v>39.885669999999998</v>
      </c>
      <c r="AU41" s="2">
        <v>40.172429999999999</v>
      </c>
      <c r="AV41" s="2">
        <v>40.85022</v>
      </c>
      <c r="AW41" s="2">
        <v>41.293399999999998</v>
      </c>
      <c r="AX41" s="2">
        <v>41.762639999999998</v>
      </c>
      <c r="AY41" s="2">
        <v>41.86692</v>
      </c>
      <c r="AZ41" s="2">
        <v>42.779339999999998</v>
      </c>
      <c r="BA41" s="2">
        <v>42.98789</v>
      </c>
      <c r="BB41" s="2">
        <v>43.431060000000002</v>
      </c>
      <c r="BC41" s="2">
        <v>43.874229999999997</v>
      </c>
      <c r="BD41" s="2">
        <v>44.995199999999997</v>
      </c>
      <c r="BE41" s="2">
        <v>45.125549999999997</v>
      </c>
      <c r="BF41" s="2">
        <v>45.490519999999997</v>
      </c>
      <c r="BG41" s="2">
        <v>45.646929999999998</v>
      </c>
      <c r="BH41" s="2">
        <v>46.3508</v>
      </c>
      <c r="BI41" s="2">
        <v>46.533279999999998</v>
      </c>
      <c r="BJ41" s="2">
        <v>46.924320000000002</v>
      </c>
      <c r="BK41" s="2">
        <v>47.237139999999997</v>
      </c>
      <c r="BL41" s="2">
        <v>47.836730000000003</v>
      </c>
      <c r="BM41" s="2">
        <v>47.888869999999997</v>
      </c>
      <c r="BN41" s="2">
        <v>48.436320000000002</v>
      </c>
      <c r="BO41" s="2">
        <v>48.566670000000002</v>
      </c>
      <c r="BP41" s="2">
        <v>49.5</v>
      </c>
      <c r="BQ41" s="2">
        <v>49.9</v>
      </c>
      <c r="BR41" s="2">
        <v>50.466670000000001</v>
      </c>
      <c r="BS41" s="2">
        <v>51</v>
      </c>
      <c r="BT41" s="2">
        <v>52.133339999999997</v>
      </c>
      <c r="BU41" s="2">
        <v>52.466670000000001</v>
      </c>
      <c r="BV41" s="2">
        <v>53.266669999999998</v>
      </c>
      <c r="BW41" s="2">
        <v>53.933329999999998</v>
      </c>
      <c r="BX41" s="2">
        <v>55.6</v>
      </c>
      <c r="BY41" s="2">
        <v>56.4</v>
      </c>
      <c r="BZ41" s="2">
        <v>57.466670000000001</v>
      </c>
      <c r="CA41" s="2">
        <v>57.666670000000003</v>
      </c>
      <c r="CB41" s="2">
        <v>60.266669999999998</v>
      </c>
      <c r="CC41" s="2">
        <v>60.833329999999997</v>
      </c>
      <c r="CD41" s="2">
        <v>61.466670000000001</v>
      </c>
      <c r="CE41" s="2">
        <v>61.7</v>
      </c>
      <c r="CF41" s="2">
        <v>62.833329999999997</v>
      </c>
      <c r="CG41" s="2">
        <v>62.733330000000002</v>
      </c>
      <c r="CH41" s="2">
        <v>63.133339999999997</v>
      </c>
      <c r="CI41" s="2">
        <v>63.2</v>
      </c>
      <c r="CJ41" s="2">
        <v>64.433329999999998</v>
      </c>
      <c r="CK41" s="2">
        <v>64.5</v>
      </c>
      <c r="CL41" s="2">
        <v>64.666659999999993</v>
      </c>
      <c r="CM41" s="2">
        <v>64.766670000000005</v>
      </c>
      <c r="CN41" s="2">
        <v>65.7</v>
      </c>
      <c r="CO41" s="2">
        <v>65.633330000000001</v>
      </c>
      <c r="CP41" s="2">
        <v>65.8</v>
      </c>
      <c r="CQ41" s="2">
        <v>66.333340000000007</v>
      </c>
      <c r="CR41" s="2">
        <v>67.266670000000005</v>
      </c>
      <c r="CS41" s="2">
        <v>67.400000000000006</v>
      </c>
      <c r="CT41" s="2">
        <v>67.733329999999995</v>
      </c>
      <c r="CU41" s="2">
        <v>68.099999999999994</v>
      </c>
      <c r="CV41" s="2">
        <v>68.866669999999999</v>
      </c>
      <c r="CW41" s="2">
        <v>68.933329999999998</v>
      </c>
      <c r="CX41" s="2">
        <v>69.366669999999999</v>
      </c>
      <c r="CY41" s="2">
        <v>69.366669999999999</v>
      </c>
      <c r="CZ41" s="2">
        <v>70</v>
      </c>
      <c r="DA41" s="2">
        <v>70.266670000000005</v>
      </c>
      <c r="DB41" s="2">
        <v>70.633330000000001</v>
      </c>
      <c r="DC41" s="2">
        <v>70.5</v>
      </c>
      <c r="DD41" s="2">
        <v>71.266670000000005</v>
      </c>
      <c r="DE41" s="2">
        <v>71.233329999999995</v>
      </c>
      <c r="DF41" s="2">
        <v>71.633330000000001</v>
      </c>
      <c r="DG41" s="2">
        <v>71.599999999999994</v>
      </c>
      <c r="DH41" s="2">
        <v>72.3</v>
      </c>
      <c r="DI41" s="2">
        <v>72.133330000000001</v>
      </c>
      <c r="DJ41" s="2">
        <v>72.433329999999998</v>
      </c>
      <c r="DK41" s="2">
        <v>72.133330000000001</v>
      </c>
      <c r="DL41" s="2">
        <v>72.766670000000005</v>
      </c>
      <c r="DM41" s="2">
        <v>72.7</v>
      </c>
      <c r="DN41" s="2">
        <v>73.166659999999993</v>
      </c>
      <c r="DO41" s="2">
        <v>72.766670000000005</v>
      </c>
      <c r="DP41" s="2">
        <v>73.833340000000007</v>
      </c>
      <c r="DQ41" s="2">
        <v>73.866669999999999</v>
      </c>
      <c r="DR41" s="2">
        <v>73.900000000000006</v>
      </c>
      <c r="DS41" s="2">
        <v>73.866669999999999</v>
      </c>
      <c r="DT41" s="2">
        <v>74.533330000000007</v>
      </c>
      <c r="DU41" s="2">
        <v>74.599999999999994</v>
      </c>
      <c r="DV41" s="2">
        <v>75</v>
      </c>
      <c r="DW41" s="2">
        <v>75</v>
      </c>
      <c r="DX41" s="2">
        <v>75.466669999999993</v>
      </c>
      <c r="DY41" s="2">
        <v>75.599999999999994</v>
      </c>
      <c r="DZ41" s="2">
        <v>76.033330000000007</v>
      </c>
      <c r="EA41" s="2">
        <v>75.966669999999993</v>
      </c>
      <c r="EB41" s="2">
        <v>76.533330000000007</v>
      </c>
      <c r="EC41" s="2">
        <v>76.566670000000002</v>
      </c>
      <c r="ED41" s="2">
        <v>77.099999999999994</v>
      </c>
      <c r="EE41" s="2">
        <v>77.233329999999995</v>
      </c>
      <c r="EF41" s="2">
        <v>78</v>
      </c>
      <c r="EG41" s="2">
        <v>78.400000000000006</v>
      </c>
      <c r="EH41" s="2">
        <v>78.766670000000005</v>
      </c>
      <c r="EI41" s="2">
        <v>78.733329999999995</v>
      </c>
      <c r="EJ41" s="2">
        <v>79.8</v>
      </c>
      <c r="EK41" s="2">
        <v>80.3</v>
      </c>
      <c r="EL41" s="2">
        <v>80.900000000000006</v>
      </c>
      <c r="EM41" s="2">
        <v>81</v>
      </c>
      <c r="EN41" s="2">
        <v>81.8</v>
      </c>
      <c r="EO41" s="2">
        <v>81.733329999999995</v>
      </c>
      <c r="EP41" s="2">
        <v>82.6</v>
      </c>
      <c r="EQ41" s="2">
        <v>82.933329999999998</v>
      </c>
      <c r="ER41" s="2">
        <v>84.6</v>
      </c>
      <c r="ES41" s="2">
        <v>85.633330000000001</v>
      </c>
      <c r="ET41" s="2">
        <v>85.733329999999995</v>
      </c>
      <c r="EU41" s="2">
        <v>85.433329999999998</v>
      </c>
      <c r="EV41" s="2">
        <v>86.366669999999999</v>
      </c>
      <c r="EW41" s="2">
        <v>86.933329999999998</v>
      </c>
      <c r="EX41" s="2">
        <v>87.566670000000002</v>
      </c>
      <c r="EY41" s="2">
        <v>88.233329999999995</v>
      </c>
      <c r="EZ41" s="2">
        <v>89.366669999999999</v>
      </c>
      <c r="FA41" s="2">
        <v>89.633330000000001</v>
      </c>
      <c r="FB41" s="2">
        <v>90.5</v>
      </c>
      <c r="FC41" s="2">
        <v>91.833340000000007</v>
      </c>
      <c r="FD41" s="2">
        <v>93.3</v>
      </c>
      <c r="FE41" s="2">
        <v>93.833340000000007</v>
      </c>
      <c r="FF41" s="2">
        <v>94.733329999999995</v>
      </c>
      <c r="FG41" s="2">
        <v>95.033330000000007</v>
      </c>
      <c r="FH41" s="2">
        <v>95.8</v>
      </c>
      <c r="FI41" s="2">
        <v>96.066670000000002</v>
      </c>
      <c r="FJ41" s="2">
        <v>97.266670000000005</v>
      </c>
      <c r="FK41" s="2">
        <v>97.666659999999993</v>
      </c>
      <c r="FL41" s="2">
        <v>98.366669999999999</v>
      </c>
      <c r="FM41" s="2">
        <v>98.7</v>
      </c>
      <c r="FN41" s="2">
        <v>99.3</v>
      </c>
      <c r="FO41" s="2">
        <v>99.4</v>
      </c>
      <c r="FP41" s="2">
        <v>100.1</v>
      </c>
      <c r="FQ41" s="2">
        <v>100.13330000000001</v>
      </c>
      <c r="FR41" s="2">
        <v>100.2</v>
      </c>
      <c r="FS41" s="2">
        <v>99.5</v>
      </c>
      <c r="FT41" s="2">
        <v>100.0667</v>
      </c>
      <c r="FU41" s="2">
        <v>100.16670000000001</v>
      </c>
      <c r="FV41" s="2">
        <v>100.3</v>
      </c>
      <c r="FW41" s="2">
        <v>99.833340000000007</v>
      </c>
      <c r="FX41" s="2">
        <v>100.4</v>
      </c>
      <c r="FY41" s="2">
        <v>100.86669999999999</v>
      </c>
      <c r="FZ41" s="2">
        <v>101.5</v>
      </c>
      <c r="GA41" s="2">
        <v>102</v>
      </c>
      <c r="GB41" s="2">
        <v>103.16670000000001</v>
      </c>
      <c r="GC41" s="2">
        <v>103.7</v>
      </c>
      <c r="GD41" s="2">
        <v>104.5667</v>
      </c>
      <c r="GE41" s="2">
        <v>104.7667</v>
      </c>
      <c r="GF41" s="2">
        <v>105.66670000000001</v>
      </c>
      <c r="GG41" s="2">
        <v>106.3</v>
      </c>
      <c r="GH41" s="2">
        <v>106.9333</v>
      </c>
      <c r="GI41" s="2">
        <v>106.7</v>
      </c>
      <c r="GJ41" s="2">
        <v>107.8</v>
      </c>
      <c r="GK41" s="2">
        <v>108.2667</v>
      </c>
      <c r="GL41" s="2">
        <v>108.4333</v>
      </c>
      <c r="GM41" s="2">
        <v>108.4667</v>
      </c>
      <c r="GN41" s="2">
        <v>108.5333</v>
      </c>
      <c r="GO41" s="2">
        <v>108.9333</v>
      </c>
      <c r="GP41" s="2">
        <v>109.0667</v>
      </c>
      <c r="GQ41" s="2">
        <v>109.16670000000001</v>
      </c>
      <c r="GR41" s="2">
        <v>110.7333</v>
      </c>
      <c r="GS41" s="2">
        <v>111.9333</v>
      </c>
      <c r="GT41" s="2">
        <v>114.4</v>
      </c>
      <c r="GU41" s="2">
        <v>115.9333</v>
      </c>
      <c r="GV41" s="2">
        <v>120.86669999999999</v>
      </c>
      <c r="GW41" s="2">
        <v>123.13330000000001</v>
      </c>
      <c r="GX41" s="2">
        <v>126.7</v>
      </c>
      <c r="GY41" s="2">
        <v>127.7333</v>
      </c>
      <c r="GZ41" s="2">
        <v>131.0667</v>
      </c>
      <c r="HA41" s="2">
        <v>131.4</v>
      </c>
      <c r="HB41" s="2">
        <v>131.9667</v>
      </c>
      <c r="HC41" s="2">
        <v>132.26669999999999</v>
      </c>
      <c r="HD41" s="3">
        <v>133.7569</v>
      </c>
      <c r="HE41" s="3">
        <v>134.03389999999999</v>
      </c>
      <c r="HF41" s="3">
        <v>135.2235</v>
      </c>
      <c r="HG41" s="3">
        <v>135.54179999999999</v>
      </c>
      <c r="HH41" s="3">
        <v>136.9118</v>
      </c>
      <c r="HI41" s="3">
        <v>137.66720000000001</v>
      </c>
      <c r="HJ41" s="3">
        <v>138.5967</v>
      </c>
      <c r="HK41" s="3">
        <v>138.84039999999999</v>
      </c>
      <c r="HL41" s="3">
        <v>140.10509999999999</v>
      </c>
      <c r="HM41" s="3">
        <v>140.7543</v>
      </c>
      <c r="HN41" s="3">
        <v>141.52170000000001</v>
      </c>
      <c r="HO41" s="3">
        <v>141.86170000000001</v>
      </c>
      <c r="HP41" s="3">
        <v>143.18530000000001</v>
      </c>
      <c r="HQ41" s="3">
        <v>143.90690000000001</v>
      </c>
      <c r="HR41" s="3">
        <v>144.71260000000001</v>
      </c>
      <c r="HS41" s="3">
        <v>145.0044</v>
      </c>
      <c r="HT41" s="3">
        <v>146.30410000000001</v>
      </c>
      <c r="HU41" s="3">
        <v>147.00219999999999</v>
      </c>
      <c r="HV41" s="3">
        <v>147.7663</v>
      </c>
      <c r="HW41" s="3">
        <v>148.018</v>
      </c>
      <c r="HX41" s="3">
        <v>149.31190000000001</v>
      </c>
      <c r="HY41" s="3">
        <v>150.00659999999999</v>
      </c>
      <c r="HZ41" s="3">
        <v>150.7508</v>
      </c>
      <c r="IA41" s="3">
        <v>150.99010000000001</v>
      </c>
      <c r="IB41" s="3">
        <v>152.30459999999999</v>
      </c>
      <c r="IC41" s="3">
        <v>153.0204</v>
      </c>
      <c r="ID41" s="3">
        <v>153.76499999999999</v>
      </c>
      <c r="IE41" s="3">
        <v>154.00980000000001</v>
      </c>
      <c r="IF41" s="3">
        <v>155.35069999999999</v>
      </c>
      <c r="IG41" s="3">
        <v>156.08080000000001</v>
      </c>
      <c r="IH41" s="3">
        <v>156.84030000000001</v>
      </c>
      <c r="II41" s="3">
        <v>157.09</v>
      </c>
      <c r="IJ41" s="3">
        <v>158.45769999999999</v>
      </c>
      <c r="IK41" s="3">
        <v>159.20240000000001</v>
      </c>
      <c r="IL41" s="3">
        <v>159.97710000000001</v>
      </c>
      <c r="IM41" s="3">
        <v>160.23179999999999</v>
      </c>
      <c r="IN41" s="3">
        <v>161.62690000000001</v>
      </c>
      <c r="IO41" s="3">
        <v>162.38640000000001</v>
      </c>
      <c r="IP41" s="3">
        <v>163.17660000000001</v>
      </c>
      <c r="IQ41" s="3">
        <v>163.4365</v>
      </c>
      <c r="IR41" s="3">
        <v>164.85939999999999</v>
      </c>
      <c r="IS41" s="3">
        <v>165.63419999999999</v>
      </c>
      <c r="IT41" s="3">
        <v>166.4401</v>
      </c>
      <c r="IU41" s="3">
        <v>166.70519999999999</v>
      </c>
      <c r="IV41" s="3">
        <v>168.1566</v>
      </c>
      <c r="IW41" s="3">
        <v>168.9468</v>
      </c>
      <c r="IX41" s="3">
        <v>169.7689</v>
      </c>
      <c r="IY41" s="3">
        <v>170.0393</v>
      </c>
      <c r="IZ41" s="3">
        <v>171.5197</v>
      </c>
      <c r="JA41" s="3">
        <v>172.32579999999999</v>
      </c>
      <c r="JB41" s="3">
        <v>173.1643</v>
      </c>
      <c r="JC41" s="3">
        <v>173.4401</v>
      </c>
      <c r="JD41" s="3">
        <v>174.95009999999999</v>
      </c>
      <c r="JE41" s="3">
        <v>175.7723</v>
      </c>
      <c r="JF41" s="3">
        <v>176.6276</v>
      </c>
      <c r="JG41" s="3">
        <v>176.90889999999999</v>
      </c>
      <c r="JH41" s="3">
        <v>178.44909999999999</v>
      </c>
      <c r="JI41" s="3">
        <v>179.2877</v>
      </c>
      <c r="JJ41" s="3">
        <v>180.1602</v>
      </c>
      <c r="JK41" s="3">
        <v>180.44710000000001</v>
      </c>
      <c r="JL41" s="3">
        <v>182.0181</v>
      </c>
      <c r="JM41" s="3">
        <v>182.87350000000001</v>
      </c>
      <c r="JN41" s="3">
        <v>183.76339999999999</v>
      </c>
      <c r="JO41" s="3">
        <v>184.05600000000001</v>
      </c>
      <c r="JP41" s="3">
        <v>185.6584</v>
      </c>
      <c r="JQ41" s="3">
        <v>186.53100000000001</v>
      </c>
      <c r="JR41" s="3">
        <v>187.43860000000001</v>
      </c>
      <c r="JS41" s="3">
        <v>187.7371</v>
      </c>
      <c r="JT41" s="3">
        <v>189.3716</v>
      </c>
      <c r="JU41" s="3">
        <v>190.26159999999999</v>
      </c>
      <c r="JV41" s="3">
        <v>191.1874</v>
      </c>
      <c r="JW41" s="3">
        <v>191.49189999999999</v>
      </c>
      <c r="JX41" s="3">
        <v>193.1591</v>
      </c>
      <c r="JY41" s="3">
        <v>194.0668</v>
      </c>
      <c r="JZ41" s="3">
        <v>195.0111</v>
      </c>
      <c r="KA41" s="3">
        <v>195.32169999999999</v>
      </c>
      <c r="KB41" s="3">
        <v>197.0222</v>
      </c>
      <c r="KC41" s="3">
        <v>197.94820000000001</v>
      </c>
      <c r="KD41" s="3">
        <v>198.91139999999999</v>
      </c>
      <c r="KE41" s="3">
        <v>199.22810000000001</v>
      </c>
      <c r="KF41" s="3">
        <v>200.96270000000001</v>
      </c>
      <c r="KG41" s="3">
        <v>201.90710000000001</v>
      </c>
      <c r="KH41" s="3">
        <v>202.8896</v>
      </c>
      <c r="KI41" s="3">
        <v>203.21270000000001</v>
      </c>
      <c r="KJ41" s="3">
        <v>204.9819</v>
      </c>
      <c r="KK41" s="3">
        <v>205.9453</v>
      </c>
      <c r="KL41" s="3">
        <v>206.94739999999999</v>
      </c>
      <c r="KM41" s="3">
        <v>207.27699999999999</v>
      </c>
      <c r="KN41" s="3">
        <v>209.08160000000001</v>
      </c>
      <c r="KO41" s="3">
        <v>210.0642</v>
      </c>
      <c r="KP41" s="3">
        <v>211.08629999999999</v>
      </c>
      <c r="KQ41" s="3">
        <v>211.42250000000001</v>
      </c>
      <c r="KR41" s="3">
        <v>213.26320000000001</v>
      </c>
      <c r="KS41" s="3">
        <v>214.2654</v>
      </c>
      <c r="KT41" s="3">
        <v>215.3081</v>
      </c>
      <c r="KU41" s="3">
        <v>215.65100000000001</v>
      </c>
      <c r="KV41" s="3">
        <v>217.52850000000001</v>
      </c>
      <c r="KW41" s="3">
        <v>218.55080000000001</v>
      </c>
      <c r="KX41" s="3">
        <v>219.61420000000001</v>
      </c>
      <c r="KY41" s="3">
        <v>219.964</v>
      </c>
      <c r="KZ41" s="3">
        <v>221.87899999999999</v>
      </c>
      <c r="LA41" s="3">
        <v>222.92179999999999</v>
      </c>
      <c r="LB41" s="3">
        <v>224.00649999999999</v>
      </c>
      <c r="LC41" s="3">
        <v>224.36330000000001</v>
      </c>
      <c r="LD41" s="3">
        <v>226.31659999999999</v>
      </c>
      <c r="LE41" s="3">
        <v>227.3802</v>
      </c>
      <c r="LF41" s="3">
        <v>228.48660000000001</v>
      </c>
      <c r="LG41" t="s">
        <v>335</v>
      </c>
      <c r="LH41" t="b">
        <v>0</v>
      </c>
      <c r="LI41" t="s">
        <v>337</v>
      </c>
      <c r="LJ41">
        <v>2015</v>
      </c>
      <c r="LK41">
        <v>2024</v>
      </c>
      <c r="LL41">
        <v>1</v>
      </c>
      <c r="LM41" t="s">
        <v>337</v>
      </c>
      <c r="LN41" s="1" t="s">
        <v>344</v>
      </c>
      <c r="LO41" s="1" t="s">
        <v>345</v>
      </c>
      <c r="LP41" t="s">
        <v>340</v>
      </c>
      <c r="LQ41" t="s">
        <v>346</v>
      </c>
      <c r="LR41" s="1" t="s">
        <v>374</v>
      </c>
    </row>
    <row r="42" spans="1:330" x14ac:dyDescent="0.25">
      <c r="A42" t="s">
        <v>330</v>
      </c>
      <c r="B42" t="s">
        <v>331</v>
      </c>
      <c r="C42" s="1" t="s">
        <v>375</v>
      </c>
      <c r="D42" t="s">
        <v>332</v>
      </c>
      <c r="E42" t="s">
        <v>333</v>
      </c>
      <c r="F42" t="s">
        <v>334</v>
      </c>
      <c r="G42" s="2">
        <v>223780</v>
      </c>
      <c r="H42" s="2">
        <v>224213</v>
      </c>
      <c r="I42" s="2">
        <v>222122</v>
      </c>
      <c r="J42" s="2">
        <v>221266</v>
      </c>
      <c r="K42" s="2">
        <v>215122</v>
      </c>
      <c r="L42" s="2">
        <v>218215</v>
      </c>
      <c r="M42" s="2">
        <v>219517</v>
      </c>
      <c r="N42" s="2">
        <v>216301</v>
      </c>
      <c r="O42" s="2">
        <v>216390</v>
      </c>
      <c r="P42" s="2">
        <v>212882</v>
      </c>
      <c r="Q42" s="2">
        <v>212192</v>
      </c>
      <c r="R42" s="2">
        <v>214585</v>
      </c>
      <c r="S42" s="2">
        <v>218180</v>
      </c>
      <c r="T42" s="2">
        <v>217883</v>
      </c>
      <c r="U42" s="2">
        <v>220587</v>
      </c>
      <c r="V42" s="2">
        <v>225228</v>
      </c>
      <c r="W42" s="2">
        <v>225362</v>
      </c>
      <c r="X42" s="2">
        <v>223815</v>
      </c>
      <c r="Y42" s="2">
        <v>225295</v>
      </c>
      <c r="Z42" s="2">
        <v>229115</v>
      </c>
      <c r="AA42" s="2">
        <v>231258</v>
      </c>
      <c r="AB42" s="2">
        <v>233910</v>
      </c>
      <c r="AC42" s="2">
        <v>237107</v>
      </c>
      <c r="AD42" s="2">
        <v>239186</v>
      </c>
      <c r="AE42" s="2">
        <v>238472</v>
      </c>
      <c r="AF42" s="2">
        <v>248867</v>
      </c>
      <c r="AG42" s="2">
        <v>243369</v>
      </c>
      <c r="AH42" s="2">
        <v>245858</v>
      </c>
      <c r="AI42" s="2">
        <v>243513</v>
      </c>
      <c r="AJ42" s="2">
        <v>238722</v>
      </c>
      <c r="AK42" s="2">
        <v>238432</v>
      </c>
      <c r="AL42" s="2">
        <v>235866</v>
      </c>
      <c r="AM42" s="2">
        <v>235712</v>
      </c>
      <c r="AN42" s="2">
        <v>236272</v>
      </c>
      <c r="AO42" s="2">
        <v>238846</v>
      </c>
      <c r="AP42" s="2">
        <v>239131</v>
      </c>
      <c r="AQ42" s="2">
        <v>239578</v>
      </c>
      <c r="AR42" s="2">
        <v>242095</v>
      </c>
      <c r="AS42" s="2">
        <v>242639</v>
      </c>
      <c r="AT42" s="2">
        <v>244317</v>
      </c>
      <c r="AU42" s="2">
        <v>249032</v>
      </c>
      <c r="AV42" s="2">
        <v>250761</v>
      </c>
      <c r="AW42" s="2">
        <v>253655</v>
      </c>
      <c r="AX42" s="2">
        <v>255533</v>
      </c>
      <c r="AY42" s="2">
        <v>257683</v>
      </c>
      <c r="AZ42" s="2">
        <v>255100</v>
      </c>
      <c r="BA42" s="2">
        <v>256975</v>
      </c>
      <c r="BB42" s="2">
        <v>261627</v>
      </c>
      <c r="BC42" s="2">
        <v>264127</v>
      </c>
      <c r="BD42" s="2">
        <v>269787</v>
      </c>
      <c r="BE42" s="2">
        <v>269737</v>
      </c>
      <c r="BF42" s="2">
        <v>269896</v>
      </c>
      <c r="BG42" s="2">
        <v>272720</v>
      </c>
      <c r="BH42" s="2">
        <v>275136</v>
      </c>
      <c r="BI42" s="2">
        <v>276863</v>
      </c>
      <c r="BJ42" s="2">
        <v>282193</v>
      </c>
      <c r="BK42" s="2">
        <v>284172</v>
      </c>
      <c r="BL42" s="2">
        <v>288385</v>
      </c>
      <c r="BM42" s="2">
        <v>295493</v>
      </c>
      <c r="BN42" s="2">
        <v>298855</v>
      </c>
      <c r="BO42" s="2">
        <v>303698</v>
      </c>
      <c r="BP42" s="2">
        <v>305281</v>
      </c>
      <c r="BQ42" s="2">
        <v>309097</v>
      </c>
      <c r="BR42" s="2">
        <v>311574</v>
      </c>
      <c r="BS42" s="2">
        <v>313083</v>
      </c>
      <c r="BT42" s="2">
        <v>315039</v>
      </c>
      <c r="BU42" s="2">
        <v>315554</v>
      </c>
      <c r="BV42" s="2">
        <v>315515</v>
      </c>
      <c r="BW42" s="2">
        <v>317117</v>
      </c>
      <c r="BX42" s="2">
        <v>319239</v>
      </c>
      <c r="BY42" s="2">
        <v>315744</v>
      </c>
      <c r="BZ42" s="2">
        <v>314148</v>
      </c>
      <c r="CA42" s="2">
        <v>312596</v>
      </c>
      <c r="CB42" s="2">
        <v>312235</v>
      </c>
      <c r="CC42" s="2">
        <v>311624</v>
      </c>
      <c r="CD42" s="2">
        <v>312006</v>
      </c>
      <c r="CE42" s="2">
        <v>311904</v>
      </c>
      <c r="CF42" s="2">
        <v>311418</v>
      </c>
      <c r="CG42" s="2">
        <v>312896</v>
      </c>
      <c r="CH42" s="2">
        <v>315307</v>
      </c>
      <c r="CI42" s="2">
        <v>316882</v>
      </c>
      <c r="CJ42" s="2">
        <v>318302</v>
      </c>
      <c r="CK42" s="2">
        <v>321218</v>
      </c>
      <c r="CL42" s="2">
        <v>323400</v>
      </c>
      <c r="CM42" s="2">
        <v>326585</v>
      </c>
      <c r="CN42" s="2">
        <v>329584</v>
      </c>
      <c r="CO42" s="2">
        <v>332911</v>
      </c>
      <c r="CP42" s="2">
        <v>334363</v>
      </c>
      <c r="CQ42" s="2">
        <v>336090</v>
      </c>
      <c r="CR42" s="2">
        <v>336789</v>
      </c>
      <c r="CS42" s="2">
        <v>340542</v>
      </c>
      <c r="CT42" s="2">
        <v>341602</v>
      </c>
      <c r="CU42" s="2">
        <v>343859</v>
      </c>
      <c r="CV42" s="2">
        <v>344979</v>
      </c>
      <c r="CW42" s="2">
        <v>348214</v>
      </c>
      <c r="CX42" s="2">
        <v>352958</v>
      </c>
      <c r="CY42" s="2">
        <v>358611</v>
      </c>
      <c r="CZ42" s="2">
        <v>362573</v>
      </c>
      <c r="DA42" s="2">
        <v>365942</v>
      </c>
      <c r="DB42" s="2">
        <v>371341</v>
      </c>
      <c r="DC42" s="2">
        <v>374037</v>
      </c>
      <c r="DD42" s="2">
        <v>376421</v>
      </c>
      <c r="DE42" s="2">
        <v>377650</v>
      </c>
      <c r="DF42" s="2">
        <v>380155</v>
      </c>
      <c r="DG42" s="2">
        <v>382789</v>
      </c>
      <c r="DH42" s="2">
        <v>384605</v>
      </c>
      <c r="DI42" s="2">
        <v>390758</v>
      </c>
      <c r="DJ42" s="2">
        <v>396357</v>
      </c>
      <c r="DK42" s="2">
        <v>401242</v>
      </c>
      <c r="DL42" s="2">
        <v>404196</v>
      </c>
      <c r="DM42" s="2">
        <v>406795</v>
      </c>
      <c r="DN42" s="2">
        <v>409411</v>
      </c>
      <c r="DO42" s="2">
        <v>413054</v>
      </c>
      <c r="DP42" s="2">
        <v>414878</v>
      </c>
      <c r="DQ42" s="2">
        <v>417085</v>
      </c>
      <c r="DR42" s="2">
        <v>418445</v>
      </c>
      <c r="DS42" s="2">
        <v>419534</v>
      </c>
      <c r="DT42" s="2">
        <v>421587</v>
      </c>
      <c r="DU42" s="2">
        <v>424425</v>
      </c>
      <c r="DV42" s="2">
        <v>427725</v>
      </c>
      <c r="DW42" s="2">
        <v>430832</v>
      </c>
      <c r="DX42" s="2">
        <v>434837</v>
      </c>
      <c r="DY42" s="2">
        <v>438710</v>
      </c>
      <c r="DZ42" s="2">
        <v>442172</v>
      </c>
      <c r="EA42" s="2">
        <v>443853</v>
      </c>
      <c r="EB42" s="2">
        <v>446443</v>
      </c>
      <c r="EC42" s="2">
        <v>448171</v>
      </c>
      <c r="ED42" s="2">
        <v>450464</v>
      </c>
      <c r="EE42" s="2">
        <v>453784</v>
      </c>
      <c r="EF42" s="2">
        <v>457557</v>
      </c>
      <c r="EG42" s="2">
        <v>461135</v>
      </c>
      <c r="EH42" s="2">
        <v>465451</v>
      </c>
      <c r="EI42" s="2">
        <v>467840</v>
      </c>
      <c r="EJ42" s="2">
        <v>469655</v>
      </c>
      <c r="EK42" s="2">
        <v>470918</v>
      </c>
      <c r="EL42" s="2">
        <v>473372</v>
      </c>
      <c r="EM42" s="2">
        <v>477823</v>
      </c>
      <c r="EN42" s="2">
        <v>481314</v>
      </c>
      <c r="EO42" s="2">
        <v>484544</v>
      </c>
      <c r="EP42" s="2">
        <v>487413</v>
      </c>
      <c r="EQ42" s="2">
        <v>489783</v>
      </c>
      <c r="ER42" s="2">
        <v>487386</v>
      </c>
      <c r="ES42" s="2">
        <v>479872</v>
      </c>
      <c r="ET42" s="2">
        <v>469694</v>
      </c>
      <c r="EU42" s="2">
        <v>460105</v>
      </c>
      <c r="EV42" s="2">
        <v>458599</v>
      </c>
      <c r="EW42" s="2">
        <v>458875</v>
      </c>
      <c r="EX42" s="2">
        <v>460238</v>
      </c>
      <c r="EY42" s="2">
        <v>464543</v>
      </c>
      <c r="EZ42" s="2">
        <v>469606</v>
      </c>
      <c r="FA42" s="2">
        <v>472199</v>
      </c>
      <c r="FB42" s="2">
        <v>472612</v>
      </c>
      <c r="FC42" s="2">
        <v>473819</v>
      </c>
      <c r="FD42" s="2">
        <v>474365</v>
      </c>
      <c r="FE42" s="2">
        <v>475813</v>
      </c>
      <c r="FF42" s="2">
        <v>476479</v>
      </c>
      <c r="FG42" s="2">
        <v>480632</v>
      </c>
      <c r="FH42" s="2">
        <v>479979</v>
      </c>
      <c r="FI42" s="2">
        <v>484579</v>
      </c>
      <c r="FJ42" s="2">
        <v>484039</v>
      </c>
      <c r="FK42" s="2">
        <v>485409</v>
      </c>
      <c r="FL42" s="2">
        <v>488930</v>
      </c>
      <c r="FM42" s="2">
        <v>493002</v>
      </c>
      <c r="FN42" s="2">
        <v>496466</v>
      </c>
      <c r="FO42" s="2">
        <v>500552</v>
      </c>
      <c r="FP42" s="2">
        <v>504939</v>
      </c>
      <c r="FQ42" s="2">
        <v>508741</v>
      </c>
      <c r="FR42" s="2">
        <v>512334</v>
      </c>
      <c r="FS42" s="2">
        <v>513850</v>
      </c>
      <c r="FT42" s="2">
        <v>516876</v>
      </c>
      <c r="FU42" s="2">
        <v>518915</v>
      </c>
      <c r="FV42" s="2">
        <v>521920</v>
      </c>
      <c r="FW42" s="2">
        <v>523813</v>
      </c>
      <c r="FX42" s="2">
        <v>526750</v>
      </c>
      <c r="FY42" s="2">
        <v>528712</v>
      </c>
      <c r="FZ42" s="2">
        <v>532082</v>
      </c>
      <c r="GA42" s="2">
        <v>536566</v>
      </c>
      <c r="GB42" s="2">
        <v>540020</v>
      </c>
      <c r="GC42" s="2">
        <v>543452</v>
      </c>
      <c r="GD42" s="2">
        <v>547377</v>
      </c>
      <c r="GE42" s="2">
        <v>547688</v>
      </c>
      <c r="GF42" s="2">
        <v>548600</v>
      </c>
      <c r="GG42" s="2">
        <v>550425</v>
      </c>
      <c r="GH42" s="2">
        <v>551128</v>
      </c>
      <c r="GI42" s="2">
        <v>555141</v>
      </c>
      <c r="GJ42" s="2">
        <v>556932</v>
      </c>
      <c r="GK42" s="2">
        <v>560987</v>
      </c>
      <c r="GL42" s="2">
        <v>560861</v>
      </c>
      <c r="GM42" s="2">
        <v>545597</v>
      </c>
      <c r="GN42" s="2">
        <v>434718</v>
      </c>
      <c r="GO42" s="2">
        <v>507643</v>
      </c>
      <c r="GP42" s="2">
        <v>514531</v>
      </c>
      <c r="GQ42" s="2">
        <v>509261</v>
      </c>
      <c r="GR42" s="2">
        <v>546579</v>
      </c>
      <c r="GS42" s="2">
        <v>555956</v>
      </c>
      <c r="GT42" s="2">
        <v>564407</v>
      </c>
      <c r="GU42" s="2">
        <v>567396</v>
      </c>
      <c r="GV42" s="2">
        <v>567889</v>
      </c>
      <c r="GW42" s="2">
        <v>567445</v>
      </c>
      <c r="GX42" s="2">
        <v>568034</v>
      </c>
      <c r="GY42" s="2">
        <v>569027</v>
      </c>
      <c r="GZ42" s="2">
        <v>569076</v>
      </c>
      <c r="HA42" s="2">
        <v>568397</v>
      </c>
      <c r="HB42" s="2">
        <v>566626</v>
      </c>
      <c r="HC42" s="2">
        <v>570694</v>
      </c>
      <c r="HD42" s="3">
        <v>573830.80000000005</v>
      </c>
      <c r="HE42" s="3">
        <v>575454.1</v>
      </c>
      <c r="HF42" s="3">
        <v>578397.30000000005</v>
      </c>
      <c r="HG42" s="3">
        <v>581444.9</v>
      </c>
      <c r="HH42" s="3">
        <v>584730.6</v>
      </c>
      <c r="HI42" s="3">
        <v>587800.6</v>
      </c>
      <c r="HJ42" s="3">
        <v>590886.1</v>
      </c>
      <c r="HK42" s="3">
        <v>593811.1</v>
      </c>
      <c r="HL42" s="3">
        <v>596424.80000000005</v>
      </c>
      <c r="HM42" s="3">
        <v>598870.30000000005</v>
      </c>
      <c r="HN42" s="3">
        <v>601295.4</v>
      </c>
      <c r="HO42" s="3">
        <v>603760.80000000005</v>
      </c>
      <c r="HP42" s="3">
        <v>606236.1</v>
      </c>
      <c r="HQ42" s="3">
        <v>608691.6</v>
      </c>
      <c r="HR42" s="3">
        <v>611248</v>
      </c>
      <c r="HS42" s="3">
        <v>613815.19999999995</v>
      </c>
      <c r="HT42" s="3">
        <v>616393.30000000005</v>
      </c>
      <c r="HU42" s="3">
        <v>618889.6</v>
      </c>
      <c r="HV42" s="3">
        <v>621396.1</v>
      </c>
      <c r="HW42" s="3">
        <v>623850.6</v>
      </c>
      <c r="HX42" s="3">
        <v>626283.69999999995</v>
      </c>
      <c r="HY42" s="3">
        <v>628663.6</v>
      </c>
      <c r="HZ42" s="3">
        <v>631052.4</v>
      </c>
      <c r="IA42" s="3">
        <v>633450.4</v>
      </c>
      <c r="IB42" s="3">
        <v>635825.9</v>
      </c>
      <c r="IC42" s="3">
        <v>638210.30000000005</v>
      </c>
      <c r="ID42" s="3">
        <v>640603.6</v>
      </c>
      <c r="IE42" s="3">
        <v>643005.80000000005</v>
      </c>
      <c r="IF42" s="3">
        <v>645449.30000000005</v>
      </c>
      <c r="IG42" s="3">
        <v>647901.9</v>
      </c>
      <c r="IH42" s="3">
        <v>650331.6</v>
      </c>
      <c r="II42" s="3">
        <v>652737.80000000005</v>
      </c>
      <c r="IJ42" s="3">
        <v>655185.6</v>
      </c>
      <c r="IK42" s="3">
        <v>657577</v>
      </c>
      <c r="IL42" s="3">
        <v>659977.1</v>
      </c>
      <c r="IM42" s="3">
        <v>662451.9</v>
      </c>
      <c r="IN42" s="3">
        <v>664838.19999999995</v>
      </c>
      <c r="IO42" s="3">
        <v>667228.80000000005</v>
      </c>
      <c r="IP42" s="3">
        <v>669619.69999999995</v>
      </c>
      <c r="IQ42" s="3">
        <v>672074.1</v>
      </c>
      <c r="IR42" s="3">
        <v>674540.4</v>
      </c>
      <c r="IS42" s="3">
        <v>676996.3</v>
      </c>
      <c r="IT42" s="3">
        <v>679445.1</v>
      </c>
      <c r="IU42" s="3">
        <v>682015.9</v>
      </c>
      <c r="IV42" s="3">
        <v>684596.3</v>
      </c>
      <c r="IW42" s="3">
        <v>687186.3</v>
      </c>
      <c r="IX42" s="3">
        <v>689785.2</v>
      </c>
      <c r="IY42" s="3">
        <v>692455.8</v>
      </c>
      <c r="IZ42" s="3">
        <v>695138.8</v>
      </c>
      <c r="JA42" s="3">
        <v>697834.4</v>
      </c>
      <c r="JB42" s="3">
        <v>700542.3</v>
      </c>
      <c r="JC42" s="3">
        <v>703262.8</v>
      </c>
      <c r="JD42" s="3">
        <v>705995.4</v>
      </c>
      <c r="JE42" s="3">
        <v>708740.8</v>
      </c>
      <c r="JF42" s="3">
        <v>711498.8</v>
      </c>
      <c r="JG42" s="3">
        <v>714331.1</v>
      </c>
      <c r="JH42" s="3">
        <v>717177.1</v>
      </c>
      <c r="JI42" s="3">
        <v>720037.2</v>
      </c>
      <c r="JJ42" s="3">
        <v>722911.5</v>
      </c>
      <c r="JK42" s="3">
        <v>725800</v>
      </c>
      <c r="JL42" s="3">
        <v>728702.8</v>
      </c>
      <c r="JM42" s="3">
        <v>731620.1</v>
      </c>
      <c r="JN42" s="3">
        <v>734551.8</v>
      </c>
      <c r="JO42" s="3">
        <v>737497.9</v>
      </c>
      <c r="JP42" s="3">
        <v>740452.8</v>
      </c>
      <c r="JQ42" s="3">
        <v>743416.6</v>
      </c>
      <c r="JR42" s="3">
        <v>746389</v>
      </c>
      <c r="JS42" s="3">
        <v>749299.9</v>
      </c>
      <c r="JT42" s="3">
        <v>752218.6</v>
      </c>
      <c r="JU42" s="3">
        <v>755144.9</v>
      </c>
      <c r="JV42" s="3">
        <v>758079.1</v>
      </c>
      <c r="JW42" s="3">
        <v>761021</v>
      </c>
      <c r="JX42" s="3">
        <v>763970.8</v>
      </c>
      <c r="JY42" s="3">
        <v>766928.3</v>
      </c>
      <c r="JZ42" s="3">
        <v>769893.6</v>
      </c>
      <c r="KA42" s="3">
        <v>772866.6</v>
      </c>
      <c r="KB42" s="3">
        <v>775847.3</v>
      </c>
      <c r="KC42" s="3">
        <v>778834.9</v>
      </c>
      <c r="KD42" s="3">
        <v>781829.8</v>
      </c>
      <c r="KE42" s="3">
        <v>784831.6</v>
      </c>
      <c r="KF42" s="3">
        <v>787840.6</v>
      </c>
      <c r="KG42" s="3">
        <v>790856.9</v>
      </c>
      <c r="KH42" s="3">
        <v>793880.3</v>
      </c>
      <c r="KI42" s="3">
        <v>796910.9</v>
      </c>
      <c r="KJ42" s="3">
        <v>799948.6</v>
      </c>
      <c r="KK42" s="3">
        <v>802993.7</v>
      </c>
      <c r="KL42" s="3">
        <v>806045.9</v>
      </c>
      <c r="KM42" s="3">
        <v>809105.6</v>
      </c>
      <c r="KN42" s="3">
        <v>812172.4</v>
      </c>
      <c r="KO42" s="3">
        <v>815246.8</v>
      </c>
      <c r="KP42" s="3">
        <v>818328.6</v>
      </c>
      <c r="KQ42" s="3">
        <v>821417.9</v>
      </c>
      <c r="KR42" s="3">
        <v>824514.8</v>
      </c>
      <c r="KS42" s="3">
        <v>827619.1</v>
      </c>
      <c r="KT42" s="3">
        <v>830731.5</v>
      </c>
      <c r="KU42" s="3">
        <v>833851.4</v>
      </c>
      <c r="KV42" s="3">
        <v>836979.19999999995</v>
      </c>
      <c r="KW42" s="3">
        <v>840114.6</v>
      </c>
      <c r="KX42" s="3">
        <v>843257.8</v>
      </c>
      <c r="KY42" s="3">
        <v>846408.6</v>
      </c>
      <c r="KZ42" s="3">
        <v>849567.4</v>
      </c>
      <c r="LA42" s="3">
        <v>852733.7</v>
      </c>
      <c r="LB42" s="3">
        <v>855907.8</v>
      </c>
      <c r="LC42" s="3">
        <v>859089.3</v>
      </c>
      <c r="LD42" s="3">
        <v>862278.8</v>
      </c>
      <c r="LE42" s="3">
        <v>865475.8</v>
      </c>
      <c r="LF42" s="3">
        <v>868680.6</v>
      </c>
      <c r="LG42" t="s">
        <v>335</v>
      </c>
      <c r="LH42" t="b">
        <v>1</v>
      </c>
      <c r="LI42" s="1" t="s">
        <v>336</v>
      </c>
      <c r="LJ42" t="s">
        <v>337</v>
      </c>
      <c r="LK42">
        <v>2024</v>
      </c>
      <c r="LL42">
        <v>1</v>
      </c>
      <c r="LM42" t="s">
        <v>337</v>
      </c>
      <c r="LN42" t="s">
        <v>338</v>
      </c>
      <c r="LO42" s="1" t="s">
        <v>339</v>
      </c>
      <c r="LP42" t="s">
        <v>340</v>
      </c>
      <c r="LQ42" t="s">
        <v>341</v>
      </c>
      <c r="LR42" s="1" t="s">
        <v>376</v>
      </c>
    </row>
    <row r="43" spans="1:330" x14ac:dyDescent="0.25">
      <c r="A43" t="s">
        <v>330</v>
      </c>
      <c r="B43" t="s">
        <v>342</v>
      </c>
      <c r="C43" s="1" t="s">
        <v>375</v>
      </c>
      <c r="D43" t="s">
        <v>343</v>
      </c>
      <c r="E43" t="s">
        <v>337</v>
      </c>
      <c r="F43" t="s">
        <v>334</v>
      </c>
      <c r="G43" s="2">
        <v>11.88749</v>
      </c>
      <c r="H43" s="2">
        <v>12.304600000000001</v>
      </c>
      <c r="I43" s="2">
        <v>12.51315</v>
      </c>
      <c r="J43" s="2">
        <v>13.008459999999999</v>
      </c>
      <c r="K43" s="2">
        <v>13.47771</v>
      </c>
      <c r="L43" s="2">
        <v>14.23371</v>
      </c>
      <c r="M43" s="2">
        <v>14.572609999999999</v>
      </c>
      <c r="N43" s="2">
        <v>15.250400000000001</v>
      </c>
      <c r="O43" s="2">
        <v>16.058540000000001</v>
      </c>
      <c r="P43" s="2">
        <v>17.466270000000002</v>
      </c>
      <c r="Q43" s="2">
        <v>18.222280000000001</v>
      </c>
      <c r="R43" s="2">
        <v>18.847930000000002</v>
      </c>
      <c r="S43" s="2">
        <v>19.42145</v>
      </c>
      <c r="T43" s="2">
        <v>20.125319999999999</v>
      </c>
      <c r="U43" s="2">
        <v>20.594560000000001</v>
      </c>
      <c r="V43" s="2">
        <v>21.506979999999999</v>
      </c>
      <c r="W43" s="2">
        <v>22.471530000000001</v>
      </c>
      <c r="X43" s="2">
        <v>23.410019999999999</v>
      </c>
      <c r="Y43" s="2">
        <v>23.82713</v>
      </c>
      <c r="Z43" s="2">
        <v>24.139949999999999</v>
      </c>
      <c r="AA43" s="2">
        <v>24.452780000000001</v>
      </c>
      <c r="AB43" s="2">
        <v>25.078440000000001</v>
      </c>
      <c r="AC43" s="2">
        <v>25.469480000000001</v>
      </c>
      <c r="AD43" s="2">
        <v>25.860510000000001</v>
      </c>
      <c r="AE43" s="2">
        <v>26.43403</v>
      </c>
      <c r="AF43" s="2">
        <v>27.268239999999999</v>
      </c>
      <c r="AG43" s="2">
        <v>28.910589999999999</v>
      </c>
      <c r="AH43" s="2">
        <v>29.718730000000001</v>
      </c>
      <c r="AI43" s="2">
        <v>30.605080000000001</v>
      </c>
      <c r="AJ43" s="2">
        <v>32.247430000000001</v>
      </c>
      <c r="AK43" s="2">
        <v>32.951300000000003</v>
      </c>
      <c r="AL43" s="2">
        <v>33.550879999999999</v>
      </c>
      <c r="AM43" s="2">
        <v>34.385100000000001</v>
      </c>
      <c r="AN43" s="2">
        <v>36.079590000000003</v>
      </c>
      <c r="AO43" s="2">
        <v>36.731310000000001</v>
      </c>
      <c r="AP43" s="2">
        <v>37.435180000000003</v>
      </c>
      <c r="AQ43" s="2">
        <v>37.878349999999998</v>
      </c>
      <c r="AR43" s="2">
        <v>39.181800000000003</v>
      </c>
      <c r="AS43" s="2">
        <v>39.416420000000002</v>
      </c>
      <c r="AT43" s="2">
        <v>39.885669999999998</v>
      </c>
      <c r="AU43" s="2">
        <v>40.172429999999999</v>
      </c>
      <c r="AV43" s="2">
        <v>40.85022</v>
      </c>
      <c r="AW43" s="2">
        <v>41.293399999999998</v>
      </c>
      <c r="AX43" s="2">
        <v>41.762639999999998</v>
      </c>
      <c r="AY43" s="2">
        <v>41.86692</v>
      </c>
      <c r="AZ43" s="2">
        <v>42.779339999999998</v>
      </c>
      <c r="BA43" s="2">
        <v>42.98789</v>
      </c>
      <c r="BB43" s="2">
        <v>43.431060000000002</v>
      </c>
      <c r="BC43" s="2">
        <v>43.874229999999997</v>
      </c>
      <c r="BD43" s="2">
        <v>44.995199999999997</v>
      </c>
      <c r="BE43" s="2">
        <v>45.125549999999997</v>
      </c>
      <c r="BF43" s="2">
        <v>45.490519999999997</v>
      </c>
      <c r="BG43" s="2">
        <v>45.646929999999998</v>
      </c>
      <c r="BH43" s="2">
        <v>46.3508</v>
      </c>
      <c r="BI43" s="2">
        <v>46.533279999999998</v>
      </c>
      <c r="BJ43" s="2">
        <v>46.924320000000002</v>
      </c>
      <c r="BK43" s="2">
        <v>47.237139999999997</v>
      </c>
      <c r="BL43" s="2">
        <v>47.836730000000003</v>
      </c>
      <c r="BM43" s="2">
        <v>47.888869999999997</v>
      </c>
      <c r="BN43" s="2">
        <v>48.436320000000002</v>
      </c>
      <c r="BO43" s="2">
        <v>48.566670000000002</v>
      </c>
      <c r="BP43" s="2">
        <v>49.5</v>
      </c>
      <c r="BQ43" s="2">
        <v>49.9</v>
      </c>
      <c r="BR43" s="2">
        <v>50.466670000000001</v>
      </c>
      <c r="BS43" s="2">
        <v>51</v>
      </c>
      <c r="BT43" s="2">
        <v>52.133339999999997</v>
      </c>
      <c r="BU43" s="2">
        <v>52.466670000000001</v>
      </c>
      <c r="BV43" s="2">
        <v>53.266669999999998</v>
      </c>
      <c r="BW43" s="2">
        <v>53.933329999999998</v>
      </c>
      <c r="BX43" s="2">
        <v>55.6</v>
      </c>
      <c r="BY43" s="2">
        <v>56.4</v>
      </c>
      <c r="BZ43" s="2">
        <v>57.466670000000001</v>
      </c>
      <c r="CA43" s="2">
        <v>57.666670000000003</v>
      </c>
      <c r="CB43" s="2">
        <v>60.266669999999998</v>
      </c>
      <c r="CC43" s="2">
        <v>60.833329999999997</v>
      </c>
      <c r="CD43" s="2">
        <v>61.466670000000001</v>
      </c>
      <c r="CE43" s="2">
        <v>61.7</v>
      </c>
      <c r="CF43" s="2">
        <v>62.833329999999997</v>
      </c>
      <c r="CG43" s="2">
        <v>62.733330000000002</v>
      </c>
      <c r="CH43" s="2">
        <v>63.133339999999997</v>
      </c>
      <c r="CI43" s="2">
        <v>63.2</v>
      </c>
      <c r="CJ43" s="2">
        <v>64.433329999999998</v>
      </c>
      <c r="CK43" s="2">
        <v>64.5</v>
      </c>
      <c r="CL43" s="2">
        <v>64.666659999999993</v>
      </c>
      <c r="CM43" s="2">
        <v>64.766670000000005</v>
      </c>
      <c r="CN43" s="2">
        <v>65.7</v>
      </c>
      <c r="CO43" s="2">
        <v>65.633330000000001</v>
      </c>
      <c r="CP43" s="2">
        <v>65.8</v>
      </c>
      <c r="CQ43" s="2">
        <v>66.333340000000007</v>
      </c>
      <c r="CR43" s="2">
        <v>67.266670000000005</v>
      </c>
      <c r="CS43" s="2">
        <v>67.400000000000006</v>
      </c>
      <c r="CT43" s="2">
        <v>67.733329999999995</v>
      </c>
      <c r="CU43" s="2">
        <v>68.099999999999994</v>
      </c>
      <c r="CV43" s="2">
        <v>68.866669999999999</v>
      </c>
      <c r="CW43" s="2">
        <v>68.933329999999998</v>
      </c>
      <c r="CX43" s="2">
        <v>69.366669999999999</v>
      </c>
      <c r="CY43" s="2">
        <v>69.366669999999999</v>
      </c>
      <c r="CZ43" s="2">
        <v>70</v>
      </c>
      <c r="DA43" s="2">
        <v>70.266670000000005</v>
      </c>
      <c r="DB43" s="2">
        <v>70.633330000000001</v>
      </c>
      <c r="DC43" s="2">
        <v>70.5</v>
      </c>
      <c r="DD43" s="2">
        <v>71.266670000000005</v>
      </c>
      <c r="DE43" s="2">
        <v>71.233329999999995</v>
      </c>
      <c r="DF43" s="2">
        <v>71.633330000000001</v>
      </c>
      <c r="DG43" s="2">
        <v>71.599999999999994</v>
      </c>
      <c r="DH43" s="2">
        <v>72.3</v>
      </c>
      <c r="DI43" s="2">
        <v>72.133330000000001</v>
      </c>
      <c r="DJ43" s="2">
        <v>72.433329999999998</v>
      </c>
      <c r="DK43" s="2">
        <v>72.133330000000001</v>
      </c>
      <c r="DL43" s="2">
        <v>72.766670000000005</v>
      </c>
      <c r="DM43" s="2">
        <v>72.7</v>
      </c>
      <c r="DN43" s="2">
        <v>73.166659999999993</v>
      </c>
      <c r="DO43" s="2">
        <v>72.766670000000005</v>
      </c>
      <c r="DP43" s="2">
        <v>73.833340000000007</v>
      </c>
      <c r="DQ43" s="2">
        <v>73.866669999999999</v>
      </c>
      <c r="DR43" s="2">
        <v>73.900000000000006</v>
      </c>
      <c r="DS43" s="2">
        <v>73.866669999999999</v>
      </c>
      <c r="DT43" s="2">
        <v>74.533330000000007</v>
      </c>
      <c r="DU43" s="2">
        <v>74.599999999999994</v>
      </c>
      <c r="DV43" s="2">
        <v>75</v>
      </c>
      <c r="DW43" s="2">
        <v>75</v>
      </c>
      <c r="DX43" s="2">
        <v>75.466669999999993</v>
      </c>
      <c r="DY43" s="2">
        <v>75.599999999999994</v>
      </c>
      <c r="DZ43" s="2">
        <v>76.033330000000007</v>
      </c>
      <c r="EA43" s="2">
        <v>75.966669999999993</v>
      </c>
      <c r="EB43" s="2">
        <v>76.533330000000007</v>
      </c>
      <c r="EC43" s="2">
        <v>76.566670000000002</v>
      </c>
      <c r="ED43" s="2">
        <v>77.099999999999994</v>
      </c>
      <c r="EE43" s="2">
        <v>77.233329999999995</v>
      </c>
      <c r="EF43" s="2">
        <v>78</v>
      </c>
      <c r="EG43" s="2">
        <v>78.400000000000006</v>
      </c>
      <c r="EH43" s="2">
        <v>78.766670000000005</v>
      </c>
      <c r="EI43" s="2">
        <v>78.733329999999995</v>
      </c>
      <c r="EJ43" s="2">
        <v>79.8</v>
      </c>
      <c r="EK43" s="2">
        <v>80.3</v>
      </c>
      <c r="EL43" s="2">
        <v>80.900000000000006</v>
      </c>
      <c r="EM43" s="2">
        <v>81</v>
      </c>
      <c r="EN43" s="2">
        <v>81.8</v>
      </c>
      <c r="EO43" s="2">
        <v>81.733329999999995</v>
      </c>
      <c r="EP43" s="2">
        <v>82.6</v>
      </c>
      <c r="EQ43" s="2">
        <v>82.933329999999998</v>
      </c>
      <c r="ER43" s="2">
        <v>84.6</v>
      </c>
      <c r="ES43" s="2">
        <v>85.633330000000001</v>
      </c>
      <c r="ET43" s="2">
        <v>85.733329999999995</v>
      </c>
      <c r="EU43" s="2">
        <v>85.433329999999998</v>
      </c>
      <c r="EV43" s="2">
        <v>86.366669999999999</v>
      </c>
      <c r="EW43" s="2">
        <v>86.933329999999998</v>
      </c>
      <c r="EX43" s="2">
        <v>87.566670000000002</v>
      </c>
      <c r="EY43" s="2">
        <v>88.233329999999995</v>
      </c>
      <c r="EZ43" s="2">
        <v>89.366669999999999</v>
      </c>
      <c r="FA43" s="2">
        <v>89.633330000000001</v>
      </c>
      <c r="FB43" s="2">
        <v>90.5</v>
      </c>
      <c r="FC43" s="2">
        <v>91.833340000000007</v>
      </c>
      <c r="FD43" s="2">
        <v>93.3</v>
      </c>
      <c r="FE43" s="2">
        <v>93.833340000000007</v>
      </c>
      <c r="FF43" s="2">
        <v>94.733329999999995</v>
      </c>
      <c r="FG43" s="2">
        <v>95.033330000000007</v>
      </c>
      <c r="FH43" s="2">
        <v>95.8</v>
      </c>
      <c r="FI43" s="2">
        <v>96.066670000000002</v>
      </c>
      <c r="FJ43" s="2">
        <v>97.266670000000005</v>
      </c>
      <c r="FK43" s="2">
        <v>97.666659999999993</v>
      </c>
      <c r="FL43" s="2">
        <v>98.366669999999999</v>
      </c>
      <c r="FM43" s="2">
        <v>98.7</v>
      </c>
      <c r="FN43" s="2">
        <v>99.3</v>
      </c>
      <c r="FO43" s="2">
        <v>99.4</v>
      </c>
      <c r="FP43" s="2">
        <v>100.1</v>
      </c>
      <c r="FQ43" s="2">
        <v>100.13330000000001</v>
      </c>
      <c r="FR43" s="2">
        <v>100.2</v>
      </c>
      <c r="FS43" s="2">
        <v>99.5</v>
      </c>
      <c r="FT43" s="2">
        <v>100.0667</v>
      </c>
      <c r="FU43" s="2">
        <v>100.16670000000001</v>
      </c>
      <c r="FV43" s="2">
        <v>100.3</v>
      </c>
      <c r="FW43" s="2">
        <v>99.833340000000007</v>
      </c>
      <c r="FX43" s="2">
        <v>100.4</v>
      </c>
      <c r="FY43" s="2">
        <v>100.86669999999999</v>
      </c>
      <c r="FZ43" s="2">
        <v>101.5</v>
      </c>
      <c r="GA43" s="2">
        <v>102</v>
      </c>
      <c r="GB43" s="2">
        <v>103.16670000000001</v>
      </c>
      <c r="GC43" s="2">
        <v>103.7</v>
      </c>
      <c r="GD43" s="2">
        <v>104.5667</v>
      </c>
      <c r="GE43" s="2">
        <v>104.7667</v>
      </c>
      <c r="GF43" s="2">
        <v>105.66670000000001</v>
      </c>
      <c r="GG43" s="2">
        <v>106.3</v>
      </c>
      <c r="GH43" s="2">
        <v>106.9333</v>
      </c>
      <c r="GI43" s="2">
        <v>106.7</v>
      </c>
      <c r="GJ43" s="2">
        <v>107.8</v>
      </c>
      <c r="GK43" s="2">
        <v>108.2667</v>
      </c>
      <c r="GL43" s="2">
        <v>108.4333</v>
      </c>
      <c r="GM43" s="2">
        <v>108.4667</v>
      </c>
      <c r="GN43" s="2">
        <v>108.5333</v>
      </c>
      <c r="GO43" s="2">
        <v>108.9333</v>
      </c>
      <c r="GP43" s="2">
        <v>109.0667</v>
      </c>
      <c r="GQ43" s="2">
        <v>109.16670000000001</v>
      </c>
      <c r="GR43" s="2">
        <v>110.7333</v>
      </c>
      <c r="GS43" s="2">
        <v>111.9333</v>
      </c>
      <c r="GT43" s="2">
        <v>114.4</v>
      </c>
      <c r="GU43" s="2">
        <v>115.9333</v>
      </c>
      <c r="GV43" s="2">
        <v>120.86669999999999</v>
      </c>
      <c r="GW43" s="2">
        <v>123.13330000000001</v>
      </c>
      <c r="GX43" s="2">
        <v>126.7</v>
      </c>
      <c r="GY43" s="2">
        <v>127.7333</v>
      </c>
      <c r="GZ43" s="2">
        <v>131.0667</v>
      </c>
      <c r="HA43" s="2">
        <v>131.4</v>
      </c>
      <c r="HB43" s="2">
        <v>131.9667</v>
      </c>
      <c r="HC43" s="2">
        <v>132.26669999999999</v>
      </c>
      <c r="HD43" s="2">
        <v>133.83330000000001</v>
      </c>
      <c r="HE43" s="3">
        <v>134.18690000000001</v>
      </c>
      <c r="HF43" s="3">
        <v>135.34440000000001</v>
      </c>
      <c r="HG43" s="3">
        <v>135.63220000000001</v>
      </c>
      <c r="HH43" s="3">
        <v>136.98500000000001</v>
      </c>
      <c r="HI43" s="3">
        <v>137.7346</v>
      </c>
      <c r="HJ43" s="3">
        <v>138.63990000000001</v>
      </c>
      <c r="HK43" s="3">
        <v>138.8766</v>
      </c>
      <c r="HL43" s="3">
        <v>140.14429999999999</v>
      </c>
      <c r="HM43" s="3">
        <v>140.8006</v>
      </c>
      <c r="HN43" s="3">
        <v>141.54949999999999</v>
      </c>
      <c r="HO43" s="3">
        <v>141.881</v>
      </c>
      <c r="HP43" s="3">
        <v>143.21100000000001</v>
      </c>
      <c r="HQ43" s="3">
        <v>143.94990000000001</v>
      </c>
      <c r="HR43" s="3">
        <v>144.74469999999999</v>
      </c>
      <c r="HS43" s="3">
        <v>145.035</v>
      </c>
      <c r="HT43" s="3">
        <v>146.34649999999999</v>
      </c>
      <c r="HU43" s="3">
        <v>147.0659</v>
      </c>
      <c r="HV43" s="3">
        <v>147.81899999999999</v>
      </c>
      <c r="HW43" s="3">
        <v>148.06739999999999</v>
      </c>
      <c r="HX43" s="3">
        <v>149.3716</v>
      </c>
      <c r="HY43" s="3">
        <v>150.08590000000001</v>
      </c>
      <c r="HZ43" s="3">
        <v>150.81489999999999</v>
      </c>
      <c r="IA43" s="3">
        <v>151.04660000000001</v>
      </c>
      <c r="IB43" s="3">
        <v>152.36850000000001</v>
      </c>
      <c r="IC43" s="3">
        <v>153.10140000000001</v>
      </c>
      <c r="ID43" s="3">
        <v>153.8263</v>
      </c>
      <c r="IE43" s="3">
        <v>154.0676</v>
      </c>
      <c r="IF43" s="3">
        <v>155.41589999999999</v>
      </c>
      <c r="IG43" s="3">
        <v>156.1635</v>
      </c>
      <c r="IH43" s="3">
        <v>156.90280000000001</v>
      </c>
      <c r="II43" s="3">
        <v>157.1489</v>
      </c>
      <c r="IJ43" s="3">
        <v>158.52420000000001</v>
      </c>
      <c r="IK43" s="3">
        <v>159.2867</v>
      </c>
      <c r="IL43" s="3">
        <v>160.04089999999999</v>
      </c>
      <c r="IM43" s="3">
        <v>160.2919</v>
      </c>
      <c r="IN43" s="3">
        <v>161.69470000000001</v>
      </c>
      <c r="IO43" s="3">
        <v>162.4725</v>
      </c>
      <c r="IP43" s="3">
        <v>163.24170000000001</v>
      </c>
      <c r="IQ43" s="3">
        <v>163.49770000000001</v>
      </c>
      <c r="IR43" s="3">
        <v>164.92859999999999</v>
      </c>
      <c r="IS43" s="3">
        <v>165.72190000000001</v>
      </c>
      <c r="IT43" s="3">
        <v>166.50649999999999</v>
      </c>
      <c r="IU43" s="3">
        <v>166.76769999999999</v>
      </c>
      <c r="IV43" s="3">
        <v>168.22720000000001</v>
      </c>
      <c r="IW43" s="3">
        <v>169.03639999999999</v>
      </c>
      <c r="IX43" s="3">
        <v>169.83670000000001</v>
      </c>
      <c r="IY43" s="3">
        <v>170.10300000000001</v>
      </c>
      <c r="IZ43" s="3">
        <v>171.5917</v>
      </c>
      <c r="JA43" s="3">
        <v>172.4171</v>
      </c>
      <c r="JB43" s="3">
        <v>173.23339999999999</v>
      </c>
      <c r="JC43" s="3">
        <v>173.5051</v>
      </c>
      <c r="JD43" s="3">
        <v>175.02350000000001</v>
      </c>
      <c r="JE43" s="3">
        <v>175.86539999999999</v>
      </c>
      <c r="JF43" s="3">
        <v>176.69810000000001</v>
      </c>
      <c r="JG43" s="3">
        <v>176.9752</v>
      </c>
      <c r="JH43" s="3">
        <v>178.524</v>
      </c>
      <c r="JI43" s="3">
        <v>179.3828</v>
      </c>
      <c r="JJ43" s="3">
        <v>180.232</v>
      </c>
      <c r="JK43" s="3">
        <v>180.5147</v>
      </c>
      <c r="JL43" s="3">
        <v>182.09450000000001</v>
      </c>
      <c r="JM43" s="3">
        <v>182.97040000000001</v>
      </c>
      <c r="JN43" s="3">
        <v>183.83670000000001</v>
      </c>
      <c r="JO43" s="3">
        <v>184.125</v>
      </c>
      <c r="JP43" s="3">
        <v>185.7364</v>
      </c>
      <c r="JQ43" s="3">
        <v>186.62979999999999</v>
      </c>
      <c r="JR43" s="3">
        <v>187.51339999999999</v>
      </c>
      <c r="JS43" s="3">
        <v>187.8075</v>
      </c>
      <c r="JT43" s="3">
        <v>189.4511</v>
      </c>
      <c r="JU43" s="3">
        <v>190.36240000000001</v>
      </c>
      <c r="JV43" s="3">
        <v>191.2637</v>
      </c>
      <c r="JW43" s="3">
        <v>191.56360000000001</v>
      </c>
      <c r="JX43" s="3">
        <v>193.24010000000001</v>
      </c>
      <c r="JY43" s="3">
        <v>194.1696</v>
      </c>
      <c r="JZ43" s="3">
        <v>195.089</v>
      </c>
      <c r="KA43" s="3">
        <v>195.39490000000001</v>
      </c>
      <c r="KB43" s="3">
        <v>197.10489999999999</v>
      </c>
      <c r="KC43" s="3">
        <v>198.053</v>
      </c>
      <c r="KD43" s="3">
        <v>198.9907</v>
      </c>
      <c r="KE43" s="3">
        <v>199.30279999999999</v>
      </c>
      <c r="KF43" s="3">
        <v>201.047</v>
      </c>
      <c r="KG43" s="3">
        <v>202.01410000000001</v>
      </c>
      <c r="KH43" s="3">
        <v>202.97059999999999</v>
      </c>
      <c r="KI43" s="3">
        <v>203.28890000000001</v>
      </c>
      <c r="KJ43" s="3">
        <v>205.06800000000001</v>
      </c>
      <c r="KK43" s="3">
        <v>206.05439999999999</v>
      </c>
      <c r="KL43" s="3">
        <v>207.03</v>
      </c>
      <c r="KM43" s="3">
        <v>207.3546</v>
      </c>
      <c r="KN43" s="3">
        <v>209.16929999999999</v>
      </c>
      <c r="KO43" s="3">
        <v>210.1755</v>
      </c>
      <c r="KP43" s="3">
        <v>211.17060000000001</v>
      </c>
      <c r="KQ43" s="3">
        <v>211.5017</v>
      </c>
      <c r="KR43" s="3">
        <v>213.3527</v>
      </c>
      <c r="KS43" s="3">
        <v>214.37899999999999</v>
      </c>
      <c r="KT43" s="3">
        <v>215.39400000000001</v>
      </c>
      <c r="KU43" s="3">
        <v>215.73179999999999</v>
      </c>
      <c r="KV43" s="3">
        <v>217.6198</v>
      </c>
      <c r="KW43" s="3">
        <v>218.66659999999999</v>
      </c>
      <c r="KX43" s="3">
        <v>219.70179999999999</v>
      </c>
      <c r="KY43" s="3">
        <v>220.04640000000001</v>
      </c>
      <c r="KZ43" s="3">
        <v>221.97219999999999</v>
      </c>
      <c r="LA43" s="3">
        <v>223.03989999999999</v>
      </c>
      <c r="LB43" s="3">
        <v>224.0959</v>
      </c>
      <c r="LC43" s="3">
        <v>224.44730000000001</v>
      </c>
      <c r="LD43" s="3">
        <v>226.41159999999999</v>
      </c>
      <c r="LE43" s="3">
        <v>227.50069999999999</v>
      </c>
      <c r="LF43" s="3">
        <v>228.5778</v>
      </c>
      <c r="LG43" t="s">
        <v>335</v>
      </c>
      <c r="LH43" t="b">
        <v>0</v>
      </c>
      <c r="LI43" t="s">
        <v>337</v>
      </c>
      <c r="LJ43">
        <v>2015</v>
      </c>
      <c r="LK43">
        <v>2024</v>
      </c>
      <c r="LL43">
        <v>2</v>
      </c>
      <c r="LM43" t="s">
        <v>337</v>
      </c>
      <c r="LN43" s="1" t="s">
        <v>344</v>
      </c>
      <c r="LO43" s="1" t="s">
        <v>345</v>
      </c>
      <c r="LP43" t="s">
        <v>340</v>
      </c>
      <c r="LQ43" t="s">
        <v>346</v>
      </c>
      <c r="LR43" s="1" t="s">
        <v>376</v>
      </c>
    </row>
    <row r="44" spans="1:330" x14ac:dyDescent="0.25">
      <c r="A44" t="s">
        <v>330</v>
      </c>
      <c r="B44" t="s">
        <v>331</v>
      </c>
      <c r="C44" s="1" t="s">
        <v>377</v>
      </c>
      <c r="D44" t="s">
        <v>332</v>
      </c>
      <c r="E44" t="s">
        <v>333</v>
      </c>
      <c r="F44" t="s">
        <v>334</v>
      </c>
      <c r="G44" s="2">
        <v>223780</v>
      </c>
      <c r="H44" s="2">
        <v>224213</v>
      </c>
      <c r="I44" s="2">
        <v>222122</v>
      </c>
      <c r="J44" s="2">
        <v>221266</v>
      </c>
      <c r="K44" s="2">
        <v>215122</v>
      </c>
      <c r="L44" s="2">
        <v>218215</v>
      </c>
      <c r="M44" s="2">
        <v>219517</v>
      </c>
      <c r="N44" s="2">
        <v>216301</v>
      </c>
      <c r="O44" s="2">
        <v>216390</v>
      </c>
      <c r="P44" s="2">
        <v>212882</v>
      </c>
      <c r="Q44" s="2">
        <v>212192</v>
      </c>
      <c r="R44" s="2">
        <v>214585</v>
      </c>
      <c r="S44" s="2">
        <v>218180</v>
      </c>
      <c r="T44" s="2">
        <v>217883</v>
      </c>
      <c r="U44" s="2">
        <v>220587</v>
      </c>
      <c r="V44" s="2">
        <v>225228</v>
      </c>
      <c r="W44" s="2">
        <v>225362</v>
      </c>
      <c r="X44" s="2">
        <v>223815</v>
      </c>
      <c r="Y44" s="2">
        <v>225295</v>
      </c>
      <c r="Z44" s="2">
        <v>229115</v>
      </c>
      <c r="AA44" s="2">
        <v>231258</v>
      </c>
      <c r="AB44" s="2">
        <v>233910</v>
      </c>
      <c r="AC44" s="2">
        <v>237107</v>
      </c>
      <c r="AD44" s="2">
        <v>239186</v>
      </c>
      <c r="AE44" s="2">
        <v>238472</v>
      </c>
      <c r="AF44" s="2">
        <v>248867</v>
      </c>
      <c r="AG44" s="2">
        <v>243369</v>
      </c>
      <c r="AH44" s="2">
        <v>245858</v>
      </c>
      <c r="AI44" s="2">
        <v>243513</v>
      </c>
      <c r="AJ44" s="2">
        <v>238722</v>
      </c>
      <c r="AK44" s="2">
        <v>238432</v>
      </c>
      <c r="AL44" s="2">
        <v>235866</v>
      </c>
      <c r="AM44" s="2">
        <v>235712</v>
      </c>
      <c r="AN44" s="2">
        <v>236272</v>
      </c>
      <c r="AO44" s="2">
        <v>238846</v>
      </c>
      <c r="AP44" s="2">
        <v>239131</v>
      </c>
      <c r="AQ44" s="2">
        <v>239578</v>
      </c>
      <c r="AR44" s="2">
        <v>242095</v>
      </c>
      <c r="AS44" s="2">
        <v>242639</v>
      </c>
      <c r="AT44" s="2">
        <v>244317</v>
      </c>
      <c r="AU44" s="2">
        <v>249032</v>
      </c>
      <c r="AV44" s="2">
        <v>250761</v>
      </c>
      <c r="AW44" s="2">
        <v>253655</v>
      </c>
      <c r="AX44" s="2">
        <v>255533</v>
      </c>
      <c r="AY44" s="2">
        <v>257683</v>
      </c>
      <c r="AZ44" s="2">
        <v>255100</v>
      </c>
      <c r="BA44" s="2">
        <v>256975</v>
      </c>
      <c r="BB44" s="2">
        <v>261627</v>
      </c>
      <c r="BC44" s="2">
        <v>264127</v>
      </c>
      <c r="BD44" s="2">
        <v>269787</v>
      </c>
      <c r="BE44" s="2">
        <v>269737</v>
      </c>
      <c r="BF44" s="2">
        <v>269896</v>
      </c>
      <c r="BG44" s="2">
        <v>272720</v>
      </c>
      <c r="BH44" s="2">
        <v>275136</v>
      </c>
      <c r="BI44" s="2">
        <v>276863</v>
      </c>
      <c r="BJ44" s="2">
        <v>282193</v>
      </c>
      <c r="BK44" s="2">
        <v>284172</v>
      </c>
      <c r="BL44" s="2">
        <v>288385</v>
      </c>
      <c r="BM44" s="2">
        <v>295493</v>
      </c>
      <c r="BN44" s="2">
        <v>298855</v>
      </c>
      <c r="BO44" s="2">
        <v>303698</v>
      </c>
      <c r="BP44" s="2">
        <v>305281</v>
      </c>
      <c r="BQ44" s="2">
        <v>309097</v>
      </c>
      <c r="BR44" s="2">
        <v>311574</v>
      </c>
      <c r="BS44" s="2">
        <v>313083</v>
      </c>
      <c r="BT44" s="2">
        <v>315039</v>
      </c>
      <c r="BU44" s="2">
        <v>315554</v>
      </c>
      <c r="BV44" s="2">
        <v>315515</v>
      </c>
      <c r="BW44" s="2">
        <v>317117</v>
      </c>
      <c r="BX44" s="2">
        <v>319239</v>
      </c>
      <c r="BY44" s="2">
        <v>315744</v>
      </c>
      <c r="BZ44" s="2">
        <v>314148</v>
      </c>
      <c r="CA44" s="2">
        <v>312596</v>
      </c>
      <c r="CB44" s="2">
        <v>312235</v>
      </c>
      <c r="CC44" s="2">
        <v>311624</v>
      </c>
      <c r="CD44" s="2">
        <v>312006</v>
      </c>
      <c r="CE44" s="2">
        <v>311904</v>
      </c>
      <c r="CF44" s="2">
        <v>311418</v>
      </c>
      <c r="CG44" s="2">
        <v>312896</v>
      </c>
      <c r="CH44" s="2">
        <v>315307</v>
      </c>
      <c r="CI44" s="2">
        <v>316882</v>
      </c>
      <c r="CJ44" s="2">
        <v>318302</v>
      </c>
      <c r="CK44" s="2">
        <v>321218</v>
      </c>
      <c r="CL44" s="2">
        <v>323400</v>
      </c>
      <c r="CM44" s="2">
        <v>326585</v>
      </c>
      <c r="CN44" s="2">
        <v>329584</v>
      </c>
      <c r="CO44" s="2">
        <v>332911</v>
      </c>
      <c r="CP44" s="2">
        <v>334363</v>
      </c>
      <c r="CQ44" s="2">
        <v>336090</v>
      </c>
      <c r="CR44" s="2">
        <v>336789</v>
      </c>
      <c r="CS44" s="2">
        <v>340542</v>
      </c>
      <c r="CT44" s="2">
        <v>341602</v>
      </c>
      <c r="CU44" s="2">
        <v>343859</v>
      </c>
      <c r="CV44" s="2">
        <v>344979</v>
      </c>
      <c r="CW44" s="2">
        <v>348214</v>
      </c>
      <c r="CX44" s="2">
        <v>352958</v>
      </c>
      <c r="CY44" s="2">
        <v>358611</v>
      </c>
      <c r="CZ44" s="2">
        <v>362573</v>
      </c>
      <c r="DA44" s="2">
        <v>365942</v>
      </c>
      <c r="DB44" s="2">
        <v>371341</v>
      </c>
      <c r="DC44" s="2">
        <v>374037</v>
      </c>
      <c r="DD44" s="2">
        <v>376421</v>
      </c>
      <c r="DE44" s="2">
        <v>377650</v>
      </c>
      <c r="DF44" s="2">
        <v>380155</v>
      </c>
      <c r="DG44" s="2">
        <v>382789</v>
      </c>
      <c r="DH44" s="2">
        <v>384605</v>
      </c>
      <c r="DI44" s="2">
        <v>390758</v>
      </c>
      <c r="DJ44" s="2">
        <v>396357</v>
      </c>
      <c r="DK44" s="2">
        <v>401242</v>
      </c>
      <c r="DL44" s="2">
        <v>404196</v>
      </c>
      <c r="DM44" s="2">
        <v>406795</v>
      </c>
      <c r="DN44" s="2">
        <v>409411</v>
      </c>
      <c r="DO44" s="2">
        <v>413054</v>
      </c>
      <c r="DP44" s="2">
        <v>414878</v>
      </c>
      <c r="DQ44" s="2">
        <v>417085</v>
      </c>
      <c r="DR44" s="2">
        <v>418445</v>
      </c>
      <c r="DS44" s="2">
        <v>419534</v>
      </c>
      <c r="DT44" s="2">
        <v>421587</v>
      </c>
      <c r="DU44" s="2">
        <v>424425</v>
      </c>
      <c r="DV44" s="2">
        <v>427725</v>
      </c>
      <c r="DW44" s="2">
        <v>430832</v>
      </c>
      <c r="DX44" s="2">
        <v>434837</v>
      </c>
      <c r="DY44" s="2">
        <v>438710</v>
      </c>
      <c r="DZ44" s="2">
        <v>442172</v>
      </c>
      <c r="EA44" s="2">
        <v>443853</v>
      </c>
      <c r="EB44" s="2">
        <v>446443</v>
      </c>
      <c r="EC44" s="2">
        <v>448171</v>
      </c>
      <c r="ED44" s="2">
        <v>450464</v>
      </c>
      <c r="EE44" s="2">
        <v>453784</v>
      </c>
      <c r="EF44" s="2">
        <v>457557</v>
      </c>
      <c r="EG44" s="2">
        <v>461135</v>
      </c>
      <c r="EH44" s="2">
        <v>465451</v>
      </c>
      <c r="EI44" s="2">
        <v>467840</v>
      </c>
      <c r="EJ44" s="2">
        <v>469655</v>
      </c>
      <c r="EK44" s="2">
        <v>470918</v>
      </c>
      <c r="EL44" s="2">
        <v>473372</v>
      </c>
      <c r="EM44" s="2">
        <v>477823</v>
      </c>
      <c r="EN44" s="2">
        <v>481314</v>
      </c>
      <c r="EO44" s="2">
        <v>484544</v>
      </c>
      <c r="EP44" s="2">
        <v>487413</v>
      </c>
      <c r="EQ44" s="2">
        <v>489783</v>
      </c>
      <c r="ER44" s="2">
        <v>487386</v>
      </c>
      <c r="ES44" s="2">
        <v>479872</v>
      </c>
      <c r="ET44" s="2">
        <v>469694</v>
      </c>
      <c r="EU44" s="2">
        <v>460105</v>
      </c>
      <c r="EV44" s="2">
        <v>458599</v>
      </c>
      <c r="EW44" s="2">
        <v>458875</v>
      </c>
      <c r="EX44" s="2">
        <v>460238</v>
      </c>
      <c r="EY44" s="2">
        <v>464543</v>
      </c>
      <c r="EZ44" s="2">
        <v>469606</v>
      </c>
      <c r="FA44" s="2">
        <v>472199</v>
      </c>
      <c r="FB44" s="2">
        <v>472612</v>
      </c>
      <c r="FC44" s="2">
        <v>473819</v>
      </c>
      <c r="FD44" s="2">
        <v>474365</v>
      </c>
      <c r="FE44" s="2">
        <v>475813</v>
      </c>
      <c r="FF44" s="2">
        <v>476479</v>
      </c>
      <c r="FG44" s="2">
        <v>480632</v>
      </c>
      <c r="FH44" s="2">
        <v>479979</v>
      </c>
      <c r="FI44" s="2">
        <v>484579</v>
      </c>
      <c r="FJ44" s="2">
        <v>484039</v>
      </c>
      <c r="FK44" s="2">
        <v>485409</v>
      </c>
      <c r="FL44" s="2">
        <v>488930</v>
      </c>
      <c r="FM44" s="2">
        <v>493002</v>
      </c>
      <c r="FN44" s="2">
        <v>496466</v>
      </c>
      <c r="FO44" s="2">
        <v>500552</v>
      </c>
      <c r="FP44" s="2">
        <v>504939</v>
      </c>
      <c r="FQ44" s="2">
        <v>508741</v>
      </c>
      <c r="FR44" s="2">
        <v>512334</v>
      </c>
      <c r="FS44" s="2">
        <v>513850</v>
      </c>
      <c r="FT44" s="2">
        <v>516876</v>
      </c>
      <c r="FU44" s="2">
        <v>518915</v>
      </c>
      <c r="FV44" s="2">
        <v>521920</v>
      </c>
      <c r="FW44" s="2">
        <v>523813</v>
      </c>
      <c r="FX44" s="2">
        <v>526750</v>
      </c>
      <c r="FY44" s="2">
        <v>528712</v>
      </c>
      <c r="FZ44" s="2">
        <v>532082</v>
      </c>
      <c r="GA44" s="2">
        <v>536566</v>
      </c>
      <c r="GB44" s="2">
        <v>540020</v>
      </c>
      <c r="GC44" s="2">
        <v>543452</v>
      </c>
      <c r="GD44" s="2">
        <v>547377</v>
      </c>
      <c r="GE44" s="2">
        <v>547688</v>
      </c>
      <c r="GF44" s="2">
        <v>548600</v>
      </c>
      <c r="GG44" s="2">
        <v>550425</v>
      </c>
      <c r="GH44" s="2">
        <v>551128</v>
      </c>
      <c r="GI44" s="2">
        <v>555141</v>
      </c>
      <c r="GJ44" s="2">
        <v>556932</v>
      </c>
      <c r="GK44" s="2">
        <v>560987</v>
      </c>
      <c r="GL44" s="2">
        <v>560861</v>
      </c>
      <c r="GM44" s="2">
        <v>545597</v>
      </c>
      <c r="GN44" s="2">
        <v>434718</v>
      </c>
      <c r="GO44" s="2">
        <v>507643</v>
      </c>
      <c r="GP44" s="2">
        <v>514531</v>
      </c>
      <c r="GQ44" s="2">
        <v>509261</v>
      </c>
      <c r="GR44" s="2">
        <v>546579</v>
      </c>
      <c r="GS44" s="2">
        <v>555956</v>
      </c>
      <c r="GT44" s="2">
        <v>564407</v>
      </c>
      <c r="GU44" s="2">
        <v>567396</v>
      </c>
      <c r="GV44" s="2">
        <v>567889</v>
      </c>
      <c r="GW44" s="2">
        <v>567445</v>
      </c>
      <c r="GX44" s="2">
        <v>568034</v>
      </c>
      <c r="GY44" s="2">
        <v>569027</v>
      </c>
      <c r="GZ44" s="2">
        <v>569076</v>
      </c>
      <c r="HA44" s="2">
        <v>568397</v>
      </c>
      <c r="HB44" s="2">
        <v>566626</v>
      </c>
      <c r="HC44" s="2">
        <v>570694</v>
      </c>
      <c r="HD44" s="3">
        <v>573830.80000000005</v>
      </c>
      <c r="HE44" s="3">
        <v>575345.5</v>
      </c>
      <c r="HF44" s="3">
        <v>577872.9</v>
      </c>
      <c r="HG44" s="3">
        <v>580628.80000000005</v>
      </c>
      <c r="HH44" s="3">
        <v>583503.5</v>
      </c>
      <c r="HI44" s="3">
        <v>586275.30000000005</v>
      </c>
      <c r="HJ44" s="3">
        <v>589088.9</v>
      </c>
      <c r="HK44" s="3">
        <v>591916.69999999995</v>
      </c>
      <c r="HL44" s="3">
        <v>594522.1</v>
      </c>
      <c r="HM44" s="3">
        <v>596959.80000000005</v>
      </c>
      <c r="HN44" s="3">
        <v>599377.1</v>
      </c>
      <c r="HO44" s="3">
        <v>601834.6</v>
      </c>
      <c r="HP44" s="3">
        <v>604302.1</v>
      </c>
      <c r="HQ44" s="3">
        <v>606749.80000000005</v>
      </c>
      <c r="HR44" s="3">
        <v>609297.9</v>
      </c>
      <c r="HS44" s="3">
        <v>611857</v>
      </c>
      <c r="HT44" s="3">
        <v>614426.80000000005</v>
      </c>
      <c r="HU44" s="3">
        <v>616915.30000000005</v>
      </c>
      <c r="HV44" s="3">
        <v>619413.80000000005</v>
      </c>
      <c r="HW44" s="3">
        <v>621860.4</v>
      </c>
      <c r="HX44" s="3">
        <v>624285.69999999995</v>
      </c>
      <c r="HY44" s="3">
        <v>626689.19999999995</v>
      </c>
      <c r="HZ44" s="3">
        <v>629070.6</v>
      </c>
      <c r="IA44" s="3">
        <v>631461.1</v>
      </c>
      <c r="IB44" s="3">
        <v>633829.1</v>
      </c>
      <c r="IC44" s="3">
        <v>636205.9</v>
      </c>
      <c r="ID44" s="3">
        <v>638591.69999999995</v>
      </c>
      <c r="IE44" s="3">
        <v>640986.4</v>
      </c>
      <c r="IF44" s="3">
        <v>643422.19999999995</v>
      </c>
      <c r="IG44" s="3">
        <v>645867.19999999995</v>
      </c>
      <c r="IH44" s="3">
        <v>648289.19999999995</v>
      </c>
      <c r="II44" s="3">
        <v>650687.80000000005</v>
      </c>
      <c r="IJ44" s="3">
        <v>653127.9</v>
      </c>
      <c r="IK44" s="3">
        <v>655511.80000000005</v>
      </c>
      <c r="IL44" s="3">
        <v>657904.4</v>
      </c>
      <c r="IM44" s="3">
        <v>660363.30000000005</v>
      </c>
      <c r="IN44" s="3">
        <v>662726.19999999995</v>
      </c>
      <c r="IO44" s="3">
        <v>665095.1</v>
      </c>
      <c r="IP44" s="3">
        <v>667467.1</v>
      </c>
      <c r="IQ44" s="3">
        <v>669898.4</v>
      </c>
      <c r="IR44" s="3">
        <v>672340.5</v>
      </c>
      <c r="IS44" s="3">
        <v>674779.1</v>
      </c>
      <c r="IT44" s="3">
        <v>677201.1</v>
      </c>
      <c r="IU44" s="3">
        <v>679755.9</v>
      </c>
      <c r="IV44" s="3">
        <v>682320.4</v>
      </c>
      <c r="IW44" s="3">
        <v>684894.4</v>
      </c>
      <c r="IX44" s="3">
        <v>687477.6</v>
      </c>
      <c r="IY44" s="3">
        <v>690132.4</v>
      </c>
      <c r="IZ44" s="3">
        <v>692799.7</v>
      </c>
      <c r="JA44" s="3">
        <v>695479.6</v>
      </c>
      <c r="JB44" s="3">
        <v>698171.9</v>
      </c>
      <c r="JC44" s="3">
        <v>700876.9</v>
      </c>
      <c r="JD44" s="3">
        <v>703594.3</v>
      </c>
      <c r="JE44" s="3">
        <v>706324.3</v>
      </c>
      <c r="JF44" s="3">
        <v>709067.1</v>
      </c>
      <c r="JG44" s="3">
        <v>711884.1</v>
      </c>
      <c r="JH44" s="3">
        <v>714714.9</v>
      </c>
      <c r="JI44" s="3">
        <v>717559.9</v>
      </c>
      <c r="JJ44" s="3">
        <v>720419.2</v>
      </c>
      <c r="JK44" s="3">
        <v>723292.7</v>
      </c>
      <c r="JL44" s="3">
        <v>726180.6</v>
      </c>
      <c r="JM44" s="3">
        <v>729083</v>
      </c>
      <c r="JN44" s="3">
        <v>731999.9</v>
      </c>
      <c r="JO44" s="3">
        <v>734931.4</v>
      </c>
      <c r="JP44" s="3">
        <v>737871.6</v>
      </c>
      <c r="JQ44" s="3">
        <v>740820.8</v>
      </c>
      <c r="JR44" s="3">
        <v>743778.7</v>
      </c>
      <c r="JS44" s="3">
        <v>746675.4</v>
      </c>
      <c r="JT44" s="3">
        <v>749579.9</v>
      </c>
      <c r="JU44" s="3">
        <v>752492.2</v>
      </c>
      <c r="JV44" s="3">
        <v>755412.4</v>
      </c>
      <c r="JW44" s="3">
        <v>758340.4</v>
      </c>
      <c r="JX44" s="3">
        <v>761276.3</v>
      </c>
      <c r="JY44" s="3">
        <v>764219.9</v>
      </c>
      <c r="JZ44" s="3">
        <v>767171.6</v>
      </c>
      <c r="KA44" s="3">
        <v>770130.9</v>
      </c>
      <c r="KB44" s="3">
        <v>773097.9</v>
      </c>
      <c r="KC44" s="3">
        <v>776072</v>
      </c>
      <c r="KD44" s="3">
        <v>779053.4</v>
      </c>
      <c r="KE44" s="3">
        <v>782041.8</v>
      </c>
      <c r="KF44" s="3">
        <v>785037.5</v>
      </c>
      <c r="KG44" s="3">
        <v>788040.4</v>
      </c>
      <c r="KH44" s="3">
        <v>791050.6</v>
      </c>
      <c r="KI44" s="3">
        <v>794067.9</v>
      </c>
      <c r="KJ44" s="3">
        <v>797092.6</v>
      </c>
      <c r="KK44" s="3">
        <v>800124.4</v>
      </c>
      <c r="KL44" s="3">
        <v>803163.7</v>
      </c>
      <c r="KM44" s="3">
        <v>806210.3</v>
      </c>
      <c r="KN44" s="3">
        <v>809264.3</v>
      </c>
      <c r="KO44" s="3">
        <v>812325.7</v>
      </c>
      <c r="KP44" s="3">
        <v>815394.7</v>
      </c>
      <c r="KQ44" s="3">
        <v>818471.3</v>
      </c>
      <c r="KR44" s="3">
        <v>821555.3</v>
      </c>
      <c r="KS44" s="3">
        <v>824647</v>
      </c>
      <c r="KT44" s="3">
        <v>827746.8</v>
      </c>
      <c r="KU44" s="3">
        <v>830854.1</v>
      </c>
      <c r="KV44" s="3">
        <v>833969.3</v>
      </c>
      <c r="KW44" s="3">
        <v>837092.1</v>
      </c>
      <c r="KX44" s="3">
        <v>840222.9</v>
      </c>
      <c r="KY44" s="3">
        <v>843361.3</v>
      </c>
      <c r="KZ44" s="3">
        <v>846507.7</v>
      </c>
      <c r="LA44" s="3">
        <v>849661.6</v>
      </c>
      <c r="LB44" s="3">
        <v>852823.4</v>
      </c>
      <c r="LC44" s="3">
        <v>855992.7</v>
      </c>
      <c r="LD44" s="3">
        <v>859169.9</v>
      </c>
      <c r="LE44" s="3">
        <v>862354.7</v>
      </c>
      <c r="LF44" s="3">
        <v>865547.4</v>
      </c>
      <c r="LG44" t="s">
        <v>335</v>
      </c>
      <c r="LH44" t="b">
        <v>1</v>
      </c>
      <c r="LI44" s="1" t="s">
        <v>336</v>
      </c>
      <c r="LJ44" t="s">
        <v>337</v>
      </c>
      <c r="LK44">
        <v>2024</v>
      </c>
      <c r="LL44">
        <v>1</v>
      </c>
      <c r="LM44" t="s">
        <v>337</v>
      </c>
      <c r="LN44" t="s">
        <v>338</v>
      </c>
      <c r="LO44" s="1" t="s">
        <v>339</v>
      </c>
      <c r="LP44" t="s">
        <v>340</v>
      </c>
      <c r="LQ44" t="s">
        <v>341</v>
      </c>
      <c r="LR44" s="1" t="s">
        <v>378</v>
      </c>
    </row>
    <row r="45" spans="1:330" x14ac:dyDescent="0.25">
      <c r="A45" t="s">
        <v>330</v>
      </c>
      <c r="B45" t="s">
        <v>342</v>
      </c>
      <c r="C45" s="1" t="s">
        <v>377</v>
      </c>
      <c r="D45" t="s">
        <v>343</v>
      </c>
      <c r="E45" t="s">
        <v>337</v>
      </c>
      <c r="F45" t="s">
        <v>334</v>
      </c>
      <c r="G45" s="2">
        <v>11.88749</v>
      </c>
      <c r="H45" s="2">
        <v>12.304600000000001</v>
      </c>
      <c r="I45" s="2">
        <v>12.51315</v>
      </c>
      <c r="J45" s="2">
        <v>13.008459999999999</v>
      </c>
      <c r="K45" s="2">
        <v>13.47771</v>
      </c>
      <c r="L45" s="2">
        <v>14.23371</v>
      </c>
      <c r="M45" s="2">
        <v>14.572609999999999</v>
      </c>
      <c r="N45" s="2">
        <v>15.250400000000001</v>
      </c>
      <c r="O45" s="2">
        <v>16.058540000000001</v>
      </c>
      <c r="P45" s="2">
        <v>17.466270000000002</v>
      </c>
      <c r="Q45" s="2">
        <v>18.222280000000001</v>
      </c>
      <c r="R45" s="2">
        <v>18.847930000000002</v>
      </c>
      <c r="S45" s="2">
        <v>19.42145</v>
      </c>
      <c r="T45" s="2">
        <v>20.125319999999999</v>
      </c>
      <c r="U45" s="2">
        <v>20.594560000000001</v>
      </c>
      <c r="V45" s="2">
        <v>21.506979999999999</v>
      </c>
      <c r="W45" s="2">
        <v>22.471530000000001</v>
      </c>
      <c r="X45" s="2">
        <v>23.410019999999999</v>
      </c>
      <c r="Y45" s="2">
        <v>23.82713</v>
      </c>
      <c r="Z45" s="2">
        <v>24.139949999999999</v>
      </c>
      <c r="AA45" s="2">
        <v>24.452780000000001</v>
      </c>
      <c r="AB45" s="2">
        <v>25.078440000000001</v>
      </c>
      <c r="AC45" s="2">
        <v>25.469480000000001</v>
      </c>
      <c r="AD45" s="2">
        <v>25.860510000000001</v>
      </c>
      <c r="AE45" s="2">
        <v>26.43403</v>
      </c>
      <c r="AF45" s="2">
        <v>27.268239999999999</v>
      </c>
      <c r="AG45" s="2">
        <v>28.910589999999999</v>
      </c>
      <c r="AH45" s="2">
        <v>29.718730000000001</v>
      </c>
      <c r="AI45" s="2">
        <v>30.605080000000001</v>
      </c>
      <c r="AJ45" s="2">
        <v>32.247430000000001</v>
      </c>
      <c r="AK45" s="2">
        <v>32.951300000000003</v>
      </c>
      <c r="AL45" s="2">
        <v>33.550879999999999</v>
      </c>
      <c r="AM45" s="2">
        <v>34.385100000000001</v>
      </c>
      <c r="AN45" s="2">
        <v>36.079590000000003</v>
      </c>
      <c r="AO45" s="2">
        <v>36.731310000000001</v>
      </c>
      <c r="AP45" s="2">
        <v>37.435180000000003</v>
      </c>
      <c r="AQ45" s="2">
        <v>37.878349999999998</v>
      </c>
      <c r="AR45" s="2">
        <v>39.181800000000003</v>
      </c>
      <c r="AS45" s="2">
        <v>39.416420000000002</v>
      </c>
      <c r="AT45" s="2">
        <v>39.885669999999998</v>
      </c>
      <c r="AU45" s="2">
        <v>40.172429999999999</v>
      </c>
      <c r="AV45" s="2">
        <v>40.85022</v>
      </c>
      <c r="AW45" s="2">
        <v>41.293399999999998</v>
      </c>
      <c r="AX45" s="2">
        <v>41.762639999999998</v>
      </c>
      <c r="AY45" s="2">
        <v>41.86692</v>
      </c>
      <c r="AZ45" s="2">
        <v>42.779339999999998</v>
      </c>
      <c r="BA45" s="2">
        <v>42.98789</v>
      </c>
      <c r="BB45" s="2">
        <v>43.431060000000002</v>
      </c>
      <c r="BC45" s="2">
        <v>43.874229999999997</v>
      </c>
      <c r="BD45" s="2">
        <v>44.995199999999997</v>
      </c>
      <c r="BE45" s="2">
        <v>45.125549999999997</v>
      </c>
      <c r="BF45" s="2">
        <v>45.490519999999997</v>
      </c>
      <c r="BG45" s="2">
        <v>45.646929999999998</v>
      </c>
      <c r="BH45" s="2">
        <v>46.3508</v>
      </c>
      <c r="BI45" s="2">
        <v>46.533279999999998</v>
      </c>
      <c r="BJ45" s="2">
        <v>46.924320000000002</v>
      </c>
      <c r="BK45" s="2">
        <v>47.237139999999997</v>
      </c>
      <c r="BL45" s="2">
        <v>47.836730000000003</v>
      </c>
      <c r="BM45" s="2">
        <v>47.888869999999997</v>
      </c>
      <c r="BN45" s="2">
        <v>48.436320000000002</v>
      </c>
      <c r="BO45" s="2">
        <v>48.566670000000002</v>
      </c>
      <c r="BP45" s="2">
        <v>49.5</v>
      </c>
      <c r="BQ45" s="2">
        <v>49.9</v>
      </c>
      <c r="BR45" s="2">
        <v>50.466670000000001</v>
      </c>
      <c r="BS45" s="2">
        <v>51</v>
      </c>
      <c r="BT45" s="2">
        <v>52.133339999999997</v>
      </c>
      <c r="BU45" s="2">
        <v>52.466670000000001</v>
      </c>
      <c r="BV45" s="2">
        <v>53.266669999999998</v>
      </c>
      <c r="BW45" s="2">
        <v>53.933329999999998</v>
      </c>
      <c r="BX45" s="2">
        <v>55.6</v>
      </c>
      <c r="BY45" s="2">
        <v>56.4</v>
      </c>
      <c r="BZ45" s="2">
        <v>57.466670000000001</v>
      </c>
      <c r="CA45" s="2">
        <v>57.666670000000003</v>
      </c>
      <c r="CB45" s="2">
        <v>60.266669999999998</v>
      </c>
      <c r="CC45" s="2">
        <v>60.833329999999997</v>
      </c>
      <c r="CD45" s="2">
        <v>61.466670000000001</v>
      </c>
      <c r="CE45" s="2">
        <v>61.7</v>
      </c>
      <c r="CF45" s="2">
        <v>62.833329999999997</v>
      </c>
      <c r="CG45" s="2">
        <v>62.733330000000002</v>
      </c>
      <c r="CH45" s="2">
        <v>63.133339999999997</v>
      </c>
      <c r="CI45" s="2">
        <v>63.2</v>
      </c>
      <c r="CJ45" s="2">
        <v>64.433329999999998</v>
      </c>
      <c r="CK45" s="2">
        <v>64.5</v>
      </c>
      <c r="CL45" s="2">
        <v>64.666659999999993</v>
      </c>
      <c r="CM45" s="2">
        <v>64.766670000000005</v>
      </c>
      <c r="CN45" s="2">
        <v>65.7</v>
      </c>
      <c r="CO45" s="2">
        <v>65.633330000000001</v>
      </c>
      <c r="CP45" s="2">
        <v>65.8</v>
      </c>
      <c r="CQ45" s="2">
        <v>66.333340000000007</v>
      </c>
      <c r="CR45" s="2">
        <v>67.266670000000005</v>
      </c>
      <c r="CS45" s="2">
        <v>67.400000000000006</v>
      </c>
      <c r="CT45" s="2">
        <v>67.733329999999995</v>
      </c>
      <c r="CU45" s="2">
        <v>68.099999999999994</v>
      </c>
      <c r="CV45" s="2">
        <v>68.866669999999999</v>
      </c>
      <c r="CW45" s="2">
        <v>68.933329999999998</v>
      </c>
      <c r="CX45" s="2">
        <v>69.366669999999999</v>
      </c>
      <c r="CY45" s="2">
        <v>69.366669999999999</v>
      </c>
      <c r="CZ45" s="2">
        <v>70</v>
      </c>
      <c r="DA45" s="2">
        <v>70.266670000000005</v>
      </c>
      <c r="DB45" s="2">
        <v>70.633330000000001</v>
      </c>
      <c r="DC45" s="2">
        <v>70.5</v>
      </c>
      <c r="DD45" s="2">
        <v>71.266670000000005</v>
      </c>
      <c r="DE45" s="2">
        <v>71.233329999999995</v>
      </c>
      <c r="DF45" s="2">
        <v>71.633330000000001</v>
      </c>
      <c r="DG45" s="2">
        <v>71.599999999999994</v>
      </c>
      <c r="DH45" s="2">
        <v>72.3</v>
      </c>
      <c r="DI45" s="2">
        <v>72.133330000000001</v>
      </c>
      <c r="DJ45" s="2">
        <v>72.433329999999998</v>
      </c>
      <c r="DK45" s="2">
        <v>72.133330000000001</v>
      </c>
      <c r="DL45" s="2">
        <v>72.766670000000005</v>
      </c>
      <c r="DM45" s="2">
        <v>72.7</v>
      </c>
      <c r="DN45" s="2">
        <v>73.166659999999993</v>
      </c>
      <c r="DO45" s="2">
        <v>72.766670000000005</v>
      </c>
      <c r="DP45" s="2">
        <v>73.833340000000007</v>
      </c>
      <c r="DQ45" s="2">
        <v>73.866669999999999</v>
      </c>
      <c r="DR45" s="2">
        <v>73.900000000000006</v>
      </c>
      <c r="DS45" s="2">
        <v>73.866669999999999</v>
      </c>
      <c r="DT45" s="2">
        <v>74.533330000000007</v>
      </c>
      <c r="DU45" s="2">
        <v>74.599999999999994</v>
      </c>
      <c r="DV45" s="2">
        <v>75</v>
      </c>
      <c r="DW45" s="2">
        <v>75</v>
      </c>
      <c r="DX45" s="2">
        <v>75.466669999999993</v>
      </c>
      <c r="DY45" s="2">
        <v>75.599999999999994</v>
      </c>
      <c r="DZ45" s="2">
        <v>76.033330000000007</v>
      </c>
      <c r="EA45" s="2">
        <v>75.966669999999993</v>
      </c>
      <c r="EB45" s="2">
        <v>76.533330000000007</v>
      </c>
      <c r="EC45" s="2">
        <v>76.566670000000002</v>
      </c>
      <c r="ED45" s="2">
        <v>77.099999999999994</v>
      </c>
      <c r="EE45" s="2">
        <v>77.233329999999995</v>
      </c>
      <c r="EF45" s="2">
        <v>78</v>
      </c>
      <c r="EG45" s="2">
        <v>78.400000000000006</v>
      </c>
      <c r="EH45" s="2">
        <v>78.766670000000005</v>
      </c>
      <c r="EI45" s="2">
        <v>78.733329999999995</v>
      </c>
      <c r="EJ45" s="2">
        <v>79.8</v>
      </c>
      <c r="EK45" s="2">
        <v>80.3</v>
      </c>
      <c r="EL45" s="2">
        <v>80.900000000000006</v>
      </c>
      <c r="EM45" s="2">
        <v>81</v>
      </c>
      <c r="EN45" s="2">
        <v>81.8</v>
      </c>
      <c r="EO45" s="2">
        <v>81.733329999999995</v>
      </c>
      <c r="EP45" s="2">
        <v>82.6</v>
      </c>
      <c r="EQ45" s="2">
        <v>82.933329999999998</v>
      </c>
      <c r="ER45" s="2">
        <v>84.6</v>
      </c>
      <c r="ES45" s="2">
        <v>85.633330000000001</v>
      </c>
      <c r="ET45" s="2">
        <v>85.733329999999995</v>
      </c>
      <c r="EU45" s="2">
        <v>85.433329999999998</v>
      </c>
      <c r="EV45" s="2">
        <v>86.366669999999999</v>
      </c>
      <c r="EW45" s="2">
        <v>86.933329999999998</v>
      </c>
      <c r="EX45" s="2">
        <v>87.566670000000002</v>
      </c>
      <c r="EY45" s="2">
        <v>88.233329999999995</v>
      </c>
      <c r="EZ45" s="2">
        <v>89.366669999999999</v>
      </c>
      <c r="FA45" s="2">
        <v>89.633330000000001</v>
      </c>
      <c r="FB45" s="2">
        <v>90.5</v>
      </c>
      <c r="FC45" s="2">
        <v>91.833340000000007</v>
      </c>
      <c r="FD45" s="2">
        <v>93.3</v>
      </c>
      <c r="FE45" s="2">
        <v>93.833340000000007</v>
      </c>
      <c r="FF45" s="2">
        <v>94.733329999999995</v>
      </c>
      <c r="FG45" s="2">
        <v>95.033330000000007</v>
      </c>
      <c r="FH45" s="2">
        <v>95.8</v>
      </c>
      <c r="FI45" s="2">
        <v>96.066670000000002</v>
      </c>
      <c r="FJ45" s="2">
        <v>97.266670000000005</v>
      </c>
      <c r="FK45" s="2">
        <v>97.666659999999993</v>
      </c>
      <c r="FL45" s="2">
        <v>98.366669999999999</v>
      </c>
      <c r="FM45" s="2">
        <v>98.7</v>
      </c>
      <c r="FN45" s="2">
        <v>99.3</v>
      </c>
      <c r="FO45" s="2">
        <v>99.4</v>
      </c>
      <c r="FP45" s="2">
        <v>100.1</v>
      </c>
      <c r="FQ45" s="2">
        <v>100.13330000000001</v>
      </c>
      <c r="FR45" s="2">
        <v>100.2</v>
      </c>
      <c r="FS45" s="2">
        <v>99.5</v>
      </c>
      <c r="FT45" s="2">
        <v>100.0667</v>
      </c>
      <c r="FU45" s="2">
        <v>100.16670000000001</v>
      </c>
      <c r="FV45" s="2">
        <v>100.3</v>
      </c>
      <c r="FW45" s="2">
        <v>99.833340000000007</v>
      </c>
      <c r="FX45" s="2">
        <v>100.4</v>
      </c>
      <c r="FY45" s="2">
        <v>100.86669999999999</v>
      </c>
      <c r="FZ45" s="2">
        <v>101.5</v>
      </c>
      <c r="GA45" s="2">
        <v>102</v>
      </c>
      <c r="GB45" s="2">
        <v>103.16670000000001</v>
      </c>
      <c r="GC45" s="2">
        <v>103.7</v>
      </c>
      <c r="GD45" s="2">
        <v>104.5667</v>
      </c>
      <c r="GE45" s="2">
        <v>104.7667</v>
      </c>
      <c r="GF45" s="2">
        <v>105.66670000000001</v>
      </c>
      <c r="GG45" s="2">
        <v>106.3</v>
      </c>
      <c r="GH45" s="2">
        <v>106.9333</v>
      </c>
      <c r="GI45" s="2">
        <v>106.7</v>
      </c>
      <c r="GJ45" s="2">
        <v>107.8</v>
      </c>
      <c r="GK45" s="2">
        <v>108.2667</v>
      </c>
      <c r="GL45" s="2">
        <v>108.4333</v>
      </c>
      <c r="GM45" s="2">
        <v>108.4667</v>
      </c>
      <c r="GN45" s="2">
        <v>108.5333</v>
      </c>
      <c r="GO45" s="2">
        <v>108.9333</v>
      </c>
      <c r="GP45" s="2">
        <v>109.0667</v>
      </c>
      <c r="GQ45" s="2">
        <v>109.16670000000001</v>
      </c>
      <c r="GR45" s="2">
        <v>110.7333</v>
      </c>
      <c r="GS45" s="2">
        <v>111.9333</v>
      </c>
      <c r="GT45" s="2">
        <v>114.4</v>
      </c>
      <c r="GU45" s="2">
        <v>115.9333</v>
      </c>
      <c r="GV45" s="2">
        <v>120.86669999999999</v>
      </c>
      <c r="GW45" s="2">
        <v>123.13330000000001</v>
      </c>
      <c r="GX45" s="2">
        <v>126.7</v>
      </c>
      <c r="GY45" s="2">
        <v>127.7333</v>
      </c>
      <c r="GZ45" s="2">
        <v>131.0667</v>
      </c>
      <c r="HA45" s="2">
        <v>131.4</v>
      </c>
      <c r="HB45" s="2">
        <v>131.9667</v>
      </c>
      <c r="HC45" s="2">
        <v>132.26669999999999</v>
      </c>
      <c r="HD45" s="2">
        <v>133.83330000000001</v>
      </c>
      <c r="HE45" s="3">
        <v>134.1893</v>
      </c>
      <c r="HF45" s="3">
        <v>135.29159999999999</v>
      </c>
      <c r="HG45" s="3">
        <v>135.57640000000001</v>
      </c>
      <c r="HH45" s="3">
        <v>136.9264</v>
      </c>
      <c r="HI45" s="3">
        <v>137.67320000000001</v>
      </c>
      <c r="HJ45" s="3">
        <v>138.57499999999999</v>
      </c>
      <c r="HK45" s="3">
        <v>138.81100000000001</v>
      </c>
      <c r="HL45" s="3">
        <v>140.0788</v>
      </c>
      <c r="HM45" s="3">
        <v>140.73439999999999</v>
      </c>
      <c r="HN45" s="3">
        <v>141.48099999999999</v>
      </c>
      <c r="HO45" s="3">
        <v>141.80449999999999</v>
      </c>
      <c r="HP45" s="3">
        <v>143.125</v>
      </c>
      <c r="HQ45" s="3">
        <v>143.85380000000001</v>
      </c>
      <c r="HR45" s="3">
        <v>144.63730000000001</v>
      </c>
      <c r="HS45" s="3">
        <v>144.916</v>
      </c>
      <c r="HT45" s="3">
        <v>146.214</v>
      </c>
      <c r="HU45" s="3">
        <v>146.92060000000001</v>
      </c>
      <c r="HV45" s="3">
        <v>147.66149999999999</v>
      </c>
      <c r="HW45" s="3">
        <v>147.90020000000001</v>
      </c>
      <c r="HX45" s="3">
        <v>149.19479999999999</v>
      </c>
      <c r="HY45" s="3">
        <v>149.9023</v>
      </c>
      <c r="HZ45" s="3">
        <v>150.62690000000001</v>
      </c>
      <c r="IA45" s="3">
        <v>150.85740000000001</v>
      </c>
      <c r="IB45" s="3">
        <v>152.17830000000001</v>
      </c>
      <c r="IC45" s="3">
        <v>152.9126</v>
      </c>
      <c r="ID45" s="3">
        <v>153.63990000000001</v>
      </c>
      <c r="IE45" s="3">
        <v>153.87450000000001</v>
      </c>
      <c r="IF45" s="3">
        <v>155.2218</v>
      </c>
      <c r="IG45" s="3">
        <v>155.9708</v>
      </c>
      <c r="IH45" s="3">
        <v>156.71270000000001</v>
      </c>
      <c r="II45" s="3">
        <v>156.952</v>
      </c>
      <c r="IJ45" s="3">
        <v>158.3263</v>
      </c>
      <c r="IK45" s="3">
        <v>159.09020000000001</v>
      </c>
      <c r="IL45" s="3">
        <v>159.84690000000001</v>
      </c>
      <c r="IM45" s="3">
        <v>160.09110000000001</v>
      </c>
      <c r="IN45" s="3">
        <v>161.49279999999999</v>
      </c>
      <c r="IO45" s="3">
        <v>162.27199999999999</v>
      </c>
      <c r="IP45" s="3">
        <v>163.04390000000001</v>
      </c>
      <c r="IQ45" s="3">
        <v>163.2929</v>
      </c>
      <c r="IR45" s="3">
        <v>164.7227</v>
      </c>
      <c r="IS45" s="3">
        <v>165.51750000000001</v>
      </c>
      <c r="IT45" s="3">
        <v>166.3047</v>
      </c>
      <c r="IU45" s="3">
        <v>166.55869999999999</v>
      </c>
      <c r="IV45" s="3">
        <v>168.0171</v>
      </c>
      <c r="IW45" s="3">
        <v>168.8278</v>
      </c>
      <c r="IX45" s="3">
        <v>169.63079999999999</v>
      </c>
      <c r="IY45" s="3">
        <v>169.88990000000001</v>
      </c>
      <c r="IZ45" s="3">
        <v>171.3775</v>
      </c>
      <c r="JA45" s="3">
        <v>172.20439999999999</v>
      </c>
      <c r="JB45" s="3">
        <v>173.02350000000001</v>
      </c>
      <c r="JC45" s="3">
        <v>173.2877</v>
      </c>
      <c r="JD45" s="3">
        <v>174.80500000000001</v>
      </c>
      <c r="JE45" s="3">
        <v>175.64850000000001</v>
      </c>
      <c r="JF45" s="3">
        <v>176.48390000000001</v>
      </c>
      <c r="JG45" s="3">
        <v>176.7535</v>
      </c>
      <c r="JH45" s="3">
        <v>178.30109999999999</v>
      </c>
      <c r="JI45" s="3">
        <v>179.16139999999999</v>
      </c>
      <c r="JJ45" s="3">
        <v>180.0136</v>
      </c>
      <c r="JK45" s="3">
        <v>180.2885</v>
      </c>
      <c r="JL45" s="3">
        <v>181.86709999999999</v>
      </c>
      <c r="JM45" s="3">
        <v>182.74459999999999</v>
      </c>
      <c r="JN45" s="3">
        <v>183.6139</v>
      </c>
      <c r="JO45" s="3">
        <v>183.89429999999999</v>
      </c>
      <c r="JP45" s="3">
        <v>185.50450000000001</v>
      </c>
      <c r="JQ45" s="3">
        <v>186.39949999999999</v>
      </c>
      <c r="JR45" s="3">
        <v>187.28620000000001</v>
      </c>
      <c r="JS45" s="3">
        <v>187.57220000000001</v>
      </c>
      <c r="JT45" s="3">
        <v>189.21459999999999</v>
      </c>
      <c r="JU45" s="3">
        <v>190.1275</v>
      </c>
      <c r="JV45" s="3">
        <v>191.03190000000001</v>
      </c>
      <c r="JW45" s="3">
        <v>191.3237</v>
      </c>
      <c r="JX45" s="3">
        <v>192.99879999999999</v>
      </c>
      <c r="JY45" s="3">
        <v>193.93010000000001</v>
      </c>
      <c r="JZ45" s="3">
        <v>194.85249999999999</v>
      </c>
      <c r="KA45" s="3">
        <v>195.15010000000001</v>
      </c>
      <c r="KB45" s="3">
        <v>196.8588</v>
      </c>
      <c r="KC45" s="3">
        <v>197.80869999999999</v>
      </c>
      <c r="KD45" s="3">
        <v>198.74959999999999</v>
      </c>
      <c r="KE45" s="3">
        <v>199.0531</v>
      </c>
      <c r="KF45" s="3">
        <v>200.79599999999999</v>
      </c>
      <c r="KG45" s="3">
        <v>201.76490000000001</v>
      </c>
      <c r="KH45" s="3">
        <v>202.72460000000001</v>
      </c>
      <c r="KI45" s="3">
        <v>203.0342</v>
      </c>
      <c r="KJ45" s="3">
        <v>204.81190000000001</v>
      </c>
      <c r="KK45" s="3">
        <v>205.80019999999999</v>
      </c>
      <c r="KL45" s="3">
        <v>206.7791</v>
      </c>
      <c r="KM45" s="3">
        <v>207.0949</v>
      </c>
      <c r="KN45" s="3">
        <v>208.90819999999999</v>
      </c>
      <c r="KO45" s="3">
        <v>209.9162</v>
      </c>
      <c r="KP45" s="3">
        <v>210.91460000000001</v>
      </c>
      <c r="KQ45" s="3">
        <v>211.23679999999999</v>
      </c>
      <c r="KR45" s="3">
        <v>213.08629999999999</v>
      </c>
      <c r="KS45" s="3">
        <v>214.11449999999999</v>
      </c>
      <c r="KT45" s="3">
        <v>215.13290000000001</v>
      </c>
      <c r="KU45" s="3">
        <v>215.4615</v>
      </c>
      <c r="KV45" s="3">
        <v>217.34809999999999</v>
      </c>
      <c r="KW45" s="3">
        <v>218.39680000000001</v>
      </c>
      <c r="KX45" s="3">
        <v>219.43559999999999</v>
      </c>
      <c r="KY45" s="3">
        <v>219.77070000000001</v>
      </c>
      <c r="KZ45" s="3">
        <v>221.69499999999999</v>
      </c>
      <c r="LA45" s="3">
        <v>222.7647</v>
      </c>
      <c r="LB45" s="3">
        <v>223.82429999999999</v>
      </c>
      <c r="LC45" s="3">
        <v>224.1662</v>
      </c>
      <c r="LD45" s="3">
        <v>226.12889999999999</v>
      </c>
      <c r="LE45" s="3">
        <v>227.22</v>
      </c>
      <c r="LF45" s="3">
        <v>228.30080000000001</v>
      </c>
      <c r="LG45" t="s">
        <v>335</v>
      </c>
      <c r="LH45" t="b">
        <v>0</v>
      </c>
      <c r="LI45" t="s">
        <v>337</v>
      </c>
      <c r="LJ45">
        <v>2015</v>
      </c>
      <c r="LK45">
        <v>2024</v>
      </c>
      <c r="LL45">
        <v>2</v>
      </c>
      <c r="LM45" t="s">
        <v>337</v>
      </c>
      <c r="LN45" s="1" t="s">
        <v>344</v>
      </c>
      <c r="LO45" s="1" t="s">
        <v>345</v>
      </c>
      <c r="LP45" t="s">
        <v>340</v>
      </c>
      <c r="LQ45" t="s">
        <v>346</v>
      </c>
      <c r="LR45" s="1" t="s">
        <v>378</v>
      </c>
    </row>
    <row r="46" spans="1:330" x14ac:dyDescent="0.25">
      <c r="A46" t="s">
        <v>330</v>
      </c>
      <c r="B46" t="s">
        <v>331</v>
      </c>
      <c r="C46" s="1" t="s">
        <v>396</v>
      </c>
      <c r="D46" t="s">
        <v>332</v>
      </c>
      <c r="E46" t="s">
        <v>333</v>
      </c>
      <c r="F46" t="s">
        <v>334</v>
      </c>
      <c r="G46" s="2">
        <v>223780</v>
      </c>
      <c r="H46" s="2">
        <v>224213</v>
      </c>
      <c r="I46" s="2">
        <v>222122</v>
      </c>
      <c r="J46" s="2">
        <v>221266</v>
      </c>
      <c r="K46" s="2">
        <v>215122</v>
      </c>
      <c r="L46" s="2">
        <v>218215</v>
      </c>
      <c r="M46" s="2">
        <v>219517</v>
      </c>
      <c r="N46" s="2">
        <v>216301</v>
      </c>
      <c r="O46" s="2">
        <v>216390</v>
      </c>
      <c r="P46" s="2">
        <v>212882</v>
      </c>
      <c r="Q46" s="2">
        <v>212192</v>
      </c>
      <c r="R46" s="2">
        <v>214585</v>
      </c>
      <c r="S46" s="2">
        <v>218180</v>
      </c>
      <c r="T46" s="2">
        <v>217883</v>
      </c>
      <c r="U46" s="2">
        <v>220587</v>
      </c>
      <c r="V46" s="2">
        <v>225228</v>
      </c>
      <c r="W46" s="2">
        <v>225362</v>
      </c>
      <c r="X46" s="2">
        <v>223815</v>
      </c>
      <c r="Y46" s="2">
        <v>225295</v>
      </c>
      <c r="Z46" s="2">
        <v>229115</v>
      </c>
      <c r="AA46" s="2">
        <v>231258</v>
      </c>
      <c r="AB46" s="2">
        <v>233910</v>
      </c>
      <c r="AC46" s="2">
        <v>237107</v>
      </c>
      <c r="AD46" s="2">
        <v>239186</v>
      </c>
      <c r="AE46" s="2">
        <v>238472</v>
      </c>
      <c r="AF46" s="2">
        <v>248867</v>
      </c>
      <c r="AG46" s="2">
        <v>243369</v>
      </c>
      <c r="AH46" s="2">
        <v>245858</v>
      </c>
      <c r="AI46" s="2">
        <v>243513</v>
      </c>
      <c r="AJ46" s="2">
        <v>238722</v>
      </c>
      <c r="AK46" s="2">
        <v>238432</v>
      </c>
      <c r="AL46" s="2">
        <v>235866</v>
      </c>
      <c r="AM46" s="2">
        <v>235712</v>
      </c>
      <c r="AN46" s="2">
        <v>236272</v>
      </c>
      <c r="AO46" s="2">
        <v>238846</v>
      </c>
      <c r="AP46" s="2">
        <v>239131</v>
      </c>
      <c r="AQ46" s="2">
        <v>239578</v>
      </c>
      <c r="AR46" s="2">
        <v>242095</v>
      </c>
      <c r="AS46" s="2">
        <v>242639</v>
      </c>
      <c r="AT46" s="2">
        <v>244317</v>
      </c>
      <c r="AU46" s="2">
        <v>249032</v>
      </c>
      <c r="AV46" s="2">
        <v>250761</v>
      </c>
      <c r="AW46" s="2">
        <v>253655</v>
      </c>
      <c r="AX46" s="2">
        <v>255533</v>
      </c>
      <c r="AY46" s="2">
        <v>257683</v>
      </c>
      <c r="AZ46" s="2">
        <v>255100</v>
      </c>
      <c r="BA46" s="2">
        <v>256975</v>
      </c>
      <c r="BB46" s="2">
        <v>261627</v>
      </c>
      <c r="BC46" s="2">
        <v>264127</v>
      </c>
      <c r="BD46" s="2">
        <v>269787</v>
      </c>
      <c r="BE46" s="2">
        <v>269737</v>
      </c>
      <c r="BF46" s="2">
        <v>269896</v>
      </c>
      <c r="BG46" s="2">
        <v>272720</v>
      </c>
      <c r="BH46" s="2">
        <v>275136</v>
      </c>
      <c r="BI46" s="2">
        <v>276863</v>
      </c>
      <c r="BJ46" s="2">
        <v>282193</v>
      </c>
      <c r="BK46" s="2">
        <v>284172</v>
      </c>
      <c r="BL46" s="2">
        <v>288385</v>
      </c>
      <c r="BM46" s="2">
        <v>295493</v>
      </c>
      <c r="BN46" s="2">
        <v>298855</v>
      </c>
      <c r="BO46" s="2">
        <v>303698</v>
      </c>
      <c r="BP46" s="2">
        <v>305281</v>
      </c>
      <c r="BQ46" s="2">
        <v>309097</v>
      </c>
      <c r="BR46" s="2">
        <v>311574</v>
      </c>
      <c r="BS46" s="2">
        <v>313083</v>
      </c>
      <c r="BT46" s="2">
        <v>315039</v>
      </c>
      <c r="BU46" s="2">
        <v>315554</v>
      </c>
      <c r="BV46" s="2">
        <v>315515</v>
      </c>
      <c r="BW46" s="2">
        <v>317117</v>
      </c>
      <c r="BX46" s="2">
        <v>319239</v>
      </c>
      <c r="BY46" s="2">
        <v>315744</v>
      </c>
      <c r="BZ46" s="2">
        <v>314148</v>
      </c>
      <c r="CA46" s="2">
        <v>312596</v>
      </c>
      <c r="CB46" s="2">
        <v>312235</v>
      </c>
      <c r="CC46" s="2">
        <v>311624</v>
      </c>
      <c r="CD46" s="2">
        <v>312006</v>
      </c>
      <c r="CE46" s="2">
        <v>311904</v>
      </c>
      <c r="CF46" s="2">
        <v>311418</v>
      </c>
      <c r="CG46" s="2">
        <v>312896</v>
      </c>
      <c r="CH46" s="2">
        <v>315307</v>
      </c>
      <c r="CI46" s="2">
        <v>316882</v>
      </c>
      <c r="CJ46" s="2">
        <v>318302</v>
      </c>
      <c r="CK46" s="2">
        <v>321218</v>
      </c>
      <c r="CL46" s="2">
        <v>323400</v>
      </c>
      <c r="CM46" s="2">
        <v>326585</v>
      </c>
      <c r="CN46" s="2">
        <v>329584</v>
      </c>
      <c r="CO46" s="2">
        <v>332911</v>
      </c>
      <c r="CP46" s="2">
        <v>334363</v>
      </c>
      <c r="CQ46" s="2">
        <v>336090</v>
      </c>
      <c r="CR46" s="2">
        <v>336789</v>
      </c>
      <c r="CS46" s="2">
        <v>340542</v>
      </c>
      <c r="CT46" s="2">
        <v>341602</v>
      </c>
      <c r="CU46" s="2">
        <v>343859</v>
      </c>
      <c r="CV46" s="2">
        <v>344979</v>
      </c>
      <c r="CW46" s="2">
        <v>348214</v>
      </c>
      <c r="CX46" s="2">
        <v>352958</v>
      </c>
      <c r="CY46" s="2">
        <v>358611</v>
      </c>
      <c r="CZ46" s="2">
        <v>362573</v>
      </c>
      <c r="DA46" s="2">
        <v>365942</v>
      </c>
      <c r="DB46" s="2">
        <v>371341</v>
      </c>
      <c r="DC46" s="2">
        <v>374037</v>
      </c>
      <c r="DD46" s="2">
        <v>376421</v>
      </c>
      <c r="DE46" s="2">
        <v>377650</v>
      </c>
      <c r="DF46" s="2">
        <v>380155</v>
      </c>
      <c r="DG46" s="2">
        <v>382789</v>
      </c>
      <c r="DH46" s="2">
        <v>384605</v>
      </c>
      <c r="DI46" s="2">
        <v>390758</v>
      </c>
      <c r="DJ46" s="2">
        <v>396357</v>
      </c>
      <c r="DK46" s="2">
        <v>401242</v>
      </c>
      <c r="DL46" s="2">
        <v>404196</v>
      </c>
      <c r="DM46" s="2">
        <v>406795</v>
      </c>
      <c r="DN46" s="2">
        <v>409411</v>
      </c>
      <c r="DO46" s="2">
        <v>413054</v>
      </c>
      <c r="DP46" s="2">
        <v>414878</v>
      </c>
      <c r="DQ46" s="2">
        <v>417085</v>
      </c>
      <c r="DR46" s="2">
        <v>418445</v>
      </c>
      <c r="DS46" s="2">
        <v>419534</v>
      </c>
      <c r="DT46" s="2">
        <v>421587</v>
      </c>
      <c r="DU46" s="2">
        <v>424425</v>
      </c>
      <c r="DV46" s="2">
        <v>427725</v>
      </c>
      <c r="DW46" s="2">
        <v>430832</v>
      </c>
      <c r="DX46" s="2">
        <v>434837</v>
      </c>
      <c r="DY46" s="2">
        <v>438710</v>
      </c>
      <c r="DZ46" s="2">
        <v>442172</v>
      </c>
      <c r="EA46" s="2">
        <v>443853</v>
      </c>
      <c r="EB46" s="2">
        <v>446443</v>
      </c>
      <c r="EC46" s="2">
        <v>448171</v>
      </c>
      <c r="ED46" s="2">
        <v>450464</v>
      </c>
      <c r="EE46" s="2">
        <v>453784</v>
      </c>
      <c r="EF46" s="2">
        <v>457557</v>
      </c>
      <c r="EG46" s="2">
        <v>461135</v>
      </c>
      <c r="EH46" s="2">
        <v>465451</v>
      </c>
      <c r="EI46" s="2">
        <v>467840</v>
      </c>
      <c r="EJ46" s="2">
        <v>469655</v>
      </c>
      <c r="EK46" s="2">
        <v>470918</v>
      </c>
      <c r="EL46" s="2">
        <v>473372</v>
      </c>
      <c r="EM46" s="2">
        <v>477823</v>
      </c>
      <c r="EN46" s="2">
        <v>481314</v>
      </c>
      <c r="EO46" s="2">
        <v>484544</v>
      </c>
      <c r="EP46" s="2">
        <v>487413</v>
      </c>
      <c r="EQ46" s="2">
        <v>489783</v>
      </c>
      <c r="ER46" s="2">
        <v>487386</v>
      </c>
      <c r="ES46" s="2">
        <v>479872</v>
      </c>
      <c r="ET46" s="2">
        <v>469694</v>
      </c>
      <c r="EU46" s="2">
        <v>460105</v>
      </c>
      <c r="EV46" s="2">
        <v>458599</v>
      </c>
      <c r="EW46" s="2">
        <v>458875</v>
      </c>
      <c r="EX46" s="2">
        <v>460238</v>
      </c>
      <c r="EY46" s="2">
        <v>464543</v>
      </c>
      <c r="EZ46" s="2">
        <v>469606</v>
      </c>
      <c r="FA46" s="2">
        <v>472199</v>
      </c>
      <c r="FB46" s="2">
        <v>472612</v>
      </c>
      <c r="FC46" s="2">
        <v>473819</v>
      </c>
      <c r="FD46" s="2">
        <v>474365</v>
      </c>
      <c r="FE46" s="2">
        <v>475813</v>
      </c>
      <c r="FF46" s="2">
        <v>476479</v>
      </c>
      <c r="FG46" s="2">
        <v>480632</v>
      </c>
      <c r="FH46" s="2">
        <v>479979</v>
      </c>
      <c r="FI46" s="2">
        <v>484579</v>
      </c>
      <c r="FJ46" s="2">
        <v>484039</v>
      </c>
      <c r="FK46" s="2">
        <v>485409</v>
      </c>
      <c r="FL46" s="2">
        <v>488930</v>
      </c>
      <c r="FM46" s="2">
        <v>493002</v>
      </c>
      <c r="FN46" s="2">
        <v>496466</v>
      </c>
      <c r="FO46" s="2">
        <v>500552</v>
      </c>
      <c r="FP46" s="2">
        <v>504939</v>
      </c>
      <c r="FQ46" s="2">
        <v>508741</v>
      </c>
      <c r="FR46" s="2">
        <v>512334</v>
      </c>
      <c r="FS46" s="2">
        <v>513850</v>
      </c>
      <c r="FT46" s="2">
        <v>516876</v>
      </c>
      <c r="FU46" s="2">
        <v>518915</v>
      </c>
      <c r="FV46" s="2">
        <v>521920</v>
      </c>
      <c r="FW46" s="2">
        <v>523813</v>
      </c>
      <c r="FX46" s="2">
        <v>526750</v>
      </c>
      <c r="FY46" s="2">
        <v>528712</v>
      </c>
      <c r="FZ46" s="2">
        <v>532082</v>
      </c>
      <c r="GA46" s="2">
        <v>536566</v>
      </c>
      <c r="GB46" s="2">
        <v>540020</v>
      </c>
      <c r="GC46" s="2">
        <v>543452</v>
      </c>
      <c r="GD46" s="2">
        <v>547377</v>
      </c>
      <c r="GE46" s="2">
        <v>547688</v>
      </c>
      <c r="GF46" s="2">
        <v>548600</v>
      </c>
      <c r="GG46" s="2">
        <v>550425</v>
      </c>
      <c r="GH46" s="2">
        <v>551128</v>
      </c>
      <c r="GI46" s="2">
        <v>555141</v>
      </c>
      <c r="GJ46" s="2">
        <v>556932</v>
      </c>
      <c r="GK46" s="2">
        <v>560987</v>
      </c>
      <c r="GL46" s="2">
        <v>560861</v>
      </c>
      <c r="GM46" s="2">
        <v>545597</v>
      </c>
      <c r="GN46" s="2">
        <v>434718</v>
      </c>
      <c r="GO46" s="2">
        <v>507643</v>
      </c>
      <c r="GP46" s="2">
        <v>514531</v>
      </c>
      <c r="GQ46" s="2">
        <v>509261</v>
      </c>
      <c r="GR46" s="2">
        <v>546579</v>
      </c>
      <c r="GS46" s="2">
        <v>555956</v>
      </c>
      <c r="GT46" s="2">
        <v>564407</v>
      </c>
      <c r="GU46" s="2">
        <v>567396</v>
      </c>
      <c r="GV46" s="2">
        <v>567889</v>
      </c>
      <c r="GW46" s="2">
        <v>567445</v>
      </c>
      <c r="GX46" s="2">
        <v>568034</v>
      </c>
      <c r="GY46" s="2">
        <v>569027</v>
      </c>
      <c r="GZ46" s="2">
        <v>569076</v>
      </c>
      <c r="HA46" s="2">
        <v>568397</v>
      </c>
      <c r="HB46" s="2">
        <v>566626</v>
      </c>
      <c r="HC46" s="2">
        <v>570694</v>
      </c>
      <c r="HD46" s="2">
        <v>573956</v>
      </c>
      <c r="HE46" s="3">
        <v>575884</v>
      </c>
      <c r="HF46" s="3">
        <v>578187.30000000005</v>
      </c>
      <c r="HG46" s="3">
        <v>580944.69999999995</v>
      </c>
      <c r="HH46" s="3">
        <v>583820.9</v>
      </c>
      <c r="HI46" s="3">
        <v>586594.30000000005</v>
      </c>
      <c r="HJ46" s="3">
        <v>589409.4</v>
      </c>
      <c r="HK46" s="3">
        <v>592179.80000000005</v>
      </c>
      <c r="HL46" s="3">
        <v>594786.30000000005</v>
      </c>
      <c r="HM46" s="3">
        <v>597225.1</v>
      </c>
      <c r="HN46" s="3">
        <v>599643.4</v>
      </c>
      <c r="HO46" s="3">
        <v>602102.1</v>
      </c>
      <c r="HP46" s="3">
        <v>604570.69999999995</v>
      </c>
      <c r="HQ46" s="3">
        <v>607019.4</v>
      </c>
      <c r="HR46" s="3">
        <v>609568.69999999995</v>
      </c>
      <c r="HS46" s="3">
        <v>612067.9</v>
      </c>
      <c r="HT46" s="3">
        <v>614577.4</v>
      </c>
      <c r="HU46" s="3">
        <v>617035.69999999995</v>
      </c>
      <c r="HV46" s="3">
        <v>619503.80000000005</v>
      </c>
      <c r="HW46" s="3">
        <v>621950.9</v>
      </c>
      <c r="HX46" s="3">
        <v>624376.5</v>
      </c>
      <c r="HY46" s="3">
        <v>626749.1</v>
      </c>
      <c r="HZ46" s="3">
        <v>629130.80000000005</v>
      </c>
      <c r="IA46" s="3">
        <v>631521.4</v>
      </c>
      <c r="IB46" s="3">
        <v>633889.6</v>
      </c>
      <c r="IC46" s="3">
        <v>636266.80000000005</v>
      </c>
      <c r="ID46" s="3">
        <v>638652.80000000005</v>
      </c>
      <c r="IE46" s="3">
        <v>641047.69999999995</v>
      </c>
      <c r="IF46" s="3">
        <v>643451.6</v>
      </c>
      <c r="IG46" s="3">
        <v>645864.6</v>
      </c>
      <c r="IH46" s="3">
        <v>648286.6</v>
      </c>
      <c r="II46" s="3">
        <v>650685.19999999995</v>
      </c>
      <c r="IJ46" s="3">
        <v>653125.30000000005</v>
      </c>
      <c r="IK46" s="3">
        <v>655509.19999999995</v>
      </c>
      <c r="IL46" s="3">
        <v>657901.80000000005</v>
      </c>
      <c r="IM46" s="3">
        <v>660446</v>
      </c>
      <c r="IN46" s="3">
        <v>662959.6</v>
      </c>
      <c r="IO46" s="3">
        <v>665413.19999999995</v>
      </c>
      <c r="IP46" s="3">
        <v>667875.1</v>
      </c>
      <c r="IQ46" s="3">
        <v>670394</v>
      </c>
      <c r="IR46" s="3">
        <v>672924.9</v>
      </c>
      <c r="IS46" s="3">
        <v>675367.6</v>
      </c>
      <c r="IT46" s="3">
        <v>677827.7</v>
      </c>
      <c r="IU46" s="3">
        <v>680375.3</v>
      </c>
      <c r="IV46" s="3">
        <v>682932.6</v>
      </c>
      <c r="IW46" s="3">
        <v>685499.6</v>
      </c>
      <c r="IX46" s="3">
        <v>688075.9</v>
      </c>
      <c r="IY46" s="3">
        <v>690723.9</v>
      </c>
      <c r="IZ46" s="3">
        <v>693384.4</v>
      </c>
      <c r="JA46" s="3">
        <v>696057.6</v>
      </c>
      <c r="JB46" s="3">
        <v>698743.3</v>
      </c>
      <c r="JC46" s="3">
        <v>701441.8</v>
      </c>
      <c r="JD46" s="3">
        <v>704152.6</v>
      </c>
      <c r="JE46" s="3">
        <v>706876.1</v>
      </c>
      <c r="JF46" s="3">
        <v>709612.6</v>
      </c>
      <c r="JG46" s="3">
        <v>712423.3</v>
      </c>
      <c r="JH46" s="3">
        <v>715247.9</v>
      </c>
      <c r="JI46" s="3">
        <v>718086.7</v>
      </c>
      <c r="JJ46" s="3">
        <v>720939.9</v>
      </c>
      <c r="JK46" s="3">
        <v>723807.4</v>
      </c>
      <c r="JL46" s="3">
        <v>726689.3</v>
      </c>
      <c r="JM46" s="3">
        <v>729585.8</v>
      </c>
      <c r="JN46" s="3">
        <v>732496.8</v>
      </c>
      <c r="JO46" s="3">
        <v>735422.4</v>
      </c>
      <c r="JP46" s="3">
        <v>738356.9</v>
      </c>
      <c r="JQ46" s="3">
        <v>741300.4</v>
      </c>
      <c r="JR46" s="3">
        <v>744252.8</v>
      </c>
      <c r="JS46" s="3">
        <v>747143.9</v>
      </c>
      <c r="JT46" s="3">
        <v>750042.9</v>
      </c>
      <c r="JU46" s="3">
        <v>752949.8</v>
      </c>
      <c r="JV46" s="3">
        <v>755864.6</v>
      </c>
      <c r="JW46" s="3">
        <v>758787.3</v>
      </c>
      <c r="JX46" s="3">
        <v>761718</v>
      </c>
      <c r="JY46" s="3">
        <v>764656.6</v>
      </c>
      <c r="JZ46" s="3">
        <v>767603.1</v>
      </c>
      <c r="KA46" s="3">
        <v>770557.4</v>
      </c>
      <c r="KB46" s="3">
        <v>773519.5</v>
      </c>
      <c r="KC46" s="3">
        <v>776488.7</v>
      </c>
      <c r="KD46" s="3">
        <v>779465.3</v>
      </c>
      <c r="KE46" s="3">
        <v>782448.9</v>
      </c>
      <c r="KF46" s="3">
        <v>785439.9</v>
      </c>
      <c r="KG46" s="3">
        <v>788438.3</v>
      </c>
      <c r="KH46" s="3">
        <v>791443.8</v>
      </c>
      <c r="KI46" s="3">
        <v>794456.6</v>
      </c>
      <c r="KJ46" s="3">
        <v>797476.8</v>
      </c>
      <c r="KK46" s="3">
        <v>800504.3</v>
      </c>
      <c r="KL46" s="3">
        <v>803539.2</v>
      </c>
      <c r="KM46" s="3">
        <v>806581.6</v>
      </c>
      <c r="KN46" s="3">
        <v>809631.3</v>
      </c>
      <c r="KO46" s="3">
        <v>812688.6</v>
      </c>
      <c r="KP46" s="3">
        <v>815753.4</v>
      </c>
      <c r="KQ46" s="3">
        <v>818825.9</v>
      </c>
      <c r="KR46" s="3">
        <v>821906</v>
      </c>
      <c r="KS46" s="3">
        <v>824993.8</v>
      </c>
      <c r="KT46" s="3">
        <v>828089.6</v>
      </c>
      <c r="KU46" s="3">
        <v>831192.9</v>
      </c>
      <c r="KV46" s="3">
        <v>834304.4</v>
      </c>
      <c r="KW46" s="3">
        <v>837423.4</v>
      </c>
      <c r="KX46" s="3">
        <v>840550.5</v>
      </c>
      <c r="KY46" s="3">
        <v>843685.3</v>
      </c>
      <c r="KZ46" s="3">
        <v>846828.1</v>
      </c>
      <c r="LA46" s="3">
        <v>849978.4</v>
      </c>
      <c r="LB46" s="3">
        <v>853136.6</v>
      </c>
      <c r="LC46" s="3">
        <v>856302.4</v>
      </c>
      <c r="LD46" s="3">
        <v>859476.2</v>
      </c>
      <c r="LE46" s="3">
        <v>862657.6</v>
      </c>
      <c r="LF46" s="3">
        <v>865846.9</v>
      </c>
      <c r="LG46" t="s">
        <v>335</v>
      </c>
      <c r="LH46" t="b">
        <v>1</v>
      </c>
      <c r="LI46" s="1" t="s">
        <v>336</v>
      </c>
      <c r="LJ46" t="s">
        <v>337</v>
      </c>
      <c r="LK46">
        <v>2024</v>
      </c>
      <c r="LL46">
        <v>2</v>
      </c>
      <c r="LM46" t="s">
        <v>337</v>
      </c>
      <c r="LN46" t="s">
        <v>338</v>
      </c>
      <c r="LO46" s="1" t="s">
        <v>339</v>
      </c>
      <c r="LP46" t="s">
        <v>340</v>
      </c>
      <c r="LQ46" t="s">
        <v>341</v>
      </c>
      <c r="LR46" s="1" t="s">
        <v>397</v>
      </c>
    </row>
    <row r="47" spans="1:330" x14ac:dyDescent="0.25">
      <c r="A47" t="s">
        <v>330</v>
      </c>
      <c r="B47" t="s">
        <v>342</v>
      </c>
      <c r="C47" s="1" t="s">
        <v>396</v>
      </c>
      <c r="D47" t="s">
        <v>343</v>
      </c>
      <c r="E47" t="s">
        <v>337</v>
      </c>
      <c r="F47" t="s">
        <v>334</v>
      </c>
      <c r="G47" s="2">
        <v>11.88749</v>
      </c>
      <c r="H47" s="2">
        <v>12.304600000000001</v>
      </c>
      <c r="I47" s="2">
        <v>12.51315</v>
      </c>
      <c r="J47" s="2">
        <v>13.008459999999999</v>
      </c>
      <c r="K47" s="2">
        <v>13.47771</v>
      </c>
      <c r="L47" s="2">
        <v>14.23371</v>
      </c>
      <c r="M47" s="2">
        <v>14.572609999999999</v>
      </c>
      <c r="N47" s="2">
        <v>15.250400000000001</v>
      </c>
      <c r="O47" s="2">
        <v>16.058540000000001</v>
      </c>
      <c r="P47" s="2">
        <v>17.466270000000002</v>
      </c>
      <c r="Q47" s="2">
        <v>18.222280000000001</v>
      </c>
      <c r="R47" s="2">
        <v>18.847930000000002</v>
      </c>
      <c r="S47" s="2">
        <v>19.42145</v>
      </c>
      <c r="T47" s="2">
        <v>20.125319999999999</v>
      </c>
      <c r="U47" s="2">
        <v>20.594560000000001</v>
      </c>
      <c r="V47" s="2">
        <v>21.506979999999999</v>
      </c>
      <c r="W47" s="2">
        <v>22.471530000000001</v>
      </c>
      <c r="X47" s="2">
        <v>23.410019999999999</v>
      </c>
      <c r="Y47" s="2">
        <v>23.82713</v>
      </c>
      <c r="Z47" s="2">
        <v>24.139949999999999</v>
      </c>
      <c r="AA47" s="2">
        <v>24.452780000000001</v>
      </c>
      <c r="AB47" s="2">
        <v>25.078440000000001</v>
      </c>
      <c r="AC47" s="2">
        <v>25.469480000000001</v>
      </c>
      <c r="AD47" s="2">
        <v>25.860510000000001</v>
      </c>
      <c r="AE47" s="2">
        <v>26.43403</v>
      </c>
      <c r="AF47" s="2">
        <v>27.268239999999999</v>
      </c>
      <c r="AG47" s="2">
        <v>28.910589999999999</v>
      </c>
      <c r="AH47" s="2">
        <v>29.718730000000001</v>
      </c>
      <c r="AI47" s="2">
        <v>30.605080000000001</v>
      </c>
      <c r="AJ47" s="2">
        <v>32.247430000000001</v>
      </c>
      <c r="AK47" s="2">
        <v>32.951300000000003</v>
      </c>
      <c r="AL47" s="2">
        <v>33.550879999999999</v>
      </c>
      <c r="AM47" s="2">
        <v>34.385100000000001</v>
      </c>
      <c r="AN47" s="2">
        <v>36.079590000000003</v>
      </c>
      <c r="AO47" s="2">
        <v>36.731310000000001</v>
      </c>
      <c r="AP47" s="2">
        <v>37.435180000000003</v>
      </c>
      <c r="AQ47" s="2">
        <v>37.878349999999998</v>
      </c>
      <c r="AR47" s="2">
        <v>39.181800000000003</v>
      </c>
      <c r="AS47" s="2">
        <v>39.416420000000002</v>
      </c>
      <c r="AT47" s="2">
        <v>39.885669999999998</v>
      </c>
      <c r="AU47" s="2">
        <v>40.172429999999999</v>
      </c>
      <c r="AV47" s="2">
        <v>40.85022</v>
      </c>
      <c r="AW47" s="2">
        <v>41.293399999999998</v>
      </c>
      <c r="AX47" s="2">
        <v>41.762639999999998</v>
      </c>
      <c r="AY47" s="2">
        <v>41.86692</v>
      </c>
      <c r="AZ47" s="2">
        <v>42.779339999999998</v>
      </c>
      <c r="BA47" s="2">
        <v>42.98789</v>
      </c>
      <c r="BB47" s="2">
        <v>43.431060000000002</v>
      </c>
      <c r="BC47" s="2">
        <v>43.874229999999997</v>
      </c>
      <c r="BD47" s="2">
        <v>44.995199999999997</v>
      </c>
      <c r="BE47" s="2">
        <v>45.125549999999997</v>
      </c>
      <c r="BF47" s="2">
        <v>45.490519999999997</v>
      </c>
      <c r="BG47" s="2">
        <v>45.646929999999998</v>
      </c>
      <c r="BH47" s="2">
        <v>46.3508</v>
      </c>
      <c r="BI47" s="2">
        <v>46.533279999999998</v>
      </c>
      <c r="BJ47" s="2">
        <v>46.924320000000002</v>
      </c>
      <c r="BK47" s="2">
        <v>47.237139999999997</v>
      </c>
      <c r="BL47" s="2">
        <v>47.836730000000003</v>
      </c>
      <c r="BM47" s="2">
        <v>47.888869999999997</v>
      </c>
      <c r="BN47" s="2">
        <v>48.436320000000002</v>
      </c>
      <c r="BO47" s="2">
        <v>48.566670000000002</v>
      </c>
      <c r="BP47" s="2">
        <v>49.5</v>
      </c>
      <c r="BQ47" s="2">
        <v>49.9</v>
      </c>
      <c r="BR47" s="2">
        <v>50.466670000000001</v>
      </c>
      <c r="BS47" s="2">
        <v>51</v>
      </c>
      <c r="BT47" s="2">
        <v>52.133339999999997</v>
      </c>
      <c r="BU47" s="2">
        <v>52.466670000000001</v>
      </c>
      <c r="BV47" s="2">
        <v>53.266669999999998</v>
      </c>
      <c r="BW47" s="2">
        <v>53.933329999999998</v>
      </c>
      <c r="BX47" s="2">
        <v>55.6</v>
      </c>
      <c r="BY47" s="2">
        <v>56.4</v>
      </c>
      <c r="BZ47" s="2">
        <v>57.466670000000001</v>
      </c>
      <c r="CA47" s="2">
        <v>57.666670000000003</v>
      </c>
      <c r="CB47" s="2">
        <v>60.266669999999998</v>
      </c>
      <c r="CC47" s="2">
        <v>60.833329999999997</v>
      </c>
      <c r="CD47" s="2">
        <v>61.466670000000001</v>
      </c>
      <c r="CE47" s="2">
        <v>61.7</v>
      </c>
      <c r="CF47" s="2">
        <v>62.833329999999997</v>
      </c>
      <c r="CG47" s="2">
        <v>62.733330000000002</v>
      </c>
      <c r="CH47" s="2">
        <v>63.133339999999997</v>
      </c>
      <c r="CI47" s="2">
        <v>63.2</v>
      </c>
      <c r="CJ47" s="2">
        <v>64.433329999999998</v>
      </c>
      <c r="CK47" s="2">
        <v>64.5</v>
      </c>
      <c r="CL47" s="2">
        <v>64.666659999999993</v>
      </c>
      <c r="CM47" s="2">
        <v>64.766670000000005</v>
      </c>
      <c r="CN47" s="2">
        <v>65.7</v>
      </c>
      <c r="CO47" s="2">
        <v>65.633330000000001</v>
      </c>
      <c r="CP47" s="2">
        <v>65.8</v>
      </c>
      <c r="CQ47" s="2">
        <v>66.333340000000007</v>
      </c>
      <c r="CR47" s="2">
        <v>67.266670000000005</v>
      </c>
      <c r="CS47" s="2">
        <v>67.400000000000006</v>
      </c>
      <c r="CT47" s="2">
        <v>67.733329999999995</v>
      </c>
      <c r="CU47" s="2">
        <v>68.099999999999994</v>
      </c>
      <c r="CV47" s="2">
        <v>68.866669999999999</v>
      </c>
      <c r="CW47" s="2">
        <v>68.933329999999998</v>
      </c>
      <c r="CX47" s="2">
        <v>69.366669999999999</v>
      </c>
      <c r="CY47" s="2">
        <v>69.366669999999999</v>
      </c>
      <c r="CZ47" s="2">
        <v>70</v>
      </c>
      <c r="DA47" s="2">
        <v>70.266670000000005</v>
      </c>
      <c r="DB47" s="2">
        <v>70.633330000000001</v>
      </c>
      <c r="DC47" s="2">
        <v>70.5</v>
      </c>
      <c r="DD47" s="2">
        <v>71.266670000000005</v>
      </c>
      <c r="DE47" s="2">
        <v>71.233329999999995</v>
      </c>
      <c r="DF47" s="2">
        <v>71.633330000000001</v>
      </c>
      <c r="DG47" s="2">
        <v>71.599999999999994</v>
      </c>
      <c r="DH47" s="2">
        <v>72.3</v>
      </c>
      <c r="DI47" s="2">
        <v>72.133330000000001</v>
      </c>
      <c r="DJ47" s="2">
        <v>72.433329999999998</v>
      </c>
      <c r="DK47" s="2">
        <v>72.133330000000001</v>
      </c>
      <c r="DL47" s="2">
        <v>72.766670000000005</v>
      </c>
      <c r="DM47" s="2">
        <v>72.7</v>
      </c>
      <c r="DN47" s="2">
        <v>73.166659999999993</v>
      </c>
      <c r="DO47" s="2">
        <v>72.766670000000005</v>
      </c>
      <c r="DP47" s="2">
        <v>73.833340000000007</v>
      </c>
      <c r="DQ47" s="2">
        <v>73.866669999999999</v>
      </c>
      <c r="DR47" s="2">
        <v>73.900000000000006</v>
      </c>
      <c r="DS47" s="2">
        <v>73.866669999999999</v>
      </c>
      <c r="DT47" s="2">
        <v>74.533330000000007</v>
      </c>
      <c r="DU47" s="2">
        <v>74.599999999999994</v>
      </c>
      <c r="DV47" s="2">
        <v>75</v>
      </c>
      <c r="DW47" s="2">
        <v>75</v>
      </c>
      <c r="DX47" s="2">
        <v>75.466669999999993</v>
      </c>
      <c r="DY47" s="2">
        <v>75.599999999999994</v>
      </c>
      <c r="DZ47" s="2">
        <v>76.033330000000007</v>
      </c>
      <c r="EA47" s="2">
        <v>75.966669999999993</v>
      </c>
      <c r="EB47" s="2">
        <v>76.533330000000007</v>
      </c>
      <c r="EC47" s="2">
        <v>76.566670000000002</v>
      </c>
      <c r="ED47" s="2">
        <v>77.099999999999994</v>
      </c>
      <c r="EE47" s="2">
        <v>77.233329999999995</v>
      </c>
      <c r="EF47" s="2">
        <v>78</v>
      </c>
      <c r="EG47" s="2">
        <v>78.400000000000006</v>
      </c>
      <c r="EH47" s="2">
        <v>78.766670000000005</v>
      </c>
      <c r="EI47" s="2">
        <v>78.733329999999995</v>
      </c>
      <c r="EJ47" s="2">
        <v>79.8</v>
      </c>
      <c r="EK47" s="2">
        <v>80.3</v>
      </c>
      <c r="EL47" s="2">
        <v>80.900000000000006</v>
      </c>
      <c r="EM47" s="2">
        <v>81</v>
      </c>
      <c r="EN47" s="2">
        <v>81.8</v>
      </c>
      <c r="EO47" s="2">
        <v>81.733329999999995</v>
      </c>
      <c r="EP47" s="2">
        <v>82.6</v>
      </c>
      <c r="EQ47" s="2">
        <v>82.933329999999998</v>
      </c>
      <c r="ER47" s="2">
        <v>84.6</v>
      </c>
      <c r="ES47" s="2">
        <v>85.633330000000001</v>
      </c>
      <c r="ET47" s="2">
        <v>85.733329999999995</v>
      </c>
      <c r="EU47" s="2">
        <v>85.433329999999998</v>
      </c>
      <c r="EV47" s="2">
        <v>86.366669999999999</v>
      </c>
      <c r="EW47" s="2">
        <v>86.933329999999998</v>
      </c>
      <c r="EX47" s="2">
        <v>87.566670000000002</v>
      </c>
      <c r="EY47" s="2">
        <v>88.233329999999995</v>
      </c>
      <c r="EZ47" s="2">
        <v>89.366669999999999</v>
      </c>
      <c r="FA47" s="2">
        <v>89.633330000000001</v>
      </c>
      <c r="FB47" s="2">
        <v>90.5</v>
      </c>
      <c r="FC47" s="2">
        <v>91.833340000000007</v>
      </c>
      <c r="FD47" s="2">
        <v>93.3</v>
      </c>
      <c r="FE47" s="2">
        <v>93.833340000000007</v>
      </c>
      <c r="FF47" s="2">
        <v>94.733329999999995</v>
      </c>
      <c r="FG47" s="2">
        <v>95.033330000000007</v>
      </c>
      <c r="FH47" s="2">
        <v>95.8</v>
      </c>
      <c r="FI47" s="2">
        <v>96.066670000000002</v>
      </c>
      <c r="FJ47" s="2">
        <v>97.266670000000005</v>
      </c>
      <c r="FK47" s="2">
        <v>97.666659999999993</v>
      </c>
      <c r="FL47" s="2">
        <v>98.366669999999999</v>
      </c>
      <c r="FM47" s="2">
        <v>98.7</v>
      </c>
      <c r="FN47" s="2">
        <v>99.3</v>
      </c>
      <c r="FO47" s="2">
        <v>99.4</v>
      </c>
      <c r="FP47" s="2">
        <v>100.1</v>
      </c>
      <c r="FQ47" s="2">
        <v>100.13330000000001</v>
      </c>
      <c r="FR47" s="2">
        <v>100.2</v>
      </c>
      <c r="FS47" s="2">
        <v>99.5</v>
      </c>
      <c r="FT47" s="2">
        <v>100.0667</v>
      </c>
      <c r="FU47" s="2">
        <v>100.16670000000001</v>
      </c>
      <c r="FV47" s="2">
        <v>100.3</v>
      </c>
      <c r="FW47" s="2">
        <v>99.833340000000007</v>
      </c>
      <c r="FX47" s="2">
        <v>100.4</v>
      </c>
      <c r="FY47" s="2">
        <v>100.86669999999999</v>
      </c>
      <c r="FZ47" s="2">
        <v>101.5</v>
      </c>
      <c r="GA47" s="2">
        <v>102</v>
      </c>
      <c r="GB47" s="2">
        <v>103.16670000000001</v>
      </c>
      <c r="GC47" s="2">
        <v>103.7</v>
      </c>
      <c r="GD47" s="2">
        <v>104.5667</v>
      </c>
      <c r="GE47" s="2">
        <v>104.7667</v>
      </c>
      <c r="GF47" s="2">
        <v>105.66670000000001</v>
      </c>
      <c r="GG47" s="2">
        <v>106.3</v>
      </c>
      <c r="GH47" s="2">
        <v>106.9333</v>
      </c>
      <c r="GI47" s="2">
        <v>106.7</v>
      </c>
      <c r="GJ47" s="2">
        <v>107.8</v>
      </c>
      <c r="GK47" s="2">
        <v>108.2667</v>
      </c>
      <c r="GL47" s="2">
        <v>108.4333</v>
      </c>
      <c r="GM47" s="2">
        <v>108.4667</v>
      </c>
      <c r="GN47" s="2">
        <v>108.5333</v>
      </c>
      <c r="GO47" s="2">
        <v>108.9333</v>
      </c>
      <c r="GP47" s="2">
        <v>109.0667</v>
      </c>
      <c r="GQ47" s="2">
        <v>109.16670000000001</v>
      </c>
      <c r="GR47" s="2">
        <v>110.7333</v>
      </c>
      <c r="GS47" s="2">
        <v>111.9333</v>
      </c>
      <c r="GT47" s="2">
        <v>114.4</v>
      </c>
      <c r="GU47" s="2">
        <v>115.9333</v>
      </c>
      <c r="GV47" s="2">
        <v>120.86669999999999</v>
      </c>
      <c r="GW47" s="2">
        <v>123.13330000000001</v>
      </c>
      <c r="GX47" s="2">
        <v>126.7</v>
      </c>
      <c r="GY47" s="2">
        <v>127.7333</v>
      </c>
      <c r="GZ47" s="2">
        <v>131.0667</v>
      </c>
      <c r="HA47" s="2">
        <v>131.4</v>
      </c>
      <c r="HB47" s="2">
        <v>131.9667</v>
      </c>
      <c r="HC47" s="2">
        <v>132.26669999999999</v>
      </c>
      <c r="HD47" s="2">
        <v>133.83330000000001</v>
      </c>
      <c r="HE47" s="3">
        <v>134.16560000000001</v>
      </c>
      <c r="HF47" s="3">
        <v>135.2413</v>
      </c>
      <c r="HG47" s="3">
        <v>135.6866</v>
      </c>
      <c r="HH47" s="3">
        <v>136.9683</v>
      </c>
      <c r="HI47" s="3">
        <v>137.6472</v>
      </c>
      <c r="HJ47" s="3">
        <v>138.50040000000001</v>
      </c>
      <c r="HK47" s="3">
        <v>138.7353</v>
      </c>
      <c r="HL47" s="3">
        <v>140.01759999999999</v>
      </c>
      <c r="HM47" s="3">
        <v>140.67189999999999</v>
      </c>
      <c r="HN47" s="3">
        <v>141.43100000000001</v>
      </c>
      <c r="HO47" s="3">
        <v>141.75299999999999</v>
      </c>
      <c r="HP47" s="3">
        <v>143.07759999999999</v>
      </c>
      <c r="HQ47" s="3">
        <v>143.80260000000001</v>
      </c>
      <c r="HR47" s="3">
        <v>144.60300000000001</v>
      </c>
      <c r="HS47" s="3">
        <v>144.8852</v>
      </c>
      <c r="HT47" s="3">
        <v>146.18819999999999</v>
      </c>
      <c r="HU47" s="3">
        <v>146.89080000000001</v>
      </c>
      <c r="HV47" s="3">
        <v>147.64789999999999</v>
      </c>
      <c r="HW47" s="3">
        <v>147.88749999999999</v>
      </c>
      <c r="HX47" s="3">
        <v>149.184</v>
      </c>
      <c r="HY47" s="3">
        <v>149.8843</v>
      </c>
      <c r="HZ47" s="3">
        <v>150.6232</v>
      </c>
      <c r="IA47" s="3">
        <v>150.85310000000001</v>
      </c>
      <c r="IB47" s="3">
        <v>152.17400000000001</v>
      </c>
      <c r="IC47" s="3">
        <v>152.8989</v>
      </c>
      <c r="ID47" s="3">
        <v>153.6396</v>
      </c>
      <c r="IE47" s="3">
        <v>153.87010000000001</v>
      </c>
      <c r="IF47" s="3">
        <v>155.2175</v>
      </c>
      <c r="IG47" s="3">
        <v>155.95689999999999</v>
      </c>
      <c r="IH47" s="3">
        <v>156.7124</v>
      </c>
      <c r="II47" s="3">
        <v>156.94749999999999</v>
      </c>
      <c r="IJ47" s="3">
        <v>158.3218</v>
      </c>
      <c r="IK47" s="3">
        <v>159.07599999999999</v>
      </c>
      <c r="IL47" s="3">
        <v>159.8467</v>
      </c>
      <c r="IM47" s="3">
        <v>160.0865</v>
      </c>
      <c r="IN47" s="3">
        <v>161.48830000000001</v>
      </c>
      <c r="IO47" s="3">
        <v>162.2576</v>
      </c>
      <c r="IP47" s="3">
        <v>163.0436</v>
      </c>
      <c r="IQ47" s="3">
        <v>163.28819999999999</v>
      </c>
      <c r="IR47" s="3">
        <v>164.71799999999999</v>
      </c>
      <c r="IS47" s="3">
        <v>165.5027</v>
      </c>
      <c r="IT47" s="3">
        <v>166.30449999999999</v>
      </c>
      <c r="IU47" s="3">
        <v>166.554</v>
      </c>
      <c r="IV47" s="3">
        <v>168.01240000000001</v>
      </c>
      <c r="IW47" s="3">
        <v>168.81270000000001</v>
      </c>
      <c r="IX47" s="3">
        <v>169.63059999999999</v>
      </c>
      <c r="IY47" s="3">
        <v>169.88509999999999</v>
      </c>
      <c r="IZ47" s="3">
        <v>171.37260000000001</v>
      </c>
      <c r="JA47" s="3">
        <v>172.18899999999999</v>
      </c>
      <c r="JB47" s="3">
        <v>173.0232</v>
      </c>
      <c r="JC47" s="3">
        <v>173.28280000000001</v>
      </c>
      <c r="JD47" s="3">
        <v>174.80009999999999</v>
      </c>
      <c r="JE47" s="3">
        <v>175.6328</v>
      </c>
      <c r="JF47" s="3">
        <v>176.4837</v>
      </c>
      <c r="JG47" s="3">
        <v>176.7484</v>
      </c>
      <c r="JH47" s="3">
        <v>178.2961</v>
      </c>
      <c r="JI47" s="3">
        <v>179.1454</v>
      </c>
      <c r="JJ47" s="3">
        <v>180.01329999999999</v>
      </c>
      <c r="JK47" s="3">
        <v>180.2834</v>
      </c>
      <c r="JL47" s="3">
        <v>181.86199999999999</v>
      </c>
      <c r="JM47" s="3">
        <v>182.72829999999999</v>
      </c>
      <c r="JN47" s="3">
        <v>183.61359999999999</v>
      </c>
      <c r="JO47" s="3">
        <v>183.88910000000001</v>
      </c>
      <c r="JP47" s="3">
        <v>185.4992</v>
      </c>
      <c r="JQ47" s="3">
        <v>186.38290000000001</v>
      </c>
      <c r="JR47" s="3">
        <v>187.2859</v>
      </c>
      <c r="JS47" s="3">
        <v>187.5668</v>
      </c>
      <c r="JT47" s="3">
        <v>189.20920000000001</v>
      </c>
      <c r="JU47" s="3">
        <v>190.11060000000001</v>
      </c>
      <c r="JV47" s="3">
        <v>191.0316</v>
      </c>
      <c r="JW47" s="3">
        <v>191.31819999999999</v>
      </c>
      <c r="JX47" s="3">
        <v>192.99340000000001</v>
      </c>
      <c r="JY47" s="3">
        <v>193.9128</v>
      </c>
      <c r="JZ47" s="3">
        <v>194.85220000000001</v>
      </c>
      <c r="KA47" s="3">
        <v>195.14449999999999</v>
      </c>
      <c r="KB47" s="3">
        <v>196.85329999999999</v>
      </c>
      <c r="KC47" s="3">
        <v>197.791</v>
      </c>
      <c r="KD47" s="3">
        <v>198.74930000000001</v>
      </c>
      <c r="KE47" s="3">
        <v>199.04740000000001</v>
      </c>
      <c r="KF47" s="3">
        <v>200.7903</v>
      </c>
      <c r="KG47" s="3">
        <v>201.74690000000001</v>
      </c>
      <c r="KH47" s="3">
        <v>202.7242</v>
      </c>
      <c r="KI47" s="3">
        <v>203.0284</v>
      </c>
      <c r="KJ47" s="3">
        <v>204.80619999999999</v>
      </c>
      <c r="KK47" s="3">
        <v>205.7818</v>
      </c>
      <c r="KL47" s="3">
        <v>206.77869999999999</v>
      </c>
      <c r="KM47" s="3">
        <v>207.0889</v>
      </c>
      <c r="KN47" s="3">
        <v>208.9023</v>
      </c>
      <c r="KO47" s="3">
        <v>209.8974</v>
      </c>
      <c r="KP47" s="3">
        <v>210.9143</v>
      </c>
      <c r="KQ47" s="3">
        <v>211.23070000000001</v>
      </c>
      <c r="KR47" s="3">
        <v>213.08029999999999</v>
      </c>
      <c r="KS47" s="3">
        <v>214.09540000000001</v>
      </c>
      <c r="KT47" s="3">
        <v>215.1326</v>
      </c>
      <c r="KU47" s="3">
        <v>215.45529999999999</v>
      </c>
      <c r="KV47" s="3">
        <v>217.34190000000001</v>
      </c>
      <c r="KW47" s="3">
        <v>218.37729999999999</v>
      </c>
      <c r="KX47" s="3">
        <v>219.43520000000001</v>
      </c>
      <c r="KY47" s="3">
        <v>219.76439999999999</v>
      </c>
      <c r="KZ47" s="3">
        <v>221.68879999999999</v>
      </c>
      <c r="LA47" s="3">
        <v>222.7448</v>
      </c>
      <c r="LB47" s="3">
        <v>223.82400000000001</v>
      </c>
      <c r="LC47" s="3">
        <v>224.15969999999999</v>
      </c>
      <c r="LD47" s="3">
        <v>226.1225</v>
      </c>
      <c r="LE47" s="3">
        <v>227.19970000000001</v>
      </c>
      <c r="LF47" s="3">
        <v>228.3004</v>
      </c>
      <c r="LG47" t="s">
        <v>335</v>
      </c>
      <c r="LH47" t="b">
        <v>0</v>
      </c>
      <c r="LI47" t="s">
        <v>337</v>
      </c>
      <c r="LJ47">
        <v>2015</v>
      </c>
      <c r="LK47">
        <v>2024</v>
      </c>
      <c r="LL47">
        <v>2</v>
      </c>
      <c r="LM47" t="s">
        <v>337</v>
      </c>
      <c r="LN47" s="1" t="s">
        <v>344</v>
      </c>
      <c r="LO47" s="1" t="s">
        <v>345</v>
      </c>
      <c r="LP47" t="s">
        <v>340</v>
      </c>
      <c r="LQ47" t="s">
        <v>346</v>
      </c>
      <c r="LR47" s="1" t="s">
        <v>397</v>
      </c>
    </row>
  </sheetData>
  <pageMargins left="0.7" right="0.7" top="0.75" bottom="0.75" header="0.3" footer="0.3"/>
  <customProperties>
    <customPr name="Commands" r:id="rId1"/>
    <customPr name="PostPullCommands" r:id="rId2"/>
    <customPr name="WorksheetId" r:id="rId3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B49C-2EA4-439C-A408-2435FF4E1040}">
  <dimension ref="A1:E110"/>
  <sheetViews>
    <sheetView workbookViewId="0">
      <pane xSplit="2" ySplit="6" topLeftCell="C40" activePane="bottomRight" state="frozen"/>
      <selection pane="topRight" activeCell="B1" sqref="B1"/>
      <selection pane="bottomLeft" activeCell="A7" sqref="A7"/>
      <selection pane="bottomRight" activeCell="E2" sqref="E2"/>
    </sheetView>
  </sheetViews>
  <sheetFormatPr defaultRowHeight="15" x14ac:dyDescent="0.25"/>
  <cols>
    <col min="1" max="1" width="10.7109375" bestFit="1" customWidth="1"/>
    <col min="3" max="8" width="15.7109375" customWidth="1"/>
  </cols>
  <sheetData>
    <row r="1" spans="1:5" x14ac:dyDescent="0.25">
      <c r="B1" s="1" t="s">
        <v>435</v>
      </c>
      <c r="C1" t="s">
        <v>432</v>
      </c>
      <c r="D1" t="s">
        <v>433</v>
      </c>
      <c r="E1" t="s">
        <v>434</v>
      </c>
    </row>
    <row r="2" spans="1:5" s="12" customFormat="1" ht="90" x14ac:dyDescent="0.25">
      <c r="B2" s="12" t="s">
        <v>441</v>
      </c>
      <c r="C2" s="12" t="s">
        <v>446</v>
      </c>
      <c r="D2" s="12" t="s">
        <v>449</v>
      </c>
      <c r="E2" s="12" t="s">
        <v>450</v>
      </c>
    </row>
    <row r="3" spans="1:5" x14ac:dyDescent="0.25">
      <c r="B3" t="s">
        <v>440</v>
      </c>
      <c r="C3" t="s">
        <v>445</v>
      </c>
      <c r="D3" t="s">
        <v>448</v>
      </c>
      <c r="E3" t="s">
        <v>448</v>
      </c>
    </row>
    <row r="4" spans="1:5" x14ac:dyDescent="0.25">
      <c r="B4" t="s">
        <v>439</v>
      </c>
      <c r="C4" t="s">
        <v>444</v>
      </c>
      <c r="D4" t="s">
        <v>444</v>
      </c>
      <c r="E4" t="s">
        <v>444</v>
      </c>
    </row>
    <row r="5" spans="1:5" x14ac:dyDescent="0.25">
      <c r="B5" t="s">
        <v>438</v>
      </c>
      <c r="C5" t="s">
        <v>443</v>
      </c>
      <c r="D5" t="s">
        <v>443</v>
      </c>
      <c r="E5" t="s">
        <v>443</v>
      </c>
    </row>
    <row r="6" spans="1:5" x14ac:dyDescent="0.25">
      <c r="B6" t="s">
        <v>437</v>
      </c>
      <c r="C6" t="s">
        <v>442</v>
      </c>
      <c r="D6" t="s">
        <v>447</v>
      </c>
      <c r="E6" t="s">
        <v>447</v>
      </c>
    </row>
    <row r="7" spans="1:5" x14ac:dyDescent="0.25">
      <c r="A7" s="10">
        <v>36526</v>
      </c>
      <c r="B7" t="s">
        <v>436</v>
      </c>
      <c r="C7" s="18">
        <v>178</v>
      </c>
      <c r="D7" s="18">
        <v>38</v>
      </c>
      <c r="E7" s="18">
        <v>33</v>
      </c>
    </row>
    <row r="8" spans="1:5" x14ac:dyDescent="0.25">
      <c r="A8" s="10">
        <v>36617</v>
      </c>
      <c r="B8" t="s">
        <v>451</v>
      </c>
      <c r="C8" s="18">
        <v>178</v>
      </c>
      <c r="D8" s="18">
        <v>38</v>
      </c>
      <c r="E8" s="18">
        <v>33</v>
      </c>
    </row>
    <row r="9" spans="1:5" x14ac:dyDescent="0.25">
      <c r="A9" s="10">
        <v>36708</v>
      </c>
      <c r="B9" t="s">
        <v>452</v>
      </c>
      <c r="C9" s="18">
        <v>178</v>
      </c>
      <c r="D9" s="18">
        <v>38</v>
      </c>
      <c r="E9" s="18">
        <v>33</v>
      </c>
    </row>
    <row r="10" spans="1:5" x14ac:dyDescent="0.25">
      <c r="A10" s="10">
        <v>36800</v>
      </c>
      <c r="B10" t="s">
        <v>453</v>
      </c>
      <c r="C10" s="18">
        <v>178</v>
      </c>
      <c r="D10" s="18">
        <v>38</v>
      </c>
      <c r="E10" s="18">
        <v>33</v>
      </c>
    </row>
    <row r="11" spans="1:5" x14ac:dyDescent="0.25">
      <c r="A11" s="10">
        <v>36892</v>
      </c>
      <c r="B11" t="s">
        <v>454</v>
      </c>
      <c r="C11" s="18">
        <v>162</v>
      </c>
      <c r="D11" s="18">
        <v>37</v>
      </c>
      <c r="E11" s="18">
        <v>29</v>
      </c>
    </row>
    <row r="12" spans="1:5" x14ac:dyDescent="0.25">
      <c r="A12" s="10">
        <v>36982</v>
      </c>
      <c r="B12" t="s">
        <v>455</v>
      </c>
      <c r="C12" s="18">
        <v>162</v>
      </c>
      <c r="D12" s="18">
        <v>37</v>
      </c>
      <c r="E12" s="18">
        <v>29</v>
      </c>
    </row>
    <row r="13" spans="1:5" x14ac:dyDescent="0.25">
      <c r="A13" s="10">
        <v>37073</v>
      </c>
      <c r="B13" t="s">
        <v>456</v>
      </c>
      <c r="C13" s="18">
        <v>162</v>
      </c>
      <c r="D13" s="18">
        <v>37</v>
      </c>
      <c r="E13" s="18">
        <v>29</v>
      </c>
    </row>
    <row r="14" spans="1:5" x14ac:dyDescent="0.25">
      <c r="A14" s="10">
        <v>37165</v>
      </c>
      <c r="B14" t="s">
        <v>457</v>
      </c>
      <c r="C14" s="18">
        <v>162</v>
      </c>
      <c r="D14" s="18">
        <v>37</v>
      </c>
      <c r="E14" s="18">
        <v>29</v>
      </c>
    </row>
    <row r="15" spans="1:5" x14ac:dyDescent="0.25">
      <c r="A15" s="10">
        <v>37257</v>
      </c>
      <c r="B15" t="s">
        <v>458</v>
      </c>
      <c r="C15" s="18">
        <v>166</v>
      </c>
      <c r="D15" s="18">
        <v>28</v>
      </c>
      <c r="E15" s="18">
        <v>28</v>
      </c>
    </row>
    <row r="16" spans="1:5" x14ac:dyDescent="0.25">
      <c r="A16" s="10">
        <v>37347</v>
      </c>
      <c r="B16" t="s">
        <v>459</v>
      </c>
      <c r="C16" s="18">
        <v>166</v>
      </c>
      <c r="D16" s="18">
        <v>28</v>
      </c>
      <c r="E16" s="18">
        <v>28</v>
      </c>
    </row>
    <row r="17" spans="1:5" x14ac:dyDescent="0.25">
      <c r="A17" s="10">
        <v>37438</v>
      </c>
      <c r="B17" t="s">
        <v>460</v>
      </c>
      <c r="C17" s="18">
        <v>166</v>
      </c>
      <c r="D17" s="18">
        <v>28</v>
      </c>
      <c r="E17" s="18">
        <v>28</v>
      </c>
    </row>
    <row r="18" spans="1:5" x14ac:dyDescent="0.25">
      <c r="A18" s="10">
        <v>37530</v>
      </c>
      <c r="B18" t="s">
        <v>461</v>
      </c>
      <c r="C18" s="18">
        <v>166</v>
      </c>
      <c r="D18" s="18">
        <v>28</v>
      </c>
      <c r="E18" s="18">
        <v>28</v>
      </c>
    </row>
    <row r="19" spans="1:5" x14ac:dyDescent="0.25">
      <c r="A19" s="10">
        <v>37622</v>
      </c>
      <c r="B19" t="s">
        <v>462</v>
      </c>
      <c r="C19" s="18">
        <v>155</v>
      </c>
      <c r="D19" s="18">
        <v>27</v>
      </c>
      <c r="E19" s="18">
        <v>28</v>
      </c>
    </row>
    <row r="20" spans="1:5" x14ac:dyDescent="0.25">
      <c r="A20" s="10">
        <v>37712</v>
      </c>
      <c r="B20" t="s">
        <v>463</v>
      </c>
      <c r="C20" s="18">
        <v>155</v>
      </c>
      <c r="D20" s="18">
        <v>27</v>
      </c>
      <c r="E20" s="18">
        <v>28</v>
      </c>
    </row>
    <row r="21" spans="1:5" x14ac:dyDescent="0.25">
      <c r="A21" s="10">
        <v>37803</v>
      </c>
      <c r="B21" t="s">
        <v>464</v>
      </c>
      <c r="C21" s="18">
        <v>155</v>
      </c>
      <c r="D21" s="18">
        <v>27</v>
      </c>
      <c r="E21" s="18">
        <v>28</v>
      </c>
    </row>
    <row r="22" spans="1:5" x14ac:dyDescent="0.25">
      <c r="A22" s="10">
        <v>37895</v>
      </c>
      <c r="B22" t="s">
        <v>465</v>
      </c>
      <c r="C22" s="18">
        <v>155</v>
      </c>
      <c r="D22" s="18">
        <v>27</v>
      </c>
      <c r="E22" s="18">
        <v>28</v>
      </c>
    </row>
    <row r="23" spans="1:5" x14ac:dyDescent="0.25">
      <c r="A23" s="10">
        <v>37987</v>
      </c>
      <c r="B23" t="s">
        <v>466</v>
      </c>
      <c r="C23" s="18">
        <v>152</v>
      </c>
      <c r="D23" s="18">
        <v>26</v>
      </c>
      <c r="E23" s="18">
        <v>26</v>
      </c>
    </row>
    <row r="24" spans="1:5" x14ac:dyDescent="0.25">
      <c r="A24" s="10">
        <v>38078</v>
      </c>
      <c r="B24" t="s">
        <v>467</v>
      </c>
      <c r="C24" s="18">
        <v>152</v>
      </c>
      <c r="D24" s="18">
        <v>26</v>
      </c>
      <c r="E24" s="18">
        <v>26</v>
      </c>
    </row>
    <row r="25" spans="1:5" x14ac:dyDescent="0.25">
      <c r="A25" s="10">
        <v>38169</v>
      </c>
      <c r="B25" t="s">
        <v>468</v>
      </c>
      <c r="C25" s="18">
        <v>152</v>
      </c>
      <c r="D25" s="18">
        <v>26</v>
      </c>
      <c r="E25" s="18">
        <v>26</v>
      </c>
    </row>
    <row r="26" spans="1:5" x14ac:dyDescent="0.25">
      <c r="A26" s="10">
        <v>38261</v>
      </c>
      <c r="B26" t="s">
        <v>469</v>
      </c>
      <c r="C26" s="18">
        <v>152</v>
      </c>
      <c r="D26" s="18">
        <v>26</v>
      </c>
      <c r="E26" s="18">
        <v>26</v>
      </c>
    </row>
    <row r="27" spans="1:5" x14ac:dyDescent="0.25">
      <c r="A27" s="10">
        <v>38353</v>
      </c>
      <c r="B27" t="s">
        <v>470</v>
      </c>
      <c r="C27" s="18">
        <v>152</v>
      </c>
      <c r="D27" s="18">
        <v>27</v>
      </c>
      <c r="E27" s="18">
        <v>28</v>
      </c>
    </row>
    <row r="28" spans="1:5" x14ac:dyDescent="0.25">
      <c r="A28" s="10">
        <v>38443</v>
      </c>
      <c r="B28" t="s">
        <v>471</v>
      </c>
      <c r="C28" s="18">
        <v>152</v>
      </c>
      <c r="D28" s="18">
        <v>27</v>
      </c>
      <c r="E28" s="18">
        <v>28</v>
      </c>
    </row>
    <row r="29" spans="1:5" x14ac:dyDescent="0.25">
      <c r="A29" s="10">
        <v>38534</v>
      </c>
      <c r="B29" t="s">
        <v>472</v>
      </c>
      <c r="C29" s="18">
        <v>152</v>
      </c>
      <c r="D29" s="18">
        <v>27</v>
      </c>
      <c r="E29" s="18">
        <v>28</v>
      </c>
    </row>
    <row r="30" spans="1:5" x14ac:dyDescent="0.25">
      <c r="A30" s="10">
        <v>38626</v>
      </c>
      <c r="B30" t="s">
        <v>473</v>
      </c>
      <c r="C30" s="18">
        <v>152</v>
      </c>
      <c r="D30" s="18">
        <v>27</v>
      </c>
      <c r="E30" s="18">
        <v>28</v>
      </c>
    </row>
    <row r="31" spans="1:5" x14ac:dyDescent="0.25">
      <c r="A31" s="10">
        <v>38718</v>
      </c>
      <c r="B31" t="s">
        <v>474</v>
      </c>
      <c r="C31" s="18">
        <v>146</v>
      </c>
      <c r="D31" s="18">
        <v>35</v>
      </c>
      <c r="E31" s="18">
        <v>32</v>
      </c>
    </row>
    <row r="32" spans="1:5" x14ac:dyDescent="0.25">
      <c r="A32" s="10">
        <v>38808</v>
      </c>
      <c r="B32" t="s">
        <v>475</v>
      </c>
      <c r="C32" s="18">
        <v>146</v>
      </c>
      <c r="D32" s="18">
        <v>35</v>
      </c>
      <c r="E32" s="18">
        <v>32</v>
      </c>
    </row>
    <row r="33" spans="1:5" x14ac:dyDescent="0.25">
      <c r="A33" s="10">
        <v>38899</v>
      </c>
      <c r="B33" t="s">
        <v>476</v>
      </c>
      <c r="C33" s="18">
        <v>146</v>
      </c>
      <c r="D33" s="18">
        <v>35</v>
      </c>
      <c r="E33" s="18">
        <v>32</v>
      </c>
    </row>
    <row r="34" spans="1:5" x14ac:dyDescent="0.25">
      <c r="A34" s="10">
        <v>38991</v>
      </c>
      <c r="B34" t="s">
        <v>477</v>
      </c>
      <c r="C34" s="18">
        <v>146</v>
      </c>
      <c r="D34" s="18">
        <v>35</v>
      </c>
      <c r="E34" s="18">
        <v>32</v>
      </c>
    </row>
    <row r="35" spans="1:5" x14ac:dyDescent="0.25">
      <c r="A35" s="10">
        <v>39083</v>
      </c>
      <c r="B35" t="s">
        <v>478</v>
      </c>
      <c r="C35" s="18">
        <v>146</v>
      </c>
      <c r="D35" s="18">
        <v>36</v>
      </c>
      <c r="E35" s="18">
        <v>39</v>
      </c>
    </row>
    <row r="36" spans="1:5" x14ac:dyDescent="0.25">
      <c r="A36" s="10">
        <v>39173</v>
      </c>
      <c r="B36" t="s">
        <v>479</v>
      </c>
      <c r="C36" s="18">
        <v>146</v>
      </c>
      <c r="D36" s="18">
        <v>36</v>
      </c>
      <c r="E36" s="18">
        <v>39</v>
      </c>
    </row>
    <row r="37" spans="1:5" x14ac:dyDescent="0.25">
      <c r="A37" s="10">
        <v>39264</v>
      </c>
      <c r="B37" t="s">
        <v>480</v>
      </c>
      <c r="C37" s="18">
        <v>146</v>
      </c>
      <c r="D37" s="18">
        <v>36</v>
      </c>
      <c r="E37" s="18">
        <v>39</v>
      </c>
    </row>
    <row r="38" spans="1:5" x14ac:dyDescent="0.25">
      <c r="A38" s="10">
        <v>39356</v>
      </c>
      <c r="B38" t="s">
        <v>481</v>
      </c>
      <c r="C38" s="18">
        <v>146</v>
      </c>
      <c r="D38" s="18">
        <v>36</v>
      </c>
      <c r="E38" s="18">
        <v>39</v>
      </c>
    </row>
    <row r="39" spans="1:5" x14ac:dyDescent="0.25">
      <c r="A39" s="10">
        <v>39448</v>
      </c>
      <c r="B39" t="s">
        <v>482</v>
      </c>
      <c r="C39" s="18">
        <v>151</v>
      </c>
      <c r="D39" s="18">
        <v>38</v>
      </c>
      <c r="E39" s="18">
        <v>35</v>
      </c>
    </row>
    <row r="40" spans="1:5" x14ac:dyDescent="0.25">
      <c r="A40" s="10">
        <v>39539</v>
      </c>
      <c r="B40" t="s">
        <v>483</v>
      </c>
      <c r="C40" s="18">
        <v>151</v>
      </c>
      <c r="D40" s="18">
        <v>38</v>
      </c>
      <c r="E40" s="18">
        <v>35</v>
      </c>
    </row>
    <row r="41" spans="1:5" x14ac:dyDescent="0.25">
      <c r="A41" s="10">
        <v>39630</v>
      </c>
      <c r="B41" t="s">
        <v>484</v>
      </c>
      <c r="C41" s="18">
        <v>151</v>
      </c>
      <c r="D41" s="18">
        <v>38</v>
      </c>
      <c r="E41" s="18">
        <v>35</v>
      </c>
    </row>
    <row r="42" spans="1:5" x14ac:dyDescent="0.25">
      <c r="A42" s="10">
        <v>39722</v>
      </c>
      <c r="B42" t="s">
        <v>485</v>
      </c>
      <c r="C42" s="18">
        <v>151</v>
      </c>
      <c r="D42" s="18">
        <v>38</v>
      </c>
      <c r="E42" s="18">
        <v>35</v>
      </c>
    </row>
    <row r="43" spans="1:5" x14ac:dyDescent="0.25">
      <c r="A43" s="10">
        <v>39814</v>
      </c>
      <c r="B43" t="s">
        <v>486</v>
      </c>
      <c r="C43" s="18">
        <v>162</v>
      </c>
      <c r="D43" s="18">
        <v>34</v>
      </c>
      <c r="E43" s="18">
        <v>46</v>
      </c>
    </row>
    <row r="44" spans="1:5" x14ac:dyDescent="0.25">
      <c r="A44" s="10">
        <v>39904</v>
      </c>
      <c r="B44" t="s">
        <v>487</v>
      </c>
      <c r="C44" s="18">
        <v>162</v>
      </c>
      <c r="D44" s="18">
        <v>34</v>
      </c>
      <c r="E44" s="18">
        <v>46</v>
      </c>
    </row>
    <row r="45" spans="1:5" x14ac:dyDescent="0.25">
      <c r="A45" s="10">
        <v>39995</v>
      </c>
      <c r="B45" t="s">
        <v>488</v>
      </c>
      <c r="C45" s="18">
        <v>162</v>
      </c>
      <c r="D45" s="18">
        <v>34</v>
      </c>
      <c r="E45" s="18">
        <v>46</v>
      </c>
    </row>
    <row r="46" spans="1:5" x14ac:dyDescent="0.25">
      <c r="A46" s="10">
        <v>40087</v>
      </c>
      <c r="B46" t="s">
        <v>489</v>
      </c>
      <c r="C46" s="18">
        <v>162</v>
      </c>
      <c r="D46" s="18">
        <v>34</v>
      </c>
      <c r="E46" s="18">
        <v>46</v>
      </c>
    </row>
    <row r="47" spans="1:5" x14ac:dyDescent="0.25">
      <c r="A47" s="10">
        <v>40179</v>
      </c>
      <c r="B47" t="s">
        <v>490</v>
      </c>
      <c r="C47" s="18">
        <v>148</v>
      </c>
      <c r="D47" s="18">
        <v>41</v>
      </c>
      <c r="E47" s="18">
        <v>47</v>
      </c>
    </row>
    <row r="48" spans="1:5" x14ac:dyDescent="0.25">
      <c r="A48" s="10">
        <v>40269</v>
      </c>
      <c r="B48" t="s">
        <v>491</v>
      </c>
      <c r="C48" s="18">
        <v>148</v>
      </c>
      <c r="D48" s="18">
        <v>41</v>
      </c>
      <c r="E48" s="18">
        <v>47</v>
      </c>
    </row>
    <row r="49" spans="1:5" x14ac:dyDescent="0.25">
      <c r="A49" s="10">
        <v>40360</v>
      </c>
      <c r="B49" t="s">
        <v>492</v>
      </c>
      <c r="C49" s="18">
        <v>148</v>
      </c>
      <c r="D49" s="18">
        <v>41</v>
      </c>
      <c r="E49" s="18">
        <v>47</v>
      </c>
    </row>
    <row r="50" spans="1:5" x14ac:dyDescent="0.25">
      <c r="A50" s="10">
        <v>40452</v>
      </c>
      <c r="B50" t="s">
        <v>493</v>
      </c>
      <c r="C50" s="18">
        <v>148</v>
      </c>
      <c r="D50" s="18">
        <v>41</v>
      </c>
      <c r="E50" s="18">
        <v>47</v>
      </c>
    </row>
    <row r="51" spans="1:5" x14ac:dyDescent="0.25">
      <c r="A51" s="10">
        <v>40544</v>
      </c>
      <c r="B51" t="s">
        <v>494</v>
      </c>
      <c r="C51" s="18">
        <v>160</v>
      </c>
      <c r="D51" s="18">
        <v>43</v>
      </c>
      <c r="E51" s="18">
        <v>44</v>
      </c>
    </row>
    <row r="52" spans="1:5" x14ac:dyDescent="0.25">
      <c r="A52" s="10">
        <v>40634</v>
      </c>
      <c r="B52" t="s">
        <v>495</v>
      </c>
      <c r="C52" s="18">
        <v>160</v>
      </c>
      <c r="D52" s="18">
        <v>43</v>
      </c>
      <c r="E52" s="18">
        <v>44</v>
      </c>
    </row>
    <row r="53" spans="1:5" x14ac:dyDescent="0.25">
      <c r="A53" s="10">
        <v>40725</v>
      </c>
      <c r="B53" t="s">
        <v>496</v>
      </c>
      <c r="C53" s="18">
        <v>160</v>
      </c>
      <c r="D53" s="18">
        <v>43</v>
      </c>
      <c r="E53" s="18">
        <v>44</v>
      </c>
    </row>
    <row r="54" spans="1:5" x14ac:dyDescent="0.25">
      <c r="A54" s="10">
        <v>40817</v>
      </c>
      <c r="B54" t="s">
        <v>497</v>
      </c>
      <c r="C54" s="18">
        <v>160</v>
      </c>
      <c r="D54" s="18">
        <v>43</v>
      </c>
      <c r="E54" s="18">
        <v>44</v>
      </c>
    </row>
    <row r="55" spans="1:5" x14ac:dyDescent="0.25">
      <c r="A55" s="10">
        <v>40909</v>
      </c>
      <c r="B55" t="s">
        <v>498</v>
      </c>
      <c r="C55" s="18">
        <v>154</v>
      </c>
      <c r="D55" s="18">
        <v>46</v>
      </c>
      <c r="E55" s="18">
        <v>56</v>
      </c>
    </row>
    <row r="56" spans="1:5" x14ac:dyDescent="0.25">
      <c r="A56" s="10">
        <v>41000</v>
      </c>
      <c r="B56" t="s">
        <v>499</v>
      </c>
      <c r="C56" s="18">
        <v>154</v>
      </c>
      <c r="D56" s="18">
        <v>46</v>
      </c>
      <c r="E56" s="18">
        <v>56</v>
      </c>
    </row>
    <row r="57" spans="1:5" x14ac:dyDescent="0.25">
      <c r="A57" s="10">
        <v>41091</v>
      </c>
      <c r="B57" t="s">
        <v>500</v>
      </c>
      <c r="C57" s="18">
        <v>154</v>
      </c>
      <c r="D57" s="18">
        <v>46</v>
      </c>
      <c r="E57" s="18">
        <v>56</v>
      </c>
    </row>
    <row r="58" spans="1:5" x14ac:dyDescent="0.25">
      <c r="A58" s="10">
        <v>41183</v>
      </c>
      <c r="B58" t="s">
        <v>501</v>
      </c>
      <c r="C58" s="18">
        <v>154</v>
      </c>
      <c r="D58" s="18">
        <v>46</v>
      </c>
      <c r="E58" s="18">
        <v>56</v>
      </c>
    </row>
    <row r="59" spans="1:5" x14ac:dyDescent="0.25">
      <c r="A59" s="10">
        <v>41275</v>
      </c>
      <c r="B59" t="s">
        <v>502</v>
      </c>
      <c r="C59" s="18">
        <v>150</v>
      </c>
      <c r="D59" s="18">
        <v>40</v>
      </c>
      <c r="E59" s="18">
        <v>48</v>
      </c>
    </row>
    <row r="60" spans="1:5" x14ac:dyDescent="0.25">
      <c r="A60" s="10">
        <v>41365</v>
      </c>
      <c r="B60" t="s">
        <v>503</v>
      </c>
      <c r="C60" s="18">
        <v>150</v>
      </c>
      <c r="D60" s="18">
        <v>40</v>
      </c>
      <c r="E60" s="18">
        <v>48</v>
      </c>
    </row>
    <row r="61" spans="1:5" x14ac:dyDescent="0.25">
      <c r="A61" s="10">
        <v>41456</v>
      </c>
      <c r="B61" t="s">
        <v>504</v>
      </c>
      <c r="C61" s="18">
        <v>150</v>
      </c>
      <c r="D61" s="18">
        <v>40</v>
      </c>
      <c r="E61" s="18">
        <v>48</v>
      </c>
    </row>
    <row r="62" spans="1:5" x14ac:dyDescent="0.25">
      <c r="A62" s="10">
        <v>41548</v>
      </c>
      <c r="B62" t="s">
        <v>505</v>
      </c>
      <c r="C62" s="18">
        <v>150</v>
      </c>
      <c r="D62" s="18">
        <v>40</v>
      </c>
      <c r="E62" s="18">
        <v>48</v>
      </c>
    </row>
    <row r="63" spans="1:5" x14ac:dyDescent="0.25">
      <c r="A63" s="10">
        <v>41640</v>
      </c>
      <c r="B63" t="s">
        <v>506</v>
      </c>
      <c r="C63" s="18">
        <v>157</v>
      </c>
      <c r="D63" s="18">
        <v>35</v>
      </c>
      <c r="E63" s="18">
        <v>45</v>
      </c>
    </row>
    <row r="64" spans="1:5" x14ac:dyDescent="0.25">
      <c r="A64" s="10">
        <v>41730</v>
      </c>
      <c r="B64" t="s">
        <v>507</v>
      </c>
      <c r="C64" s="18">
        <v>157</v>
      </c>
      <c r="D64" s="18">
        <v>35</v>
      </c>
      <c r="E64" s="18">
        <v>45</v>
      </c>
    </row>
    <row r="65" spans="1:5" x14ac:dyDescent="0.25">
      <c r="A65" s="10">
        <v>41821</v>
      </c>
      <c r="B65" t="s">
        <v>508</v>
      </c>
      <c r="C65" s="18">
        <v>157</v>
      </c>
      <c r="D65" s="18">
        <v>35</v>
      </c>
      <c r="E65" s="18">
        <v>45</v>
      </c>
    </row>
    <row r="66" spans="1:5" x14ac:dyDescent="0.25">
      <c r="A66" s="10">
        <v>41913</v>
      </c>
      <c r="B66" t="s">
        <v>509</v>
      </c>
      <c r="C66" s="18">
        <v>157</v>
      </c>
      <c r="D66" s="18">
        <v>35</v>
      </c>
      <c r="E66" s="18">
        <v>45</v>
      </c>
    </row>
    <row r="67" spans="1:5" x14ac:dyDescent="0.25">
      <c r="A67" s="10">
        <v>42005</v>
      </c>
      <c r="B67" t="s">
        <v>510</v>
      </c>
      <c r="C67" s="18">
        <v>153</v>
      </c>
      <c r="D67" s="18">
        <v>34</v>
      </c>
      <c r="E67" s="18">
        <v>42</v>
      </c>
    </row>
    <row r="68" spans="1:5" x14ac:dyDescent="0.25">
      <c r="A68" s="10">
        <v>42095</v>
      </c>
      <c r="B68" t="s">
        <v>511</v>
      </c>
      <c r="C68" s="18">
        <v>153</v>
      </c>
      <c r="D68" s="18">
        <v>34</v>
      </c>
      <c r="E68" s="18">
        <v>42</v>
      </c>
    </row>
    <row r="69" spans="1:5" x14ac:dyDescent="0.25">
      <c r="A69" s="10">
        <v>42186</v>
      </c>
      <c r="B69" t="s">
        <v>512</v>
      </c>
      <c r="C69" s="18">
        <v>153</v>
      </c>
      <c r="D69" s="18">
        <v>34</v>
      </c>
      <c r="E69" s="18">
        <v>42</v>
      </c>
    </row>
    <row r="70" spans="1:5" x14ac:dyDescent="0.25">
      <c r="A70" s="10">
        <v>42278</v>
      </c>
      <c r="B70" t="s">
        <v>513</v>
      </c>
      <c r="C70" s="18">
        <v>153</v>
      </c>
      <c r="D70" s="18">
        <v>34</v>
      </c>
      <c r="E70" s="18">
        <v>42</v>
      </c>
    </row>
    <row r="71" spans="1:5" x14ac:dyDescent="0.25">
      <c r="A71" s="10">
        <v>42370</v>
      </c>
      <c r="B71" t="s">
        <v>514</v>
      </c>
      <c r="C71" s="18">
        <v>145</v>
      </c>
      <c r="D71" s="18">
        <v>32</v>
      </c>
      <c r="E71" s="18">
        <v>35</v>
      </c>
    </row>
    <row r="72" spans="1:5" x14ac:dyDescent="0.25">
      <c r="A72" s="10">
        <v>42461</v>
      </c>
      <c r="B72" t="s">
        <v>515</v>
      </c>
      <c r="C72" s="18">
        <v>145</v>
      </c>
      <c r="D72" s="18">
        <v>32</v>
      </c>
      <c r="E72" s="18">
        <v>35</v>
      </c>
    </row>
    <row r="73" spans="1:5" x14ac:dyDescent="0.25">
      <c r="A73" s="10">
        <v>42552</v>
      </c>
      <c r="B73" t="s">
        <v>516</v>
      </c>
      <c r="C73" s="18">
        <v>145</v>
      </c>
      <c r="D73" s="18">
        <v>32</v>
      </c>
      <c r="E73" s="18">
        <v>35</v>
      </c>
    </row>
    <row r="74" spans="1:5" x14ac:dyDescent="0.25">
      <c r="A74" s="10">
        <v>42644</v>
      </c>
      <c r="B74" t="s">
        <v>517</v>
      </c>
      <c r="C74" s="18">
        <v>145</v>
      </c>
      <c r="D74" s="18">
        <v>32</v>
      </c>
      <c r="E74" s="18">
        <v>35</v>
      </c>
    </row>
    <row r="75" spans="1:5" x14ac:dyDescent="0.25">
      <c r="A75" s="10">
        <v>42736</v>
      </c>
      <c r="B75" t="s">
        <v>518</v>
      </c>
      <c r="C75" s="18">
        <v>145</v>
      </c>
      <c r="D75" s="18">
        <v>32.666666666666664</v>
      </c>
      <c r="E75" s="18">
        <v>33.666666666666664</v>
      </c>
    </row>
    <row r="76" spans="1:5" x14ac:dyDescent="0.25">
      <c r="A76" s="10">
        <v>42826</v>
      </c>
      <c r="B76" t="s">
        <v>519</v>
      </c>
      <c r="C76" s="18">
        <v>146</v>
      </c>
      <c r="D76" s="18">
        <v>33</v>
      </c>
      <c r="E76" s="18">
        <v>34</v>
      </c>
    </row>
    <row r="77" spans="1:5" x14ac:dyDescent="0.25">
      <c r="A77" s="10">
        <v>42917</v>
      </c>
      <c r="B77" t="s">
        <v>520</v>
      </c>
      <c r="C77" s="18">
        <v>146</v>
      </c>
      <c r="D77" s="18">
        <v>33</v>
      </c>
      <c r="E77" s="18">
        <v>34</v>
      </c>
    </row>
    <row r="78" spans="1:5" x14ac:dyDescent="0.25">
      <c r="A78" s="10">
        <v>43009</v>
      </c>
      <c r="B78" t="s">
        <v>521</v>
      </c>
      <c r="C78" s="18">
        <v>146</v>
      </c>
      <c r="D78" s="18">
        <v>33</v>
      </c>
      <c r="E78" s="18">
        <v>34</v>
      </c>
    </row>
    <row r="79" spans="1:5" x14ac:dyDescent="0.25">
      <c r="A79" s="10">
        <v>43101</v>
      </c>
      <c r="B79" t="s">
        <v>522</v>
      </c>
      <c r="C79" s="18">
        <v>142.66666666666666</v>
      </c>
      <c r="D79" s="18">
        <v>30.666666666666668</v>
      </c>
      <c r="E79" s="18">
        <v>34</v>
      </c>
    </row>
    <row r="80" spans="1:5" x14ac:dyDescent="0.25">
      <c r="A80" s="10">
        <v>43191</v>
      </c>
      <c r="B80" t="s">
        <v>523</v>
      </c>
      <c r="C80" s="18">
        <v>143</v>
      </c>
      <c r="D80" s="18">
        <v>31</v>
      </c>
      <c r="E80" s="18">
        <v>34</v>
      </c>
    </row>
    <row r="81" spans="1:5" x14ac:dyDescent="0.25">
      <c r="A81" s="10">
        <v>43282</v>
      </c>
      <c r="B81" t="s">
        <v>524</v>
      </c>
      <c r="C81" s="18">
        <v>143</v>
      </c>
      <c r="D81" s="18">
        <v>31</v>
      </c>
      <c r="E81" s="18">
        <v>34</v>
      </c>
    </row>
    <row r="82" spans="1:5" x14ac:dyDescent="0.25">
      <c r="A82" s="10">
        <v>43374</v>
      </c>
      <c r="B82" t="s">
        <v>525</v>
      </c>
      <c r="C82" s="18">
        <v>143</v>
      </c>
      <c r="D82" s="18">
        <v>31</v>
      </c>
      <c r="E82" s="18">
        <v>34</v>
      </c>
    </row>
    <row r="83" spans="1:5" x14ac:dyDescent="0.25">
      <c r="A83" s="10">
        <v>43466</v>
      </c>
      <c r="B83" t="s">
        <v>526</v>
      </c>
      <c r="C83" s="18">
        <v>140</v>
      </c>
      <c r="D83" s="18">
        <v>30</v>
      </c>
      <c r="E83" s="18">
        <v>31.666666666666668</v>
      </c>
    </row>
    <row r="84" spans="1:5" x14ac:dyDescent="0.25">
      <c r="A84" s="10">
        <v>43556</v>
      </c>
      <c r="B84" t="s">
        <v>527</v>
      </c>
      <c r="C84" s="18">
        <v>140</v>
      </c>
      <c r="D84" s="18">
        <v>30</v>
      </c>
      <c r="E84" s="18">
        <v>31</v>
      </c>
    </row>
    <row r="85" spans="1:5" x14ac:dyDescent="0.25">
      <c r="A85" s="10">
        <v>43647</v>
      </c>
      <c r="B85" t="s">
        <v>528</v>
      </c>
      <c r="C85" s="18">
        <v>140</v>
      </c>
      <c r="D85" s="18">
        <v>30</v>
      </c>
      <c r="E85" s="18">
        <v>31</v>
      </c>
    </row>
    <row r="86" spans="1:5" x14ac:dyDescent="0.25">
      <c r="A86" s="10">
        <v>43739</v>
      </c>
      <c r="B86" t="s">
        <v>529</v>
      </c>
      <c r="C86" s="18">
        <v>140</v>
      </c>
      <c r="D86" s="18">
        <v>30</v>
      </c>
      <c r="E86" s="18">
        <v>31</v>
      </c>
    </row>
    <row r="87" spans="1:5" x14ac:dyDescent="0.25">
      <c r="A87" s="10">
        <v>43831</v>
      </c>
      <c r="B87" t="s">
        <v>530</v>
      </c>
      <c r="C87" s="18">
        <v>138.66666666666666</v>
      </c>
      <c r="D87" s="18">
        <v>31</v>
      </c>
      <c r="E87" s="18">
        <v>32.666666666666664</v>
      </c>
    </row>
    <row r="88" spans="1:5" x14ac:dyDescent="0.25">
      <c r="A88" s="10">
        <v>43922</v>
      </c>
      <c r="B88" t="s">
        <v>531</v>
      </c>
      <c r="C88" s="18">
        <v>139</v>
      </c>
      <c r="D88" s="18">
        <v>31</v>
      </c>
      <c r="E88" s="18">
        <v>33</v>
      </c>
    </row>
    <row r="89" spans="1:5" x14ac:dyDescent="0.25">
      <c r="A89" s="10">
        <v>44013</v>
      </c>
      <c r="B89" t="s">
        <v>532</v>
      </c>
      <c r="C89" s="18">
        <v>139</v>
      </c>
      <c r="D89" s="18">
        <v>31</v>
      </c>
      <c r="E89" s="18">
        <v>33</v>
      </c>
    </row>
    <row r="90" spans="1:5" x14ac:dyDescent="0.25">
      <c r="A90" s="10">
        <v>44105</v>
      </c>
      <c r="B90" t="s">
        <v>533</v>
      </c>
      <c r="C90" s="18">
        <v>139</v>
      </c>
      <c r="D90" s="18">
        <v>31</v>
      </c>
      <c r="E90" s="18">
        <v>33</v>
      </c>
    </row>
    <row r="91" spans="1:5" x14ac:dyDescent="0.25">
      <c r="A91" s="10">
        <v>44197</v>
      </c>
      <c r="B91" t="s">
        <v>534</v>
      </c>
      <c r="C91" s="18">
        <v>158.66666666666666</v>
      </c>
      <c r="D91" s="18">
        <v>26.666666666666668</v>
      </c>
      <c r="E91" s="18">
        <v>33</v>
      </c>
    </row>
    <row r="92" spans="1:5" x14ac:dyDescent="0.25">
      <c r="A92" s="10">
        <v>44287</v>
      </c>
      <c r="B92" t="s">
        <v>535</v>
      </c>
      <c r="C92" s="18">
        <v>159</v>
      </c>
      <c r="D92" s="18">
        <v>27</v>
      </c>
      <c r="E92" s="18">
        <v>33</v>
      </c>
    </row>
    <row r="93" spans="1:5" x14ac:dyDescent="0.25">
      <c r="A93" s="10">
        <v>44378</v>
      </c>
      <c r="B93" t="s">
        <v>536</v>
      </c>
      <c r="C93" s="18">
        <v>159</v>
      </c>
      <c r="D93" s="18">
        <v>27</v>
      </c>
      <c r="E93" s="18">
        <v>33</v>
      </c>
    </row>
    <row r="94" spans="1:5" x14ac:dyDescent="0.25">
      <c r="A94" s="10">
        <v>44470</v>
      </c>
      <c r="B94" t="s">
        <v>537</v>
      </c>
      <c r="C94" s="18">
        <v>159</v>
      </c>
      <c r="D94" s="18">
        <v>27</v>
      </c>
      <c r="E94" s="18">
        <v>33</v>
      </c>
    </row>
    <row r="95" spans="1:5" x14ac:dyDescent="0.25">
      <c r="A95" s="10">
        <v>44562</v>
      </c>
      <c r="B95" t="s">
        <v>538</v>
      </c>
      <c r="C95" s="18">
        <v>165</v>
      </c>
      <c r="D95" s="18">
        <v>31</v>
      </c>
      <c r="E95" s="18">
        <v>36</v>
      </c>
    </row>
    <row r="96" spans="1:5" x14ac:dyDescent="0.25">
      <c r="A96" s="10">
        <v>44652</v>
      </c>
      <c r="B96" t="s">
        <v>539</v>
      </c>
      <c r="C96" s="18">
        <v>166</v>
      </c>
      <c r="D96" s="18">
        <v>31</v>
      </c>
      <c r="E96" s="18">
        <v>36</v>
      </c>
    </row>
    <row r="97" spans="1:5" x14ac:dyDescent="0.25">
      <c r="A97" s="10">
        <v>44743</v>
      </c>
      <c r="B97" t="s">
        <v>540</v>
      </c>
      <c r="C97" s="18">
        <v>166</v>
      </c>
      <c r="D97" s="18">
        <v>31</v>
      </c>
      <c r="E97" s="18">
        <v>36</v>
      </c>
    </row>
    <row r="98" spans="1:5" x14ac:dyDescent="0.25">
      <c r="A98" s="10">
        <v>44835</v>
      </c>
      <c r="B98" t="s">
        <v>541</v>
      </c>
      <c r="C98" s="18">
        <v>166</v>
      </c>
      <c r="D98" s="18">
        <v>31</v>
      </c>
      <c r="E98" s="18">
        <v>36</v>
      </c>
    </row>
    <row r="99" spans="1:5" x14ac:dyDescent="0.25">
      <c r="A99" s="10">
        <v>44927</v>
      </c>
      <c r="B99" t="s">
        <v>542</v>
      </c>
      <c r="C99" s="18">
        <v>160.33333333333334</v>
      </c>
      <c r="D99" s="18">
        <v>31.333333333333332</v>
      </c>
      <c r="E99" s="18">
        <v>48.666666666666664</v>
      </c>
    </row>
    <row r="100" spans="1:5" x14ac:dyDescent="0.25">
      <c r="A100" s="10">
        <v>45017</v>
      </c>
      <c r="B100" t="s">
        <v>543</v>
      </c>
      <c r="C100" s="18">
        <v>161</v>
      </c>
      <c r="D100" s="18">
        <v>31</v>
      </c>
      <c r="E100" s="18">
        <v>49</v>
      </c>
    </row>
    <row r="101" spans="1:5" x14ac:dyDescent="0.25">
      <c r="A101" s="10">
        <v>45108</v>
      </c>
      <c r="B101" t="s">
        <v>544</v>
      </c>
      <c r="C101" s="18">
        <v>161</v>
      </c>
      <c r="D101" s="18">
        <v>31</v>
      </c>
      <c r="E101" s="18">
        <v>49</v>
      </c>
    </row>
    <row r="102" spans="1:5" x14ac:dyDescent="0.25">
      <c r="A102" s="10">
        <v>45200</v>
      </c>
      <c r="B102" t="s">
        <v>545</v>
      </c>
      <c r="C102" s="18">
        <v>161</v>
      </c>
      <c r="D102" s="18">
        <v>31</v>
      </c>
      <c r="E102" s="18">
        <v>49</v>
      </c>
    </row>
    <row r="103" spans="1:5" x14ac:dyDescent="0.25">
      <c r="A103" s="10">
        <v>45292</v>
      </c>
      <c r="B103" t="s">
        <v>546</v>
      </c>
      <c r="C103" s="18">
        <v>151.86189999999999</v>
      </c>
      <c r="D103" s="18">
        <v>31.012600000000003</v>
      </c>
      <c r="E103" s="18">
        <v>40.175466666666665</v>
      </c>
    </row>
    <row r="104" spans="1:5" x14ac:dyDescent="0.25">
      <c r="A104" s="10">
        <v>45383</v>
      </c>
      <c r="B104" t="s">
        <v>547</v>
      </c>
      <c r="C104" s="18">
        <v>152.29560000000001</v>
      </c>
      <c r="D104" s="18">
        <v>30.8627</v>
      </c>
      <c r="E104" s="18">
        <v>40.887999999999998</v>
      </c>
    </row>
    <row r="105" spans="1:5" x14ac:dyDescent="0.25">
      <c r="A105" s="10">
        <v>45474</v>
      </c>
      <c r="B105" t="s">
        <v>548</v>
      </c>
      <c r="C105" s="18">
        <v>152.29560000000001</v>
      </c>
      <c r="D105" s="18">
        <v>30.8627</v>
      </c>
      <c r="E105" s="18">
        <v>40.887999999999998</v>
      </c>
    </row>
    <row r="106" spans="1:5" x14ac:dyDescent="0.25">
      <c r="A106" s="10">
        <v>45566</v>
      </c>
      <c r="B106" t="s">
        <v>549</v>
      </c>
      <c r="C106" s="18">
        <v>152.29560000000001</v>
      </c>
      <c r="D106" s="18">
        <v>30.8627</v>
      </c>
      <c r="E106" s="18">
        <v>40.887999999999998</v>
      </c>
    </row>
    <row r="107" spans="1:5" x14ac:dyDescent="0.25">
      <c r="A107" s="10">
        <v>45658</v>
      </c>
      <c r="C107" s="19">
        <f>C106</f>
        <v>152.29560000000001</v>
      </c>
      <c r="D107" s="19">
        <f t="shared" ref="D107:E107" si="0">D106</f>
        <v>30.8627</v>
      </c>
      <c r="E107" s="19">
        <f t="shared" si="0"/>
        <v>40.887999999999998</v>
      </c>
    </row>
    <row r="108" spans="1:5" x14ac:dyDescent="0.25">
      <c r="A108" s="10">
        <v>45748</v>
      </c>
      <c r="C108" s="19">
        <f t="shared" ref="C108:C110" si="1">C107</f>
        <v>152.29560000000001</v>
      </c>
      <c r="D108" s="19">
        <f t="shared" ref="D108:D110" si="2">D107</f>
        <v>30.8627</v>
      </c>
      <c r="E108" s="19">
        <f t="shared" ref="E108:E110" si="3">E107</f>
        <v>40.887999999999998</v>
      </c>
    </row>
    <row r="109" spans="1:5" x14ac:dyDescent="0.25">
      <c r="A109" s="10">
        <v>45839</v>
      </c>
      <c r="C109" s="19">
        <f t="shared" si="1"/>
        <v>152.29560000000001</v>
      </c>
      <c r="D109" s="19">
        <f t="shared" si="2"/>
        <v>30.8627</v>
      </c>
      <c r="E109" s="19">
        <f t="shared" si="3"/>
        <v>40.887999999999998</v>
      </c>
    </row>
    <row r="110" spans="1:5" x14ac:dyDescent="0.25">
      <c r="A110" s="10">
        <v>45931</v>
      </c>
      <c r="C110" s="19">
        <f t="shared" si="1"/>
        <v>152.29560000000001</v>
      </c>
      <c r="D110" s="19">
        <f t="shared" si="2"/>
        <v>30.8627</v>
      </c>
      <c r="E110" s="19">
        <f t="shared" si="3"/>
        <v>40.887999999999998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1B141-A852-4C58-9582-E546A15F0000}">
  <dimension ref="A1:H422"/>
  <sheetViews>
    <sheetView workbookViewId="0">
      <pane xSplit="1" ySplit="6" topLeftCell="B384" activePane="bottomRight" state="frozen"/>
      <selection pane="topRight" activeCell="B1" sqref="B1"/>
      <selection pane="bottomLeft" activeCell="A7" sqref="A7"/>
      <selection pane="bottomRight" activeCell="H2" sqref="H2"/>
    </sheetView>
  </sheetViews>
  <sheetFormatPr defaultRowHeight="15" x14ac:dyDescent="0.25"/>
  <cols>
    <col min="2" max="8" width="15.7109375" customWidth="1"/>
  </cols>
  <sheetData>
    <row r="1" spans="1:8" x14ac:dyDescent="0.25">
      <c r="A1" s="1" t="s">
        <v>593</v>
      </c>
      <c r="B1" t="s">
        <v>589</v>
      </c>
      <c r="C1" t="s">
        <v>590</v>
      </c>
      <c r="D1" t="s">
        <v>591</v>
      </c>
      <c r="E1" t="s">
        <v>592</v>
      </c>
      <c r="F1" t="s">
        <v>1028</v>
      </c>
      <c r="G1" t="s">
        <v>1026</v>
      </c>
      <c r="H1" t="s">
        <v>1027</v>
      </c>
    </row>
    <row r="2" spans="1:8" s="12" customFormat="1" ht="105" x14ac:dyDescent="0.25">
      <c r="A2" s="12" t="s">
        <v>441</v>
      </c>
      <c r="B2" s="12" t="s">
        <v>599</v>
      </c>
      <c r="C2" s="12" t="s">
        <v>600</v>
      </c>
      <c r="D2" s="12" t="s">
        <v>603</v>
      </c>
      <c r="E2" s="12" t="s">
        <v>604</v>
      </c>
      <c r="F2" s="12" t="s">
        <v>1030</v>
      </c>
      <c r="G2" s="12" t="s">
        <v>1032</v>
      </c>
      <c r="H2" s="12" t="s">
        <v>1033</v>
      </c>
    </row>
    <row r="3" spans="1:8" x14ac:dyDescent="0.25">
      <c r="A3" t="s">
        <v>440</v>
      </c>
      <c r="B3" t="s">
        <v>598</v>
      </c>
      <c r="C3" t="s">
        <v>598</v>
      </c>
      <c r="D3" t="s">
        <v>602</v>
      </c>
      <c r="E3" t="s">
        <v>602</v>
      </c>
      <c r="F3" t="s">
        <v>1029</v>
      </c>
      <c r="G3" t="s">
        <v>1031</v>
      </c>
      <c r="H3" t="s">
        <v>1031</v>
      </c>
    </row>
    <row r="4" spans="1:8" x14ac:dyDescent="0.25">
      <c r="A4" t="s">
        <v>439</v>
      </c>
      <c r="B4" t="s">
        <v>597</v>
      </c>
      <c r="C4" t="s">
        <v>597</v>
      </c>
      <c r="D4" t="s">
        <v>1038</v>
      </c>
      <c r="E4" t="s">
        <v>1038</v>
      </c>
      <c r="F4" t="s">
        <v>1038</v>
      </c>
      <c r="G4" t="s">
        <v>597</v>
      </c>
      <c r="H4" t="s">
        <v>597</v>
      </c>
    </row>
    <row r="5" spans="1:8" x14ac:dyDescent="0.25">
      <c r="A5" t="s">
        <v>438</v>
      </c>
      <c r="B5" t="s">
        <v>596</v>
      </c>
      <c r="C5" t="s">
        <v>596</v>
      </c>
      <c r="D5" t="s">
        <v>601</v>
      </c>
      <c r="E5" t="s">
        <v>601</v>
      </c>
      <c r="F5" t="s">
        <v>596</v>
      </c>
      <c r="G5" t="s">
        <v>596</v>
      </c>
      <c r="H5" t="s">
        <v>596</v>
      </c>
    </row>
    <row r="6" spans="1:8" x14ac:dyDescent="0.25">
      <c r="A6" t="s">
        <v>437</v>
      </c>
      <c r="B6" t="s">
        <v>595</v>
      </c>
      <c r="C6" t="s">
        <v>595</v>
      </c>
      <c r="D6" t="s">
        <v>1037</v>
      </c>
      <c r="E6" t="s">
        <v>1037</v>
      </c>
      <c r="F6" t="s">
        <v>1039</v>
      </c>
      <c r="G6" t="s">
        <v>1040</v>
      </c>
      <c r="H6" t="s">
        <v>1040</v>
      </c>
    </row>
    <row r="7" spans="1:8" x14ac:dyDescent="0.25">
      <c r="A7" t="s">
        <v>594</v>
      </c>
      <c r="B7" s="16" t="e">
        <v>#N/A</v>
      </c>
      <c r="C7" s="16" t="e">
        <v>#N/A</v>
      </c>
      <c r="D7" s="18" t="e">
        <v>#N/A</v>
      </c>
      <c r="E7" s="18" t="e">
        <v>#N/A</v>
      </c>
      <c r="F7" s="18">
        <v>14.875</v>
      </c>
      <c r="G7" s="16" t="e">
        <v>#N/A</v>
      </c>
      <c r="H7" s="16" t="e">
        <v>#N/A</v>
      </c>
    </row>
    <row r="8" spans="1:8" x14ac:dyDescent="0.25">
      <c r="A8" t="s">
        <v>605</v>
      </c>
      <c r="B8" s="16" t="e">
        <v>#N/A</v>
      </c>
      <c r="C8" s="16" t="e">
        <v>#N/A</v>
      </c>
      <c r="D8" s="18" t="e">
        <v>#N/A</v>
      </c>
      <c r="E8" s="18" t="e">
        <v>#N/A</v>
      </c>
      <c r="F8" s="18">
        <v>14.875</v>
      </c>
      <c r="G8" s="16" t="e">
        <v>#N/A</v>
      </c>
      <c r="H8" s="16" t="e">
        <v>#N/A</v>
      </c>
    </row>
    <row r="9" spans="1:8" x14ac:dyDescent="0.25">
      <c r="A9" t="s">
        <v>606</v>
      </c>
      <c r="B9" s="16" t="e">
        <v>#N/A</v>
      </c>
      <c r="C9" s="16" t="e">
        <v>#N/A</v>
      </c>
      <c r="D9" s="18" t="e">
        <v>#N/A</v>
      </c>
      <c r="E9" s="18" t="e">
        <v>#N/A</v>
      </c>
      <c r="F9" s="18">
        <v>14.875</v>
      </c>
      <c r="G9" s="16" t="e">
        <v>#N/A</v>
      </c>
      <c r="H9" s="16" t="e">
        <v>#N/A</v>
      </c>
    </row>
    <row r="10" spans="1:8" x14ac:dyDescent="0.25">
      <c r="A10" t="s">
        <v>607</v>
      </c>
      <c r="B10" s="16" t="e">
        <v>#N/A</v>
      </c>
      <c r="C10" s="16" t="e">
        <v>#N/A</v>
      </c>
      <c r="D10" s="18" t="e">
        <v>#N/A</v>
      </c>
      <c r="E10" s="18" t="e">
        <v>#N/A</v>
      </c>
      <c r="F10" s="18">
        <v>14.875</v>
      </c>
      <c r="G10" s="16" t="e">
        <v>#N/A</v>
      </c>
      <c r="H10" s="16" t="e">
        <v>#N/A</v>
      </c>
    </row>
    <row r="11" spans="1:8" x14ac:dyDescent="0.25">
      <c r="A11" t="s">
        <v>608</v>
      </c>
      <c r="B11" s="16" t="e">
        <v>#N/A</v>
      </c>
      <c r="C11" s="16" t="e">
        <v>#N/A</v>
      </c>
      <c r="D11" s="18" t="e">
        <v>#N/A</v>
      </c>
      <c r="E11" s="18" t="e">
        <v>#N/A</v>
      </c>
      <c r="F11" s="18">
        <v>14.875</v>
      </c>
      <c r="G11" s="16" t="e">
        <v>#N/A</v>
      </c>
      <c r="H11" s="16" t="e">
        <v>#N/A</v>
      </c>
    </row>
    <row r="12" spans="1:8" x14ac:dyDescent="0.25">
      <c r="A12" t="s">
        <v>609</v>
      </c>
      <c r="B12" s="16" t="e">
        <v>#N/A</v>
      </c>
      <c r="C12" s="16" t="e">
        <v>#N/A</v>
      </c>
      <c r="D12" s="18" t="e">
        <v>#N/A</v>
      </c>
      <c r="E12" s="18" t="e">
        <v>#N/A</v>
      </c>
      <c r="F12" s="18">
        <v>14.875</v>
      </c>
      <c r="G12" s="16" t="e">
        <v>#N/A</v>
      </c>
      <c r="H12" s="16" t="e">
        <v>#N/A</v>
      </c>
    </row>
    <row r="13" spans="1:8" x14ac:dyDescent="0.25">
      <c r="A13" t="s">
        <v>610</v>
      </c>
      <c r="B13" s="16" t="e">
        <v>#N/A</v>
      </c>
      <c r="C13" s="16" t="e">
        <v>#N/A</v>
      </c>
      <c r="D13" s="18" t="e">
        <v>#N/A</v>
      </c>
      <c r="E13" s="18" t="e">
        <v>#N/A</v>
      </c>
      <c r="F13" s="18">
        <v>14.875</v>
      </c>
      <c r="G13" s="16" t="e">
        <v>#N/A</v>
      </c>
      <c r="H13" s="16" t="e">
        <v>#N/A</v>
      </c>
    </row>
    <row r="14" spans="1:8" x14ac:dyDescent="0.25">
      <c r="A14" t="s">
        <v>611</v>
      </c>
      <c r="B14" s="16" t="e">
        <v>#N/A</v>
      </c>
      <c r="C14" s="16" t="e">
        <v>#N/A</v>
      </c>
      <c r="D14" s="18" t="e">
        <v>#N/A</v>
      </c>
      <c r="E14" s="18" t="e">
        <v>#N/A</v>
      </c>
      <c r="F14" s="18">
        <v>14.875</v>
      </c>
      <c r="G14" s="16" t="e">
        <v>#N/A</v>
      </c>
      <c r="H14" s="16" t="e">
        <v>#N/A</v>
      </c>
    </row>
    <row r="15" spans="1:8" x14ac:dyDescent="0.25">
      <c r="A15" t="s">
        <v>612</v>
      </c>
      <c r="B15" s="16" t="e">
        <v>#N/A</v>
      </c>
      <c r="C15" s="16" t="e">
        <v>#N/A</v>
      </c>
      <c r="D15" s="18" t="e">
        <v>#N/A</v>
      </c>
      <c r="E15" s="18" t="e">
        <v>#N/A</v>
      </c>
      <c r="F15" s="18">
        <v>14.875</v>
      </c>
      <c r="G15" s="16" t="e">
        <v>#N/A</v>
      </c>
      <c r="H15" s="16" t="e">
        <v>#N/A</v>
      </c>
    </row>
    <row r="16" spans="1:8" x14ac:dyDescent="0.25">
      <c r="A16" t="s">
        <v>613</v>
      </c>
      <c r="B16" s="16" t="e">
        <v>#N/A</v>
      </c>
      <c r="C16" s="16" t="e">
        <v>#N/A</v>
      </c>
      <c r="D16" s="18" t="e">
        <v>#N/A</v>
      </c>
      <c r="E16" s="18" t="e">
        <v>#N/A</v>
      </c>
      <c r="F16" s="18">
        <v>14.092391304347826</v>
      </c>
      <c r="G16" s="16" t="e">
        <v>#N/A</v>
      </c>
      <c r="H16" s="16" t="e">
        <v>#N/A</v>
      </c>
    </row>
    <row r="17" spans="1:8" x14ac:dyDescent="0.25">
      <c r="A17" t="s">
        <v>614</v>
      </c>
      <c r="B17" s="16" t="e">
        <v>#N/A</v>
      </c>
      <c r="C17" s="16" t="e">
        <v>#N/A</v>
      </c>
      <c r="D17" s="18" t="e">
        <v>#N/A</v>
      </c>
      <c r="E17" s="18" t="e">
        <v>#N/A</v>
      </c>
      <c r="F17" s="18">
        <v>13.875</v>
      </c>
      <c r="G17" s="16" t="e">
        <v>#N/A</v>
      </c>
      <c r="H17" s="16" t="e">
        <v>#N/A</v>
      </c>
    </row>
    <row r="18" spans="1:8" x14ac:dyDescent="0.25">
      <c r="A18" t="s">
        <v>615</v>
      </c>
      <c r="B18" s="16" t="e">
        <v>#N/A</v>
      </c>
      <c r="C18" s="16" t="e">
        <v>#N/A</v>
      </c>
      <c r="D18" s="18" t="e">
        <v>#N/A</v>
      </c>
      <c r="E18" s="18" t="e">
        <v>#N/A</v>
      </c>
      <c r="F18" s="18">
        <v>13.875</v>
      </c>
      <c r="G18" s="16" t="e">
        <v>#N/A</v>
      </c>
      <c r="H18" s="16" t="e">
        <v>#N/A</v>
      </c>
    </row>
    <row r="19" spans="1:8" x14ac:dyDescent="0.25">
      <c r="A19" t="s">
        <v>616</v>
      </c>
      <c r="B19" s="16" t="e">
        <v>#N/A</v>
      </c>
      <c r="C19" s="16" t="e">
        <v>#N/A</v>
      </c>
      <c r="D19" s="18" t="e">
        <v>#N/A</v>
      </c>
      <c r="E19" s="18" t="e">
        <v>#N/A</v>
      </c>
      <c r="F19" s="18">
        <v>13.875</v>
      </c>
      <c r="G19" s="16" t="e">
        <v>#N/A</v>
      </c>
      <c r="H19" s="16" t="e">
        <v>#N/A</v>
      </c>
    </row>
    <row r="20" spans="1:8" x14ac:dyDescent="0.25">
      <c r="A20" t="s">
        <v>617</v>
      </c>
      <c r="B20" s="16" t="e">
        <v>#N/A</v>
      </c>
      <c r="C20" s="16" t="e">
        <v>#N/A</v>
      </c>
      <c r="D20" s="18" t="e">
        <v>#N/A</v>
      </c>
      <c r="E20" s="18" t="e">
        <v>#N/A</v>
      </c>
      <c r="F20" s="18">
        <v>13.525</v>
      </c>
      <c r="G20" s="16" t="e">
        <v>#N/A</v>
      </c>
      <c r="H20" s="16" t="e">
        <v>#N/A</v>
      </c>
    </row>
    <row r="21" spans="1:8" x14ac:dyDescent="0.25">
      <c r="A21" t="s">
        <v>618</v>
      </c>
      <c r="B21" s="16" t="e">
        <v>#N/A</v>
      </c>
      <c r="C21" s="16" t="e">
        <v>#N/A</v>
      </c>
      <c r="D21" s="18" t="e">
        <v>#N/A</v>
      </c>
      <c r="E21" s="18" t="e">
        <v>#N/A</v>
      </c>
      <c r="F21" s="18">
        <v>12.732142857142858</v>
      </c>
      <c r="G21" s="16" t="e">
        <v>#N/A</v>
      </c>
      <c r="H21" s="16" t="e">
        <v>#N/A</v>
      </c>
    </row>
    <row r="22" spans="1:8" x14ac:dyDescent="0.25">
      <c r="A22" t="s">
        <v>619</v>
      </c>
      <c r="B22" s="16" t="e">
        <v>#N/A</v>
      </c>
      <c r="C22" s="16" t="e">
        <v>#N/A</v>
      </c>
      <c r="D22" s="18" t="e">
        <v>#N/A</v>
      </c>
      <c r="E22" s="18" t="e">
        <v>#N/A</v>
      </c>
      <c r="F22" s="18">
        <v>12.079545454545455</v>
      </c>
      <c r="G22" s="16" t="e">
        <v>#N/A</v>
      </c>
      <c r="H22" s="16" t="e">
        <v>#N/A</v>
      </c>
    </row>
    <row r="23" spans="1:8" x14ac:dyDescent="0.25">
      <c r="A23" t="s">
        <v>620</v>
      </c>
      <c r="B23" s="16" t="e">
        <v>#N/A</v>
      </c>
      <c r="C23" s="16" t="e">
        <v>#N/A</v>
      </c>
      <c r="D23" s="18" t="e">
        <v>#N/A</v>
      </c>
      <c r="E23" s="18" t="e">
        <v>#N/A</v>
      </c>
      <c r="F23" s="18">
        <v>11.744565217391305</v>
      </c>
      <c r="G23" s="16" t="e">
        <v>#N/A</v>
      </c>
      <c r="H23" s="16" t="e">
        <v>#N/A</v>
      </c>
    </row>
    <row r="24" spans="1:8" x14ac:dyDescent="0.25">
      <c r="A24" t="s">
        <v>621</v>
      </c>
      <c r="B24" s="16" t="e">
        <v>#N/A</v>
      </c>
      <c r="C24" s="16" t="e">
        <v>#N/A</v>
      </c>
      <c r="D24" s="18" t="e">
        <v>#N/A</v>
      </c>
      <c r="E24" s="18" t="e">
        <v>#N/A</v>
      </c>
      <c r="F24" s="18">
        <v>11.375</v>
      </c>
      <c r="G24" s="16" t="e">
        <v>#N/A</v>
      </c>
      <c r="H24" s="16" t="e">
        <v>#N/A</v>
      </c>
    </row>
    <row r="25" spans="1:8" x14ac:dyDescent="0.25">
      <c r="A25" t="s">
        <v>622</v>
      </c>
      <c r="B25" s="16" t="e">
        <v>#N/A</v>
      </c>
      <c r="C25" s="16" t="e">
        <v>#N/A</v>
      </c>
      <c r="D25" s="18" t="e">
        <v>#N/A</v>
      </c>
      <c r="E25" s="18" t="e">
        <v>#N/A</v>
      </c>
      <c r="F25" s="18">
        <v>11.070652173913043</v>
      </c>
      <c r="G25" s="16" t="e">
        <v>#N/A</v>
      </c>
      <c r="H25" s="16" t="e">
        <v>#N/A</v>
      </c>
    </row>
    <row r="26" spans="1:8" x14ac:dyDescent="0.25">
      <c r="A26" t="s">
        <v>623</v>
      </c>
      <c r="B26" s="16" t="e">
        <v>#N/A</v>
      </c>
      <c r="C26" s="16" t="e">
        <v>#N/A</v>
      </c>
      <c r="D26" s="18" t="e">
        <v>#N/A</v>
      </c>
      <c r="E26" s="18" t="e">
        <v>#N/A</v>
      </c>
      <c r="F26" s="18">
        <v>10.875</v>
      </c>
      <c r="G26" s="16" t="e">
        <v>#N/A</v>
      </c>
      <c r="H26" s="16" t="e">
        <v>#N/A</v>
      </c>
    </row>
    <row r="27" spans="1:8" x14ac:dyDescent="0.25">
      <c r="A27" t="s">
        <v>624</v>
      </c>
      <c r="B27" s="16" t="e">
        <v>#N/A</v>
      </c>
      <c r="C27" s="16" t="e">
        <v>#N/A</v>
      </c>
      <c r="D27" s="18" t="e">
        <v>#N/A</v>
      </c>
      <c r="E27" s="18" t="e">
        <v>#N/A</v>
      </c>
      <c r="F27" s="18">
        <v>10.422619047619047</v>
      </c>
      <c r="G27" s="16" t="e">
        <v>#N/A</v>
      </c>
      <c r="H27" s="16" t="e">
        <v>#N/A</v>
      </c>
    </row>
    <row r="28" spans="1:8" x14ac:dyDescent="0.25">
      <c r="A28" t="s">
        <v>625</v>
      </c>
      <c r="B28" s="16" t="e">
        <v>#N/A</v>
      </c>
      <c r="C28" s="16" t="e">
        <v>#N/A</v>
      </c>
      <c r="D28" s="18" t="e">
        <v>#N/A</v>
      </c>
      <c r="E28" s="18" t="e">
        <v>#N/A</v>
      </c>
      <c r="F28" s="18">
        <v>10.375</v>
      </c>
      <c r="G28" s="16" t="e">
        <v>#N/A</v>
      </c>
      <c r="H28" s="16" t="e">
        <v>#N/A</v>
      </c>
    </row>
    <row r="29" spans="1:8" x14ac:dyDescent="0.25">
      <c r="A29" t="s">
        <v>626</v>
      </c>
      <c r="B29" s="16" t="e">
        <v>#N/A</v>
      </c>
      <c r="C29" s="16" t="e">
        <v>#N/A</v>
      </c>
      <c r="D29" s="18" t="e">
        <v>#N/A</v>
      </c>
      <c r="E29" s="18" t="e">
        <v>#N/A</v>
      </c>
      <c r="F29" s="18">
        <v>10.375</v>
      </c>
      <c r="G29" s="16" t="e">
        <v>#N/A</v>
      </c>
      <c r="H29" s="16" t="e">
        <v>#N/A</v>
      </c>
    </row>
    <row r="30" spans="1:8" x14ac:dyDescent="0.25">
      <c r="A30" t="s">
        <v>627</v>
      </c>
      <c r="B30" s="16" t="e">
        <v>#N/A</v>
      </c>
      <c r="C30" s="16" t="e">
        <v>#N/A</v>
      </c>
      <c r="D30" s="18" t="e">
        <v>#N/A</v>
      </c>
      <c r="E30" s="18" t="e">
        <v>#N/A</v>
      </c>
      <c r="F30" s="18">
        <v>10.375</v>
      </c>
      <c r="G30" s="16" t="e">
        <v>#N/A</v>
      </c>
      <c r="H30" s="16" t="e">
        <v>#N/A</v>
      </c>
    </row>
    <row r="31" spans="1:8" x14ac:dyDescent="0.25">
      <c r="A31" t="s">
        <v>628</v>
      </c>
      <c r="B31" s="16" t="e">
        <v>#N/A</v>
      </c>
      <c r="C31" s="16" t="e">
        <v>#N/A</v>
      </c>
      <c r="D31" s="18" t="e">
        <v>#N/A</v>
      </c>
      <c r="E31" s="18" t="e">
        <v>#N/A</v>
      </c>
      <c r="F31" s="18">
        <v>10.375</v>
      </c>
      <c r="G31" s="16" t="e">
        <v>#N/A</v>
      </c>
      <c r="H31" s="16" t="e">
        <v>#N/A</v>
      </c>
    </row>
    <row r="32" spans="1:8" x14ac:dyDescent="0.25">
      <c r="A32" t="s">
        <v>629</v>
      </c>
      <c r="B32" s="16" t="e">
        <v>#N/A</v>
      </c>
      <c r="C32" s="16" t="e">
        <v>#N/A</v>
      </c>
      <c r="D32" s="18" t="e">
        <v>#N/A</v>
      </c>
      <c r="E32" s="18" t="e">
        <v>#N/A</v>
      </c>
      <c r="F32" s="18">
        <v>10.375</v>
      </c>
      <c r="G32" s="16" t="e">
        <v>#N/A</v>
      </c>
      <c r="H32" s="16" t="e">
        <v>#N/A</v>
      </c>
    </row>
    <row r="33" spans="1:8" x14ac:dyDescent="0.25">
      <c r="A33" t="s">
        <v>630</v>
      </c>
      <c r="B33" s="16" t="e">
        <v>#N/A</v>
      </c>
      <c r="C33" s="16" t="e">
        <v>#N/A</v>
      </c>
      <c r="D33" s="18" t="e">
        <v>#N/A</v>
      </c>
      <c r="E33" s="18" t="e">
        <v>#N/A</v>
      </c>
      <c r="F33" s="18">
        <v>10.375</v>
      </c>
      <c r="G33" s="16" t="e">
        <v>#N/A</v>
      </c>
      <c r="H33" s="16" t="e">
        <v>#N/A</v>
      </c>
    </row>
    <row r="34" spans="1:8" x14ac:dyDescent="0.25">
      <c r="A34" t="s">
        <v>631</v>
      </c>
      <c r="B34" s="16" t="e">
        <v>#N/A</v>
      </c>
      <c r="C34" s="16" t="e">
        <v>#N/A</v>
      </c>
      <c r="D34" s="18" t="e">
        <v>#N/A</v>
      </c>
      <c r="E34" s="18" t="e">
        <v>#N/A</v>
      </c>
      <c r="F34" s="18">
        <v>10.375</v>
      </c>
      <c r="G34" s="16" t="e">
        <v>#N/A</v>
      </c>
      <c r="H34" s="16" t="e">
        <v>#N/A</v>
      </c>
    </row>
    <row r="35" spans="1:8" x14ac:dyDescent="0.25">
      <c r="A35" t="s">
        <v>632</v>
      </c>
      <c r="B35" s="16" t="e">
        <v>#N/A</v>
      </c>
      <c r="C35" s="16" t="e">
        <v>#N/A</v>
      </c>
      <c r="D35" s="18" t="e">
        <v>#N/A</v>
      </c>
      <c r="E35" s="18" t="e">
        <v>#N/A</v>
      </c>
      <c r="F35" s="18">
        <v>9.9226190476190474</v>
      </c>
      <c r="G35" s="16" t="e">
        <v>#N/A</v>
      </c>
      <c r="H35" s="16" t="e">
        <v>#N/A</v>
      </c>
    </row>
    <row r="36" spans="1:8" x14ac:dyDescent="0.25">
      <c r="A36" t="s">
        <v>633</v>
      </c>
      <c r="B36" s="16" t="e">
        <v>#N/A</v>
      </c>
      <c r="C36" s="16" t="e">
        <v>#N/A</v>
      </c>
      <c r="D36" s="18" t="e">
        <v>#N/A</v>
      </c>
      <c r="E36" s="18" t="e">
        <v>#N/A</v>
      </c>
      <c r="F36" s="18">
        <v>9.875</v>
      </c>
      <c r="G36" s="16" t="e">
        <v>#N/A</v>
      </c>
      <c r="H36" s="16" t="e">
        <v>#N/A</v>
      </c>
    </row>
    <row r="37" spans="1:8" x14ac:dyDescent="0.25">
      <c r="A37" t="s">
        <v>634</v>
      </c>
      <c r="B37" s="16" t="e">
        <v>#N/A</v>
      </c>
      <c r="C37" s="16" t="e">
        <v>#N/A</v>
      </c>
      <c r="D37" s="18" t="e">
        <v>#N/A</v>
      </c>
      <c r="E37" s="18" t="e">
        <v>#N/A</v>
      </c>
      <c r="F37" s="18">
        <v>9.875</v>
      </c>
      <c r="G37" s="16" t="e">
        <v>#N/A</v>
      </c>
      <c r="H37" s="16" t="e">
        <v>#N/A</v>
      </c>
    </row>
    <row r="38" spans="1:8" x14ac:dyDescent="0.25">
      <c r="A38" t="s">
        <v>635</v>
      </c>
      <c r="B38" s="16" t="e">
        <v>#N/A</v>
      </c>
      <c r="C38" s="16" t="e">
        <v>#N/A</v>
      </c>
      <c r="D38" s="18" t="e">
        <v>#N/A</v>
      </c>
      <c r="E38" s="18" t="e">
        <v>#N/A</v>
      </c>
      <c r="F38" s="18">
        <v>9.875</v>
      </c>
      <c r="G38" s="16" t="e">
        <v>#N/A</v>
      </c>
      <c r="H38" s="16" t="e">
        <v>#N/A</v>
      </c>
    </row>
    <row r="39" spans="1:8" x14ac:dyDescent="0.25">
      <c r="A39" t="s">
        <v>636</v>
      </c>
      <c r="B39" s="16" t="e">
        <v>#N/A</v>
      </c>
      <c r="C39" s="16" t="e">
        <v>#N/A</v>
      </c>
      <c r="D39" s="18" t="e">
        <v>#N/A</v>
      </c>
      <c r="E39" s="18" t="e">
        <v>#N/A</v>
      </c>
      <c r="F39" s="18">
        <v>9.5568181818181817</v>
      </c>
      <c r="G39" s="16" t="e">
        <v>#N/A</v>
      </c>
      <c r="H39" s="16" t="e">
        <v>#N/A</v>
      </c>
    </row>
    <row r="40" spans="1:8" x14ac:dyDescent="0.25">
      <c r="A40" t="s">
        <v>637</v>
      </c>
      <c r="B40" s="16" t="e">
        <v>#N/A</v>
      </c>
      <c r="C40" s="16" t="e">
        <v>#N/A</v>
      </c>
      <c r="D40" s="18" t="e">
        <v>#N/A</v>
      </c>
      <c r="E40" s="18" t="e">
        <v>#N/A</v>
      </c>
      <c r="F40" s="18">
        <v>8.375</v>
      </c>
      <c r="G40" s="16" t="e">
        <v>#N/A</v>
      </c>
      <c r="H40" s="16" t="e">
        <v>#N/A</v>
      </c>
    </row>
    <row r="41" spans="1:8" x14ac:dyDescent="0.25">
      <c r="A41" t="s">
        <v>638</v>
      </c>
      <c r="B41" s="16" t="e">
        <v>#N/A</v>
      </c>
      <c r="C41" s="16" t="e">
        <v>#N/A</v>
      </c>
      <c r="D41" s="18" t="e">
        <v>#N/A</v>
      </c>
      <c r="E41" s="18" t="e">
        <v>#N/A</v>
      </c>
      <c r="F41" s="18">
        <v>7.3035714285714288</v>
      </c>
      <c r="G41" s="16" t="e">
        <v>#N/A</v>
      </c>
      <c r="H41" s="16" t="e">
        <v>#N/A</v>
      </c>
    </row>
    <row r="42" spans="1:8" x14ac:dyDescent="0.25">
      <c r="A42" t="s">
        <v>639</v>
      </c>
      <c r="B42" s="16" t="e">
        <v>#N/A</v>
      </c>
      <c r="C42" s="16" t="e">
        <v>#N/A</v>
      </c>
      <c r="D42" s="18" t="e">
        <v>#N/A</v>
      </c>
      <c r="E42" s="18" t="e">
        <v>#N/A</v>
      </c>
      <c r="F42" s="18">
        <v>6.875</v>
      </c>
      <c r="G42" s="16" t="e">
        <v>#N/A</v>
      </c>
      <c r="H42" s="16" t="e">
        <v>#N/A</v>
      </c>
    </row>
    <row r="43" spans="1:8" x14ac:dyDescent="0.25">
      <c r="A43" t="s">
        <v>640</v>
      </c>
      <c r="B43" s="16" t="e">
        <v>#N/A</v>
      </c>
      <c r="C43" s="16" t="e">
        <v>#N/A</v>
      </c>
      <c r="D43" s="18" t="e">
        <v>#N/A</v>
      </c>
      <c r="E43" s="18" t="e">
        <v>#N/A</v>
      </c>
      <c r="F43" s="18">
        <v>6.6845238095238093</v>
      </c>
      <c r="G43" s="16" t="e">
        <v>#N/A</v>
      </c>
      <c r="H43" s="16" t="e">
        <v>#N/A</v>
      </c>
    </row>
    <row r="44" spans="1:8" x14ac:dyDescent="0.25">
      <c r="A44" t="s">
        <v>641</v>
      </c>
      <c r="B44" s="16" t="e">
        <v>#N/A</v>
      </c>
      <c r="C44" s="16" t="e">
        <v>#N/A</v>
      </c>
      <c r="D44" s="18" t="e">
        <v>#N/A</v>
      </c>
      <c r="E44" s="18" t="e">
        <v>#N/A</v>
      </c>
      <c r="F44" s="18">
        <v>5.875</v>
      </c>
      <c r="G44" s="16" t="e">
        <v>#N/A</v>
      </c>
      <c r="H44" s="16" t="e">
        <v>#N/A</v>
      </c>
    </row>
    <row r="45" spans="1:8" x14ac:dyDescent="0.25">
      <c r="A45" t="s">
        <v>642</v>
      </c>
      <c r="B45" s="16" t="e">
        <v>#N/A</v>
      </c>
      <c r="C45" s="16" t="e">
        <v>#N/A</v>
      </c>
      <c r="D45" s="18" t="e">
        <v>#N/A</v>
      </c>
      <c r="E45" s="18" t="e">
        <v>#N/A</v>
      </c>
      <c r="F45" s="18">
        <v>5.875</v>
      </c>
      <c r="G45" s="16" t="e">
        <v>#N/A</v>
      </c>
      <c r="H45" s="16" t="e">
        <v>#N/A</v>
      </c>
    </row>
    <row r="46" spans="1:8" x14ac:dyDescent="0.25">
      <c r="A46" t="s">
        <v>643</v>
      </c>
      <c r="B46" s="16" t="e">
        <v>#N/A</v>
      </c>
      <c r="C46" s="16" t="e">
        <v>#N/A</v>
      </c>
      <c r="D46" s="18" t="e">
        <v>#N/A</v>
      </c>
      <c r="E46" s="18" t="e">
        <v>#N/A</v>
      </c>
      <c r="F46" s="18">
        <v>5.875</v>
      </c>
      <c r="G46" s="16" t="e">
        <v>#N/A</v>
      </c>
      <c r="H46" s="16" t="e">
        <v>#N/A</v>
      </c>
    </row>
    <row r="47" spans="1:8" x14ac:dyDescent="0.25">
      <c r="A47" t="s">
        <v>644</v>
      </c>
      <c r="B47" s="16" t="e">
        <v>#N/A</v>
      </c>
      <c r="C47" s="16" t="e">
        <v>#N/A</v>
      </c>
      <c r="D47" s="18" t="e">
        <v>#N/A</v>
      </c>
      <c r="E47" s="18" t="e">
        <v>#N/A</v>
      </c>
      <c r="F47" s="18">
        <v>5.875</v>
      </c>
      <c r="G47" s="16" t="e">
        <v>#N/A</v>
      </c>
      <c r="H47" s="16" t="e">
        <v>#N/A</v>
      </c>
    </row>
    <row r="48" spans="1:8" x14ac:dyDescent="0.25">
      <c r="A48" t="s">
        <v>645</v>
      </c>
      <c r="B48" s="16" t="e">
        <v>#N/A</v>
      </c>
      <c r="C48" s="16" t="e">
        <v>#N/A</v>
      </c>
      <c r="D48" s="18" t="e">
        <v>#N/A</v>
      </c>
      <c r="E48" s="18" t="e">
        <v>#N/A</v>
      </c>
      <c r="F48" s="18">
        <v>5.875</v>
      </c>
      <c r="G48" s="16" t="e">
        <v>#N/A</v>
      </c>
      <c r="H48" s="16" t="e">
        <v>#N/A</v>
      </c>
    </row>
    <row r="49" spans="1:8" x14ac:dyDescent="0.25">
      <c r="A49" t="s">
        <v>646</v>
      </c>
      <c r="B49" s="16" t="e">
        <v>#N/A</v>
      </c>
      <c r="C49" s="16" t="e">
        <v>#N/A</v>
      </c>
      <c r="D49" s="18" t="e">
        <v>#N/A</v>
      </c>
      <c r="E49" s="18" t="e">
        <v>#N/A</v>
      </c>
      <c r="F49" s="18">
        <v>5.875</v>
      </c>
      <c r="G49" s="16" t="e">
        <v>#N/A</v>
      </c>
      <c r="H49" s="16" t="e">
        <v>#N/A</v>
      </c>
    </row>
    <row r="50" spans="1:8" x14ac:dyDescent="0.25">
      <c r="A50" t="s">
        <v>647</v>
      </c>
      <c r="B50" s="16" t="e">
        <v>#N/A</v>
      </c>
      <c r="C50" s="16" t="e">
        <v>#N/A</v>
      </c>
      <c r="D50" s="18" t="e">
        <v>#N/A</v>
      </c>
      <c r="E50" s="18" t="e">
        <v>#N/A</v>
      </c>
      <c r="F50" s="18">
        <v>5.875</v>
      </c>
      <c r="G50" s="16" t="e">
        <v>#N/A</v>
      </c>
      <c r="H50" s="16" t="e">
        <v>#N/A</v>
      </c>
    </row>
    <row r="51" spans="1:8" x14ac:dyDescent="0.25">
      <c r="A51" t="s">
        <v>648</v>
      </c>
      <c r="B51" s="16" t="e">
        <v>#N/A</v>
      </c>
      <c r="C51" s="16" t="e">
        <v>#N/A</v>
      </c>
      <c r="D51" s="18" t="e">
        <v>#N/A</v>
      </c>
      <c r="E51" s="18" t="e">
        <v>#N/A</v>
      </c>
      <c r="F51" s="18">
        <v>5.875</v>
      </c>
      <c r="G51" s="16" t="e">
        <v>#N/A</v>
      </c>
      <c r="H51" s="16" t="e">
        <v>#N/A</v>
      </c>
    </row>
    <row r="52" spans="1:8" x14ac:dyDescent="0.25">
      <c r="A52" t="s">
        <v>649</v>
      </c>
      <c r="B52" s="16" t="e">
        <v>#N/A</v>
      </c>
      <c r="C52" s="16" t="e">
        <v>#N/A</v>
      </c>
      <c r="D52" s="18" t="e">
        <v>#N/A</v>
      </c>
      <c r="E52" s="18" t="e">
        <v>#N/A</v>
      </c>
      <c r="F52" s="18">
        <v>5.875</v>
      </c>
      <c r="G52" s="16" t="e">
        <v>#N/A</v>
      </c>
      <c r="H52" s="16" t="e">
        <v>#N/A</v>
      </c>
    </row>
    <row r="53" spans="1:8" x14ac:dyDescent="0.25">
      <c r="A53" t="s">
        <v>650</v>
      </c>
      <c r="B53" s="16" t="e">
        <v>#N/A</v>
      </c>
      <c r="C53" s="16" t="e">
        <v>#N/A</v>
      </c>
      <c r="D53" s="18" t="e">
        <v>#N/A</v>
      </c>
      <c r="E53" s="18" t="e">
        <v>#N/A</v>
      </c>
      <c r="F53" s="18">
        <v>5.7386363636363633</v>
      </c>
      <c r="G53" s="16" t="e">
        <v>#N/A</v>
      </c>
      <c r="H53" s="16" t="e">
        <v>#N/A</v>
      </c>
    </row>
    <row r="54" spans="1:8" x14ac:dyDescent="0.25">
      <c r="A54" t="s">
        <v>651</v>
      </c>
      <c r="B54" s="16" t="e">
        <v>#N/A</v>
      </c>
      <c r="C54" s="16" t="e">
        <v>#N/A</v>
      </c>
      <c r="D54" s="18" t="e">
        <v>#N/A</v>
      </c>
      <c r="E54" s="18" t="e">
        <v>#N/A</v>
      </c>
      <c r="F54" s="18">
        <v>5.375</v>
      </c>
      <c r="G54" s="16" t="e">
        <v>#N/A</v>
      </c>
      <c r="H54" s="16" t="e">
        <v>#N/A</v>
      </c>
    </row>
    <row r="55" spans="1:8" x14ac:dyDescent="0.25">
      <c r="A55" t="s">
        <v>652</v>
      </c>
      <c r="B55" s="16" t="e">
        <v>#N/A</v>
      </c>
      <c r="C55" s="16" t="e">
        <v>#N/A</v>
      </c>
      <c r="D55" s="18" t="e">
        <v>#N/A</v>
      </c>
      <c r="E55" s="18" t="e">
        <v>#N/A</v>
      </c>
      <c r="F55" s="18">
        <v>5.375</v>
      </c>
      <c r="G55" s="16" t="e">
        <v>#N/A</v>
      </c>
      <c r="H55" s="16" t="e">
        <v>#N/A</v>
      </c>
    </row>
    <row r="56" spans="1:8" x14ac:dyDescent="0.25">
      <c r="A56" t="s">
        <v>653</v>
      </c>
      <c r="B56" s="16" t="e">
        <v>#N/A</v>
      </c>
      <c r="C56" s="16" t="e">
        <v>#N/A</v>
      </c>
      <c r="D56" s="18" t="e">
        <v>#N/A</v>
      </c>
      <c r="E56" s="18" t="e">
        <v>#N/A</v>
      </c>
      <c r="F56" s="18">
        <v>5.1875</v>
      </c>
      <c r="G56" s="16" t="e">
        <v>#N/A</v>
      </c>
      <c r="H56" s="16" t="e">
        <v>#N/A</v>
      </c>
    </row>
    <row r="57" spans="1:8" x14ac:dyDescent="0.25">
      <c r="A57" t="s">
        <v>654</v>
      </c>
      <c r="B57" s="16" t="e">
        <v>#N/A</v>
      </c>
      <c r="C57" s="16" t="e">
        <v>#N/A</v>
      </c>
      <c r="D57" s="18" t="e">
        <v>#N/A</v>
      </c>
      <c r="E57" s="18" t="e">
        <v>#N/A</v>
      </c>
      <c r="F57" s="18">
        <v>5.125</v>
      </c>
      <c r="G57" s="16" t="e">
        <v>#N/A</v>
      </c>
      <c r="H57" s="16" t="e">
        <v>#N/A</v>
      </c>
    </row>
    <row r="58" spans="1:8" x14ac:dyDescent="0.25">
      <c r="A58" t="s">
        <v>655</v>
      </c>
      <c r="B58" s="16" t="e">
        <v>#N/A</v>
      </c>
      <c r="C58" s="16" t="e">
        <v>#N/A</v>
      </c>
      <c r="D58" s="18" t="e">
        <v>#N/A</v>
      </c>
      <c r="E58" s="18" t="e">
        <v>#N/A</v>
      </c>
      <c r="F58" s="18">
        <v>5.125</v>
      </c>
      <c r="G58" s="16" t="e">
        <v>#N/A</v>
      </c>
      <c r="H58" s="16" t="e">
        <v>#N/A</v>
      </c>
    </row>
    <row r="59" spans="1:8" x14ac:dyDescent="0.25">
      <c r="A59" t="s">
        <v>656</v>
      </c>
      <c r="B59" s="16" t="e">
        <v>#N/A</v>
      </c>
      <c r="C59" s="16" t="e">
        <v>#N/A</v>
      </c>
      <c r="D59" s="18" t="e">
        <v>#N/A</v>
      </c>
      <c r="E59" s="18" t="e">
        <v>#N/A</v>
      </c>
      <c r="F59" s="18">
        <v>5.125</v>
      </c>
      <c r="G59" s="16" t="e">
        <v>#N/A</v>
      </c>
      <c r="H59" s="16" t="e">
        <v>#N/A</v>
      </c>
    </row>
    <row r="60" spans="1:8" x14ac:dyDescent="0.25">
      <c r="A60" t="s">
        <v>657</v>
      </c>
      <c r="B60" s="16" t="e">
        <v>#N/A</v>
      </c>
      <c r="C60" s="16" t="e">
        <v>#N/A</v>
      </c>
      <c r="D60" s="18" t="e">
        <v>#N/A</v>
      </c>
      <c r="E60" s="18" t="e">
        <v>#N/A</v>
      </c>
      <c r="F60" s="18">
        <v>5.125</v>
      </c>
      <c r="G60" s="16" t="e">
        <v>#N/A</v>
      </c>
      <c r="H60" s="16" t="e">
        <v>#N/A</v>
      </c>
    </row>
    <row r="61" spans="1:8" x14ac:dyDescent="0.25">
      <c r="A61" t="s">
        <v>658</v>
      </c>
      <c r="B61" s="16" t="e">
        <v>#N/A</v>
      </c>
      <c r="C61" s="16" t="e">
        <v>#N/A</v>
      </c>
      <c r="D61" s="18" t="e">
        <v>#N/A</v>
      </c>
      <c r="E61" s="18" t="e">
        <v>#N/A</v>
      </c>
      <c r="F61" s="18">
        <v>5.125</v>
      </c>
      <c r="G61" s="16" t="e">
        <v>#N/A</v>
      </c>
      <c r="H61" s="16" t="e">
        <v>#N/A</v>
      </c>
    </row>
    <row r="62" spans="1:8" x14ac:dyDescent="0.25">
      <c r="A62" t="s">
        <v>659</v>
      </c>
      <c r="B62" s="16" t="e">
        <v>#N/A</v>
      </c>
      <c r="C62" s="16" t="e">
        <v>#N/A</v>
      </c>
      <c r="D62" s="18" t="e">
        <v>#N/A</v>
      </c>
      <c r="E62" s="18" t="e">
        <v>#N/A</v>
      </c>
      <c r="F62" s="18">
        <v>5.125</v>
      </c>
      <c r="G62" s="16" t="e">
        <v>#N/A</v>
      </c>
      <c r="H62" s="16" t="e">
        <v>#N/A</v>
      </c>
    </row>
    <row r="63" spans="1:8" x14ac:dyDescent="0.25">
      <c r="A63" t="s">
        <v>660</v>
      </c>
      <c r="B63" s="16" t="e">
        <v>#N/A</v>
      </c>
      <c r="C63" s="16" t="e">
        <v>#N/A</v>
      </c>
      <c r="D63" s="18" t="e">
        <v>#N/A</v>
      </c>
      <c r="E63" s="18" t="e">
        <v>#N/A</v>
      </c>
      <c r="F63" s="18">
        <v>5.4659090909090908</v>
      </c>
      <c r="G63" s="16" t="e">
        <v>#N/A</v>
      </c>
      <c r="H63" s="16" t="e">
        <v>#N/A</v>
      </c>
    </row>
    <row r="64" spans="1:8" x14ac:dyDescent="0.25">
      <c r="A64" t="s">
        <v>661</v>
      </c>
      <c r="B64" s="16" t="e">
        <v>#N/A</v>
      </c>
      <c r="C64" s="16" t="e">
        <v>#N/A</v>
      </c>
      <c r="D64" s="18" t="e">
        <v>#N/A</v>
      </c>
      <c r="E64" s="18" t="e">
        <v>#N/A</v>
      </c>
      <c r="F64" s="18">
        <v>5.625</v>
      </c>
      <c r="G64" s="16" t="e">
        <v>#N/A</v>
      </c>
      <c r="H64" s="16" t="e">
        <v>#N/A</v>
      </c>
    </row>
    <row r="65" spans="1:8" x14ac:dyDescent="0.25">
      <c r="A65" t="s">
        <v>662</v>
      </c>
      <c r="B65" s="16" t="e">
        <v>#N/A</v>
      </c>
      <c r="C65" s="16" t="e">
        <v>#N/A</v>
      </c>
      <c r="D65" s="18" t="e">
        <v>#N/A</v>
      </c>
      <c r="E65" s="18" t="e">
        <v>#N/A</v>
      </c>
      <c r="F65" s="18">
        <v>5.625</v>
      </c>
      <c r="G65" s="16" t="e">
        <v>#N/A</v>
      </c>
      <c r="H65" s="16" t="e">
        <v>#N/A</v>
      </c>
    </row>
    <row r="66" spans="1:8" x14ac:dyDescent="0.25">
      <c r="A66" t="s">
        <v>663</v>
      </c>
      <c r="B66" s="16" t="e">
        <v>#N/A</v>
      </c>
      <c r="C66" s="16" t="e">
        <v>#N/A</v>
      </c>
      <c r="D66" s="18" t="e">
        <v>#N/A</v>
      </c>
      <c r="E66" s="18" t="e">
        <v>#N/A</v>
      </c>
      <c r="F66" s="18">
        <v>6.0340909090909092</v>
      </c>
      <c r="G66" s="16" t="e">
        <v>#N/A</v>
      </c>
      <c r="H66" s="16" t="e">
        <v>#N/A</v>
      </c>
    </row>
    <row r="67" spans="1:8" x14ac:dyDescent="0.25">
      <c r="A67" t="s">
        <v>664</v>
      </c>
      <c r="B67" s="16">
        <v>8.1300000000000008</v>
      </c>
      <c r="C67" s="16">
        <v>9.44</v>
      </c>
      <c r="D67" s="18" t="e">
        <v>#N/A</v>
      </c>
      <c r="E67" s="18" t="e">
        <v>#N/A</v>
      </c>
      <c r="F67" s="18">
        <v>6.125</v>
      </c>
      <c r="G67" s="16" t="e">
        <v>#N/A</v>
      </c>
      <c r="H67" s="16" t="e">
        <v>#N/A</v>
      </c>
    </row>
    <row r="68" spans="1:8" x14ac:dyDescent="0.25">
      <c r="A68" t="s">
        <v>665</v>
      </c>
      <c r="B68" s="16">
        <v>8.3800000000000008</v>
      </c>
      <c r="C68" s="16">
        <v>9.3800000000000008</v>
      </c>
      <c r="D68" s="18" t="e">
        <v>#N/A</v>
      </c>
      <c r="E68" s="18" t="e">
        <v>#N/A</v>
      </c>
      <c r="F68" s="18">
        <v>6.6</v>
      </c>
      <c r="G68" s="16" t="e">
        <v>#N/A</v>
      </c>
      <c r="H68" s="16" t="e">
        <v>#N/A</v>
      </c>
    </row>
    <row r="69" spans="1:8" x14ac:dyDescent="0.25">
      <c r="A69" t="s">
        <v>666</v>
      </c>
      <c r="B69" s="16">
        <v>8.08</v>
      </c>
      <c r="C69" s="16">
        <v>9.33</v>
      </c>
      <c r="D69" s="18" t="e">
        <v>#N/A</v>
      </c>
      <c r="E69" s="18" t="e">
        <v>#N/A</v>
      </c>
      <c r="F69" s="18">
        <v>6.625</v>
      </c>
      <c r="G69" s="16" t="e">
        <v>#N/A</v>
      </c>
      <c r="H69" s="16" t="e">
        <v>#N/A</v>
      </c>
    </row>
    <row r="70" spans="1:8" x14ac:dyDescent="0.25">
      <c r="A70" t="s">
        <v>667</v>
      </c>
      <c r="B70" s="16">
        <v>8.2899999999999991</v>
      </c>
      <c r="C70" s="16">
        <v>9.4</v>
      </c>
      <c r="D70" s="18" t="e">
        <v>#N/A</v>
      </c>
      <c r="E70" s="18" t="e">
        <v>#N/A</v>
      </c>
      <c r="F70" s="18">
        <v>6.625</v>
      </c>
      <c r="G70" s="16" t="e">
        <v>#N/A</v>
      </c>
      <c r="H70" s="16" t="e">
        <v>#N/A</v>
      </c>
    </row>
    <row r="71" spans="1:8" x14ac:dyDescent="0.25">
      <c r="A71" t="s">
        <v>668</v>
      </c>
      <c r="B71" s="16">
        <v>8.2200000000000006</v>
      </c>
      <c r="C71" s="16">
        <v>9.4</v>
      </c>
      <c r="D71" s="18" t="e">
        <v>#N/A</v>
      </c>
      <c r="E71" s="18" t="e">
        <v>#N/A</v>
      </c>
      <c r="F71" s="18">
        <v>6.625</v>
      </c>
      <c r="G71" s="16" t="e">
        <v>#N/A</v>
      </c>
      <c r="H71" s="16" t="e">
        <v>#N/A</v>
      </c>
    </row>
    <row r="72" spans="1:8" x14ac:dyDescent="0.25">
      <c r="A72" t="s">
        <v>669</v>
      </c>
      <c r="B72" s="16">
        <v>7.94</v>
      </c>
      <c r="C72" s="16">
        <v>9.01</v>
      </c>
      <c r="D72" s="18" t="e">
        <v>#N/A</v>
      </c>
      <c r="E72" s="18" t="e">
        <v>#N/A</v>
      </c>
      <c r="F72" s="18">
        <v>6.625</v>
      </c>
      <c r="G72" s="16" t="e">
        <v>#N/A</v>
      </c>
      <c r="H72" s="16" t="e">
        <v>#N/A</v>
      </c>
    </row>
    <row r="73" spans="1:8" x14ac:dyDescent="0.25">
      <c r="A73" t="s">
        <v>670</v>
      </c>
      <c r="B73" s="16">
        <v>7.89</v>
      </c>
      <c r="C73" s="16">
        <v>8.93</v>
      </c>
      <c r="D73" s="18" t="e">
        <v>#N/A</v>
      </c>
      <c r="E73" s="18" t="e">
        <v>#N/A</v>
      </c>
      <c r="F73" s="18">
        <v>6.625</v>
      </c>
      <c r="G73" s="16" t="e">
        <v>#N/A</v>
      </c>
      <c r="H73" s="16" t="e">
        <v>#N/A</v>
      </c>
    </row>
    <row r="74" spans="1:8" x14ac:dyDescent="0.25">
      <c r="A74" t="s">
        <v>671</v>
      </c>
      <c r="B74" s="16">
        <v>7.99</v>
      </c>
      <c r="C74" s="16">
        <v>8.85</v>
      </c>
      <c r="D74" s="18" t="e">
        <v>#N/A</v>
      </c>
      <c r="E74" s="18" t="e">
        <v>#N/A</v>
      </c>
      <c r="F74" s="18">
        <v>6.625</v>
      </c>
      <c r="G74" s="16" t="e">
        <v>#N/A</v>
      </c>
      <c r="H74" s="16" t="e">
        <v>#N/A</v>
      </c>
    </row>
    <row r="75" spans="1:8" x14ac:dyDescent="0.25">
      <c r="A75" t="s">
        <v>672</v>
      </c>
      <c r="B75" s="16">
        <v>7.99</v>
      </c>
      <c r="C75" s="16">
        <v>8.57</v>
      </c>
      <c r="D75" s="18" t="e">
        <v>#N/A</v>
      </c>
      <c r="E75" s="18" t="e">
        <v>#N/A</v>
      </c>
      <c r="F75" s="18">
        <v>6.625</v>
      </c>
      <c r="G75" s="16" t="e">
        <v>#N/A</v>
      </c>
      <c r="H75" s="16" t="e">
        <v>#N/A</v>
      </c>
    </row>
    <row r="76" spans="1:8" x14ac:dyDescent="0.25">
      <c r="A76" t="s">
        <v>673</v>
      </c>
      <c r="B76" s="16">
        <v>7.99</v>
      </c>
      <c r="C76" s="16">
        <v>8.19</v>
      </c>
      <c r="D76" s="18" t="e">
        <v>#N/A</v>
      </c>
      <c r="E76" s="18" t="e">
        <v>#N/A</v>
      </c>
      <c r="F76" s="18">
        <v>6.625</v>
      </c>
      <c r="G76" s="16" t="e">
        <v>#N/A</v>
      </c>
      <c r="H76" s="16" t="e">
        <v>#N/A</v>
      </c>
    </row>
    <row r="77" spans="1:8" x14ac:dyDescent="0.25">
      <c r="A77" t="s">
        <v>674</v>
      </c>
      <c r="B77" s="16">
        <v>7.99</v>
      </c>
      <c r="C77" s="16">
        <v>8.14</v>
      </c>
      <c r="D77" s="18" t="e">
        <v>#N/A</v>
      </c>
      <c r="E77" s="18" t="e">
        <v>#N/A</v>
      </c>
      <c r="F77" s="18">
        <v>6.625</v>
      </c>
      <c r="G77" s="16" t="e">
        <v>#N/A</v>
      </c>
      <c r="H77" s="16" t="e">
        <v>#N/A</v>
      </c>
    </row>
    <row r="78" spans="1:8" x14ac:dyDescent="0.25">
      <c r="A78" t="s">
        <v>675</v>
      </c>
      <c r="B78" s="16">
        <v>7.99</v>
      </c>
      <c r="C78" s="16">
        <v>8.1300000000000008</v>
      </c>
      <c r="D78" s="18" t="e">
        <v>#N/A</v>
      </c>
      <c r="E78" s="18" t="e">
        <v>#N/A</v>
      </c>
      <c r="F78" s="18">
        <v>6.4702380952380949</v>
      </c>
      <c r="G78" s="16" t="e">
        <v>#N/A</v>
      </c>
      <c r="H78" s="16" t="e">
        <v>#N/A</v>
      </c>
    </row>
    <row r="79" spans="1:8" x14ac:dyDescent="0.25">
      <c r="A79" t="s">
        <v>676</v>
      </c>
      <c r="B79" s="16">
        <v>6.7</v>
      </c>
      <c r="C79" s="16">
        <v>7.87</v>
      </c>
      <c r="D79" s="18" t="e">
        <v>#N/A</v>
      </c>
      <c r="E79" s="18" t="e">
        <v>#N/A</v>
      </c>
      <c r="F79" s="18">
        <v>6.2663043478260869</v>
      </c>
      <c r="G79" s="16" t="e">
        <v>#N/A</v>
      </c>
      <c r="H79" s="16" t="e">
        <v>#N/A</v>
      </c>
    </row>
    <row r="80" spans="1:8" x14ac:dyDescent="0.25">
      <c r="A80" t="s">
        <v>677</v>
      </c>
      <c r="B80" s="16">
        <v>6.65</v>
      </c>
      <c r="C80" s="16">
        <v>7.66</v>
      </c>
      <c r="D80" s="18" t="e">
        <v>#N/A</v>
      </c>
      <c r="E80" s="18" t="e">
        <v>#N/A</v>
      </c>
      <c r="F80" s="18">
        <v>6.125</v>
      </c>
      <c r="G80" s="16" t="e">
        <v>#N/A</v>
      </c>
      <c r="H80" s="16" t="e">
        <v>#N/A</v>
      </c>
    </row>
    <row r="81" spans="1:8" x14ac:dyDescent="0.25">
      <c r="A81" t="s">
        <v>678</v>
      </c>
      <c r="B81" s="16">
        <v>6.49</v>
      </c>
      <c r="C81" s="16">
        <v>7.7</v>
      </c>
      <c r="D81" s="18" t="e">
        <v>#N/A</v>
      </c>
      <c r="E81" s="18" t="e">
        <v>#N/A</v>
      </c>
      <c r="F81" s="18">
        <v>5.9821428571428568</v>
      </c>
      <c r="G81" s="16" t="e">
        <v>#N/A</v>
      </c>
      <c r="H81" s="16" t="e">
        <v>#N/A</v>
      </c>
    </row>
    <row r="82" spans="1:8" x14ac:dyDescent="0.25">
      <c r="A82" t="s">
        <v>679</v>
      </c>
      <c r="B82" s="16">
        <v>6.62</v>
      </c>
      <c r="C82" s="16">
        <v>7.82</v>
      </c>
      <c r="D82" s="18" t="e">
        <v>#N/A</v>
      </c>
      <c r="E82" s="18" t="e">
        <v>#N/A</v>
      </c>
      <c r="F82" s="18">
        <v>5.9375</v>
      </c>
      <c r="G82" s="16" t="e">
        <v>#N/A</v>
      </c>
      <c r="H82" s="16" t="e">
        <v>#N/A</v>
      </c>
    </row>
    <row r="83" spans="1:8" x14ac:dyDescent="0.25">
      <c r="A83" t="s">
        <v>680</v>
      </c>
      <c r="B83" s="16">
        <v>7.01</v>
      </c>
      <c r="C83" s="16">
        <v>8.18</v>
      </c>
      <c r="D83" s="18" t="e">
        <v>#N/A</v>
      </c>
      <c r="E83" s="18" t="e">
        <v>#N/A</v>
      </c>
      <c r="F83" s="18">
        <v>5.9375</v>
      </c>
      <c r="G83" s="16" t="e">
        <v>#N/A</v>
      </c>
      <c r="H83" s="16" t="e">
        <v>#N/A</v>
      </c>
    </row>
    <row r="84" spans="1:8" x14ac:dyDescent="0.25">
      <c r="A84" t="s">
        <v>681</v>
      </c>
      <c r="B84" s="16">
        <v>7.06</v>
      </c>
      <c r="C84" s="16">
        <v>8.1300000000000008</v>
      </c>
      <c r="D84" s="18" t="e">
        <v>#N/A</v>
      </c>
      <c r="E84" s="18" t="e">
        <v>#N/A</v>
      </c>
      <c r="F84" s="18">
        <v>5.7249999999999996</v>
      </c>
      <c r="G84" s="16" t="e">
        <v>#N/A</v>
      </c>
      <c r="H84" s="16" t="e">
        <v>#N/A</v>
      </c>
    </row>
    <row r="85" spans="1:8" x14ac:dyDescent="0.25">
      <c r="A85" t="s">
        <v>682</v>
      </c>
      <c r="B85" s="16">
        <v>7.12</v>
      </c>
      <c r="C85" s="16">
        <v>8.25</v>
      </c>
      <c r="D85" s="18" t="e">
        <v>#N/A</v>
      </c>
      <c r="E85" s="18" t="e">
        <v>#N/A</v>
      </c>
      <c r="F85" s="18">
        <v>5.6875</v>
      </c>
      <c r="G85" s="16" t="e">
        <v>#N/A</v>
      </c>
      <c r="H85" s="16" t="e">
        <v>#N/A</v>
      </c>
    </row>
    <row r="86" spans="1:8" x14ac:dyDescent="0.25">
      <c r="A86" t="s">
        <v>683</v>
      </c>
      <c r="B86" s="16">
        <v>7.09</v>
      </c>
      <c r="C86" s="16">
        <v>8.2799999999999994</v>
      </c>
      <c r="D86" s="18" t="e">
        <v>#N/A</v>
      </c>
      <c r="E86" s="18" t="e">
        <v>#N/A</v>
      </c>
      <c r="F86" s="18">
        <v>5.6875</v>
      </c>
      <c r="G86" s="16" t="e">
        <v>#N/A</v>
      </c>
      <c r="H86" s="16" t="e">
        <v>#N/A</v>
      </c>
    </row>
    <row r="87" spans="1:8" x14ac:dyDescent="0.25">
      <c r="A87" t="s">
        <v>684</v>
      </c>
      <c r="B87" s="16">
        <v>7.06</v>
      </c>
      <c r="C87" s="16">
        <v>8.16</v>
      </c>
      <c r="D87" s="18" t="e">
        <v>#N/A</v>
      </c>
      <c r="E87" s="18" t="e">
        <v>#N/A</v>
      </c>
      <c r="F87" s="18">
        <v>5.6875</v>
      </c>
      <c r="G87" s="16" t="e">
        <v>#N/A</v>
      </c>
      <c r="H87" s="16" t="e">
        <v>#N/A</v>
      </c>
    </row>
    <row r="88" spans="1:8" x14ac:dyDescent="0.25">
      <c r="A88" t="s">
        <v>685</v>
      </c>
      <c r="B88" s="16">
        <v>6.96</v>
      </c>
      <c r="C88" s="16">
        <v>8.17</v>
      </c>
      <c r="D88" s="18" t="e">
        <v>#N/A</v>
      </c>
      <c r="E88" s="18" t="e">
        <v>#N/A</v>
      </c>
      <c r="F88" s="18">
        <v>5.7092391304347823</v>
      </c>
      <c r="G88" s="16" t="e">
        <v>#N/A</v>
      </c>
      <c r="H88" s="16" t="e">
        <v>#N/A</v>
      </c>
    </row>
    <row r="89" spans="1:8" x14ac:dyDescent="0.25">
      <c r="A89" t="s">
        <v>686</v>
      </c>
      <c r="B89" s="16">
        <v>6.94</v>
      </c>
      <c r="C89" s="16">
        <v>8.02</v>
      </c>
      <c r="D89" s="18" t="e">
        <v>#N/A</v>
      </c>
      <c r="E89" s="18" t="e">
        <v>#N/A</v>
      </c>
      <c r="F89" s="18">
        <v>5.9375</v>
      </c>
      <c r="G89" s="16" t="e">
        <v>#N/A</v>
      </c>
      <c r="H89" s="16" t="e">
        <v>#N/A</v>
      </c>
    </row>
    <row r="90" spans="1:8" x14ac:dyDescent="0.25">
      <c r="A90" t="s">
        <v>687</v>
      </c>
      <c r="B90" s="16">
        <v>7.24</v>
      </c>
      <c r="C90" s="16">
        <v>8.27</v>
      </c>
      <c r="D90" s="18" t="e">
        <v>#N/A</v>
      </c>
      <c r="E90" s="18" t="e">
        <v>#N/A</v>
      </c>
      <c r="F90" s="18">
        <v>5.9375</v>
      </c>
      <c r="G90" s="16" t="e">
        <v>#N/A</v>
      </c>
      <c r="H90" s="16" t="e">
        <v>#N/A</v>
      </c>
    </row>
    <row r="91" spans="1:8" x14ac:dyDescent="0.25">
      <c r="A91" t="s">
        <v>688</v>
      </c>
      <c r="B91" s="16">
        <v>7.29</v>
      </c>
      <c r="C91" s="16">
        <v>8.31</v>
      </c>
      <c r="D91" s="18" t="e">
        <v>#N/A</v>
      </c>
      <c r="E91" s="18" t="e">
        <v>#N/A</v>
      </c>
      <c r="F91" s="18">
        <v>5.9375</v>
      </c>
      <c r="G91" s="16" t="e">
        <v>#N/A</v>
      </c>
      <c r="H91" s="16" t="e">
        <v>#N/A</v>
      </c>
    </row>
    <row r="92" spans="1:8" x14ac:dyDescent="0.25">
      <c r="A92" t="s">
        <v>689</v>
      </c>
      <c r="B92" s="16">
        <v>7.35</v>
      </c>
      <c r="C92" s="16">
        <v>8.2200000000000006</v>
      </c>
      <c r="D92" s="18" t="e">
        <v>#N/A</v>
      </c>
      <c r="E92" s="18" t="e">
        <v>#N/A</v>
      </c>
      <c r="F92" s="18">
        <v>5.9375</v>
      </c>
      <c r="G92" s="16" t="e">
        <v>#N/A</v>
      </c>
      <c r="H92" s="16" t="e">
        <v>#N/A</v>
      </c>
    </row>
    <row r="93" spans="1:8" x14ac:dyDescent="0.25">
      <c r="A93" t="s">
        <v>690</v>
      </c>
      <c r="B93" s="16">
        <v>7.11</v>
      </c>
      <c r="C93" s="16">
        <v>7.98</v>
      </c>
      <c r="D93" s="18" t="e">
        <v>#N/A</v>
      </c>
      <c r="E93" s="18" t="e">
        <v>#N/A</v>
      </c>
      <c r="F93" s="18">
        <v>5.9375</v>
      </c>
      <c r="G93" s="16" t="e">
        <v>#N/A</v>
      </c>
      <c r="H93" s="16" t="e">
        <v>#N/A</v>
      </c>
    </row>
    <row r="94" spans="1:8" x14ac:dyDescent="0.25">
      <c r="A94" t="s">
        <v>691</v>
      </c>
      <c r="B94" s="16">
        <v>7.24</v>
      </c>
      <c r="C94" s="16">
        <v>7.93</v>
      </c>
      <c r="D94" s="18" t="e">
        <v>#N/A</v>
      </c>
      <c r="E94" s="18" t="e">
        <v>#N/A</v>
      </c>
      <c r="F94" s="18">
        <v>5.9375</v>
      </c>
      <c r="G94" s="16" t="e">
        <v>#N/A</v>
      </c>
      <c r="H94" s="16" t="e">
        <v>#N/A</v>
      </c>
    </row>
    <row r="95" spans="1:8" x14ac:dyDescent="0.25">
      <c r="A95" t="s">
        <v>692</v>
      </c>
      <c r="B95" s="16">
        <v>7.15</v>
      </c>
      <c r="C95" s="16">
        <v>8.02</v>
      </c>
      <c r="D95" s="18" t="e">
        <v>#N/A</v>
      </c>
      <c r="E95" s="18" t="e">
        <v>#N/A</v>
      </c>
      <c r="F95" s="18">
        <v>6.2073863636363633</v>
      </c>
      <c r="G95" s="16" t="e">
        <v>#N/A</v>
      </c>
      <c r="H95" s="16" t="e">
        <v>#N/A</v>
      </c>
    </row>
    <row r="96" spans="1:8" x14ac:dyDescent="0.25">
      <c r="A96" t="s">
        <v>693</v>
      </c>
      <c r="B96" s="16">
        <v>7.14</v>
      </c>
      <c r="C96" s="16">
        <v>7.91</v>
      </c>
      <c r="D96" s="18" t="e">
        <v>#N/A</v>
      </c>
      <c r="E96" s="18" t="e">
        <v>#N/A</v>
      </c>
      <c r="F96" s="18">
        <v>6.4523809523809526</v>
      </c>
      <c r="G96" s="16" t="e">
        <v>#N/A</v>
      </c>
      <c r="H96" s="16" t="e">
        <v>#N/A</v>
      </c>
    </row>
    <row r="97" spans="1:8" x14ac:dyDescent="0.25">
      <c r="A97" t="s">
        <v>694</v>
      </c>
      <c r="B97" s="16">
        <v>7.2</v>
      </c>
      <c r="C97" s="16">
        <v>7.91</v>
      </c>
      <c r="D97" s="18" t="e">
        <v>#N/A</v>
      </c>
      <c r="E97" s="18" t="e">
        <v>#N/A</v>
      </c>
      <c r="F97" s="18">
        <v>6.6739130434782608</v>
      </c>
      <c r="G97" s="16" t="e">
        <v>#N/A</v>
      </c>
      <c r="H97" s="16" t="e">
        <v>#N/A</v>
      </c>
    </row>
    <row r="98" spans="1:8" x14ac:dyDescent="0.25">
      <c r="A98" t="s">
        <v>695</v>
      </c>
      <c r="B98" s="16">
        <v>7.17</v>
      </c>
      <c r="C98" s="16">
        <v>7.9</v>
      </c>
      <c r="D98" s="18" t="e">
        <v>#N/A</v>
      </c>
      <c r="E98" s="18" t="e">
        <v>#N/A</v>
      </c>
      <c r="F98" s="18">
        <v>6.9523809523809526</v>
      </c>
      <c r="G98" s="16" t="e">
        <v>#N/A</v>
      </c>
      <c r="H98" s="16" t="e">
        <v>#N/A</v>
      </c>
    </row>
    <row r="99" spans="1:8" x14ac:dyDescent="0.25">
      <c r="A99" t="s">
        <v>696</v>
      </c>
      <c r="B99" s="16">
        <v>7.06</v>
      </c>
      <c r="C99" s="16">
        <v>7.67</v>
      </c>
      <c r="D99" s="18" t="e">
        <v>#N/A</v>
      </c>
      <c r="E99" s="18" t="e">
        <v>#N/A</v>
      </c>
      <c r="F99" s="18">
        <v>7</v>
      </c>
      <c r="G99" s="16" t="e">
        <v>#N/A</v>
      </c>
      <c r="H99" s="16" t="e">
        <v>#N/A</v>
      </c>
    </row>
    <row r="100" spans="1:8" x14ac:dyDescent="0.25">
      <c r="A100" t="s">
        <v>697</v>
      </c>
      <c r="B100" s="16">
        <v>7.07</v>
      </c>
      <c r="C100" s="16">
        <v>7.49</v>
      </c>
      <c r="D100" s="18" t="e">
        <v>#N/A</v>
      </c>
      <c r="E100" s="18" t="e">
        <v>#N/A</v>
      </c>
      <c r="F100" s="18">
        <v>7</v>
      </c>
      <c r="G100" s="16" t="e">
        <v>#N/A</v>
      </c>
      <c r="H100" s="16" t="e">
        <v>#N/A</v>
      </c>
    </row>
    <row r="101" spans="1:8" x14ac:dyDescent="0.25">
      <c r="A101" t="s">
        <v>698</v>
      </c>
      <c r="B101" s="16">
        <v>7.04</v>
      </c>
      <c r="C101" s="16">
        <v>7.33</v>
      </c>
      <c r="D101" s="18" t="e">
        <v>#N/A</v>
      </c>
      <c r="E101" s="18" t="e">
        <v>#N/A</v>
      </c>
      <c r="F101" s="18">
        <v>7.2125000000000004</v>
      </c>
      <c r="G101" s="16" t="e">
        <v>#N/A</v>
      </c>
      <c r="H101" s="16" t="e">
        <v>#N/A</v>
      </c>
    </row>
    <row r="102" spans="1:8" x14ac:dyDescent="0.25">
      <c r="A102" t="s">
        <v>699</v>
      </c>
      <c r="B102" s="16">
        <v>7.13</v>
      </c>
      <c r="C102" s="16">
        <v>7.4</v>
      </c>
      <c r="D102" s="18" t="e">
        <v>#N/A</v>
      </c>
      <c r="E102" s="18" t="e">
        <v>#N/A</v>
      </c>
      <c r="F102" s="18">
        <v>7.25</v>
      </c>
      <c r="G102" s="16" t="e">
        <v>#N/A</v>
      </c>
      <c r="H102" s="16" t="e">
        <v>#N/A</v>
      </c>
    </row>
    <row r="103" spans="1:8" x14ac:dyDescent="0.25">
      <c r="A103" t="s">
        <v>700</v>
      </c>
      <c r="B103" s="16">
        <v>7.13</v>
      </c>
      <c r="C103" s="16">
        <v>7.31</v>
      </c>
      <c r="D103" s="18" t="e">
        <v>#N/A</v>
      </c>
      <c r="E103" s="18" t="e">
        <v>#N/A</v>
      </c>
      <c r="F103" s="18">
        <v>7.25</v>
      </c>
      <c r="G103" s="16" t="e">
        <v>#N/A</v>
      </c>
      <c r="H103" s="16" t="e">
        <v>#N/A</v>
      </c>
    </row>
    <row r="104" spans="1:8" x14ac:dyDescent="0.25">
      <c r="A104" t="s">
        <v>701</v>
      </c>
      <c r="B104" s="16">
        <v>7.08</v>
      </c>
      <c r="C104" s="16">
        <v>7.15</v>
      </c>
      <c r="D104" s="18" t="e">
        <v>#N/A</v>
      </c>
      <c r="E104" s="18" t="e">
        <v>#N/A</v>
      </c>
      <c r="F104" s="18">
        <v>7.25</v>
      </c>
      <c r="G104" s="16" t="e">
        <v>#N/A</v>
      </c>
      <c r="H104" s="16" t="e">
        <v>#N/A</v>
      </c>
    </row>
    <row r="105" spans="1:8" x14ac:dyDescent="0.25">
      <c r="A105" t="s">
        <v>702</v>
      </c>
      <c r="B105" s="16">
        <v>7.02</v>
      </c>
      <c r="C105" s="16">
        <v>7.06</v>
      </c>
      <c r="D105" s="18" t="e">
        <v>#N/A</v>
      </c>
      <c r="E105" s="18" t="e">
        <v>#N/A</v>
      </c>
      <c r="F105" s="18">
        <v>7.25</v>
      </c>
      <c r="G105" s="16" t="e">
        <v>#N/A</v>
      </c>
      <c r="H105" s="16" t="e">
        <v>#N/A</v>
      </c>
    </row>
    <row r="106" spans="1:8" x14ac:dyDescent="0.25">
      <c r="A106" t="s">
        <v>703</v>
      </c>
      <c r="B106" s="16">
        <v>7.14</v>
      </c>
      <c r="C106" s="16">
        <v>6.82</v>
      </c>
      <c r="D106" s="18" t="e">
        <v>#N/A</v>
      </c>
      <c r="E106" s="18" t="e">
        <v>#N/A</v>
      </c>
      <c r="F106" s="18">
        <v>7.25</v>
      </c>
      <c r="G106" s="16" t="e">
        <v>#N/A</v>
      </c>
      <c r="H106" s="16" t="e">
        <v>#N/A</v>
      </c>
    </row>
    <row r="107" spans="1:8" x14ac:dyDescent="0.25">
      <c r="A107" t="s">
        <v>704</v>
      </c>
      <c r="B107" s="16">
        <v>7.12</v>
      </c>
      <c r="C107" s="16">
        <v>6.83</v>
      </c>
      <c r="D107" s="18" t="e">
        <v>#N/A</v>
      </c>
      <c r="E107" s="18" t="e">
        <v>#N/A</v>
      </c>
      <c r="F107" s="18">
        <v>7.25</v>
      </c>
      <c r="G107" s="16" t="e">
        <v>#N/A</v>
      </c>
      <c r="H107" s="16" t="e">
        <v>#N/A</v>
      </c>
    </row>
    <row r="108" spans="1:8" x14ac:dyDescent="0.25">
      <c r="A108" t="s">
        <v>705</v>
      </c>
      <c r="B108" s="16">
        <v>6.94</v>
      </c>
      <c r="C108" s="16">
        <v>6.75</v>
      </c>
      <c r="D108" s="18" t="e">
        <v>#N/A</v>
      </c>
      <c r="E108" s="18" t="e">
        <v>#N/A</v>
      </c>
      <c r="F108" s="18">
        <v>7.4659090909090908</v>
      </c>
      <c r="G108" s="16" t="e">
        <v>#N/A</v>
      </c>
      <c r="H108" s="16" t="e">
        <v>#N/A</v>
      </c>
    </row>
    <row r="109" spans="1:8" x14ac:dyDescent="0.25">
      <c r="A109" t="s">
        <v>706</v>
      </c>
      <c r="B109" s="16">
        <v>7.08</v>
      </c>
      <c r="C109" s="16">
        <v>6.94</v>
      </c>
      <c r="D109" s="18" t="e">
        <v>#N/A</v>
      </c>
      <c r="E109" s="18" t="e">
        <v>#N/A</v>
      </c>
      <c r="F109" s="18">
        <v>7.5</v>
      </c>
      <c r="G109" s="16" t="e">
        <v>#N/A</v>
      </c>
      <c r="H109" s="16" t="e">
        <v>#N/A</v>
      </c>
    </row>
    <row r="110" spans="1:8" x14ac:dyDescent="0.25">
      <c r="A110" t="s">
        <v>707</v>
      </c>
      <c r="B110" s="16">
        <v>7.33</v>
      </c>
      <c r="C110" s="16">
        <v>7.04</v>
      </c>
      <c r="D110" s="18" t="e">
        <v>#N/A</v>
      </c>
      <c r="E110" s="18" t="e">
        <v>#N/A</v>
      </c>
      <c r="F110" s="18">
        <v>7.5</v>
      </c>
      <c r="G110" s="16" t="e">
        <v>#N/A</v>
      </c>
      <c r="H110" s="16" t="e">
        <v>#N/A</v>
      </c>
    </row>
    <row r="111" spans="1:8" x14ac:dyDescent="0.25">
      <c r="A111" t="s">
        <v>708</v>
      </c>
      <c r="B111" s="16">
        <v>7.27</v>
      </c>
      <c r="C111" s="16">
        <v>6.93</v>
      </c>
      <c r="D111" s="18" t="e">
        <v>#N/A</v>
      </c>
      <c r="E111" s="18" t="e">
        <v>#N/A</v>
      </c>
      <c r="F111" s="18">
        <v>7.5</v>
      </c>
      <c r="G111" s="16" t="e">
        <v>#N/A</v>
      </c>
      <c r="H111" s="16" t="e">
        <v>#N/A</v>
      </c>
    </row>
    <row r="112" spans="1:8" x14ac:dyDescent="0.25">
      <c r="A112" t="s">
        <v>709</v>
      </c>
      <c r="B112" s="16">
        <v>6.91</v>
      </c>
      <c r="C112" s="16">
        <v>6.66</v>
      </c>
      <c r="D112" s="18" t="e">
        <v>#N/A</v>
      </c>
      <c r="E112" s="18" t="e">
        <v>#N/A</v>
      </c>
      <c r="F112" s="18">
        <v>7.3068181818181817</v>
      </c>
      <c r="G112" s="16" t="e">
        <v>#N/A</v>
      </c>
      <c r="H112" s="16" t="e">
        <v>#N/A</v>
      </c>
    </row>
    <row r="113" spans="1:8" x14ac:dyDescent="0.25">
      <c r="A113" t="s">
        <v>710</v>
      </c>
      <c r="B113" s="16">
        <v>6.66</v>
      </c>
      <c r="C113" s="16">
        <v>6.51</v>
      </c>
      <c r="D113" s="18" t="e">
        <v>#N/A</v>
      </c>
      <c r="E113" s="18" t="e">
        <v>#N/A</v>
      </c>
      <c r="F113" s="18">
        <v>6.8214285714285712</v>
      </c>
      <c r="G113" s="16" t="e">
        <v>#N/A</v>
      </c>
      <c r="H113" s="16" t="e">
        <v>#N/A</v>
      </c>
    </row>
    <row r="114" spans="1:8" x14ac:dyDescent="0.25">
      <c r="A114" t="s">
        <v>711</v>
      </c>
      <c r="B114" s="16">
        <v>6.42</v>
      </c>
      <c r="C114" s="16">
        <v>6.36</v>
      </c>
      <c r="D114" s="18" t="e">
        <v>#N/A</v>
      </c>
      <c r="E114" s="18" t="e">
        <v>#N/A</v>
      </c>
      <c r="F114" s="18">
        <v>6.4021739130434785</v>
      </c>
      <c r="G114" s="16" t="e">
        <v>#N/A</v>
      </c>
      <c r="H114" s="16" t="e">
        <v>#N/A</v>
      </c>
    </row>
    <row r="115" spans="1:8" x14ac:dyDescent="0.25">
      <c r="A115" t="s">
        <v>712</v>
      </c>
      <c r="B115" s="16">
        <v>5.9</v>
      </c>
      <c r="C115" s="16">
        <v>5.9</v>
      </c>
      <c r="D115" s="18" t="e">
        <v>#N/A</v>
      </c>
      <c r="E115" s="18" t="e">
        <v>#N/A</v>
      </c>
      <c r="F115" s="18">
        <v>6.0476190476190474</v>
      </c>
      <c r="G115" s="16">
        <v>8.11</v>
      </c>
      <c r="H115" s="16">
        <v>7.41</v>
      </c>
    </row>
    <row r="116" spans="1:8" x14ac:dyDescent="0.25">
      <c r="A116" t="s">
        <v>713</v>
      </c>
      <c r="B116" s="16">
        <v>5.78</v>
      </c>
      <c r="C116" s="16">
        <v>5.7</v>
      </c>
      <c r="D116" s="18" t="e">
        <v>#N/A</v>
      </c>
      <c r="E116" s="18" t="e">
        <v>#N/A</v>
      </c>
      <c r="F116" s="18">
        <v>5.5750000000000002</v>
      </c>
      <c r="G116" s="16">
        <v>7.69</v>
      </c>
      <c r="H116" s="16">
        <v>7.21</v>
      </c>
    </row>
    <row r="117" spans="1:8" x14ac:dyDescent="0.25">
      <c r="A117" t="s">
        <v>714</v>
      </c>
      <c r="B117" s="16">
        <v>5.64</v>
      </c>
      <c r="C117" s="16">
        <v>5.8</v>
      </c>
      <c r="D117" s="18" t="e">
        <v>#N/A</v>
      </c>
      <c r="E117" s="18" t="e">
        <v>#N/A</v>
      </c>
      <c r="F117" s="18">
        <v>5.5</v>
      </c>
      <c r="G117" s="16">
        <v>7.38</v>
      </c>
      <c r="H117" s="16">
        <v>6.89</v>
      </c>
    </row>
    <row r="118" spans="1:8" x14ac:dyDescent="0.25">
      <c r="A118" t="s">
        <v>715</v>
      </c>
      <c r="B118" s="16">
        <v>5.71</v>
      </c>
      <c r="C118" s="16">
        <v>5.89</v>
      </c>
      <c r="D118" s="18" t="e">
        <v>#N/A</v>
      </c>
      <c r="E118" s="18" t="e">
        <v>#N/A</v>
      </c>
      <c r="F118" s="18">
        <v>5.3068181818181817</v>
      </c>
      <c r="G118" s="16">
        <v>7.14</v>
      </c>
      <c r="H118" s="16">
        <v>6.87</v>
      </c>
    </row>
    <row r="119" spans="1:8" x14ac:dyDescent="0.25">
      <c r="A119" t="s">
        <v>716</v>
      </c>
      <c r="B119" s="16">
        <v>5.72</v>
      </c>
      <c r="C119" s="16">
        <v>5.97</v>
      </c>
      <c r="D119" s="18" t="e">
        <v>#N/A</v>
      </c>
      <c r="E119" s="18" t="e">
        <v>#N/A</v>
      </c>
      <c r="F119" s="18">
        <v>5.25</v>
      </c>
      <c r="G119" s="16">
        <v>7.12</v>
      </c>
      <c r="H119" s="16">
        <v>6.72</v>
      </c>
    </row>
    <row r="120" spans="1:8" x14ac:dyDescent="0.25">
      <c r="A120" t="s">
        <v>717</v>
      </c>
      <c r="B120" s="16">
        <v>5.89</v>
      </c>
      <c r="C120" s="16">
        <v>6.29</v>
      </c>
      <c r="D120" s="18" t="e">
        <v>#N/A</v>
      </c>
      <c r="E120" s="18" t="e">
        <v>#N/A</v>
      </c>
      <c r="F120" s="18">
        <v>5.0795454545454541</v>
      </c>
      <c r="G120" s="16">
        <v>7.05</v>
      </c>
      <c r="H120" s="16">
        <v>6.63</v>
      </c>
    </row>
    <row r="121" spans="1:8" x14ac:dyDescent="0.25">
      <c r="A121" t="s">
        <v>718</v>
      </c>
      <c r="B121" s="16">
        <v>6</v>
      </c>
      <c r="C121" s="16">
        <v>6.3</v>
      </c>
      <c r="D121" s="18" t="e">
        <v>#N/A</v>
      </c>
      <c r="E121" s="18" t="e">
        <v>#N/A</v>
      </c>
      <c r="F121" s="18">
        <v>5</v>
      </c>
      <c r="G121" s="16">
        <v>7.12</v>
      </c>
      <c r="H121" s="16">
        <v>6.64</v>
      </c>
    </row>
    <row r="122" spans="1:8" x14ac:dyDescent="0.25">
      <c r="A122" t="s">
        <v>719</v>
      </c>
      <c r="B122" s="16">
        <v>6.19</v>
      </c>
      <c r="C122" s="16">
        <v>6.64</v>
      </c>
      <c r="D122" s="18" t="e">
        <v>#N/A</v>
      </c>
      <c r="E122" s="18" t="e">
        <v>#N/A</v>
      </c>
      <c r="F122" s="18">
        <v>5</v>
      </c>
      <c r="G122" s="16">
        <v>6.98</v>
      </c>
      <c r="H122" s="16">
        <v>6.61</v>
      </c>
    </row>
    <row r="123" spans="1:8" x14ac:dyDescent="0.25">
      <c r="A123" t="s">
        <v>720</v>
      </c>
      <c r="B123" s="16">
        <v>6.22</v>
      </c>
      <c r="C123" s="16">
        <v>6.67</v>
      </c>
      <c r="D123" s="18" t="e">
        <v>#N/A</v>
      </c>
      <c r="E123" s="18" t="e">
        <v>#N/A</v>
      </c>
      <c r="F123" s="18">
        <v>5.1931818181818183</v>
      </c>
      <c r="G123" s="16">
        <v>7.06</v>
      </c>
      <c r="H123" s="16">
        <v>6.6</v>
      </c>
    </row>
    <row r="124" spans="1:8" x14ac:dyDescent="0.25">
      <c r="A124" t="s">
        <v>721</v>
      </c>
      <c r="B124" s="16">
        <v>6.5</v>
      </c>
      <c r="C124" s="16">
        <v>6.88</v>
      </c>
      <c r="D124" s="18" t="e">
        <v>#N/A</v>
      </c>
      <c r="E124" s="18" t="e">
        <v>#N/A</v>
      </c>
      <c r="F124" s="18">
        <v>5.25</v>
      </c>
      <c r="G124" s="16">
        <v>7.13</v>
      </c>
      <c r="H124" s="16">
        <v>6.66</v>
      </c>
    </row>
    <row r="125" spans="1:8" x14ac:dyDescent="0.25">
      <c r="A125" t="s">
        <v>722</v>
      </c>
      <c r="B125" s="16">
        <v>6.6</v>
      </c>
      <c r="C125" s="16">
        <v>6.94</v>
      </c>
      <c r="D125" s="18" t="e">
        <v>#N/A</v>
      </c>
      <c r="E125" s="18" t="e">
        <v>#N/A</v>
      </c>
      <c r="F125" s="18">
        <v>5.4659090909090908</v>
      </c>
      <c r="G125" s="16">
        <v>7.2</v>
      </c>
      <c r="H125" s="16">
        <v>6.72</v>
      </c>
    </row>
    <row r="126" spans="1:8" x14ac:dyDescent="0.25">
      <c r="A126" t="s">
        <v>723</v>
      </c>
      <c r="B126" s="16">
        <v>6.52</v>
      </c>
      <c r="C126" s="16">
        <v>6.92</v>
      </c>
      <c r="D126" s="18" t="e">
        <v>#N/A</v>
      </c>
      <c r="E126" s="18" t="e">
        <v>#N/A</v>
      </c>
      <c r="F126" s="18">
        <v>5.5</v>
      </c>
      <c r="G126" s="16">
        <v>7.27</v>
      </c>
      <c r="H126" s="16">
        <v>6.89</v>
      </c>
    </row>
    <row r="127" spans="1:8" x14ac:dyDescent="0.25">
      <c r="A127" t="s">
        <v>724</v>
      </c>
      <c r="B127" s="16">
        <v>6.78</v>
      </c>
      <c r="C127" s="16">
        <v>7.09</v>
      </c>
      <c r="D127" s="18" t="e">
        <v>#N/A</v>
      </c>
      <c r="E127" s="18" t="e">
        <v>#N/A</v>
      </c>
      <c r="F127" s="18">
        <v>5.6547619047619051</v>
      </c>
      <c r="G127" s="16">
        <v>7.44</v>
      </c>
      <c r="H127" s="16">
        <v>6.99</v>
      </c>
    </row>
    <row r="128" spans="1:8" x14ac:dyDescent="0.25">
      <c r="A128" t="s">
        <v>725</v>
      </c>
      <c r="B128" s="16">
        <v>6.79</v>
      </c>
      <c r="C128" s="16">
        <v>7.11</v>
      </c>
      <c r="D128" s="18" t="e">
        <v>#N/A</v>
      </c>
      <c r="E128" s="18" t="e">
        <v>#N/A</v>
      </c>
      <c r="F128" s="18">
        <v>5.916666666666667</v>
      </c>
      <c r="G128" s="16">
        <v>7.64</v>
      </c>
      <c r="H128" s="16">
        <v>7.06</v>
      </c>
    </row>
    <row r="129" spans="1:8" x14ac:dyDescent="0.25">
      <c r="A129" t="s">
        <v>726</v>
      </c>
      <c r="B129" s="16">
        <v>6.45</v>
      </c>
      <c r="C129" s="16">
        <v>6.94</v>
      </c>
      <c r="D129" s="18" t="e">
        <v>#N/A</v>
      </c>
      <c r="E129" s="18" t="e">
        <v>#N/A</v>
      </c>
      <c r="F129" s="18">
        <v>6</v>
      </c>
      <c r="G129" s="16">
        <v>7.74</v>
      </c>
      <c r="H129" s="16">
        <v>7.12</v>
      </c>
    </row>
    <row r="130" spans="1:8" x14ac:dyDescent="0.25">
      <c r="A130" t="s">
        <v>727</v>
      </c>
      <c r="B130" s="16">
        <v>6.31</v>
      </c>
      <c r="C130" s="16">
        <v>6.92</v>
      </c>
      <c r="D130" s="18" t="e">
        <v>#N/A</v>
      </c>
      <c r="E130" s="18" t="e">
        <v>#N/A</v>
      </c>
      <c r="F130" s="18">
        <v>6</v>
      </c>
      <c r="G130" s="16">
        <v>7.77</v>
      </c>
      <c r="H130" s="16">
        <v>7.16</v>
      </c>
    </row>
    <row r="131" spans="1:8" x14ac:dyDescent="0.25">
      <c r="A131" t="s">
        <v>728</v>
      </c>
      <c r="B131" s="16">
        <v>6.39</v>
      </c>
      <c r="C131" s="16">
        <v>6.9</v>
      </c>
      <c r="D131" s="18" t="e">
        <v>#N/A</v>
      </c>
      <c r="E131" s="18" t="e">
        <v>#N/A</v>
      </c>
      <c r="F131" s="18">
        <v>6</v>
      </c>
      <c r="G131" s="16">
        <v>7.77</v>
      </c>
      <c r="H131" s="16">
        <v>7.13</v>
      </c>
    </row>
    <row r="132" spans="1:8" x14ac:dyDescent="0.25">
      <c r="A132" t="s">
        <v>729</v>
      </c>
      <c r="B132" s="16">
        <v>6.46</v>
      </c>
      <c r="C132" s="16">
        <v>6.87</v>
      </c>
      <c r="D132" s="18" t="e">
        <v>#N/A</v>
      </c>
      <c r="E132" s="18" t="e">
        <v>#N/A</v>
      </c>
      <c r="F132" s="18">
        <v>6</v>
      </c>
      <c r="G132" s="16">
        <v>7.71</v>
      </c>
      <c r="H132" s="16">
        <v>7.14</v>
      </c>
    </row>
    <row r="133" spans="1:8" x14ac:dyDescent="0.25">
      <c r="A133" t="s">
        <v>730</v>
      </c>
      <c r="B133" s="16">
        <v>6.37</v>
      </c>
      <c r="C133" s="16">
        <v>6.81</v>
      </c>
      <c r="D133" s="18" t="e">
        <v>#N/A</v>
      </c>
      <c r="E133" s="18" t="e">
        <v>#N/A</v>
      </c>
      <c r="F133" s="18">
        <v>6</v>
      </c>
      <c r="G133" s="16">
        <v>7.77</v>
      </c>
      <c r="H133" s="16">
        <v>7.12</v>
      </c>
    </row>
    <row r="134" spans="1:8" x14ac:dyDescent="0.25">
      <c r="A134" t="s">
        <v>731</v>
      </c>
      <c r="B134" s="16">
        <v>6.35</v>
      </c>
      <c r="C134" s="16">
        <v>6.76</v>
      </c>
      <c r="D134" s="18" t="e">
        <v>#N/A</v>
      </c>
      <c r="E134" s="18" t="e">
        <v>#N/A</v>
      </c>
      <c r="F134" s="18">
        <v>6</v>
      </c>
      <c r="G134" s="16">
        <v>7.77</v>
      </c>
      <c r="H134" s="16">
        <v>7.11</v>
      </c>
    </row>
    <row r="135" spans="1:8" x14ac:dyDescent="0.25">
      <c r="A135" t="s">
        <v>732</v>
      </c>
      <c r="B135" s="16">
        <v>6.31</v>
      </c>
      <c r="C135" s="16">
        <v>6.7</v>
      </c>
      <c r="D135" s="18" t="e">
        <v>#N/A</v>
      </c>
      <c r="E135" s="18" t="e">
        <v>#N/A</v>
      </c>
      <c r="F135" s="18">
        <v>6</v>
      </c>
      <c r="G135" s="16">
        <v>7.72</v>
      </c>
      <c r="H135" s="16">
        <v>7.11</v>
      </c>
    </row>
    <row r="136" spans="1:8" x14ac:dyDescent="0.25">
      <c r="A136" t="s">
        <v>733</v>
      </c>
      <c r="B136" s="16">
        <v>6.05</v>
      </c>
      <c r="C136" s="16">
        <v>6.61</v>
      </c>
      <c r="D136" s="18" t="e">
        <v>#N/A</v>
      </c>
      <c r="E136" s="18" t="e">
        <v>#N/A</v>
      </c>
      <c r="F136" s="18">
        <v>6</v>
      </c>
      <c r="G136" s="16">
        <v>7.65</v>
      </c>
      <c r="H136" s="16">
        <v>7.07</v>
      </c>
    </row>
    <row r="137" spans="1:8" x14ac:dyDescent="0.25">
      <c r="A137" t="s">
        <v>734</v>
      </c>
      <c r="B137" s="16">
        <v>6.06</v>
      </c>
      <c r="C137" s="16">
        <v>6.58</v>
      </c>
      <c r="D137" s="18" t="e">
        <v>#N/A</v>
      </c>
      <c r="E137" s="18" t="e">
        <v>#N/A</v>
      </c>
      <c r="F137" s="18">
        <v>6</v>
      </c>
      <c r="G137" s="16">
        <v>7.66</v>
      </c>
      <c r="H137" s="16">
        <v>7.07</v>
      </c>
    </row>
    <row r="138" spans="1:8" x14ac:dyDescent="0.25">
      <c r="A138" t="s">
        <v>735</v>
      </c>
      <c r="B138" s="16">
        <v>6.03</v>
      </c>
      <c r="C138" s="16">
        <v>6.2</v>
      </c>
      <c r="D138" s="18" t="e">
        <v>#N/A</v>
      </c>
      <c r="E138" s="18" t="e">
        <v>#N/A</v>
      </c>
      <c r="F138" s="18">
        <v>6</v>
      </c>
      <c r="G138" s="16">
        <v>7.63</v>
      </c>
      <c r="H138" s="16">
        <v>7.03</v>
      </c>
    </row>
    <row r="139" spans="1:8" x14ac:dyDescent="0.25">
      <c r="A139" t="s">
        <v>736</v>
      </c>
      <c r="B139" s="16">
        <v>5.78</v>
      </c>
      <c r="C139" s="16">
        <v>6.14</v>
      </c>
      <c r="D139" s="18" t="e">
        <v>#N/A</v>
      </c>
      <c r="E139" s="18" t="e">
        <v>#N/A</v>
      </c>
      <c r="F139" s="18">
        <v>6</v>
      </c>
      <c r="G139" s="16">
        <v>7.6</v>
      </c>
      <c r="H139" s="16">
        <v>7.01</v>
      </c>
    </row>
    <row r="140" spans="1:8" x14ac:dyDescent="0.25">
      <c r="A140" t="s">
        <v>737</v>
      </c>
      <c r="B140" s="16">
        <v>5.7</v>
      </c>
      <c r="C140" s="16">
        <v>6</v>
      </c>
      <c r="D140" s="18" t="e">
        <v>#N/A</v>
      </c>
      <c r="E140" s="18" t="e">
        <v>#N/A</v>
      </c>
      <c r="F140" s="18">
        <v>5.8125</v>
      </c>
      <c r="G140" s="16">
        <v>7.47</v>
      </c>
      <c r="H140" s="16">
        <v>6.98</v>
      </c>
    </row>
    <row r="141" spans="1:8" x14ac:dyDescent="0.25">
      <c r="A141" t="s">
        <v>738</v>
      </c>
      <c r="B141" s="16">
        <v>5.68</v>
      </c>
      <c r="C141" s="16">
        <v>5.91</v>
      </c>
      <c r="D141" s="18" t="e">
        <v>#N/A</v>
      </c>
      <c r="E141" s="18" t="e">
        <v>#N/A</v>
      </c>
      <c r="F141" s="18">
        <v>5.75</v>
      </c>
      <c r="G141" s="16">
        <v>7.36</v>
      </c>
      <c r="H141" s="16">
        <v>6.82</v>
      </c>
    </row>
    <row r="142" spans="1:8" x14ac:dyDescent="0.25">
      <c r="A142" t="s">
        <v>739</v>
      </c>
      <c r="B142" s="16">
        <v>5.63</v>
      </c>
      <c r="C142" s="16">
        <v>5.76</v>
      </c>
      <c r="D142" s="18" t="e">
        <v>#N/A</v>
      </c>
      <c r="E142" s="18" t="e">
        <v>#N/A</v>
      </c>
      <c r="F142" s="18">
        <v>5.5357142857142856</v>
      </c>
      <c r="G142" s="16">
        <v>7.31</v>
      </c>
      <c r="H142" s="16">
        <v>6.79</v>
      </c>
    </row>
    <row r="143" spans="1:8" x14ac:dyDescent="0.25">
      <c r="A143" t="s">
        <v>740</v>
      </c>
      <c r="B143" s="16">
        <v>5.65</v>
      </c>
      <c r="C143" s="16">
        <v>5.78</v>
      </c>
      <c r="D143" s="18" t="e">
        <v>#N/A</v>
      </c>
      <c r="E143" s="18" t="e">
        <v>#N/A</v>
      </c>
      <c r="F143" s="18">
        <v>5.3260869565217392</v>
      </c>
      <c r="G143" s="16">
        <v>7.14</v>
      </c>
      <c r="H143" s="16">
        <v>6.61</v>
      </c>
    </row>
    <row r="144" spans="1:8" x14ac:dyDescent="0.25">
      <c r="A144" t="s">
        <v>741</v>
      </c>
      <c r="B144" s="16">
        <v>5.72</v>
      </c>
      <c r="C144" s="16">
        <v>5.93</v>
      </c>
      <c r="D144" s="18" t="e">
        <v>#N/A</v>
      </c>
      <c r="E144" s="18" t="e">
        <v>#N/A</v>
      </c>
      <c r="F144" s="18">
        <v>5.25</v>
      </c>
      <c r="G144" s="16">
        <v>7.03</v>
      </c>
      <c r="H144" s="16">
        <v>6.44</v>
      </c>
    </row>
    <row r="145" spans="1:8" x14ac:dyDescent="0.25">
      <c r="A145" t="s">
        <v>742</v>
      </c>
      <c r="B145" s="16">
        <v>5.92</v>
      </c>
      <c r="C145" s="16">
        <v>6.07</v>
      </c>
      <c r="D145" s="18" t="e">
        <v>#N/A</v>
      </c>
      <c r="E145" s="18" t="e">
        <v>#N/A</v>
      </c>
      <c r="F145" s="18">
        <v>5.25</v>
      </c>
      <c r="G145" s="16">
        <v>7.01</v>
      </c>
      <c r="H145" s="16">
        <v>6.42</v>
      </c>
    </row>
    <row r="146" spans="1:8" x14ac:dyDescent="0.25">
      <c r="A146" t="s">
        <v>743</v>
      </c>
      <c r="B146" s="16">
        <v>5.58</v>
      </c>
      <c r="C146" s="16">
        <v>5.91</v>
      </c>
      <c r="D146" s="18" t="e">
        <v>#N/A</v>
      </c>
      <c r="E146" s="18" t="e">
        <v>#N/A</v>
      </c>
      <c r="F146" s="18">
        <v>5.0108695652173916</v>
      </c>
      <c r="G146" s="16">
        <v>6.86</v>
      </c>
      <c r="H146" s="16">
        <v>6.4</v>
      </c>
    </row>
    <row r="147" spans="1:8" x14ac:dyDescent="0.25">
      <c r="A147" t="s">
        <v>744</v>
      </c>
      <c r="B147" s="16">
        <v>5.39</v>
      </c>
      <c r="C147" s="16">
        <v>5.77</v>
      </c>
      <c r="D147" s="18" t="e">
        <v>#N/A</v>
      </c>
      <c r="E147" s="18" t="e">
        <v>#N/A</v>
      </c>
      <c r="F147" s="18">
        <v>4.8875000000000002</v>
      </c>
      <c r="G147" s="16">
        <v>6.7</v>
      </c>
      <c r="H147" s="16">
        <v>6.23</v>
      </c>
    </row>
    <row r="148" spans="1:8" x14ac:dyDescent="0.25">
      <c r="A148" t="s">
        <v>745</v>
      </c>
      <c r="B148" s="16">
        <v>5.0599999999999996</v>
      </c>
      <c r="C148" s="16">
        <v>5.61</v>
      </c>
      <c r="D148" s="18" t="e">
        <v>#N/A</v>
      </c>
      <c r="E148" s="18" t="e">
        <v>#N/A</v>
      </c>
      <c r="F148" s="18">
        <v>4.5326086956521738</v>
      </c>
      <c r="G148" s="16">
        <v>6.5</v>
      </c>
      <c r="H148" s="16">
        <v>6.08</v>
      </c>
    </row>
    <row r="149" spans="1:8" x14ac:dyDescent="0.25">
      <c r="A149" t="s">
        <v>746</v>
      </c>
      <c r="B149" s="16">
        <v>4.84</v>
      </c>
      <c r="C149" s="16">
        <v>5.49</v>
      </c>
      <c r="D149" s="18" t="e">
        <v>#N/A</v>
      </c>
      <c r="E149" s="18" t="e">
        <v>#N/A</v>
      </c>
      <c r="F149" s="18">
        <v>4.1136363636363633</v>
      </c>
      <c r="G149" s="16">
        <v>6.16</v>
      </c>
      <c r="H149" s="16">
        <v>5.87</v>
      </c>
    </row>
    <row r="150" spans="1:8" x14ac:dyDescent="0.25">
      <c r="A150" t="s">
        <v>747</v>
      </c>
      <c r="B150" s="16">
        <v>4.9800000000000004</v>
      </c>
      <c r="C150" s="16">
        <v>5.65</v>
      </c>
      <c r="D150" s="18" t="e">
        <v>#N/A</v>
      </c>
      <c r="E150" s="18" t="e">
        <v>#N/A</v>
      </c>
      <c r="F150" s="18">
        <v>4</v>
      </c>
      <c r="G150" s="16">
        <v>6</v>
      </c>
      <c r="H150" s="16">
        <v>5.59</v>
      </c>
    </row>
    <row r="151" spans="1:8" x14ac:dyDescent="0.25">
      <c r="A151" t="s">
        <v>748</v>
      </c>
      <c r="B151" s="16">
        <v>5.0599999999999996</v>
      </c>
      <c r="C151" s="16">
        <v>5.66</v>
      </c>
      <c r="D151" s="18" t="e">
        <v>#N/A</v>
      </c>
      <c r="E151" s="18" t="e">
        <v>#N/A</v>
      </c>
      <c r="F151" s="18">
        <v>4</v>
      </c>
      <c r="G151" s="16">
        <v>5.91</v>
      </c>
      <c r="H151" s="16">
        <v>5.54</v>
      </c>
    </row>
    <row r="152" spans="1:8" x14ac:dyDescent="0.25">
      <c r="A152" t="s">
        <v>749</v>
      </c>
      <c r="B152" s="16">
        <v>5.14</v>
      </c>
      <c r="C152" s="16">
        <v>5.69</v>
      </c>
      <c r="D152" s="18" t="e">
        <v>#N/A</v>
      </c>
      <c r="E152" s="18" t="e">
        <v>#N/A</v>
      </c>
      <c r="F152" s="18">
        <v>4</v>
      </c>
      <c r="G152" s="16">
        <v>5.86</v>
      </c>
      <c r="H152" s="16">
        <v>5.54</v>
      </c>
    </row>
    <row r="153" spans="1:8" x14ac:dyDescent="0.25">
      <c r="A153" t="s">
        <v>750</v>
      </c>
      <c r="B153" s="16">
        <v>5.22</v>
      </c>
      <c r="C153" s="16">
        <v>5.79</v>
      </c>
      <c r="D153" s="18" t="e">
        <v>#N/A</v>
      </c>
      <c r="E153" s="18" t="e">
        <v>#N/A</v>
      </c>
      <c r="F153" s="18">
        <v>4</v>
      </c>
      <c r="G153" s="16">
        <v>5.88</v>
      </c>
      <c r="H153" s="16">
        <v>5.46</v>
      </c>
    </row>
    <row r="154" spans="1:8" x14ac:dyDescent="0.25">
      <c r="A154" t="s">
        <v>751</v>
      </c>
      <c r="B154" s="16">
        <v>5.35</v>
      </c>
      <c r="C154" s="16">
        <v>5.86</v>
      </c>
      <c r="D154" s="18" t="e">
        <v>#N/A</v>
      </c>
      <c r="E154" s="18" t="e">
        <v>#N/A</v>
      </c>
      <c r="F154" s="18">
        <v>4</v>
      </c>
      <c r="G154" s="16">
        <v>5.88</v>
      </c>
      <c r="H154" s="16">
        <v>5.42</v>
      </c>
    </row>
    <row r="155" spans="1:8" x14ac:dyDescent="0.25">
      <c r="A155" t="s">
        <v>752</v>
      </c>
      <c r="B155" s="16">
        <v>5.43</v>
      </c>
      <c r="C155" s="16">
        <v>5.87</v>
      </c>
      <c r="D155" s="18" t="e">
        <v>#N/A</v>
      </c>
      <c r="E155" s="18" t="e">
        <v>#N/A</v>
      </c>
      <c r="F155" s="18">
        <v>4</v>
      </c>
      <c r="G155" s="16">
        <v>5.89</v>
      </c>
      <c r="H155" s="16">
        <v>5.44</v>
      </c>
    </row>
    <row r="156" spans="1:8" x14ac:dyDescent="0.25">
      <c r="A156" t="s">
        <v>753</v>
      </c>
      <c r="B156" s="16">
        <v>5.41</v>
      </c>
      <c r="C156" s="16">
        <v>5.81</v>
      </c>
      <c r="D156" s="18" t="e">
        <v>#N/A</v>
      </c>
      <c r="E156" s="18" t="e">
        <v>#N/A</v>
      </c>
      <c r="F156" s="18">
        <v>4</v>
      </c>
      <c r="G156" s="16">
        <v>5.88</v>
      </c>
      <c r="H156" s="16">
        <v>5.45</v>
      </c>
    </row>
    <row r="157" spans="1:8" x14ac:dyDescent="0.25">
      <c r="A157" t="s">
        <v>754</v>
      </c>
      <c r="B157" s="16">
        <v>5.3</v>
      </c>
      <c r="C157" s="16">
        <v>5.72</v>
      </c>
      <c r="D157" s="18" t="e">
        <v>#N/A</v>
      </c>
      <c r="E157" s="18" t="e">
        <v>#N/A</v>
      </c>
      <c r="F157" s="18">
        <v>4</v>
      </c>
      <c r="G157" s="16">
        <v>5.85</v>
      </c>
      <c r="H157" s="16">
        <v>5.32</v>
      </c>
    </row>
    <row r="158" spans="1:8" x14ac:dyDescent="0.25">
      <c r="A158" t="s">
        <v>755</v>
      </c>
      <c r="B158" s="16">
        <v>4.59</v>
      </c>
      <c r="C158" s="16">
        <v>5.27</v>
      </c>
      <c r="D158" s="18" t="e">
        <v>#N/A</v>
      </c>
      <c r="E158" s="18" t="e">
        <v>#N/A</v>
      </c>
      <c r="F158" s="18">
        <v>4</v>
      </c>
      <c r="G158" s="16">
        <v>5.86</v>
      </c>
      <c r="H158" s="16">
        <v>5.32</v>
      </c>
    </row>
    <row r="159" spans="1:8" x14ac:dyDescent="0.25">
      <c r="A159" t="s">
        <v>756</v>
      </c>
      <c r="B159" s="16">
        <v>4.5</v>
      </c>
      <c r="C159" s="16">
        <v>5.0599999999999996</v>
      </c>
      <c r="D159" s="18" t="e">
        <v>#N/A</v>
      </c>
      <c r="E159" s="18" t="e">
        <v>#N/A</v>
      </c>
      <c r="F159" s="18">
        <v>4</v>
      </c>
      <c r="G159" s="16">
        <v>5.86</v>
      </c>
      <c r="H159" s="16">
        <v>5.3</v>
      </c>
    </row>
    <row r="160" spans="1:8" x14ac:dyDescent="0.25">
      <c r="A160" t="s">
        <v>757</v>
      </c>
      <c r="B160" s="16">
        <v>4.43</v>
      </c>
      <c r="C160" s="16">
        <v>4.9800000000000004</v>
      </c>
      <c r="D160" s="18" t="e">
        <v>#N/A</v>
      </c>
      <c r="E160" s="18" t="e">
        <v>#N/A</v>
      </c>
      <c r="F160" s="18">
        <v>4</v>
      </c>
      <c r="G160" s="16">
        <v>5.86</v>
      </c>
      <c r="H160" s="16">
        <v>5.31</v>
      </c>
    </row>
    <row r="161" spans="1:8" x14ac:dyDescent="0.25">
      <c r="A161" t="s">
        <v>758</v>
      </c>
      <c r="B161" s="16">
        <v>4.45</v>
      </c>
      <c r="C161" s="16">
        <v>5.01</v>
      </c>
      <c r="D161" s="18" t="e">
        <v>#N/A</v>
      </c>
      <c r="E161" s="18" t="e">
        <v>#N/A</v>
      </c>
      <c r="F161" s="18">
        <v>4</v>
      </c>
      <c r="G161" s="16">
        <v>5.85</v>
      </c>
      <c r="H161" s="16">
        <v>5.3</v>
      </c>
    </row>
    <row r="162" spans="1:8" x14ac:dyDescent="0.25">
      <c r="A162" t="s">
        <v>759</v>
      </c>
      <c r="B162" s="16">
        <v>4.62</v>
      </c>
      <c r="C162" s="16">
        <v>5.0999999999999996</v>
      </c>
      <c r="D162" s="18" t="e">
        <v>#N/A</v>
      </c>
      <c r="E162" s="18" t="e">
        <v>#N/A</v>
      </c>
      <c r="F162" s="18">
        <v>4</v>
      </c>
      <c r="G162" s="16">
        <v>5.87</v>
      </c>
      <c r="H162" s="16">
        <v>5.28</v>
      </c>
    </row>
    <row r="163" spans="1:8" x14ac:dyDescent="0.25">
      <c r="A163" t="s">
        <v>760</v>
      </c>
      <c r="B163" s="16">
        <v>4.5</v>
      </c>
      <c r="C163" s="16">
        <v>4.99</v>
      </c>
      <c r="D163" s="18" t="e">
        <v>#N/A</v>
      </c>
      <c r="E163" s="18" t="e">
        <v>#N/A</v>
      </c>
      <c r="F163" s="18">
        <v>4</v>
      </c>
      <c r="G163" s="16">
        <v>5.83</v>
      </c>
      <c r="H163" s="16">
        <v>5.23</v>
      </c>
    </row>
    <row r="164" spans="1:8" x14ac:dyDescent="0.25">
      <c r="A164" t="s">
        <v>761</v>
      </c>
      <c r="B164" s="16">
        <v>4.1399999999999997</v>
      </c>
      <c r="C164" s="16">
        <v>4.74</v>
      </c>
      <c r="D164" s="18" t="e">
        <v>#N/A</v>
      </c>
      <c r="E164" s="18" t="e">
        <v>#N/A</v>
      </c>
      <c r="F164" s="18">
        <v>3.7875000000000001</v>
      </c>
      <c r="G164" s="16">
        <v>5.7</v>
      </c>
      <c r="H164" s="16">
        <v>5.21</v>
      </c>
    </row>
    <row r="165" spans="1:8" x14ac:dyDescent="0.25">
      <c r="A165" t="s">
        <v>762</v>
      </c>
      <c r="B165" s="16">
        <v>4.0599999999999996</v>
      </c>
      <c r="C165" s="16">
        <v>4.76</v>
      </c>
      <c r="D165" s="18" t="e">
        <v>#N/A</v>
      </c>
      <c r="E165" s="18" t="e">
        <v>#N/A</v>
      </c>
      <c r="F165" s="18">
        <v>3.75</v>
      </c>
      <c r="G165" s="16">
        <v>5.62</v>
      </c>
      <c r="H165" s="16">
        <v>5.08</v>
      </c>
    </row>
    <row r="166" spans="1:8" x14ac:dyDescent="0.25">
      <c r="A166" t="s">
        <v>763</v>
      </c>
      <c r="B166" s="16">
        <v>4.0599999999999996</v>
      </c>
      <c r="C166" s="16">
        <v>4.75</v>
      </c>
      <c r="D166" s="18" t="e">
        <v>#N/A</v>
      </c>
      <c r="E166" s="18" t="e">
        <v>#N/A</v>
      </c>
      <c r="F166" s="18">
        <v>3.75</v>
      </c>
      <c r="G166" s="16">
        <v>5.65</v>
      </c>
      <c r="H166" s="16">
        <v>5.03</v>
      </c>
    </row>
    <row r="167" spans="1:8" x14ac:dyDescent="0.25">
      <c r="A167" t="s">
        <v>764</v>
      </c>
      <c r="B167" s="16">
        <v>3.91</v>
      </c>
      <c r="C167" s="16">
        <v>4.6399999999999997</v>
      </c>
      <c r="D167" s="18" t="e">
        <v>#N/A</v>
      </c>
      <c r="E167" s="18" t="e">
        <v>#N/A</v>
      </c>
      <c r="F167" s="18">
        <v>3.75</v>
      </c>
      <c r="G167" s="16">
        <v>5.57</v>
      </c>
      <c r="H167" s="16">
        <v>5</v>
      </c>
    </row>
    <row r="168" spans="1:8" x14ac:dyDescent="0.25">
      <c r="A168" t="s">
        <v>765</v>
      </c>
      <c r="B168" s="16">
        <v>3.85</v>
      </c>
      <c r="C168" s="16">
        <v>4.3600000000000003</v>
      </c>
      <c r="D168" s="18" t="e">
        <v>#N/A</v>
      </c>
      <c r="E168" s="18" t="e">
        <v>#N/A</v>
      </c>
      <c r="F168" s="18">
        <v>3.75</v>
      </c>
      <c r="G168" s="16">
        <v>5.6</v>
      </c>
      <c r="H168" s="16">
        <v>5</v>
      </c>
    </row>
    <row r="169" spans="1:8" x14ac:dyDescent="0.25">
      <c r="A169" t="s">
        <v>766</v>
      </c>
      <c r="B169" s="16">
        <v>3.87</v>
      </c>
      <c r="C169" s="16">
        <v>4.4800000000000004</v>
      </c>
      <c r="D169" s="18" t="e">
        <v>#N/A</v>
      </c>
      <c r="E169" s="18" t="e">
        <v>#N/A</v>
      </c>
      <c r="F169" s="18">
        <v>3.5760869565217392</v>
      </c>
      <c r="G169" s="16">
        <v>5.52</v>
      </c>
      <c r="H169" s="16">
        <v>4.9400000000000004</v>
      </c>
    </row>
    <row r="170" spans="1:8" x14ac:dyDescent="0.25">
      <c r="A170" t="s">
        <v>767</v>
      </c>
      <c r="B170" s="16">
        <v>4.32</v>
      </c>
      <c r="C170" s="16">
        <v>4.8099999999999996</v>
      </c>
      <c r="D170" s="18" t="e">
        <v>#N/A</v>
      </c>
      <c r="E170" s="18" t="e">
        <v>#N/A</v>
      </c>
      <c r="F170" s="18">
        <v>3.5</v>
      </c>
      <c r="G170" s="16">
        <v>5.43</v>
      </c>
      <c r="H170" s="16">
        <v>4.82</v>
      </c>
    </row>
    <row r="171" spans="1:8" x14ac:dyDescent="0.25">
      <c r="A171" t="s">
        <v>768</v>
      </c>
      <c r="B171" s="16">
        <v>4.5599999999999996</v>
      </c>
      <c r="C171" s="16">
        <v>5.05</v>
      </c>
      <c r="D171" s="18" t="e">
        <v>#N/A</v>
      </c>
      <c r="E171" s="18" t="e">
        <v>#N/A</v>
      </c>
      <c r="F171" s="18">
        <v>3.5</v>
      </c>
      <c r="G171" s="16">
        <v>5.45</v>
      </c>
      <c r="H171" s="16">
        <v>4.79</v>
      </c>
    </row>
    <row r="172" spans="1:8" x14ac:dyDescent="0.25">
      <c r="A172" t="s">
        <v>769</v>
      </c>
      <c r="B172" s="16">
        <v>4.9800000000000004</v>
      </c>
      <c r="C172" s="16">
        <v>5.41</v>
      </c>
      <c r="D172" s="18" t="e">
        <v>#N/A</v>
      </c>
      <c r="E172" s="18" t="e">
        <v>#N/A</v>
      </c>
      <c r="F172" s="18">
        <v>3.5</v>
      </c>
      <c r="G172" s="16">
        <v>5.48</v>
      </c>
      <c r="H172" s="16">
        <v>4.78</v>
      </c>
    </row>
    <row r="173" spans="1:8" x14ac:dyDescent="0.25">
      <c r="A173" t="s">
        <v>770</v>
      </c>
      <c r="B173" s="16">
        <v>5.0999999999999996</v>
      </c>
      <c r="C173" s="16">
        <v>5.54</v>
      </c>
      <c r="D173" s="18" t="e">
        <v>#N/A</v>
      </c>
      <c r="E173" s="18" t="e">
        <v>#N/A</v>
      </c>
      <c r="F173" s="18">
        <v>3.7124999999999999</v>
      </c>
      <c r="G173" s="16">
        <v>5.58</v>
      </c>
      <c r="H173" s="16">
        <v>4.7699999999999996</v>
      </c>
    </row>
    <row r="174" spans="1:8" x14ac:dyDescent="0.25">
      <c r="A174" t="s">
        <v>771</v>
      </c>
      <c r="B174" s="16">
        <v>5.05</v>
      </c>
      <c r="C174" s="16">
        <v>5.53</v>
      </c>
      <c r="D174" s="18" t="e">
        <v>#N/A</v>
      </c>
      <c r="E174" s="18" t="e">
        <v>#N/A</v>
      </c>
      <c r="F174" s="18">
        <v>3.75</v>
      </c>
      <c r="G174" s="16">
        <v>5.64</v>
      </c>
      <c r="H174" s="16">
        <v>4.87</v>
      </c>
    </row>
    <row r="175" spans="1:8" x14ac:dyDescent="0.25">
      <c r="A175" t="s">
        <v>772</v>
      </c>
      <c r="B175" s="16">
        <v>4.95</v>
      </c>
      <c r="C175" s="16">
        <v>5.43</v>
      </c>
      <c r="D175" s="18" t="e">
        <v>#N/A</v>
      </c>
      <c r="E175" s="18" t="e">
        <v>#N/A</v>
      </c>
      <c r="F175" s="18">
        <v>3.75</v>
      </c>
      <c r="G175" s="16">
        <v>5.44</v>
      </c>
      <c r="H175" s="16">
        <v>4.9000000000000004</v>
      </c>
    </row>
    <row r="176" spans="1:8" x14ac:dyDescent="0.25">
      <c r="A176" t="s">
        <v>773</v>
      </c>
      <c r="B176" s="16">
        <v>4.8899999999999997</v>
      </c>
      <c r="C176" s="16">
        <v>5.38</v>
      </c>
      <c r="D176" s="18" t="e">
        <v>#N/A</v>
      </c>
      <c r="E176" s="18" t="e">
        <v>#N/A</v>
      </c>
      <c r="F176" s="18">
        <v>3.9624999999999999</v>
      </c>
      <c r="G176" s="16">
        <v>5.61</v>
      </c>
      <c r="H176" s="16">
        <v>4.99</v>
      </c>
    </row>
    <row r="177" spans="1:8" x14ac:dyDescent="0.25">
      <c r="A177" t="s">
        <v>774</v>
      </c>
      <c r="B177" s="16">
        <v>4.9000000000000004</v>
      </c>
      <c r="C177" s="16">
        <v>5.39</v>
      </c>
      <c r="D177" s="18" t="e">
        <v>#N/A</v>
      </c>
      <c r="E177" s="18" t="e">
        <v>#N/A</v>
      </c>
      <c r="F177" s="18">
        <v>4</v>
      </c>
      <c r="G177" s="16">
        <v>5.77</v>
      </c>
      <c r="H177" s="16">
        <v>5.0599999999999996</v>
      </c>
    </row>
    <row r="178" spans="1:8" x14ac:dyDescent="0.25">
      <c r="A178" t="s">
        <v>775</v>
      </c>
      <c r="B178" s="16">
        <v>5.1100000000000003</v>
      </c>
      <c r="C178" s="16">
        <v>5.52</v>
      </c>
      <c r="D178" s="18" t="e">
        <v>#N/A</v>
      </c>
      <c r="E178" s="18" t="e">
        <v>#N/A</v>
      </c>
      <c r="F178" s="18">
        <v>4</v>
      </c>
      <c r="G178" s="16">
        <v>5.78</v>
      </c>
      <c r="H178" s="16">
        <v>5.03</v>
      </c>
    </row>
    <row r="179" spans="1:8" x14ac:dyDescent="0.25">
      <c r="A179" t="s">
        <v>776</v>
      </c>
      <c r="B179" s="16">
        <v>5.18</v>
      </c>
      <c r="C179" s="16">
        <v>5.57</v>
      </c>
      <c r="D179" s="18" t="e">
        <v>#N/A</v>
      </c>
      <c r="E179" s="18" t="e">
        <v>#N/A</v>
      </c>
      <c r="F179" s="18">
        <v>4.2142857142857144</v>
      </c>
      <c r="G179" s="16">
        <v>5.92</v>
      </c>
      <c r="H179" s="16">
        <v>5.0599999999999996</v>
      </c>
    </row>
    <row r="180" spans="1:8" x14ac:dyDescent="0.25">
      <c r="A180" t="s">
        <v>777</v>
      </c>
      <c r="B180" s="16">
        <v>5.52</v>
      </c>
      <c r="C180" s="16">
        <v>5.87</v>
      </c>
      <c r="D180" s="18" t="e">
        <v>#N/A</v>
      </c>
      <c r="E180" s="18" t="e">
        <v>#N/A</v>
      </c>
      <c r="F180" s="18">
        <v>4.4204545454545459</v>
      </c>
      <c r="G180" s="16">
        <v>5.97</v>
      </c>
      <c r="H180" s="16">
        <v>5.22</v>
      </c>
    </row>
    <row r="181" spans="1:8" x14ac:dyDescent="0.25">
      <c r="A181" t="s">
        <v>778</v>
      </c>
      <c r="B181" s="16">
        <v>5.53</v>
      </c>
      <c r="C181" s="16">
        <v>5.88</v>
      </c>
      <c r="D181" s="18" t="e">
        <v>#N/A</v>
      </c>
      <c r="E181" s="18" t="e">
        <v>#N/A</v>
      </c>
      <c r="F181" s="18">
        <v>4.5</v>
      </c>
      <c r="G181" s="16">
        <v>6.22</v>
      </c>
      <c r="H181" s="16">
        <v>5.39</v>
      </c>
    </row>
    <row r="182" spans="1:8" x14ac:dyDescent="0.25">
      <c r="A182" t="s">
        <v>779</v>
      </c>
      <c r="B182" s="16">
        <v>5.47</v>
      </c>
      <c r="C182" s="16">
        <v>5.84</v>
      </c>
      <c r="D182" s="18" t="e">
        <v>#N/A</v>
      </c>
      <c r="E182" s="18" t="e">
        <v>#N/A</v>
      </c>
      <c r="F182" s="18">
        <v>4.7159090909090908</v>
      </c>
      <c r="G182" s="16">
        <v>6.34</v>
      </c>
      <c r="H182" s="16">
        <v>5.43</v>
      </c>
    </row>
    <row r="183" spans="1:8" x14ac:dyDescent="0.25">
      <c r="A183" t="s">
        <v>780</v>
      </c>
      <c r="B183" s="16">
        <v>5.33</v>
      </c>
      <c r="C183" s="16">
        <v>5.79</v>
      </c>
      <c r="D183" s="18" t="e">
        <v>#N/A</v>
      </c>
      <c r="E183" s="18" t="e">
        <v>#N/A</v>
      </c>
      <c r="F183" s="18">
        <v>4.75</v>
      </c>
      <c r="G183" s="16">
        <v>6.4</v>
      </c>
      <c r="H183" s="16">
        <v>5.57</v>
      </c>
    </row>
    <row r="184" spans="1:8" x14ac:dyDescent="0.25">
      <c r="A184" t="s">
        <v>781</v>
      </c>
      <c r="B184" s="16">
        <v>5.29</v>
      </c>
      <c r="C184" s="16">
        <v>5.68</v>
      </c>
      <c r="D184" s="18" t="e">
        <v>#N/A</v>
      </c>
      <c r="E184" s="18" t="e">
        <v>#N/A</v>
      </c>
      <c r="F184" s="18">
        <v>4.75</v>
      </c>
      <c r="G184" s="16">
        <v>6.25</v>
      </c>
      <c r="H184" s="16">
        <v>5.57</v>
      </c>
    </row>
    <row r="185" spans="1:8" x14ac:dyDescent="0.25">
      <c r="A185" t="s">
        <v>782</v>
      </c>
      <c r="B185" s="16">
        <v>5.0599999999999996</v>
      </c>
      <c r="C185" s="16">
        <v>5.49</v>
      </c>
      <c r="D185" s="18" t="e">
        <v>#N/A</v>
      </c>
      <c r="E185" s="18" t="e">
        <v>#N/A</v>
      </c>
      <c r="F185" s="18">
        <v>4.75</v>
      </c>
      <c r="G185" s="16">
        <v>6.24</v>
      </c>
      <c r="H185" s="16">
        <v>5.58</v>
      </c>
    </row>
    <row r="186" spans="1:8" x14ac:dyDescent="0.25">
      <c r="A186" t="s">
        <v>783</v>
      </c>
      <c r="B186" s="16">
        <v>5.07</v>
      </c>
      <c r="C186" s="16">
        <v>5.37</v>
      </c>
      <c r="D186" s="18" t="e">
        <v>#N/A</v>
      </c>
      <c r="E186" s="18" t="e">
        <v>#N/A</v>
      </c>
      <c r="F186" s="18">
        <v>4.75</v>
      </c>
      <c r="G186" s="16">
        <v>6.28</v>
      </c>
      <c r="H186" s="16">
        <v>5.57</v>
      </c>
    </row>
    <row r="187" spans="1:8" x14ac:dyDescent="0.25">
      <c r="A187" t="s">
        <v>784</v>
      </c>
      <c r="B187" s="16">
        <v>4.99</v>
      </c>
      <c r="C187" s="16">
        <v>5.2</v>
      </c>
      <c r="D187" s="18" t="e">
        <v>#N/A</v>
      </c>
      <c r="E187" s="18" t="e">
        <v>#N/A</v>
      </c>
      <c r="F187" s="18">
        <v>4.75</v>
      </c>
      <c r="G187" s="16">
        <v>6.26</v>
      </c>
      <c r="H187" s="16">
        <v>5.54</v>
      </c>
    </row>
    <row r="188" spans="1:8" x14ac:dyDescent="0.25">
      <c r="A188" t="s">
        <v>785</v>
      </c>
      <c r="B188" s="16">
        <v>5.07</v>
      </c>
      <c r="C188" s="16">
        <v>5.25</v>
      </c>
      <c r="D188" s="18" t="e">
        <v>#N/A</v>
      </c>
      <c r="E188" s="18" t="e">
        <v>#N/A</v>
      </c>
      <c r="F188" s="18">
        <v>4.75</v>
      </c>
      <c r="G188" s="16">
        <v>6.2</v>
      </c>
      <c r="H188" s="16">
        <v>5.53</v>
      </c>
    </row>
    <row r="189" spans="1:8" x14ac:dyDescent="0.25">
      <c r="A189" t="s">
        <v>786</v>
      </c>
      <c r="B189" s="16">
        <v>5.2</v>
      </c>
      <c r="C189" s="16">
        <v>5.28</v>
      </c>
      <c r="D189" s="18" t="e">
        <v>#N/A</v>
      </c>
      <c r="E189" s="18" t="e">
        <v>#N/A</v>
      </c>
      <c r="F189" s="18">
        <v>4.75</v>
      </c>
      <c r="G189" s="16">
        <v>6.27</v>
      </c>
      <c r="H189" s="16">
        <v>5.52</v>
      </c>
    </row>
    <row r="190" spans="1:8" x14ac:dyDescent="0.25">
      <c r="A190" t="s">
        <v>787</v>
      </c>
      <c r="B190" s="16">
        <v>5.16</v>
      </c>
      <c r="C190" s="16">
        <v>5.23</v>
      </c>
      <c r="D190" s="18" t="e">
        <v>#N/A</v>
      </c>
      <c r="E190" s="18" t="e">
        <v>#N/A</v>
      </c>
      <c r="F190" s="18">
        <v>4.75</v>
      </c>
      <c r="G190" s="16">
        <v>6.29</v>
      </c>
      <c r="H190" s="16">
        <v>5.5</v>
      </c>
    </row>
    <row r="191" spans="1:8" x14ac:dyDescent="0.25">
      <c r="A191" t="s">
        <v>788</v>
      </c>
      <c r="B191" s="16">
        <v>4.91</v>
      </c>
      <c r="C191" s="16">
        <v>5.05</v>
      </c>
      <c r="D191" s="18" t="e">
        <v>#N/A</v>
      </c>
      <c r="E191" s="18" t="e">
        <v>#N/A</v>
      </c>
      <c r="F191" s="18">
        <v>4.75</v>
      </c>
      <c r="G191" s="16">
        <v>6.28</v>
      </c>
      <c r="H191" s="16">
        <v>5.49</v>
      </c>
    </row>
    <row r="192" spans="1:8" x14ac:dyDescent="0.25">
      <c r="A192" t="s">
        <v>789</v>
      </c>
      <c r="B192" s="16">
        <v>4.7699999999999996</v>
      </c>
      <c r="C192" s="16">
        <v>4.92</v>
      </c>
      <c r="D192" s="18" t="e">
        <v>#N/A</v>
      </c>
      <c r="E192" s="18" t="e">
        <v>#N/A</v>
      </c>
      <c r="F192" s="18">
        <v>4.75</v>
      </c>
      <c r="G192" s="16">
        <v>6.24</v>
      </c>
      <c r="H192" s="16">
        <v>5.52</v>
      </c>
    </row>
    <row r="193" spans="1:8" x14ac:dyDescent="0.25">
      <c r="A193" t="s">
        <v>790</v>
      </c>
      <c r="B193" s="16">
        <v>4.59</v>
      </c>
      <c r="C193" s="16">
        <v>4.84</v>
      </c>
      <c r="D193" s="18" t="e">
        <v>#N/A</v>
      </c>
      <c r="E193" s="18" t="e">
        <v>#N/A</v>
      </c>
      <c r="F193" s="18">
        <v>4.75</v>
      </c>
      <c r="G193" s="16">
        <v>6.18</v>
      </c>
      <c r="H193" s="16">
        <v>5.53</v>
      </c>
    </row>
    <row r="194" spans="1:8" x14ac:dyDescent="0.25">
      <c r="A194" t="s">
        <v>791</v>
      </c>
      <c r="B194" s="16">
        <v>4.5599999999999996</v>
      </c>
      <c r="C194" s="16">
        <v>4.8499999999999996</v>
      </c>
      <c r="D194" s="18" t="e">
        <v>#N/A</v>
      </c>
      <c r="E194" s="18" t="e">
        <v>#N/A</v>
      </c>
      <c r="F194" s="18">
        <v>4.5326086956521738</v>
      </c>
      <c r="G194" s="16">
        <v>6.07</v>
      </c>
      <c r="H194" s="16">
        <v>5.52</v>
      </c>
    </row>
    <row r="195" spans="1:8" x14ac:dyDescent="0.25">
      <c r="A195" t="s">
        <v>792</v>
      </c>
      <c r="B195" s="16">
        <v>4.5199999999999996</v>
      </c>
      <c r="C195" s="16">
        <v>4.82</v>
      </c>
      <c r="D195" s="18" t="e">
        <v>#N/A</v>
      </c>
      <c r="E195" s="18" t="e">
        <v>#N/A</v>
      </c>
      <c r="F195" s="18">
        <v>4.5</v>
      </c>
      <c r="G195" s="16">
        <v>6.01</v>
      </c>
      <c r="H195" s="16">
        <v>5.38</v>
      </c>
    </row>
    <row r="196" spans="1:8" x14ac:dyDescent="0.25">
      <c r="A196" t="s">
        <v>793</v>
      </c>
      <c r="B196" s="16">
        <v>4.54</v>
      </c>
      <c r="C196" s="16">
        <v>4.8499999999999996</v>
      </c>
      <c r="D196" s="18" t="e">
        <v>#N/A</v>
      </c>
      <c r="E196" s="18" t="e">
        <v>#N/A</v>
      </c>
      <c r="F196" s="18">
        <v>4.5</v>
      </c>
      <c r="G196" s="16">
        <v>5.96</v>
      </c>
      <c r="H196" s="16">
        <v>5.36</v>
      </c>
    </row>
    <row r="197" spans="1:8" x14ac:dyDescent="0.25">
      <c r="A197" t="s">
        <v>794</v>
      </c>
      <c r="B197" s="16">
        <v>4.74</v>
      </c>
      <c r="C197" s="16">
        <v>4.9800000000000004</v>
      </c>
      <c r="D197" s="18" t="e">
        <v>#N/A</v>
      </c>
      <c r="E197" s="18" t="e">
        <v>#N/A</v>
      </c>
      <c r="F197" s="18">
        <v>4.5</v>
      </c>
      <c r="G197" s="16">
        <v>5.96</v>
      </c>
      <c r="H197" s="16">
        <v>5.36</v>
      </c>
    </row>
    <row r="198" spans="1:8" x14ac:dyDescent="0.25">
      <c r="A198" t="s">
        <v>795</v>
      </c>
      <c r="B198" s="16">
        <v>4.74</v>
      </c>
      <c r="C198" s="16">
        <v>5</v>
      </c>
      <c r="D198" s="18" t="e">
        <v>#N/A</v>
      </c>
      <c r="E198" s="18" t="e">
        <v>#N/A</v>
      </c>
      <c r="F198" s="18">
        <v>4.5</v>
      </c>
      <c r="G198" s="16">
        <v>6.1</v>
      </c>
      <c r="H198" s="16">
        <v>5.33</v>
      </c>
    </row>
    <row r="199" spans="1:8" x14ac:dyDescent="0.25">
      <c r="A199" t="s">
        <v>796</v>
      </c>
      <c r="B199" s="16">
        <v>4.62</v>
      </c>
      <c r="C199" s="16">
        <v>4.92</v>
      </c>
      <c r="D199" s="18" t="e">
        <v>#N/A</v>
      </c>
      <c r="E199" s="18" t="e">
        <v>#N/A</v>
      </c>
      <c r="F199" s="18">
        <v>4.5</v>
      </c>
      <c r="G199" s="16">
        <v>6.11</v>
      </c>
      <c r="H199" s="16">
        <v>5.33</v>
      </c>
    </row>
    <row r="200" spans="1:8" x14ac:dyDescent="0.25">
      <c r="A200" t="s">
        <v>797</v>
      </c>
      <c r="B200" s="16">
        <v>4.71</v>
      </c>
      <c r="C200" s="16">
        <v>4.93</v>
      </c>
      <c r="D200" s="18" t="e">
        <v>#N/A</v>
      </c>
      <c r="E200" s="18" t="e">
        <v>#N/A</v>
      </c>
      <c r="F200" s="18">
        <v>4.5</v>
      </c>
      <c r="G200" s="16">
        <v>6.09</v>
      </c>
      <c r="H200" s="16">
        <v>5.34</v>
      </c>
    </row>
    <row r="201" spans="1:8" x14ac:dyDescent="0.25">
      <c r="A201" t="s">
        <v>798</v>
      </c>
      <c r="B201" s="16">
        <v>4.72</v>
      </c>
      <c r="C201" s="16">
        <v>4.9800000000000004</v>
      </c>
      <c r="D201" s="18" t="e">
        <v>#N/A</v>
      </c>
      <c r="E201" s="18" t="e">
        <v>#N/A</v>
      </c>
      <c r="F201" s="18">
        <v>4.5</v>
      </c>
      <c r="G201" s="16">
        <v>6.06</v>
      </c>
      <c r="H201" s="16">
        <v>5.31</v>
      </c>
    </row>
    <row r="202" spans="1:8" x14ac:dyDescent="0.25">
      <c r="A202" t="s">
        <v>799</v>
      </c>
      <c r="B202" s="16">
        <v>4.7699999999999996</v>
      </c>
      <c r="C202" s="16">
        <v>5.09</v>
      </c>
      <c r="D202" s="18" t="e">
        <v>#N/A</v>
      </c>
      <c r="E202" s="18" t="e">
        <v>#N/A</v>
      </c>
      <c r="F202" s="18">
        <v>4.5</v>
      </c>
      <c r="G202" s="16">
        <v>6.08</v>
      </c>
      <c r="H202" s="16">
        <v>5.32</v>
      </c>
    </row>
    <row r="203" spans="1:8" x14ac:dyDescent="0.25">
      <c r="A203" t="s">
        <v>800</v>
      </c>
      <c r="B203" s="16">
        <v>5</v>
      </c>
      <c r="C203" s="16">
        <v>5.36</v>
      </c>
      <c r="D203" s="18" t="e">
        <v>#N/A</v>
      </c>
      <c r="E203" s="18" t="e">
        <v>#N/A</v>
      </c>
      <c r="F203" s="18">
        <v>4.5</v>
      </c>
      <c r="G203" s="16">
        <v>6.09</v>
      </c>
      <c r="H203" s="16">
        <v>5.31</v>
      </c>
    </row>
    <row r="204" spans="1:8" x14ac:dyDescent="0.25">
      <c r="A204" t="s">
        <v>801</v>
      </c>
      <c r="B204" s="16">
        <v>5</v>
      </c>
      <c r="C204" s="16">
        <v>5.34</v>
      </c>
      <c r="D204" s="18" t="e">
        <v>#N/A</v>
      </c>
      <c r="E204" s="18" t="e">
        <v>#N/A</v>
      </c>
      <c r="F204" s="18">
        <v>4.5</v>
      </c>
      <c r="G204" s="16">
        <v>6.09</v>
      </c>
      <c r="H204" s="16">
        <v>5.3</v>
      </c>
    </row>
    <row r="205" spans="1:8" x14ac:dyDescent="0.25">
      <c r="A205" t="s">
        <v>802</v>
      </c>
      <c r="B205" s="16">
        <v>5.01</v>
      </c>
      <c r="C205" s="16">
        <v>5.31</v>
      </c>
      <c r="D205" s="18" t="e">
        <v>#N/A</v>
      </c>
      <c r="E205" s="18" t="e">
        <v>#N/A</v>
      </c>
      <c r="F205" s="18">
        <v>4.5</v>
      </c>
      <c r="G205" s="16">
        <v>6.14</v>
      </c>
      <c r="H205" s="16">
        <v>5.29</v>
      </c>
    </row>
    <row r="206" spans="1:8" x14ac:dyDescent="0.25">
      <c r="A206" t="s">
        <v>803</v>
      </c>
      <c r="B206" s="16">
        <v>5.0999999999999996</v>
      </c>
      <c r="C206" s="16">
        <v>5.4</v>
      </c>
      <c r="D206" s="18" t="e">
        <v>#N/A</v>
      </c>
      <c r="E206" s="18" t="e">
        <v>#N/A</v>
      </c>
      <c r="F206" s="18">
        <v>4.7282608695652177</v>
      </c>
      <c r="G206" s="16">
        <v>6.26</v>
      </c>
      <c r="H206" s="16">
        <v>5.29</v>
      </c>
    </row>
    <row r="207" spans="1:8" x14ac:dyDescent="0.25">
      <c r="A207" t="s">
        <v>804</v>
      </c>
      <c r="B207" s="16">
        <v>5.0999999999999996</v>
      </c>
      <c r="C207" s="16">
        <v>5.39</v>
      </c>
      <c r="D207" s="18" t="e">
        <v>#N/A</v>
      </c>
      <c r="E207" s="18" t="e">
        <v>#N/A</v>
      </c>
      <c r="F207" s="18">
        <v>4.75</v>
      </c>
      <c r="G207" s="16">
        <v>6.29</v>
      </c>
      <c r="H207" s="16">
        <v>5.41</v>
      </c>
    </row>
    <row r="208" spans="1:8" x14ac:dyDescent="0.25">
      <c r="A208" t="s">
        <v>805</v>
      </c>
      <c r="B208" s="16">
        <v>4.99</v>
      </c>
      <c r="C208" s="16">
        <v>5.36</v>
      </c>
      <c r="D208" s="18" t="e">
        <v>#N/A</v>
      </c>
      <c r="E208" s="18" t="e">
        <v>#N/A</v>
      </c>
      <c r="F208" s="18">
        <v>4.75</v>
      </c>
      <c r="G208" s="16">
        <v>6.35</v>
      </c>
      <c r="H208" s="16">
        <v>5.4</v>
      </c>
    </row>
    <row r="209" spans="1:8" x14ac:dyDescent="0.25">
      <c r="A209" t="s">
        <v>806</v>
      </c>
      <c r="B209" s="16">
        <v>5.2</v>
      </c>
      <c r="C209" s="16">
        <v>5.48</v>
      </c>
      <c r="D209" s="18" t="e">
        <v>#N/A</v>
      </c>
      <c r="E209" s="18" t="e">
        <v>#N/A</v>
      </c>
      <c r="F209" s="18">
        <v>4.9318181818181817</v>
      </c>
      <c r="G209" s="16">
        <v>6.48</v>
      </c>
      <c r="H209" s="16">
        <v>5.42</v>
      </c>
    </row>
    <row r="210" spans="1:8" x14ac:dyDescent="0.25">
      <c r="A210" t="s">
        <v>807</v>
      </c>
      <c r="B210" s="16">
        <v>5.15</v>
      </c>
      <c r="C210" s="16">
        <v>5.49</v>
      </c>
      <c r="D210" s="18" t="e">
        <v>#N/A</v>
      </c>
      <c r="E210" s="18" t="e">
        <v>#N/A</v>
      </c>
      <c r="F210" s="18">
        <v>5</v>
      </c>
      <c r="G210" s="16">
        <v>6.55</v>
      </c>
      <c r="H210" s="16">
        <v>5.53</v>
      </c>
    </row>
    <row r="211" spans="1:8" x14ac:dyDescent="0.25">
      <c r="A211" t="s">
        <v>808</v>
      </c>
      <c r="B211" s="16">
        <v>5.32</v>
      </c>
      <c r="C211" s="16">
        <v>5.61</v>
      </c>
      <c r="D211" s="18" t="e">
        <v>#N/A</v>
      </c>
      <c r="E211" s="18" t="e">
        <v>#N/A</v>
      </c>
      <c r="F211" s="18">
        <v>5.1630434782608692</v>
      </c>
      <c r="G211" s="16">
        <v>6.6</v>
      </c>
      <c r="H211" s="16">
        <v>5.54</v>
      </c>
    </row>
    <row r="212" spans="1:8" x14ac:dyDescent="0.25">
      <c r="A212" t="s">
        <v>809</v>
      </c>
      <c r="B212" s="16">
        <v>5.46</v>
      </c>
      <c r="C212" s="16">
        <v>5.73</v>
      </c>
      <c r="D212" s="18" t="e">
        <v>#N/A</v>
      </c>
      <c r="E212" s="18" t="e">
        <v>#N/A</v>
      </c>
      <c r="F212" s="18">
        <v>5.25</v>
      </c>
      <c r="G212" s="16">
        <v>6.7</v>
      </c>
      <c r="H212" s="16">
        <v>5.66</v>
      </c>
    </row>
    <row r="213" spans="1:8" x14ac:dyDescent="0.25">
      <c r="A213" t="s">
        <v>810</v>
      </c>
      <c r="B213" s="16">
        <v>5.55</v>
      </c>
      <c r="C213" s="16">
        <v>5.73</v>
      </c>
      <c r="D213" s="18" t="e">
        <v>#N/A</v>
      </c>
      <c r="E213" s="18" t="e">
        <v>#N/A</v>
      </c>
      <c r="F213" s="18">
        <v>5.25</v>
      </c>
      <c r="G213" s="16">
        <v>6.68</v>
      </c>
      <c r="H213" s="16">
        <v>5.67</v>
      </c>
    </row>
    <row r="214" spans="1:8" x14ac:dyDescent="0.25">
      <c r="A214" t="s">
        <v>811</v>
      </c>
      <c r="B214" s="16">
        <v>5.62</v>
      </c>
      <c r="C214" s="16">
        <v>5.9</v>
      </c>
      <c r="D214" s="18" t="e">
        <v>#N/A</v>
      </c>
      <c r="E214" s="18" t="e">
        <v>#N/A</v>
      </c>
      <c r="F214" s="18">
        <v>5.25</v>
      </c>
      <c r="G214" s="16">
        <v>6.8</v>
      </c>
      <c r="H214" s="16">
        <v>5.65</v>
      </c>
    </row>
    <row r="215" spans="1:8" x14ac:dyDescent="0.25">
      <c r="A215" t="s">
        <v>812</v>
      </c>
      <c r="B215" s="16">
        <v>5.7</v>
      </c>
      <c r="C215" s="16">
        <v>5.82</v>
      </c>
      <c r="D215" s="18" t="e">
        <v>#N/A</v>
      </c>
      <c r="E215" s="18" t="e">
        <v>#N/A</v>
      </c>
      <c r="F215" s="18">
        <v>5.4239130434782608</v>
      </c>
      <c r="G215" s="16">
        <v>6.83</v>
      </c>
      <c r="H215" s="16">
        <v>5.66</v>
      </c>
    </row>
    <row r="216" spans="1:8" x14ac:dyDescent="0.25">
      <c r="A216" t="s">
        <v>813</v>
      </c>
      <c r="B216" s="16">
        <v>5.98</v>
      </c>
      <c r="C216" s="16">
        <v>6.1</v>
      </c>
      <c r="D216" s="18" t="e">
        <v>#N/A</v>
      </c>
      <c r="E216" s="18" t="e">
        <v>#N/A</v>
      </c>
      <c r="F216" s="18">
        <v>5.5</v>
      </c>
      <c r="G216" s="16">
        <v>6.88</v>
      </c>
      <c r="H216" s="16">
        <v>5.8</v>
      </c>
    </row>
    <row r="217" spans="1:8" x14ac:dyDescent="0.25">
      <c r="A217" t="s">
        <v>814</v>
      </c>
      <c r="B217" s="16">
        <v>6.07</v>
      </c>
      <c r="C217" s="16">
        <v>6.33</v>
      </c>
      <c r="D217" s="18" t="e">
        <v>#N/A</v>
      </c>
      <c r="E217" s="18" t="e">
        <v>#N/A</v>
      </c>
      <c r="F217" s="18">
        <v>5.7159090909090908</v>
      </c>
      <c r="G217" s="16">
        <v>7.08</v>
      </c>
      <c r="H217" s="16">
        <v>5.82</v>
      </c>
    </row>
    <row r="218" spans="1:8" x14ac:dyDescent="0.25">
      <c r="A218" t="s">
        <v>815</v>
      </c>
      <c r="B218" s="16">
        <v>6.11</v>
      </c>
      <c r="C218" s="16">
        <v>6.28</v>
      </c>
      <c r="D218" s="18" t="e">
        <v>#N/A</v>
      </c>
      <c r="E218" s="18" t="e">
        <v>#N/A</v>
      </c>
      <c r="F218" s="18">
        <v>5.75</v>
      </c>
      <c r="G218" s="16">
        <v>7.15</v>
      </c>
      <c r="H218" s="16">
        <v>5.91</v>
      </c>
    </row>
    <row r="219" spans="1:8" x14ac:dyDescent="0.25">
      <c r="A219" t="s">
        <v>816</v>
      </c>
      <c r="B219" s="16">
        <v>6.05</v>
      </c>
      <c r="C219" s="16">
        <v>6.19</v>
      </c>
      <c r="D219" s="18" t="e">
        <v>#N/A</v>
      </c>
      <c r="E219" s="18" t="e">
        <v>#N/A</v>
      </c>
      <c r="F219" s="18">
        <v>5.75</v>
      </c>
      <c r="G219" s="16">
        <v>7.31</v>
      </c>
      <c r="H219" s="16">
        <v>5.92</v>
      </c>
    </row>
    <row r="220" spans="1:8" x14ac:dyDescent="0.25">
      <c r="A220" t="s">
        <v>817</v>
      </c>
      <c r="B220" s="16">
        <v>6.11</v>
      </c>
      <c r="C220" s="16">
        <v>6.23</v>
      </c>
      <c r="D220" s="18" t="e">
        <v>#N/A</v>
      </c>
      <c r="E220" s="18" t="e">
        <v>#N/A</v>
      </c>
      <c r="F220" s="18">
        <v>5.75</v>
      </c>
      <c r="G220" s="16">
        <v>7.29</v>
      </c>
      <c r="H220" s="16">
        <v>5.94</v>
      </c>
    </row>
    <row r="221" spans="1:8" x14ac:dyDescent="0.25">
      <c r="A221" t="s">
        <v>818</v>
      </c>
      <c r="B221" s="16">
        <v>6.09</v>
      </c>
      <c r="C221" s="16">
        <v>6.02</v>
      </c>
      <c r="D221" s="18" t="e">
        <v>#N/A</v>
      </c>
      <c r="E221" s="18" t="e">
        <v>#N/A</v>
      </c>
      <c r="F221" s="18">
        <v>5.75</v>
      </c>
      <c r="G221" s="16">
        <v>7.29</v>
      </c>
      <c r="H221" s="16">
        <v>5.94</v>
      </c>
    </row>
    <row r="222" spans="1:8" x14ac:dyDescent="0.25">
      <c r="A222" t="s">
        <v>819</v>
      </c>
      <c r="B222" s="16">
        <v>6.06</v>
      </c>
      <c r="C222" s="16">
        <v>5.97</v>
      </c>
      <c r="D222" s="18" t="e">
        <v>#N/A</v>
      </c>
      <c r="E222" s="18" t="e">
        <v>#N/A</v>
      </c>
      <c r="F222" s="18">
        <v>5.5357142857142856</v>
      </c>
      <c r="G222" s="16">
        <v>7.25</v>
      </c>
      <c r="H222" s="16">
        <v>5.97</v>
      </c>
    </row>
    <row r="223" spans="1:8" x14ac:dyDescent="0.25">
      <c r="A223" t="s">
        <v>820</v>
      </c>
      <c r="B223" s="16">
        <v>5.97</v>
      </c>
      <c r="C223" s="16">
        <v>5.91</v>
      </c>
      <c r="D223" s="18" t="e">
        <v>#N/A</v>
      </c>
      <c r="E223" s="18" t="e">
        <v>#N/A</v>
      </c>
      <c r="F223" s="18">
        <v>5.5</v>
      </c>
      <c r="G223" s="16">
        <v>7.15</v>
      </c>
      <c r="H223" s="16">
        <v>5.88</v>
      </c>
    </row>
    <row r="224" spans="1:8" x14ac:dyDescent="0.25">
      <c r="A224" t="s">
        <v>821</v>
      </c>
      <c r="B224" s="16">
        <v>5.74</v>
      </c>
      <c r="C224" s="16">
        <v>5.68</v>
      </c>
      <c r="D224" s="18" t="e">
        <v>#N/A</v>
      </c>
      <c r="E224" s="18" t="e">
        <v>#N/A</v>
      </c>
      <c r="F224" s="18">
        <v>5.2976190476190474</v>
      </c>
      <c r="G224" s="16">
        <v>6.95</v>
      </c>
      <c r="H224" s="16">
        <v>5.89</v>
      </c>
    </row>
    <row r="225" spans="1:8" x14ac:dyDescent="0.25">
      <c r="A225" t="s">
        <v>822</v>
      </c>
      <c r="B225" s="16">
        <v>5.8</v>
      </c>
      <c r="C225" s="16">
        <v>5.7</v>
      </c>
      <c r="D225" s="18" t="e">
        <v>#N/A</v>
      </c>
      <c r="E225" s="18" t="e">
        <v>#N/A</v>
      </c>
      <c r="F225" s="18">
        <v>5.25</v>
      </c>
      <c r="G225" s="16">
        <v>6.93</v>
      </c>
      <c r="H225" s="16">
        <v>5.8</v>
      </c>
    </row>
    <row r="226" spans="1:8" x14ac:dyDescent="0.25">
      <c r="A226" t="s">
        <v>823</v>
      </c>
      <c r="B226" s="16">
        <v>6.06</v>
      </c>
      <c r="C226" s="16">
        <v>5.85</v>
      </c>
      <c r="D226" s="18" t="e">
        <v>#N/A</v>
      </c>
      <c r="E226" s="18" t="e">
        <v>#N/A</v>
      </c>
      <c r="F226" s="18">
        <v>5.0795454545454541</v>
      </c>
      <c r="G226" s="16">
        <v>6.9</v>
      </c>
      <c r="H226" s="16">
        <v>5.8</v>
      </c>
    </row>
    <row r="227" spans="1:8" x14ac:dyDescent="0.25">
      <c r="A227" t="s">
        <v>824</v>
      </c>
      <c r="B227" s="16">
        <v>6.26</v>
      </c>
      <c r="C227" s="16">
        <v>6.11</v>
      </c>
      <c r="D227" s="18" t="e">
        <v>#N/A</v>
      </c>
      <c r="E227" s="18" t="e">
        <v>#N/A</v>
      </c>
      <c r="F227" s="18">
        <v>5</v>
      </c>
      <c r="G227" s="16">
        <v>6.86</v>
      </c>
      <c r="H227" s="16">
        <v>5.73</v>
      </c>
    </row>
    <row r="228" spans="1:8" x14ac:dyDescent="0.25">
      <c r="A228" t="s">
        <v>825</v>
      </c>
      <c r="B228" s="16">
        <v>6.6</v>
      </c>
      <c r="C228" s="16">
        <v>6.4</v>
      </c>
      <c r="D228" s="18" t="e">
        <v>#N/A</v>
      </c>
      <c r="E228" s="18" t="e">
        <v>#N/A</v>
      </c>
      <c r="F228" s="18">
        <v>5</v>
      </c>
      <c r="G228" s="16">
        <v>6.85</v>
      </c>
      <c r="H228" s="16">
        <v>5.76</v>
      </c>
    </row>
    <row r="229" spans="1:8" x14ac:dyDescent="0.25">
      <c r="A229" t="s">
        <v>826</v>
      </c>
      <c r="B229" s="16">
        <v>6.35</v>
      </c>
      <c r="C229" s="16">
        <v>6.37</v>
      </c>
      <c r="D229" s="18" t="e">
        <v>#N/A</v>
      </c>
      <c r="E229" s="18" t="e">
        <v>#N/A</v>
      </c>
      <c r="F229" s="18">
        <v>5</v>
      </c>
      <c r="G229" s="16">
        <v>6.81</v>
      </c>
      <c r="H229" s="16">
        <v>5.79</v>
      </c>
    </row>
    <row r="230" spans="1:8" x14ac:dyDescent="0.25">
      <c r="A230" t="s">
        <v>827</v>
      </c>
      <c r="B230" s="16">
        <v>6.08</v>
      </c>
      <c r="C230" s="16">
        <v>6.09</v>
      </c>
      <c r="D230" s="18" t="e">
        <v>#N/A</v>
      </c>
      <c r="E230" s="18" t="e">
        <v>#N/A</v>
      </c>
      <c r="F230" s="18">
        <v>5</v>
      </c>
      <c r="G230" s="16">
        <v>6.8</v>
      </c>
      <c r="H230" s="16">
        <v>5.79</v>
      </c>
    </row>
    <row r="231" spans="1:8" x14ac:dyDescent="0.25">
      <c r="A231" t="s">
        <v>828</v>
      </c>
      <c r="B231" s="16">
        <v>5.96</v>
      </c>
      <c r="C231" s="16">
        <v>5.84</v>
      </c>
      <c r="D231" s="18" t="e">
        <v>#N/A</v>
      </c>
      <c r="E231" s="18" t="e">
        <v>#N/A</v>
      </c>
      <c r="F231" s="18">
        <v>5</v>
      </c>
      <c r="G231" s="16">
        <v>6.84</v>
      </c>
      <c r="H231" s="16">
        <v>5.81</v>
      </c>
    </row>
    <row r="232" spans="1:8" x14ac:dyDescent="0.25">
      <c r="A232" t="s">
        <v>829</v>
      </c>
      <c r="B232" s="16">
        <v>5.83</v>
      </c>
      <c r="C232" s="16">
        <v>5.88</v>
      </c>
      <c r="D232" s="18" t="e">
        <v>#N/A</v>
      </c>
      <c r="E232" s="18" t="e">
        <v>#N/A</v>
      </c>
      <c r="F232" s="18">
        <v>4.6086956521739131</v>
      </c>
      <c r="G232" s="16">
        <v>6.89</v>
      </c>
      <c r="H232" s="16">
        <v>5.82</v>
      </c>
    </row>
    <row r="233" spans="1:8" x14ac:dyDescent="0.25">
      <c r="A233" t="s">
        <v>830</v>
      </c>
      <c r="B233" s="16">
        <v>5.0999999999999996</v>
      </c>
      <c r="C233" s="16">
        <v>5.47</v>
      </c>
      <c r="D233" s="18" t="e">
        <v>#N/A</v>
      </c>
      <c r="E233" s="18" t="e">
        <v>#N/A</v>
      </c>
      <c r="F233" s="18">
        <v>3.2250000000000001</v>
      </c>
      <c r="G233" s="16">
        <v>6.14</v>
      </c>
      <c r="H233" s="16">
        <v>5.54</v>
      </c>
    </row>
    <row r="234" spans="1:8" x14ac:dyDescent="0.25">
      <c r="A234" t="s">
        <v>831</v>
      </c>
      <c r="B234" s="16">
        <v>4.7699999999999996</v>
      </c>
      <c r="C234" s="16">
        <v>5.28</v>
      </c>
      <c r="D234" s="18" t="e">
        <v>#N/A</v>
      </c>
      <c r="E234" s="18" t="e">
        <v>#N/A</v>
      </c>
      <c r="F234" s="18">
        <v>2.1304347826086958</v>
      </c>
      <c r="G234" s="16">
        <v>5.17</v>
      </c>
      <c r="H234" s="16">
        <v>4.8</v>
      </c>
    </row>
    <row r="235" spans="1:8" x14ac:dyDescent="0.25">
      <c r="A235" t="s">
        <v>832</v>
      </c>
      <c r="B235" s="16">
        <v>4.3499999999999996</v>
      </c>
      <c r="C235" s="16">
        <v>4.9400000000000004</v>
      </c>
      <c r="D235" s="18" t="e">
        <v>#N/A</v>
      </c>
      <c r="E235" s="18" t="e">
        <v>#N/A</v>
      </c>
      <c r="F235" s="18">
        <v>1.6136363636363635</v>
      </c>
      <c r="G235" s="16">
        <v>4.41</v>
      </c>
      <c r="H235" s="16">
        <v>4.32</v>
      </c>
    </row>
    <row r="236" spans="1:8" x14ac:dyDescent="0.25">
      <c r="A236" t="s">
        <v>833</v>
      </c>
      <c r="B236" s="16">
        <v>4.3499999999999996</v>
      </c>
      <c r="C236" s="16">
        <v>4.97</v>
      </c>
      <c r="D236" s="18" t="e">
        <v>#N/A</v>
      </c>
      <c r="E236" s="18" t="e">
        <v>#N/A</v>
      </c>
      <c r="F236" s="18">
        <v>1.075</v>
      </c>
      <c r="G236" s="16">
        <v>3.68</v>
      </c>
      <c r="H236" s="16">
        <v>4.0999999999999996</v>
      </c>
    </row>
    <row r="237" spans="1:8" x14ac:dyDescent="0.25">
      <c r="A237" t="s">
        <v>834</v>
      </c>
      <c r="B237" s="16">
        <v>3.98</v>
      </c>
      <c r="C237" s="16">
        <v>4.95</v>
      </c>
      <c r="D237" s="18" t="e">
        <v>#N/A</v>
      </c>
      <c r="E237" s="18" t="e">
        <v>#N/A</v>
      </c>
      <c r="F237" s="18">
        <v>0.56818181818181823</v>
      </c>
      <c r="G237" s="16">
        <v>3.36</v>
      </c>
      <c r="H237" s="16">
        <v>3.83</v>
      </c>
    </row>
    <row r="238" spans="1:8" x14ac:dyDescent="0.25">
      <c r="A238" t="s">
        <v>835</v>
      </c>
      <c r="B238" s="16">
        <v>4.0199999999999996</v>
      </c>
      <c r="C238" s="16">
        <v>4.88</v>
      </c>
      <c r="D238" s="18" t="e">
        <v>#N/A</v>
      </c>
      <c r="E238" s="18" t="e">
        <v>#N/A</v>
      </c>
      <c r="F238" s="18">
        <v>0.5</v>
      </c>
      <c r="G238" s="16">
        <v>3.09</v>
      </c>
      <c r="H238" s="16">
        <v>3.62</v>
      </c>
    </row>
    <row r="239" spans="1:8" x14ac:dyDescent="0.25">
      <c r="A239" t="s">
        <v>836</v>
      </c>
      <c r="B239" s="16">
        <v>3.98</v>
      </c>
      <c r="C239" s="16">
        <v>4.93</v>
      </c>
      <c r="D239" s="18" t="e">
        <v>#N/A</v>
      </c>
      <c r="E239" s="18" t="e">
        <v>#N/A</v>
      </c>
      <c r="F239" s="18">
        <v>0.5</v>
      </c>
      <c r="G239" s="16">
        <v>2.98</v>
      </c>
      <c r="H239" s="16">
        <v>3.59</v>
      </c>
    </row>
    <row r="240" spans="1:8" x14ac:dyDescent="0.25">
      <c r="A240" t="s">
        <v>837</v>
      </c>
      <c r="B240" s="16">
        <v>4.45</v>
      </c>
      <c r="C240" s="16">
        <v>5.54</v>
      </c>
      <c r="D240" s="18" t="e">
        <v>#N/A</v>
      </c>
      <c r="E240" s="18" t="e">
        <v>#N/A</v>
      </c>
      <c r="F240" s="18">
        <v>0.5</v>
      </c>
      <c r="G240" s="16">
        <v>2.91</v>
      </c>
      <c r="H240" s="16">
        <v>3.59</v>
      </c>
    </row>
    <row r="241" spans="1:8" x14ac:dyDescent="0.25">
      <c r="A241" t="s">
        <v>838</v>
      </c>
      <c r="B241" s="16">
        <v>4.42</v>
      </c>
      <c r="C241" s="16">
        <v>5.68</v>
      </c>
      <c r="D241" s="18" t="e">
        <v>#N/A</v>
      </c>
      <c r="E241" s="18" t="e">
        <v>#N/A</v>
      </c>
      <c r="F241" s="18">
        <v>0.5</v>
      </c>
      <c r="G241" s="16">
        <v>2.8</v>
      </c>
      <c r="H241" s="16">
        <v>3.57</v>
      </c>
    </row>
    <row r="242" spans="1:8" x14ac:dyDescent="0.25">
      <c r="A242" t="s">
        <v>839</v>
      </c>
      <c r="B242" s="16">
        <v>4.43</v>
      </c>
      <c r="C242" s="16">
        <v>5.72</v>
      </c>
      <c r="D242" s="18" t="e">
        <v>#N/A</v>
      </c>
      <c r="E242" s="18" t="e">
        <v>#N/A</v>
      </c>
      <c r="F242" s="18">
        <v>0.5</v>
      </c>
      <c r="G242" s="16">
        <v>2.78</v>
      </c>
      <c r="H242" s="16">
        <v>3.58</v>
      </c>
    </row>
    <row r="243" spans="1:8" x14ac:dyDescent="0.25">
      <c r="A243" t="s">
        <v>840</v>
      </c>
      <c r="B243" s="16">
        <v>4.47</v>
      </c>
      <c r="C243" s="16">
        <v>5.69</v>
      </c>
      <c r="D243" s="18" t="e">
        <v>#N/A</v>
      </c>
      <c r="E243" s="18" t="e">
        <v>#N/A</v>
      </c>
      <c r="F243" s="18">
        <v>0.5</v>
      </c>
      <c r="G243" s="16">
        <v>2.75</v>
      </c>
      <c r="H243" s="16">
        <v>3.58</v>
      </c>
    </row>
    <row r="244" spans="1:8" x14ac:dyDescent="0.25">
      <c r="A244" t="s">
        <v>841</v>
      </c>
      <c r="B244" s="16">
        <v>4.32</v>
      </c>
      <c r="C244" s="16">
        <v>5.67</v>
      </c>
      <c r="D244" s="18" t="e">
        <v>#N/A</v>
      </c>
      <c r="E244" s="18" t="e">
        <v>#N/A</v>
      </c>
      <c r="F244" s="18">
        <v>0.5</v>
      </c>
      <c r="G244" s="16">
        <v>2.68</v>
      </c>
      <c r="H244" s="16">
        <v>3.56</v>
      </c>
    </row>
    <row r="245" spans="1:8" x14ac:dyDescent="0.25">
      <c r="A245" t="s">
        <v>842</v>
      </c>
      <c r="B245" s="16">
        <v>4.0999999999999996</v>
      </c>
      <c r="C245" s="16">
        <v>5.71</v>
      </c>
      <c r="D245" s="18" t="e">
        <v>#N/A</v>
      </c>
      <c r="E245" s="18" t="e">
        <v>#N/A</v>
      </c>
      <c r="F245" s="18">
        <v>0.5</v>
      </c>
      <c r="G245" s="16">
        <v>2.64</v>
      </c>
      <c r="H245" s="16">
        <v>3.57</v>
      </c>
    </row>
    <row r="246" spans="1:8" x14ac:dyDescent="0.25">
      <c r="A246" t="s">
        <v>843</v>
      </c>
      <c r="B246" s="16">
        <v>4.05</v>
      </c>
      <c r="C246" s="16">
        <v>5.67</v>
      </c>
      <c r="D246" s="18" t="e">
        <v>#N/A</v>
      </c>
      <c r="E246" s="18" t="e">
        <v>#N/A</v>
      </c>
      <c r="F246" s="18">
        <v>0.5</v>
      </c>
      <c r="G246" s="16">
        <v>2.65</v>
      </c>
      <c r="H246" s="16">
        <v>3.59</v>
      </c>
    </row>
    <row r="247" spans="1:8" x14ac:dyDescent="0.25">
      <c r="A247" t="s">
        <v>844</v>
      </c>
      <c r="B247" s="16">
        <v>3.97</v>
      </c>
      <c r="C247" s="16">
        <v>5.56</v>
      </c>
      <c r="D247" s="18" t="e">
        <v>#N/A</v>
      </c>
      <c r="E247" s="18" t="e">
        <v>#N/A</v>
      </c>
      <c r="F247" s="18">
        <v>0.5</v>
      </c>
      <c r="G247" s="16">
        <v>2.77</v>
      </c>
      <c r="H247" s="16">
        <v>3.67</v>
      </c>
    </row>
    <row r="248" spans="1:8" x14ac:dyDescent="0.25">
      <c r="A248" t="s">
        <v>845</v>
      </c>
      <c r="B248" s="16">
        <v>3.88</v>
      </c>
      <c r="C248" s="16">
        <v>5.5</v>
      </c>
      <c r="D248" s="18" t="e">
        <v>#N/A</v>
      </c>
      <c r="E248" s="18" t="e">
        <v>#N/A</v>
      </c>
      <c r="F248" s="18">
        <v>0.5</v>
      </c>
      <c r="G248" s="16">
        <v>2.78</v>
      </c>
      <c r="H248" s="16">
        <v>3.67</v>
      </c>
    </row>
    <row r="249" spans="1:8" x14ac:dyDescent="0.25">
      <c r="A249" t="s">
        <v>846</v>
      </c>
      <c r="B249" s="16">
        <v>3.92</v>
      </c>
      <c r="C249" s="16">
        <v>5.5</v>
      </c>
      <c r="D249" s="18" t="e">
        <v>#N/A</v>
      </c>
      <c r="E249" s="18" t="e">
        <v>#N/A</v>
      </c>
      <c r="F249" s="18">
        <v>0.5</v>
      </c>
      <c r="G249" s="16">
        <v>2.81</v>
      </c>
      <c r="H249" s="16">
        <v>3.66</v>
      </c>
    </row>
    <row r="250" spans="1:8" x14ac:dyDescent="0.25">
      <c r="A250" t="s">
        <v>847</v>
      </c>
      <c r="B250" s="16">
        <v>3.82</v>
      </c>
      <c r="C250" s="16">
        <v>5.5</v>
      </c>
      <c r="D250" s="18" t="e">
        <v>#N/A</v>
      </c>
      <c r="E250" s="18" t="e">
        <v>#N/A</v>
      </c>
      <c r="F250" s="18">
        <v>0.5</v>
      </c>
      <c r="G250" s="16">
        <v>2.86</v>
      </c>
      <c r="H250" s="16">
        <v>3.67</v>
      </c>
    </row>
    <row r="251" spans="1:8" x14ac:dyDescent="0.25">
      <c r="A251" t="s">
        <v>848</v>
      </c>
      <c r="B251" s="16">
        <v>3.78</v>
      </c>
      <c r="C251" s="16">
        <v>5.38</v>
      </c>
      <c r="D251" s="18" t="e">
        <v>#N/A</v>
      </c>
      <c r="E251" s="18" t="e">
        <v>#N/A</v>
      </c>
      <c r="F251" s="18">
        <v>0.5</v>
      </c>
      <c r="G251" s="16">
        <v>2.85</v>
      </c>
      <c r="H251" s="16">
        <v>3.66</v>
      </c>
    </row>
    <row r="252" spans="1:8" x14ac:dyDescent="0.25">
      <c r="A252" t="s">
        <v>849</v>
      </c>
      <c r="B252" s="16">
        <v>3.67</v>
      </c>
      <c r="C252" s="16">
        <v>5.35</v>
      </c>
      <c r="D252" s="18" t="e">
        <v>#N/A</v>
      </c>
      <c r="E252" s="18" t="e">
        <v>#N/A</v>
      </c>
      <c r="F252" s="18">
        <v>0.5</v>
      </c>
      <c r="G252" s="16">
        <v>2.88</v>
      </c>
      <c r="H252" s="16">
        <v>3.65</v>
      </c>
    </row>
    <row r="253" spans="1:8" x14ac:dyDescent="0.25">
      <c r="A253" t="s">
        <v>850</v>
      </c>
      <c r="B253" s="16">
        <v>3.77</v>
      </c>
      <c r="C253" s="16">
        <v>5.24</v>
      </c>
      <c r="D253" s="18" t="e">
        <v>#N/A</v>
      </c>
      <c r="E253" s="18" t="e">
        <v>#N/A</v>
      </c>
      <c r="F253" s="18">
        <v>0.5</v>
      </c>
      <c r="G253" s="16">
        <v>2.88</v>
      </c>
      <c r="H253" s="16">
        <v>3.63</v>
      </c>
    </row>
    <row r="254" spans="1:8" x14ac:dyDescent="0.25">
      <c r="A254" t="s">
        <v>851</v>
      </c>
      <c r="B254" s="16">
        <v>3.74</v>
      </c>
      <c r="C254" s="16">
        <v>5.07</v>
      </c>
      <c r="D254" s="18" t="e">
        <v>#N/A</v>
      </c>
      <c r="E254" s="18" t="e">
        <v>#N/A</v>
      </c>
      <c r="F254" s="18">
        <v>0.5</v>
      </c>
      <c r="G254" s="16">
        <v>2.88</v>
      </c>
      <c r="H254" s="16">
        <v>3.55</v>
      </c>
    </row>
    <row r="255" spans="1:8" x14ac:dyDescent="0.25">
      <c r="A255" t="s">
        <v>852</v>
      </c>
      <c r="B255" s="16">
        <v>3.8</v>
      </c>
      <c r="C255" s="16">
        <v>5.04</v>
      </c>
      <c r="D255" s="18" t="e">
        <v>#N/A</v>
      </c>
      <c r="E255" s="18" t="e">
        <v>#N/A</v>
      </c>
      <c r="F255" s="18">
        <v>0.5</v>
      </c>
      <c r="G255" s="16">
        <v>2.9</v>
      </c>
      <c r="H255" s="16">
        <v>3.53</v>
      </c>
    </row>
    <row r="256" spans="1:8" x14ac:dyDescent="0.25">
      <c r="A256" t="s">
        <v>853</v>
      </c>
      <c r="B256" s="16">
        <v>3.68</v>
      </c>
      <c r="C256" s="16">
        <v>4.8600000000000003</v>
      </c>
      <c r="D256" s="18" t="e">
        <v>#N/A</v>
      </c>
      <c r="E256" s="18" t="e">
        <v>#N/A</v>
      </c>
      <c r="F256" s="18">
        <v>0.5</v>
      </c>
      <c r="G256" s="16">
        <v>2.9</v>
      </c>
      <c r="H256" s="16">
        <v>3.51</v>
      </c>
    </row>
    <row r="257" spans="1:8" x14ac:dyDescent="0.25">
      <c r="A257" t="s">
        <v>854</v>
      </c>
      <c r="B257" s="16">
        <v>3.53</v>
      </c>
      <c r="C257" s="16">
        <v>4.7300000000000004</v>
      </c>
      <c r="D257" s="18" t="e">
        <v>#N/A</v>
      </c>
      <c r="E257" s="18" t="e">
        <v>#N/A</v>
      </c>
      <c r="F257" s="18">
        <v>0.5</v>
      </c>
      <c r="G257" s="16">
        <v>2.9</v>
      </c>
      <c r="H257" s="16">
        <v>3.51</v>
      </c>
    </row>
    <row r="258" spans="1:8" x14ac:dyDescent="0.25">
      <c r="A258" t="s">
        <v>855</v>
      </c>
      <c r="B258" s="16">
        <v>3.5</v>
      </c>
      <c r="C258" s="16">
        <v>4.76</v>
      </c>
      <c r="D258" s="18" t="e">
        <v>#N/A</v>
      </c>
      <c r="E258" s="18" t="e">
        <v>#N/A</v>
      </c>
      <c r="F258" s="18">
        <v>0.5</v>
      </c>
      <c r="G258" s="16">
        <v>2.91</v>
      </c>
      <c r="H258" s="16">
        <v>3.5</v>
      </c>
    </row>
    <row r="259" spans="1:8" x14ac:dyDescent="0.25">
      <c r="A259" t="s">
        <v>856</v>
      </c>
      <c r="B259" s="16">
        <v>3.7</v>
      </c>
      <c r="C259" s="16">
        <v>5.03</v>
      </c>
      <c r="D259" s="18" t="e">
        <v>#N/A</v>
      </c>
      <c r="E259" s="18" t="e">
        <v>#N/A</v>
      </c>
      <c r="F259" s="18">
        <v>0.5</v>
      </c>
      <c r="G259" s="16">
        <v>2.9</v>
      </c>
      <c r="H259" s="16">
        <v>3.5</v>
      </c>
    </row>
    <row r="260" spans="1:8" x14ac:dyDescent="0.25">
      <c r="A260" t="s">
        <v>857</v>
      </c>
      <c r="B260" s="16">
        <v>3.7</v>
      </c>
      <c r="C260" s="16">
        <v>5.15</v>
      </c>
      <c r="D260" s="18" t="e">
        <v>#N/A</v>
      </c>
      <c r="E260" s="18" t="e">
        <v>#N/A</v>
      </c>
      <c r="F260" s="18">
        <v>0.5</v>
      </c>
      <c r="G260" s="16">
        <v>2.92</v>
      </c>
      <c r="H260" s="16">
        <v>3.5</v>
      </c>
    </row>
    <row r="261" spans="1:8" x14ac:dyDescent="0.25">
      <c r="A261" t="s">
        <v>858</v>
      </c>
      <c r="B261" s="16">
        <v>3.68</v>
      </c>
      <c r="C261" s="16">
        <v>5.0999999999999996</v>
      </c>
      <c r="D261" s="18" t="e">
        <v>#N/A</v>
      </c>
      <c r="E261" s="18" t="e">
        <v>#N/A</v>
      </c>
      <c r="F261" s="18">
        <v>0.5</v>
      </c>
      <c r="G261" s="16">
        <v>2.93</v>
      </c>
      <c r="H261" s="16">
        <v>3.49</v>
      </c>
    </row>
    <row r="262" spans="1:8" x14ac:dyDescent="0.25">
      <c r="A262" t="s">
        <v>859</v>
      </c>
      <c r="B262" s="16">
        <v>3.66</v>
      </c>
      <c r="C262" s="16">
        <v>5.0999999999999996</v>
      </c>
      <c r="D262" s="18" t="e">
        <v>#N/A</v>
      </c>
      <c r="E262" s="18" t="e">
        <v>#N/A</v>
      </c>
      <c r="F262" s="18">
        <v>0.5</v>
      </c>
      <c r="G262" s="16">
        <v>2.92</v>
      </c>
      <c r="H262" s="16">
        <v>3.49</v>
      </c>
    </row>
    <row r="263" spans="1:8" x14ac:dyDescent="0.25">
      <c r="A263" t="s">
        <v>860</v>
      </c>
      <c r="B263" s="16">
        <v>3.51</v>
      </c>
      <c r="C263" s="16">
        <v>5.0199999999999996</v>
      </c>
      <c r="D263" s="18" t="e">
        <v>#N/A</v>
      </c>
      <c r="E263" s="18" t="e">
        <v>#N/A</v>
      </c>
      <c r="F263" s="18">
        <v>0.5</v>
      </c>
      <c r="G263" s="16">
        <v>2.97</v>
      </c>
      <c r="H263" s="16">
        <v>3.47</v>
      </c>
    </row>
    <row r="264" spans="1:8" x14ac:dyDescent="0.25">
      <c r="A264" t="s">
        <v>861</v>
      </c>
      <c r="B264" s="16">
        <v>3.36</v>
      </c>
      <c r="C264" s="16">
        <v>4.9000000000000004</v>
      </c>
      <c r="D264" s="18" t="e">
        <v>#N/A</v>
      </c>
      <c r="E264" s="18" t="e">
        <v>#N/A</v>
      </c>
      <c r="F264" s="18">
        <v>0.5</v>
      </c>
      <c r="G264" s="16">
        <v>2.96</v>
      </c>
      <c r="H264" s="16">
        <v>3.45</v>
      </c>
    </row>
    <row r="265" spans="1:8" x14ac:dyDescent="0.25">
      <c r="A265" t="s">
        <v>862</v>
      </c>
      <c r="B265" s="16">
        <v>3.14</v>
      </c>
      <c r="C265" s="16">
        <v>4.6900000000000004</v>
      </c>
      <c r="D265" s="18" t="e">
        <v>#N/A</v>
      </c>
      <c r="E265" s="18" t="e">
        <v>#N/A</v>
      </c>
      <c r="F265" s="18">
        <v>0.5</v>
      </c>
      <c r="G265" s="16">
        <v>2.98</v>
      </c>
      <c r="H265" s="16">
        <v>3.43</v>
      </c>
    </row>
    <row r="266" spans="1:8" x14ac:dyDescent="0.25">
      <c r="A266" t="s">
        <v>863</v>
      </c>
      <c r="B266" s="16">
        <v>3</v>
      </c>
      <c r="C266" s="16">
        <v>4.51</v>
      </c>
      <c r="D266" s="18" t="e">
        <v>#N/A</v>
      </c>
      <c r="E266" s="18" t="e">
        <v>#N/A</v>
      </c>
      <c r="F266" s="18">
        <v>0.5</v>
      </c>
      <c r="G266" s="16">
        <v>3.01</v>
      </c>
      <c r="H266" s="16">
        <v>3.41</v>
      </c>
    </row>
    <row r="267" spans="1:8" x14ac:dyDescent="0.25">
      <c r="A267" t="s">
        <v>864</v>
      </c>
      <c r="B267" s="16">
        <v>2.92</v>
      </c>
      <c r="C267" s="16">
        <v>3.98</v>
      </c>
      <c r="D267" s="18" t="e">
        <v>#N/A</v>
      </c>
      <c r="E267" s="18" t="e">
        <v>#N/A</v>
      </c>
      <c r="F267" s="18">
        <v>0.5</v>
      </c>
      <c r="G267" s="16">
        <v>3</v>
      </c>
      <c r="H267" s="16">
        <v>3.36</v>
      </c>
    </row>
    <row r="268" spans="1:8" x14ac:dyDescent="0.25">
      <c r="A268" t="s">
        <v>865</v>
      </c>
      <c r="B268" s="16">
        <v>3.04</v>
      </c>
      <c r="C268" s="16">
        <v>4</v>
      </c>
      <c r="D268" s="18" t="e">
        <v>#N/A</v>
      </c>
      <c r="E268" s="18" t="e">
        <v>#N/A</v>
      </c>
      <c r="F268" s="18">
        <v>0.5</v>
      </c>
      <c r="G268" s="16">
        <v>3.03</v>
      </c>
      <c r="H268" s="16">
        <v>3.38</v>
      </c>
    </row>
    <row r="269" spans="1:8" x14ac:dyDescent="0.25">
      <c r="A269" t="s">
        <v>866</v>
      </c>
      <c r="B269" s="16">
        <v>3.14</v>
      </c>
      <c r="C269" s="16">
        <v>4.08</v>
      </c>
      <c r="D269" s="18" t="e">
        <v>#N/A</v>
      </c>
      <c r="E269" s="18" t="e">
        <v>#N/A</v>
      </c>
      <c r="F269" s="18">
        <v>0.5</v>
      </c>
      <c r="G269" s="16">
        <v>3.05</v>
      </c>
      <c r="H269" s="16">
        <v>3.36</v>
      </c>
    </row>
    <row r="270" spans="1:8" x14ac:dyDescent="0.25">
      <c r="A270" t="s">
        <v>867</v>
      </c>
      <c r="B270" s="16">
        <v>3.22</v>
      </c>
      <c r="C270" s="16">
        <v>4.0599999999999996</v>
      </c>
      <c r="D270" s="18" t="e">
        <v>#N/A</v>
      </c>
      <c r="E270" s="18" t="e">
        <v>#N/A</v>
      </c>
      <c r="F270" s="18">
        <v>0.5</v>
      </c>
      <c r="G270" s="16">
        <v>3.07</v>
      </c>
      <c r="H270" s="16">
        <v>3.36</v>
      </c>
    </row>
    <row r="271" spans="1:8" x14ac:dyDescent="0.25">
      <c r="A271" t="s">
        <v>868</v>
      </c>
      <c r="B271" s="16">
        <v>3.27</v>
      </c>
      <c r="C271" s="16">
        <v>4.18</v>
      </c>
      <c r="D271" s="18" t="e">
        <v>#N/A</v>
      </c>
      <c r="E271" s="18" t="e">
        <v>#N/A</v>
      </c>
      <c r="F271" s="18">
        <v>0.5</v>
      </c>
      <c r="G271" s="16">
        <v>3.22</v>
      </c>
      <c r="H271" s="16">
        <v>3.38</v>
      </c>
    </row>
    <row r="272" spans="1:8" x14ac:dyDescent="0.25">
      <c r="A272" t="s">
        <v>869</v>
      </c>
      <c r="B272" s="16">
        <v>3.37</v>
      </c>
      <c r="C272" s="16">
        <v>4.17</v>
      </c>
      <c r="D272" s="18" t="e">
        <v>#N/A</v>
      </c>
      <c r="E272" s="18" t="e">
        <v>#N/A</v>
      </c>
      <c r="F272" s="18">
        <v>0.5</v>
      </c>
      <c r="G272" s="16">
        <v>3.25</v>
      </c>
      <c r="H272" s="16">
        <v>3.36</v>
      </c>
    </row>
    <row r="273" spans="1:8" x14ac:dyDescent="0.25">
      <c r="A273" t="s">
        <v>870</v>
      </c>
      <c r="B273" s="16">
        <v>3.44</v>
      </c>
      <c r="C273" s="16">
        <v>4.1900000000000004</v>
      </c>
      <c r="D273" s="18" t="e">
        <v>#N/A</v>
      </c>
      <c r="E273" s="18" t="e">
        <v>#N/A</v>
      </c>
      <c r="F273" s="18">
        <v>0.5</v>
      </c>
      <c r="G273" s="16">
        <v>3.24</v>
      </c>
      <c r="H273" s="16">
        <v>3.36</v>
      </c>
    </row>
    <row r="274" spans="1:8" x14ac:dyDescent="0.25">
      <c r="A274" t="s">
        <v>871</v>
      </c>
      <c r="B274" s="16">
        <v>3.66</v>
      </c>
      <c r="C274" s="16">
        <v>4.29</v>
      </c>
      <c r="D274" s="18" t="e">
        <v>#N/A</v>
      </c>
      <c r="E274" s="18" t="e">
        <v>#N/A</v>
      </c>
      <c r="F274" s="18">
        <v>0.5</v>
      </c>
      <c r="G274" s="16">
        <v>3.24</v>
      </c>
      <c r="H274" s="16">
        <v>3.37</v>
      </c>
    </row>
    <row r="275" spans="1:8" x14ac:dyDescent="0.25">
      <c r="A275" t="s">
        <v>872</v>
      </c>
      <c r="B275" s="16">
        <v>3.68</v>
      </c>
      <c r="C275" s="16">
        <v>4.28</v>
      </c>
      <c r="D275" s="18" t="e">
        <v>#N/A</v>
      </c>
      <c r="E275" s="18" t="e">
        <v>#N/A</v>
      </c>
      <c r="F275" s="18">
        <v>0.5</v>
      </c>
      <c r="G275" s="16">
        <v>3.23</v>
      </c>
      <c r="H275" s="16">
        <v>3.39</v>
      </c>
    </row>
    <row r="276" spans="1:8" x14ac:dyDescent="0.25">
      <c r="A276" t="s">
        <v>873</v>
      </c>
      <c r="B276" s="16">
        <v>3.74</v>
      </c>
      <c r="C276" s="16">
        <v>4.3</v>
      </c>
      <c r="D276" s="18" t="e">
        <v>#N/A</v>
      </c>
      <c r="E276" s="18" t="e">
        <v>#N/A</v>
      </c>
      <c r="F276" s="18">
        <v>0.5</v>
      </c>
      <c r="G276" s="16">
        <v>3.24</v>
      </c>
      <c r="H276" s="16">
        <v>3.38</v>
      </c>
    </row>
    <row r="277" spans="1:8" x14ac:dyDescent="0.25">
      <c r="A277" t="s">
        <v>874</v>
      </c>
      <c r="B277" s="16">
        <v>3.67</v>
      </c>
      <c r="C277" s="16">
        <v>4.18</v>
      </c>
      <c r="D277" s="18" t="e">
        <v>#N/A</v>
      </c>
      <c r="E277" s="18" t="e">
        <v>#N/A</v>
      </c>
      <c r="F277" s="18">
        <v>0.5</v>
      </c>
      <c r="G277" s="16">
        <v>3.21</v>
      </c>
      <c r="H277" s="16">
        <v>3.38</v>
      </c>
    </row>
    <row r="278" spans="1:8" x14ac:dyDescent="0.25">
      <c r="A278" t="s">
        <v>875</v>
      </c>
      <c r="B278" s="16">
        <v>3.69</v>
      </c>
      <c r="C278" s="16">
        <v>4.1100000000000003</v>
      </c>
      <c r="D278" s="18" t="e">
        <v>#N/A</v>
      </c>
      <c r="E278" s="18" t="e">
        <v>#N/A</v>
      </c>
      <c r="F278" s="18">
        <v>0.5</v>
      </c>
      <c r="G278" s="16">
        <v>3.18</v>
      </c>
      <c r="H278" s="16">
        <v>3.37</v>
      </c>
    </row>
    <row r="279" spans="1:8" x14ac:dyDescent="0.25">
      <c r="A279" t="s">
        <v>876</v>
      </c>
      <c r="B279" s="16">
        <v>3.67</v>
      </c>
      <c r="C279" s="16">
        <v>4.07</v>
      </c>
      <c r="D279" s="18" t="e">
        <v>#N/A</v>
      </c>
      <c r="E279" s="18" t="e">
        <v>#N/A</v>
      </c>
      <c r="F279" s="18">
        <v>0.5</v>
      </c>
      <c r="G279" s="16">
        <v>3.15</v>
      </c>
      <c r="H279" s="16">
        <v>3.37</v>
      </c>
    </row>
    <row r="280" spans="1:8" x14ac:dyDescent="0.25">
      <c r="A280" t="s">
        <v>877</v>
      </c>
      <c r="B280" s="16">
        <v>3.49</v>
      </c>
      <c r="C280" s="16">
        <v>3.96</v>
      </c>
      <c r="D280" s="18" t="e">
        <v>#N/A</v>
      </c>
      <c r="E280" s="18" t="e">
        <v>#N/A</v>
      </c>
      <c r="F280" s="18">
        <v>0.5</v>
      </c>
      <c r="G280" s="16">
        <v>3.09</v>
      </c>
      <c r="H280" s="16">
        <v>3.38</v>
      </c>
    </row>
    <row r="281" spans="1:8" x14ac:dyDescent="0.25">
      <c r="A281" t="s">
        <v>878</v>
      </c>
      <c r="B281" s="16">
        <v>3.43</v>
      </c>
      <c r="C281" s="16">
        <v>3.92</v>
      </c>
      <c r="D281" s="18" t="e">
        <v>#N/A</v>
      </c>
      <c r="E281" s="18" t="e">
        <v>#N/A</v>
      </c>
      <c r="F281" s="18">
        <v>0.5</v>
      </c>
      <c r="G281" s="16">
        <v>3.09</v>
      </c>
      <c r="H281" s="16">
        <v>3.38</v>
      </c>
    </row>
    <row r="282" spans="1:8" x14ac:dyDescent="0.25">
      <c r="A282" t="s">
        <v>879</v>
      </c>
      <c r="B282" s="16">
        <v>3.35</v>
      </c>
      <c r="C282" s="16">
        <v>3.91</v>
      </c>
      <c r="D282" s="18" t="e">
        <v>#N/A</v>
      </c>
      <c r="E282" s="18" t="e">
        <v>#N/A</v>
      </c>
      <c r="F282" s="18">
        <v>0.5</v>
      </c>
      <c r="G282" s="16">
        <v>3.08</v>
      </c>
      <c r="H282" s="16">
        <v>3.38</v>
      </c>
    </row>
    <row r="283" spans="1:8" x14ac:dyDescent="0.25">
      <c r="A283" t="s">
        <v>880</v>
      </c>
      <c r="B283" s="16">
        <v>3.11</v>
      </c>
      <c r="C283" s="16">
        <v>3.71</v>
      </c>
      <c r="D283" s="18" t="e">
        <v>#N/A</v>
      </c>
      <c r="E283" s="18" t="e">
        <v>#N/A</v>
      </c>
      <c r="F283" s="18">
        <v>0.5</v>
      </c>
      <c r="G283" s="16">
        <v>3.12</v>
      </c>
      <c r="H283" s="16">
        <v>3.37</v>
      </c>
    </row>
    <row r="284" spans="1:8" x14ac:dyDescent="0.25">
      <c r="A284" t="s">
        <v>881</v>
      </c>
      <c r="B284" s="16">
        <v>2.92</v>
      </c>
      <c r="C284" s="16">
        <v>3.62</v>
      </c>
      <c r="D284" s="18" t="e">
        <v>#N/A</v>
      </c>
      <c r="E284" s="18" t="e">
        <v>#N/A</v>
      </c>
      <c r="F284" s="18">
        <v>0.5</v>
      </c>
      <c r="G284" s="16">
        <v>3.09</v>
      </c>
      <c r="H284" s="16">
        <v>3.37</v>
      </c>
    </row>
    <row r="285" spans="1:8" x14ac:dyDescent="0.25">
      <c r="A285" t="s">
        <v>882</v>
      </c>
      <c r="B285" s="16">
        <v>2.9</v>
      </c>
      <c r="C285" s="16">
        <v>3.63</v>
      </c>
      <c r="D285" s="18" t="e">
        <v>#N/A</v>
      </c>
      <c r="E285" s="18" t="e">
        <v>#N/A</v>
      </c>
      <c r="F285" s="18">
        <v>0.5</v>
      </c>
      <c r="G285" s="16">
        <v>3.1</v>
      </c>
      <c r="H285" s="16">
        <v>3.36</v>
      </c>
    </row>
    <row r="286" spans="1:8" x14ac:dyDescent="0.25">
      <c r="A286" t="s">
        <v>883</v>
      </c>
      <c r="B286" s="16">
        <v>2.87</v>
      </c>
      <c r="C286" s="16">
        <v>3.61</v>
      </c>
      <c r="D286" s="18" t="e">
        <v>#N/A</v>
      </c>
      <c r="E286" s="18" t="e">
        <v>#N/A</v>
      </c>
      <c r="F286" s="18">
        <v>0.5</v>
      </c>
      <c r="G286" s="16">
        <v>3.12</v>
      </c>
      <c r="H286" s="16">
        <v>3.35</v>
      </c>
    </row>
    <row r="287" spans="1:8" x14ac:dyDescent="0.25">
      <c r="A287" t="s">
        <v>884</v>
      </c>
      <c r="B287" s="16">
        <v>2.69</v>
      </c>
      <c r="C287" s="16">
        <v>3.44</v>
      </c>
      <c r="D287" s="18" t="e">
        <v>#N/A</v>
      </c>
      <c r="E287" s="18" t="e">
        <v>#N/A</v>
      </c>
      <c r="F287" s="18">
        <v>0.5</v>
      </c>
      <c r="G287" s="16">
        <v>3.11</v>
      </c>
      <c r="H287" s="16">
        <v>3.35</v>
      </c>
    </row>
    <row r="288" spans="1:8" x14ac:dyDescent="0.25">
      <c r="A288" t="s">
        <v>885</v>
      </c>
      <c r="B288" s="16">
        <v>2.63</v>
      </c>
      <c r="C288" s="16">
        <v>3.41</v>
      </c>
      <c r="D288" s="18" t="e">
        <v>#N/A</v>
      </c>
      <c r="E288" s="18" t="e">
        <v>#N/A</v>
      </c>
      <c r="F288" s="18">
        <v>0.5</v>
      </c>
      <c r="G288" s="16">
        <v>3.1</v>
      </c>
      <c r="H288" s="16">
        <v>3.33</v>
      </c>
    </row>
    <row r="289" spans="1:8" x14ac:dyDescent="0.25">
      <c r="A289" t="s">
        <v>886</v>
      </c>
      <c r="B289" s="16">
        <v>2.62</v>
      </c>
      <c r="C289" s="16">
        <v>3.39</v>
      </c>
      <c r="D289" s="18" t="e">
        <v>#N/A</v>
      </c>
      <c r="E289" s="18" t="e">
        <v>#N/A</v>
      </c>
      <c r="F289" s="18">
        <v>0.5</v>
      </c>
      <c r="G289" s="16">
        <v>3.11</v>
      </c>
      <c r="H289" s="16">
        <v>3.33</v>
      </c>
    </row>
    <row r="290" spans="1:8" x14ac:dyDescent="0.25">
      <c r="A290" t="s">
        <v>887</v>
      </c>
      <c r="B290" s="16">
        <v>2.58</v>
      </c>
      <c r="C290" s="16">
        <v>3.35</v>
      </c>
      <c r="D290" s="18" t="e">
        <v>#N/A</v>
      </c>
      <c r="E290" s="18" t="e">
        <v>#N/A</v>
      </c>
      <c r="F290" s="18">
        <v>0.5</v>
      </c>
      <c r="G290" s="16">
        <v>3.12</v>
      </c>
      <c r="H290" s="16">
        <v>3.32</v>
      </c>
    </row>
    <row r="291" spans="1:8" x14ac:dyDescent="0.25">
      <c r="A291" t="s">
        <v>888</v>
      </c>
      <c r="B291" s="16">
        <v>2.54</v>
      </c>
      <c r="C291" s="16">
        <v>3.4</v>
      </c>
      <c r="D291" s="18" t="e">
        <v>#N/A</v>
      </c>
      <c r="E291" s="18" t="e">
        <v>#N/A</v>
      </c>
      <c r="F291" s="18">
        <v>0.5</v>
      </c>
      <c r="G291" s="16">
        <v>3.13</v>
      </c>
      <c r="H291" s="16">
        <v>3.3</v>
      </c>
    </row>
    <row r="292" spans="1:8" x14ac:dyDescent="0.25">
      <c r="A292" t="s">
        <v>889</v>
      </c>
      <c r="B292" s="16">
        <v>2.48</v>
      </c>
      <c r="C292" s="16">
        <v>3.37</v>
      </c>
      <c r="D292" s="18" t="e">
        <v>#N/A</v>
      </c>
      <c r="E292" s="18" t="e">
        <v>#N/A</v>
      </c>
      <c r="F292" s="18">
        <v>0.5</v>
      </c>
      <c r="G292" s="16">
        <v>3.12</v>
      </c>
      <c r="H292" s="16">
        <v>3.28</v>
      </c>
    </row>
    <row r="293" spans="1:8" x14ac:dyDescent="0.25">
      <c r="A293" t="s">
        <v>890</v>
      </c>
      <c r="B293" s="16">
        <v>2.44</v>
      </c>
      <c r="C293" s="16">
        <v>3.36</v>
      </c>
      <c r="D293" s="18" t="e">
        <v>#N/A</v>
      </c>
      <c r="E293" s="18" t="e">
        <v>#N/A</v>
      </c>
      <c r="F293" s="18">
        <v>0.5</v>
      </c>
      <c r="G293" s="16">
        <v>3.12</v>
      </c>
      <c r="H293" s="16">
        <v>3.29</v>
      </c>
    </row>
    <row r="294" spans="1:8" x14ac:dyDescent="0.25">
      <c r="A294" t="s">
        <v>891</v>
      </c>
      <c r="B294" s="16">
        <v>2.4</v>
      </c>
      <c r="C294" s="16">
        <v>3.34</v>
      </c>
      <c r="D294" s="18" t="e">
        <v>#N/A</v>
      </c>
      <c r="E294" s="18" t="e">
        <v>#N/A</v>
      </c>
      <c r="F294" s="18">
        <v>0.5</v>
      </c>
      <c r="G294" s="16">
        <v>3.1</v>
      </c>
      <c r="H294" s="16">
        <v>3.27</v>
      </c>
    </row>
    <row r="295" spans="1:8" x14ac:dyDescent="0.25">
      <c r="A295" t="s">
        <v>892</v>
      </c>
      <c r="B295" s="16">
        <v>2.37</v>
      </c>
      <c r="C295" s="16">
        <v>3.34</v>
      </c>
      <c r="D295" s="18" t="e">
        <v>#N/A</v>
      </c>
      <c r="E295" s="18" t="e">
        <v>#N/A</v>
      </c>
      <c r="F295" s="18">
        <v>0.5</v>
      </c>
      <c r="G295" s="16">
        <v>3.11</v>
      </c>
      <c r="H295" s="16">
        <v>3.26</v>
      </c>
    </row>
    <row r="296" spans="1:8" x14ac:dyDescent="0.25">
      <c r="A296" t="s">
        <v>893</v>
      </c>
      <c r="B296" s="16">
        <v>2.38</v>
      </c>
      <c r="C296" s="16">
        <v>3.45</v>
      </c>
      <c r="D296" s="18" t="e">
        <v>#N/A</v>
      </c>
      <c r="E296" s="18" t="e">
        <v>#N/A</v>
      </c>
      <c r="F296" s="18">
        <v>0.5</v>
      </c>
      <c r="G296" s="16">
        <v>3.11</v>
      </c>
      <c r="H296" s="16">
        <v>3.25</v>
      </c>
    </row>
    <row r="297" spans="1:8" x14ac:dyDescent="0.25">
      <c r="A297" t="s">
        <v>894</v>
      </c>
      <c r="B297" s="16">
        <v>2.37</v>
      </c>
      <c r="C297" s="16">
        <v>3.48</v>
      </c>
      <c r="D297" s="18" t="e">
        <v>#N/A</v>
      </c>
      <c r="E297" s="18" t="e">
        <v>#N/A</v>
      </c>
      <c r="F297" s="18">
        <v>0.5</v>
      </c>
      <c r="G297" s="16">
        <v>3.1</v>
      </c>
      <c r="H297" s="16">
        <v>3.24</v>
      </c>
    </row>
    <row r="298" spans="1:8" x14ac:dyDescent="0.25">
      <c r="A298" t="s">
        <v>895</v>
      </c>
      <c r="B298" s="16">
        <v>2.54</v>
      </c>
      <c r="C298" s="16">
        <v>3.69</v>
      </c>
      <c r="D298" s="18" t="e">
        <v>#N/A</v>
      </c>
      <c r="E298" s="18" t="e">
        <v>#N/A</v>
      </c>
      <c r="F298" s="18">
        <v>0.5</v>
      </c>
      <c r="G298" s="16">
        <v>3.13</v>
      </c>
      <c r="H298" s="16">
        <v>3.23</v>
      </c>
    </row>
    <row r="299" spans="1:8" x14ac:dyDescent="0.25">
      <c r="A299" t="s">
        <v>896</v>
      </c>
      <c r="B299" s="16">
        <v>2.56</v>
      </c>
      <c r="C299" s="16">
        <v>3.72</v>
      </c>
      <c r="D299" s="18" t="e">
        <v>#N/A</v>
      </c>
      <c r="E299" s="18" t="e">
        <v>#N/A</v>
      </c>
      <c r="F299" s="18">
        <v>0.5</v>
      </c>
      <c r="G299" s="16">
        <v>3.15</v>
      </c>
      <c r="H299" s="16">
        <v>3.24</v>
      </c>
    </row>
    <row r="300" spans="1:8" x14ac:dyDescent="0.25">
      <c r="A300" t="s">
        <v>897</v>
      </c>
      <c r="B300" s="16">
        <v>2.6</v>
      </c>
      <c r="C300" s="16">
        <v>3.69</v>
      </c>
      <c r="D300" s="18" t="e">
        <v>#N/A</v>
      </c>
      <c r="E300" s="18" t="e">
        <v>#N/A</v>
      </c>
      <c r="F300" s="18">
        <v>0.5</v>
      </c>
      <c r="G300" s="16">
        <v>3.13</v>
      </c>
      <c r="H300" s="16">
        <v>3.23</v>
      </c>
    </row>
    <row r="301" spans="1:8" x14ac:dyDescent="0.25">
      <c r="A301" t="s">
        <v>898</v>
      </c>
      <c r="B301" s="16">
        <v>2.54</v>
      </c>
      <c r="C301" s="16">
        <v>3.78</v>
      </c>
      <c r="D301" s="18" t="e">
        <v>#N/A</v>
      </c>
      <c r="E301" s="18" t="e">
        <v>#N/A</v>
      </c>
      <c r="F301" s="18">
        <v>0.5</v>
      </c>
      <c r="G301" s="16">
        <v>3.14</v>
      </c>
      <c r="H301" s="16">
        <v>3.22</v>
      </c>
    </row>
    <row r="302" spans="1:8" x14ac:dyDescent="0.25">
      <c r="A302" t="s">
        <v>899</v>
      </c>
      <c r="B302" s="16">
        <v>2.54</v>
      </c>
      <c r="C302" s="16">
        <v>3.76</v>
      </c>
      <c r="D302" s="18">
        <v>0.98120000000000007</v>
      </c>
      <c r="E302" s="18">
        <v>1.61</v>
      </c>
      <c r="F302" s="18">
        <v>0.5</v>
      </c>
      <c r="G302" s="16">
        <v>3.14</v>
      </c>
      <c r="H302" s="16">
        <v>3.22</v>
      </c>
    </row>
    <row r="303" spans="1:8" x14ac:dyDescent="0.25">
      <c r="A303" t="s">
        <v>900</v>
      </c>
      <c r="B303" s="16">
        <v>2.46</v>
      </c>
      <c r="C303" s="16">
        <v>3.61</v>
      </c>
      <c r="D303" s="18">
        <v>0.978727272727273</v>
      </c>
      <c r="E303" s="18">
        <v>1.6724045454545453</v>
      </c>
      <c r="F303" s="18">
        <v>0.5</v>
      </c>
      <c r="G303" s="16">
        <v>3.15</v>
      </c>
      <c r="H303" s="16">
        <v>3.2</v>
      </c>
    </row>
    <row r="304" spans="1:8" x14ac:dyDescent="0.25">
      <c r="A304" t="s">
        <v>901</v>
      </c>
      <c r="B304" s="16">
        <v>2.21</v>
      </c>
      <c r="C304" s="16">
        <v>3.27</v>
      </c>
      <c r="D304" s="18">
        <v>0.8443478260869568</v>
      </c>
      <c r="E304" s="18">
        <v>1.4358304347826085</v>
      </c>
      <c r="F304" s="18">
        <v>0.5</v>
      </c>
      <c r="G304" s="16">
        <v>3.15</v>
      </c>
      <c r="H304" s="16">
        <v>3.19</v>
      </c>
    </row>
    <row r="305" spans="1:8" x14ac:dyDescent="0.25">
      <c r="A305" t="s">
        <v>902</v>
      </c>
      <c r="B305" s="16">
        <v>2.17</v>
      </c>
      <c r="C305" s="16">
        <v>3.21</v>
      </c>
      <c r="D305" s="18">
        <v>0.76731666666666665</v>
      </c>
      <c r="E305" s="18">
        <v>1.3312833333333334</v>
      </c>
      <c r="F305" s="18">
        <v>0.5</v>
      </c>
      <c r="G305" s="16">
        <v>3.14</v>
      </c>
      <c r="H305" s="16">
        <v>3.19</v>
      </c>
    </row>
    <row r="306" spans="1:8" x14ac:dyDescent="0.25">
      <c r="A306" t="s">
        <v>903</v>
      </c>
      <c r="B306" s="16">
        <v>2.08</v>
      </c>
      <c r="C306" s="16">
        <v>3.21</v>
      </c>
      <c r="D306" s="18">
        <v>0.70093636363636358</v>
      </c>
      <c r="E306" s="18">
        <v>1.2005772727272725</v>
      </c>
      <c r="F306" s="18">
        <v>0.5</v>
      </c>
      <c r="G306" s="16">
        <v>3.15</v>
      </c>
      <c r="H306" s="16">
        <v>3.18</v>
      </c>
    </row>
    <row r="307" spans="1:8" x14ac:dyDescent="0.25">
      <c r="A307" t="s">
        <v>904</v>
      </c>
      <c r="B307" s="16">
        <v>2.0099999999999998</v>
      </c>
      <c r="C307" s="16">
        <v>3.09</v>
      </c>
      <c r="D307" s="18">
        <v>0.59257142857142853</v>
      </c>
      <c r="E307" s="18">
        <v>0.9570047619047618</v>
      </c>
      <c r="F307" s="18">
        <v>0.5</v>
      </c>
      <c r="G307" s="16">
        <v>3.16</v>
      </c>
      <c r="H307" s="16">
        <v>3.17</v>
      </c>
    </row>
    <row r="308" spans="1:8" x14ac:dyDescent="0.25">
      <c r="A308" t="s">
        <v>905</v>
      </c>
      <c r="B308" s="16">
        <v>1.96</v>
      </c>
      <c r="C308" s="16">
        <v>3.05</v>
      </c>
      <c r="D308" s="18">
        <v>0.6792450000000001</v>
      </c>
      <c r="E308" s="18">
        <v>1.1211799999999996</v>
      </c>
      <c r="F308" s="18">
        <v>0.5</v>
      </c>
      <c r="G308" s="16">
        <v>3.15</v>
      </c>
      <c r="H308" s="16">
        <v>3.15</v>
      </c>
    </row>
    <row r="309" spans="1:8" x14ac:dyDescent="0.25">
      <c r="A309" t="s">
        <v>906</v>
      </c>
      <c r="B309" s="16">
        <v>1.99</v>
      </c>
      <c r="C309" s="16">
        <v>2.98</v>
      </c>
      <c r="D309" s="18">
        <v>0.68714761904761923</v>
      </c>
      <c r="E309" s="18">
        <v>1.1514047619047616</v>
      </c>
      <c r="F309" s="18">
        <v>0.5</v>
      </c>
      <c r="G309" s="16">
        <v>3.15</v>
      </c>
      <c r="H309" s="16">
        <v>3.14</v>
      </c>
    </row>
    <row r="310" spans="1:8" x14ac:dyDescent="0.25">
      <c r="A310" t="s">
        <v>907</v>
      </c>
      <c r="B310" s="16">
        <v>1.95</v>
      </c>
      <c r="C310" s="16">
        <v>2.92</v>
      </c>
      <c r="D310" s="18">
        <v>0.64635238095238112</v>
      </c>
      <c r="E310" s="18">
        <v>1.0605666666666667</v>
      </c>
      <c r="F310" s="18">
        <v>0.5</v>
      </c>
      <c r="G310" s="16">
        <v>3.13</v>
      </c>
      <c r="H310" s="16">
        <v>3.12</v>
      </c>
    </row>
    <row r="311" spans="1:8" x14ac:dyDescent="0.25">
      <c r="A311" t="s">
        <v>908</v>
      </c>
      <c r="B311" s="16">
        <v>1.9</v>
      </c>
      <c r="C311" s="16">
        <v>2.86</v>
      </c>
      <c r="D311" s="18">
        <v>0.73614761904761905</v>
      </c>
      <c r="E311" s="18">
        <v>1.2629523809523808</v>
      </c>
      <c r="F311" s="18">
        <v>0.5</v>
      </c>
      <c r="G311" s="16">
        <v>3.14</v>
      </c>
      <c r="H311" s="16">
        <v>3.11</v>
      </c>
    </row>
    <row r="312" spans="1:8" x14ac:dyDescent="0.25">
      <c r="A312" t="s">
        <v>909</v>
      </c>
      <c r="B312" s="16">
        <v>1.83</v>
      </c>
      <c r="C312" s="16">
        <v>2.82</v>
      </c>
      <c r="D312" s="18">
        <v>0.78020454545454565</v>
      </c>
      <c r="E312" s="18">
        <v>1.3520363636363639</v>
      </c>
      <c r="F312" s="18">
        <v>0.5</v>
      </c>
      <c r="G312" s="16">
        <v>3.14</v>
      </c>
      <c r="H312" s="16">
        <v>3.09</v>
      </c>
    </row>
    <row r="313" spans="1:8" x14ac:dyDescent="0.25">
      <c r="A313" t="s">
        <v>910</v>
      </c>
      <c r="B313" s="16">
        <v>1.87</v>
      </c>
      <c r="C313" s="16">
        <v>2.83</v>
      </c>
      <c r="D313" s="18">
        <v>0.84573913043478222</v>
      </c>
      <c r="E313" s="18">
        <v>1.4079869565217391</v>
      </c>
      <c r="F313" s="18">
        <v>0.5</v>
      </c>
      <c r="G313" s="16">
        <v>3.13</v>
      </c>
      <c r="H313" s="16">
        <v>3.07</v>
      </c>
    </row>
    <row r="314" spans="1:8" x14ac:dyDescent="0.25">
      <c r="A314" t="s">
        <v>911</v>
      </c>
      <c r="B314" s="16">
        <v>1.95</v>
      </c>
      <c r="C314" s="16">
        <v>2.92</v>
      </c>
      <c r="D314" s="18">
        <v>0.80609523809523809</v>
      </c>
      <c r="E314" s="18">
        <v>1.3221619047619049</v>
      </c>
      <c r="F314" s="18">
        <v>0.5</v>
      </c>
      <c r="G314" s="16">
        <v>3.14</v>
      </c>
      <c r="H314" s="16">
        <v>3.06</v>
      </c>
    </row>
    <row r="315" spans="1:8" x14ac:dyDescent="0.25">
      <c r="A315" t="s">
        <v>912</v>
      </c>
      <c r="B315" s="16">
        <v>1.91</v>
      </c>
      <c r="C315" s="16">
        <v>2.84</v>
      </c>
      <c r="D315" s="18">
        <v>0.72657727272727268</v>
      </c>
      <c r="E315" s="18">
        <v>1.1891863636363635</v>
      </c>
      <c r="F315" s="18">
        <v>0.5</v>
      </c>
      <c r="G315" s="16">
        <v>3.12</v>
      </c>
      <c r="H315" s="16">
        <v>3.04</v>
      </c>
    </row>
    <row r="316" spans="1:8" x14ac:dyDescent="0.25">
      <c r="A316" t="s">
        <v>913</v>
      </c>
      <c r="B316" s="16">
        <v>1.87</v>
      </c>
      <c r="C316" s="16">
        <v>2.78</v>
      </c>
      <c r="D316" s="18">
        <v>0.65751818181818189</v>
      </c>
      <c r="E316" s="18">
        <v>1.0936454545454544</v>
      </c>
      <c r="F316" s="18">
        <v>0.5</v>
      </c>
      <c r="G316" s="16">
        <v>3.12</v>
      </c>
      <c r="H316" s="16">
        <v>3.03</v>
      </c>
    </row>
    <row r="317" spans="1:8" x14ac:dyDescent="0.25">
      <c r="A317" t="s">
        <v>914</v>
      </c>
      <c r="B317" s="16">
        <v>1.92</v>
      </c>
      <c r="C317" s="16">
        <v>2.77</v>
      </c>
      <c r="D317" s="18">
        <v>0.7225380952380952</v>
      </c>
      <c r="E317" s="18">
        <v>1.1710619047619046</v>
      </c>
      <c r="F317" s="18">
        <v>0.5</v>
      </c>
      <c r="G317" s="16">
        <v>3.12</v>
      </c>
      <c r="H317" s="16">
        <v>3.01</v>
      </c>
    </row>
    <row r="318" spans="1:8" x14ac:dyDescent="0.25">
      <c r="A318" t="s">
        <v>915</v>
      </c>
      <c r="B318" s="16">
        <v>1.9</v>
      </c>
      <c r="C318" s="16">
        <v>2.75</v>
      </c>
      <c r="D318" s="18">
        <v>0.74252608695652167</v>
      </c>
      <c r="E318" s="18">
        <v>1.1581565217391308</v>
      </c>
      <c r="F318" s="18">
        <v>0.5</v>
      </c>
      <c r="G318" s="16">
        <v>3.13</v>
      </c>
      <c r="H318" s="16">
        <v>2.99</v>
      </c>
    </row>
    <row r="319" spans="1:8" x14ac:dyDescent="0.25">
      <c r="A319" t="s">
        <v>916</v>
      </c>
      <c r="B319" s="16">
        <v>1.93</v>
      </c>
      <c r="C319" s="16">
        <v>2.68</v>
      </c>
      <c r="D319" s="18">
        <v>0.60759999999999992</v>
      </c>
      <c r="E319" s="18">
        <v>0.98300952380952378</v>
      </c>
      <c r="F319" s="18">
        <v>0.5</v>
      </c>
      <c r="G319" s="16">
        <v>3.16</v>
      </c>
      <c r="H319" s="16">
        <v>2.96</v>
      </c>
    </row>
    <row r="320" spans="1:8" x14ac:dyDescent="0.25">
      <c r="A320" t="s">
        <v>917</v>
      </c>
      <c r="B320" s="16">
        <v>1.95</v>
      </c>
      <c r="C320" s="16">
        <v>2.73</v>
      </c>
      <c r="D320" s="18">
        <v>0.40667619047619041</v>
      </c>
      <c r="E320" s="18">
        <v>0.61446666666666672</v>
      </c>
      <c r="F320" s="18">
        <v>0.5</v>
      </c>
      <c r="G320" s="16">
        <v>3.15</v>
      </c>
      <c r="H320" s="16">
        <v>2.95</v>
      </c>
    </row>
    <row r="321" spans="1:8" x14ac:dyDescent="0.25">
      <c r="A321" t="s">
        <v>918</v>
      </c>
      <c r="B321" s="16">
        <v>1.9</v>
      </c>
      <c r="C321" s="16">
        <v>2.7</v>
      </c>
      <c r="D321" s="18">
        <v>0.44985652173913043</v>
      </c>
      <c r="E321" s="18">
        <v>0.64993043478260848</v>
      </c>
      <c r="F321" s="18">
        <v>0.5</v>
      </c>
      <c r="G321" s="16">
        <v>3.13</v>
      </c>
      <c r="H321" s="16">
        <v>2.94</v>
      </c>
    </row>
    <row r="322" spans="1:8" x14ac:dyDescent="0.25">
      <c r="A322" t="s">
        <v>919</v>
      </c>
      <c r="B322" s="16">
        <v>1.84</v>
      </c>
      <c r="C322" s="16">
        <v>2.71</v>
      </c>
      <c r="D322" s="18">
        <v>0.45203809523809518</v>
      </c>
      <c r="E322" s="18">
        <v>0.64915238095238104</v>
      </c>
      <c r="F322" s="18">
        <v>0.5</v>
      </c>
      <c r="G322" s="16">
        <v>3.13</v>
      </c>
      <c r="H322" s="16">
        <v>2.92</v>
      </c>
    </row>
    <row r="323" spans="1:8" x14ac:dyDescent="0.25">
      <c r="A323" t="s">
        <v>920</v>
      </c>
      <c r="B323" s="16">
        <v>1.91</v>
      </c>
      <c r="C323" s="16">
        <v>2.64</v>
      </c>
      <c r="D323" s="18">
        <v>0.46888636363636366</v>
      </c>
      <c r="E323" s="18">
        <v>0.68928181818181811</v>
      </c>
      <c r="F323" s="18">
        <v>0.5</v>
      </c>
      <c r="G323" s="16">
        <v>3.13</v>
      </c>
      <c r="H323" s="16">
        <v>2.9</v>
      </c>
    </row>
    <row r="324" spans="1:8" x14ac:dyDescent="0.25">
      <c r="A324" t="s">
        <v>921</v>
      </c>
      <c r="B324" s="16">
        <v>1.75</v>
      </c>
      <c r="C324" s="16">
        <v>2.54</v>
      </c>
      <c r="D324" s="18">
        <v>0.35709545454545455</v>
      </c>
      <c r="E324" s="18">
        <v>0.51212727272727276</v>
      </c>
      <c r="F324" s="18">
        <v>0.5</v>
      </c>
      <c r="G324" s="16">
        <v>3.14</v>
      </c>
      <c r="H324" s="16">
        <v>2.89</v>
      </c>
    </row>
    <row r="325" spans="1:8" x14ac:dyDescent="0.25">
      <c r="A325" t="s">
        <v>922</v>
      </c>
      <c r="B325" s="16">
        <v>1.72</v>
      </c>
      <c r="C325" s="16">
        <v>2.5099999999999998</v>
      </c>
      <c r="D325" s="18">
        <v>0.13273809523809521</v>
      </c>
      <c r="E325" s="18">
        <v>0.22067619047619053</v>
      </c>
      <c r="F325" s="18">
        <v>0.5</v>
      </c>
      <c r="G325" s="16">
        <v>3.13</v>
      </c>
      <c r="H325" s="16">
        <v>2.88</v>
      </c>
    </row>
    <row r="326" spans="1:8" x14ac:dyDescent="0.25">
      <c r="A326" t="s">
        <v>923</v>
      </c>
      <c r="B326" s="16">
        <v>1.69</v>
      </c>
      <c r="C326" s="16">
        <v>2.39</v>
      </c>
      <c r="D326" s="18">
        <v>0.10760000000000003</v>
      </c>
      <c r="E326" s="18">
        <v>0.17527826086956519</v>
      </c>
      <c r="F326" s="18">
        <v>0.28260869565217389</v>
      </c>
      <c r="G326" s="16">
        <v>3.03</v>
      </c>
      <c r="H326" s="16">
        <v>2.84</v>
      </c>
    </row>
    <row r="327" spans="1:8" x14ac:dyDescent="0.25">
      <c r="A327" t="s">
        <v>924</v>
      </c>
      <c r="B327" s="16">
        <v>1.59</v>
      </c>
      <c r="C327" s="16">
        <v>2.34</v>
      </c>
      <c r="D327" s="18">
        <v>0.12336818181818181</v>
      </c>
      <c r="E327" s="18">
        <v>0.2063909090909091</v>
      </c>
      <c r="F327" s="18">
        <v>0.25</v>
      </c>
      <c r="G327" s="16">
        <v>2.99</v>
      </c>
      <c r="H327" s="16">
        <v>2.74</v>
      </c>
    </row>
    <row r="328" spans="1:8" x14ac:dyDescent="0.25">
      <c r="A328" t="s">
        <v>925</v>
      </c>
      <c r="B328" s="16">
        <v>1.52</v>
      </c>
      <c r="C328" s="16">
        <v>2.27</v>
      </c>
      <c r="D328" s="18">
        <v>0.19596190476190478</v>
      </c>
      <c r="E328" s="18">
        <v>0.35534285714285718</v>
      </c>
      <c r="F328" s="18">
        <v>0.25</v>
      </c>
      <c r="G328" s="16">
        <v>2.96</v>
      </c>
      <c r="H328" s="16">
        <v>2.71</v>
      </c>
    </row>
    <row r="329" spans="1:8" x14ac:dyDescent="0.25">
      <c r="A329" t="s">
        <v>926</v>
      </c>
      <c r="B329" s="16">
        <v>1.43</v>
      </c>
      <c r="C329" s="16">
        <v>2.25</v>
      </c>
      <c r="D329" s="18">
        <v>0.27735454545454546</v>
      </c>
      <c r="E329" s="18">
        <v>0.5636863636363636</v>
      </c>
      <c r="F329" s="18">
        <v>0.25</v>
      </c>
      <c r="G329" s="16">
        <v>2.96</v>
      </c>
      <c r="H329" s="16">
        <v>2.68</v>
      </c>
    </row>
    <row r="330" spans="1:8" x14ac:dyDescent="0.25">
      <c r="A330" t="s">
        <v>927</v>
      </c>
      <c r="B330" s="16">
        <v>1.45</v>
      </c>
      <c r="C330" s="16">
        <v>2.2599999999999998</v>
      </c>
      <c r="D330" s="18">
        <v>0.29906363636363636</v>
      </c>
      <c r="E330" s="18">
        <v>0.60861363636363641</v>
      </c>
      <c r="F330" s="18">
        <v>0.25</v>
      </c>
      <c r="G330" s="16">
        <v>2.94</v>
      </c>
      <c r="H330" s="16">
        <v>2.67</v>
      </c>
    </row>
    <row r="331" spans="1:8" x14ac:dyDescent="0.25">
      <c r="A331" t="s">
        <v>928</v>
      </c>
      <c r="B331" s="16">
        <v>1.45</v>
      </c>
      <c r="C331" s="16">
        <v>2.2200000000000002</v>
      </c>
      <c r="D331" s="18">
        <v>0.32478181818181817</v>
      </c>
      <c r="E331" s="18">
        <v>0.60955000000000004</v>
      </c>
      <c r="F331" s="18">
        <v>0.25</v>
      </c>
      <c r="G331" s="16">
        <v>2.93</v>
      </c>
      <c r="H331" s="16">
        <v>2.64</v>
      </c>
    </row>
    <row r="332" spans="1:8" x14ac:dyDescent="0.25">
      <c r="A332" t="s">
        <v>929</v>
      </c>
      <c r="B332" s="16">
        <v>1.42</v>
      </c>
      <c r="C332" s="16">
        <v>2.2000000000000002</v>
      </c>
      <c r="D332" s="18">
        <v>0.29753000000000002</v>
      </c>
      <c r="E332" s="18">
        <v>0.55146500000000009</v>
      </c>
      <c r="F332" s="18">
        <v>0.25</v>
      </c>
      <c r="G332" s="16">
        <v>2.94</v>
      </c>
      <c r="H332" s="16">
        <v>2.63</v>
      </c>
    </row>
    <row r="333" spans="1:8" x14ac:dyDescent="0.25">
      <c r="A333" t="s">
        <v>930</v>
      </c>
      <c r="B333" s="16">
        <v>1.37</v>
      </c>
      <c r="C333" s="16">
        <v>2.15</v>
      </c>
      <c r="D333" s="18">
        <v>0.32266956521739126</v>
      </c>
      <c r="E333" s="18">
        <v>0.55801304347826097</v>
      </c>
      <c r="F333" s="18">
        <v>0.25</v>
      </c>
      <c r="G333" s="16">
        <v>2.92</v>
      </c>
      <c r="H333" s="16">
        <v>2.61</v>
      </c>
    </row>
    <row r="334" spans="1:8" x14ac:dyDescent="0.25">
      <c r="A334" t="s">
        <v>931</v>
      </c>
      <c r="B334" s="16">
        <v>1.35</v>
      </c>
      <c r="C334" s="16">
        <v>2.09</v>
      </c>
      <c r="D334" s="18">
        <v>0.27659</v>
      </c>
      <c r="E334" s="18">
        <v>0.46545500000000006</v>
      </c>
      <c r="F334" s="18">
        <v>0.25</v>
      </c>
      <c r="G334" s="16">
        <v>2.9</v>
      </c>
      <c r="H334" s="16">
        <v>2.61</v>
      </c>
    </row>
    <row r="335" spans="1:8" x14ac:dyDescent="0.25">
      <c r="A335" t="s">
        <v>932</v>
      </c>
      <c r="B335" s="16">
        <v>1.49</v>
      </c>
      <c r="C335" s="16">
        <v>2.0299999999999998</v>
      </c>
      <c r="D335" s="18">
        <v>0.30595217391304347</v>
      </c>
      <c r="E335" s="18">
        <v>0.52802608695652176</v>
      </c>
      <c r="F335" s="18">
        <v>0.25</v>
      </c>
      <c r="G335" s="16">
        <v>2.89</v>
      </c>
      <c r="H335" s="16">
        <v>2.58</v>
      </c>
    </row>
    <row r="336" spans="1:8" x14ac:dyDescent="0.25">
      <c r="A336" t="s">
        <v>933</v>
      </c>
      <c r="B336" s="16">
        <v>1.48</v>
      </c>
      <c r="C336" s="16">
        <v>1.99</v>
      </c>
      <c r="D336" s="18">
        <v>0.3452318181818182</v>
      </c>
      <c r="E336" s="18">
        <v>0.55432272727272724</v>
      </c>
      <c r="F336" s="18">
        <v>0.25</v>
      </c>
      <c r="G336" s="16">
        <v>2.87</v>
      </c>
      <c r="H336" s="16">
        <v>2.57</v>
      </c>
    </row>
    <row r="337" spans="1:8" x14ac:dyDescent="0.25">
      <c r="A337" t="s">
        <v>934</v>
      </c>
      <c r="B337" s="16">
        <v>1.41</v>
      </c>
      <c r="C337" s="16">
        <v>1.97</v>
      </c>
      <c r="D337" s="18">
        <v>0.43759047619047631</v>
      </c>
      <c r="E337" s="18">
        <v>0.6917428571428571</v>
      </c>
      <c r="F337" s="18">
        <v>0.25</v>
      </c>
      <c r="G337" s="16">
        <v>2.78</v>
      </c>
      <c r="H337" s="16">
        <v>2.5499999999999998</v>
      </c>
    </row>
    <row r="338" spans="1:8" x14ac:dyDescent="0.25">
      <c r="A338" t="s">
        <v>935</v>
      </c>
      <c r="B338" s="16">
        <v>1.43</v>
      </c>
      <c r="C338" s="16">
        <v>1.96</v>
      </c>
      <c r="D338" s="18">
        <v>0.37162608695652172</v>
      </c>
      <c r="E338" s="18">
        <v>0.58182608695652172</v>
      </c>
      <c r="F338" s="18">
        <v>0.25</v>
      </c>
      <c r="G338" s="16">
        <v>2.79</v>
      </c>
      <c r="H338" s="16">
        <v>2.5299999999999998</v>
      </c>
    </row>
    <row r="339" spans="1:8" x14ac:dyDescent="0.25">
      <c r="A339" t="s">
        <v>936</v>
      </c>
      <c r="B339" s="16">
        <v>1.4</v>
      </c>
      <c r="C339" s="16">
        <v>1.9</v>
      </c>
      <c r="D339" s="18">
        <v>0.53928571428571437</v>
      </c>
      <c r="E339" s="18">
        <v>0.75333809523809525</v>
      </c>
      <c r="F339" s="18">
        <v>0.25</v>
      </c>
      <c r="G339" s="16">
        <v>2.81</v>
      </c>
      <c r="H339" s="16">
        <v>2.52</v>
      </c>
    </row>
    <row r="340" spans="1:8" x14ac:dyDescent="0.25">
      <c r="A340" t="s">
        <v>937</v>
      </c>
      <c r="B340" s="16">
        <v>1.55</v>
      </c>
      <c r="C340" s="16">
        <v>2.04</v>
      </c>
      <c r="D340" s="18">
        <v>0.67521818181818194</v>
      </c>
      <c r="E340" s="18">
        <v>0.89604545454545459</v>
      </c>
      <c r="F340" s="18">
        <v>0.25</v>
      </c>
      <c r="G340" s="16">
        <v>2.82</v>
      </c>
      <c r="H340" s="16">
        <v>2.5</v>
      </c>
    </row>
    <row r="341" spans="1:8" x14ac:dyDescent="0.25">
      <c r="A341" t="s">
        <v>938</v>
      </c>
      <c r="B341" s="16">
        <v>1.61</v>
      </c>
      <c r="C341" s="16">
        <v>2.04</v>
      </c>
      <c r="D341" s="18">
        <v>0.67844761904761897</v>
      </c>
      <c r="E341" s="18">
        <v>0.88760952380952374</v>
      </c>
      <c r="F341" s="18">
        <v>0.48863636363636365</v>
      </c>
      <c r="G341" s="16">
        <v>2.91</v>
      </c>
      <c r="H341" s="16">
        <v>2.5</v>
      </c>
    </row>
    <row r="342" spans="1:8" x14ac:dyDescent="0.25">
      <c r="A342" t="s">
        <v>939</v>
      </c>
      <c r="B342" s="16">
        <v>1.57</v>
      </c>
      <c r="C342" s="16">
        <v>2.0699999999999998</v>
      </c>
      <c r="D342" s="18">
        <v>0.68652857142857149</v>
      </c>
      <c r="E342" s="18">
        <v>0.89209523809523839</v>
      </c>
      <c r="F342" s="18">
        <v>0.5</v>
      </c>
      <c r="G342" s="16">
        <v>2.96</v>
      </c>
      <c r="H342" s="16">
        <v>2.5499999999999998</v>
      </c>
    </row>
    <row r="343" spans="1:8" x14ac:dyDescent="0.25">
      <c r="A343" t="s">
        <v>940</v>
      </c>
      <c r="B343" s="16">
        <v>1.54</v>
      </c>
      <c r="C343" s="16">
        <v>1.98</v>
      </c>
      <c r="D343" s="18">
        <v>0.74124545454545443</v>
      </c>
      <c r="E343" s="18">
        <v>0.9816136363636363</v>
      </c>
      <c r="F343" s="18">
        <v>0.5</v>
      </c>
      <c r="G343" s="16">
        <v>3.05</v>
      </c>
      <c r="H343" s="16">
        <v>2.5299999999999998</v>
      </c>
    </row>
    <row r="344" spans="1:8" x14ac:dyDescent="0.25">
      <c r="A344" t="s">
        <v>941</v>
      </c>
      <c r="B344" s="16">
        <v>1.49</v>
      </c>
      <c r="C344" s="16">
        <v>1.99</v>
      </c>
      <c r="D344" s="18">
        <v>0.86365000000000014</v>
      </c>
      <c r="E344" s="18">
        <v>1.1773199999999999</v>
      </c>
      <c r="F344" s="18">
        <v>0.5</v>
      </c>
      <c r="G344" s="16">
        <v>3.06</v>
      </c>
      <c r="H344" s="16">
        <v>2.52</v>
      </c>
    </row>
    <row r="345" spans="1:8" x14ac:dyDescent="0.25">
      <c r="A345" t="s">
        <v>942</v>
      </c>
      <c r="B345" s="16">
        <v>1.53</v>
      </c>
      <c r="C345" s="16">
        <v>2.02</v>
      </c>
      <c r="D345" s="18">
        <v>0.89698181818181844</v>
      </c>
      <c r="E345" s="18">
        <v>1.1276545454545455</v>
      </c>
      <c r="F345" s="18">
        <v>0.5</v>
      </c>
      <c r="G345" s="16">
        <v>3.09</v>
      </c>
      <c r="H345" s="16">
        <v>2.5099999999999998</v>
      </c>
    </row>
    <row r="346" spans="1:8" x14ac:dyDescent="0.25">
      <c r="A346" t="s">
        <v>943</v>
      </c>
      <c r="B346" s="16">
        <v>1.72</v>
      </c>
      <c r="C346" s="16">
        <v>2.0099999999999998</v>
      </c>
      <c r="D346" s="18">
        <v>0.88429999999999997</v>
      </c>
      <c r="E346" s="18">
        <v>1.1022285714285713</v>
      </c>
      <c r="F346" s="18">
        <v>0.5</v>
      </c>
      <c r="G346" s="16">
        <v>3.18</v>
      </c>
      <c r="H346" s="16">
        <v>2.4900000000000002</v>
      </c>
    </row>
    <row r="347" spans="1:8" x14ac:dyDescent="0.25">
      <c r="A347" t="s">
        <v>944</v>
      </c>
      <c r="B347" s="16">
        <v>1.74</v>
      </c>
      <c r="C347" s="16">
        <v>2.06</v>
      </c>
      <c r="D347" s="18">
        <v>0.78202173913043493</v>
      </c>
      <c r="E347" s="18">
        <v>1.0532652173913044</v>
      </c>
      <c r="F347" s="18">
        <v>0.5</v>
      </c>
      <c r="G347" s="16">
        <v>3.19</v>
      </c>
      <c r="H347" s="16">
        <v>2.48</v>
      </c>
    </row>
    <row r="348" spans="1:8" x14ac:dyDescent="0.25">
      <c r="A348" t="s">
        <v>945</v>
      </c>
      <c r="B348" s="16">
        <v>1.74</v>
      </c>
      <c r="C348" s="16">
        <v>2.0299999999999998</v>
      </c>
      <c r="D348" s="18">
        <v>0.79200476190476177</v>
      </c>
      <c r="E348" s="18">
        <v>1.0321809523809526</v>
      </c>
      <c r="F348" s="18">
        <v>0.5</v>
      </c>
      <c r="G348" s="16">
        <v>3.22</v>
      </c>
      <c r="H348" s="16">
        <v>2.48</v>
      </c>
    </row>
    <row r="349" spans="1:8" x14ac:dyDescent="0.25">
      <c r="A349" t="s">
        <v>946</v>
      </c>
      <c r="B349" s="16">
        <v>1.75</v>
      </c>
      <c r="C349" s="16">
        <v>2.04</v>
      </c>
      <c r="D349" s="18">
        <v>0.8347136363636366</v>
      </c>
      <c r="E349" s="18">
        <v>1.0303045454545454</v>
      </c>
      <c r="F349" s="18">
        <v>0.5</v>
      </c>
      <c r="G349" s="16">
        <v>3.2</v>
      </c>
      <c r="H349" s="16">
        <v>2.46</v>
      </c>
    </row>
    <row r="350" spans="1:8" x14ac:dyDescent="0.25">
      <c r="A350" t="s">
        <v>947</v>
      </c>
      <c r="B350" s="16">
        <v>1.75</v>
      </c>
      <c r="C350" s="16">
        <v>2.0299999999999998</v>
      </c>
      <c r="D350" s="18">
        <v>0.86716521739130437</v>
      </c>
      <c r="E350" s="18">
        <v>1.061608695652174</v>
      </c>
      <c r="F350" s="18">
        <v>0.73913043478260865</v>
      </c>
      <c r="G350" s="16">
        <v>3.26</v>
      </c>
      <c r="H350" s="16">
        <v>2.4500000000000002</v>
      </c>
    </row>
    <row r="351" spans="1:8" x14ac:dyDescent="0.25">
      <c r="A351" t="s">
        <v>948</v>
      </c>
      <c r="B351" s="16">
        <v>1.71</v>
      </c>
      <c r="C351" s="16">
        <v>2.0099999999999998</v>
      </c>
      <c r="D351" s="18">
        <v>0.91970500000000011</v>
      </c>
      <c r="E351" s="18">
        <v>1.15082</v>
      </c>
      <c r="F351" s="18">
        <v>0.75</v>
      </c>
      <c r="G351" s="16">
        <v>3.3</v>
      </c>
      <c r="H351" s="16">
        <v>2.5299999999999998</v>
      </c>
    </row>
    <row r="352" spans="1:8" x14ac:dyDescent="0.25">
      <c r="A352" t="s">
        <v>949</v>
      </c>
      <c r="B352" s="16">
        <v>1.8</v>
      </c>
      <c r="C352" s="16">
        <v>2.06</v>
      </c>
      <c r="D352" s="18">
        <v>0.94954782608695654</v>
      </c>
      <c r="E352" s="18">
        <v>1.1964217391304346</v>
      </c>
      <c r="F352" s="18">
        <v>0.75</v>
      </c>
      <c r="G352" s="16">
        <v>3.3</v>
      </c>
      <c r="H352" s="16">
        <v>2.5</v>
      </c>
    </row>
    <row r="353" spans="1:8" x14ac:dyDescent="0.25">
      <c r="A353" t="s">
        <v>950</v>
      </c>
      <c r="B353" s="16">
        <v>1.75</v>
      </c>
      <c r="C353" s="16">
        <v>2.02</v>
      </c>
      <c r="D353" s="18">
        <v>0.91476818181818187</v>
      </c>
      <c r="E353" s="18">
        <v>1.1217045454545453</v>
      </c>
      <c r="F353" s="18">
        <v>0.75</v>
      </c>
      <c r="G353" s="16">
        <v>3.27</v>
      </c>
      <c r="H353" s="16">
        <v>2.5</v>
      </c>
    </row>
    <row r="354" spans="1:8" x14ac:dyDescent="0.25">
      <c r="A354" t="s">
        <v>951</v>
      </c>
      <c r="B354" s="16">
        <v>1.73</v>
      </c>
      <c r="C354" s="16">
        <v>2.0099999999999998</v>
      </c>
      <c r="D354" s="18">
        <v>0.87290000000000001</v>
      </c>
      <c r="E354" s="18">
        <v>1.0263571428571427</v>
      </c>
      <c r="F354" s="18">
        <v>0.75</v>
      </c>
      <c r="G354" s="16">
        <v>3.31</v>
      </c>
      <c r="H354" s="16">
        <v>2.48</v>
      </c>
    </row>
    <row r="355" spans="1:8" x14ac:dyDescent="0.25">
      <c r="A355" t="s">
        <v>952</v>
      </c>
      <c r="B355" s="16">
        <v>1.72</v>
      </c>
      <c r="C355" s="16">
        <v>2.0499999999999998</v>
      </c>
      <c r="D355" s="18">
        <v>0.86973913043478246</v>
      </c>
      <c r="E355" s="18">
        <v>1.0239782608695651</v>
      </c>
      <c r="F355" s="18">
        <v>0.75</v>
      </c>
      <c r="G355" s="16">
        <v>3.35</v>
      </c>
      <c r="H355" s="16">
        <v>2.48</v>
      </c>
    </row>
    <row r="356" spans="1:8" x14ac:dyDescent="0.25">
      <c r="A356" t="s">
        <v>953</v>
      </c>
      <c r="B356" s="16">
        <v>1.7</v>
      </c>
      <c r="C356" s="16">
        <v>2.0499999999999998</v>
      </c>
      <c r="D356" s="18">
        <v>0.82660500000000003</v>
      </c>
      <c r="E356" s="18">
        <v>0.97106000000000015</v>
      </c>
      <c r="F356" s="18">
        <v>0.75</v>
      </c>
      <c r="G356" s="16">
        <v>3.34</v>
      </c>
      <c r="H356" s="16">
        <v>2.46</v>
      </c>
    </row>
    <row r="357" spans="1:8" x14ac:dyDescent="0.25">
      <c r="A357" t="s">
        <v>954</v>
      </c>
      <c r="B357" s="16">
        <v>1.7</v>
      </c>
      <c r="C357" s="16">
        <v>2.0299999999999998</v>
      </c>
      <c r="D357" s="18">
        <v>0.79832380952380955</v>
      </c>
      <c r="E357" s="18">
        <v>0.94320000000000004</v>
      </c>
      <c r="F357" s="18">
        <v>0.75</v>
      </c>
      <c r="G357" s="16">
        <v>3.34</v>
      </c>
      <c r="H357" s="16">
        <v>2.4500000000000002</v>
      </c>
    </row>
    <row r="358" spans="1:8" x14ac:dyDescent="0.25">
      <c r="A358" t="s">
        <v>955</v>
      </c>
      <c r="B358" s="16">
        <v>1.66</v>
      </c>
      <c r="C358" s="16">
        <v>2</v>
      </c>
      <c r="D358" s="18">
        <v>0.79212727272727268</v>
      </c>
      <c r="E358" s="18">
        <v>0.93886363636363623</v>
      </c>
      <c r="F358" s="18">
        <v>0.75</v>
      </c>
      <c r="G358" s="16">
        <v>3.34</v>
      </c>
      <c r="H358" s="16">
        <v>2.4500000000000002</v>
      </c>
    </row>
    <row r="359" spans="1:8" x14ac:dyDescent="0.25">
      <c r="A359" t="s">
        <v>956</v>
      </c>
      <c r="B359" s="16">
        <v>1.65</v>
      </c>
      <c r="C359" s="16">
        <v>1.99</v>
      </c>
      <c r="D359" s="18">
        <v>0.76678695652173912</v>
      </c>
      <c r="E359" s="18">
        <v>0.8710478260869563</v>
      </c>
      <c r="F359" s="18">
        <v>0.75</v>
      </c>
      <c r="G359" s="16">
        <v>3.32</v>
      </c>
      <c r="H359" s="16">
        <v>2.4300000000000002</v>
      </c>
    </row>
    <row r="360" spans="1:8" x14ac:dyDescent="0.25">
      <c r="A360" t="s">
        <v>957</v>
      </c>
      <c r="B360" s="16">
        <v>1.64</v>
      </c>
      <c r="C360" s="16">
        <v>1.97</v>
      </c>
      <c r="D360" s="18">
        <v>0.64100500000000005</v>
      </c>
      <c r="E360" s="18">
        <v>0.67961500000000008</v>
      </c>
      <c r="F360" s="18">
        <v>0.75</v>
      </c>
      <c r="G360" s="16">
        <v>3.31</v>
      </c>
      <c r="H360" s="16">
        <v>2.4300000000000002</v>
      </c>
    </row>
    <row r="361" spans="1:8" x14ac:dyDescent="0.25">
      <c r="A361" t="s">
        <v>958</v>
      </c>
      <c r="B361" s="16">
        <v>1.61</v>
      </c>
      <c r="C361" s="16">
        <v>1.93</v>
      </c>
      <c r="D361" s="18">
        <v>0.53591304347826085</v>
      </c>
      <c r="E361" s="18">
        <v>0.57269130434782611</v>
      </c>
      <c r="F361" s="18">
        <v>0.75</v>
      </c>
      <c r="G361" s="16">
        <v>3.3</v>
      </c>
      <c r="H361" s="16">
        <v>2.42</v>
      </c>
    </row>
    <row r="362" spans="1:8" x14ac:dyDescent="0.25">
      <c r="A362" t="s">
        <v>959</v>
      </c>
      <c r="B362" s="16">
        <v>1.59</v>
      </c>
      <c r="C362" s="16">
        <v>1.89</v>
      </c>
      <c r="D362" s="18">
        <v>0.45982272727272727</v>
      </c>
      <c r="E362" s="18">
        <v>0.39781818181818179</v>
      </c>
      <c r="F362" s="18">
        <v>0.75</v>
      </c>
      <c r="G362" s="16">
        <v>3.27</v>
      </c>
      <c r="H362" s="16">
        <v>2.42</v>
      </c>
    </row>
    <row r="363" spans="1:8" x14ac:dyDescent="0.25">
      <c r="A363" t="s">
        <v>960</v>
      </c>
      <c r="B363" s="16">
        <v>1.55</v>
      </c>
      <c r="C363" s="16">
        <v>1.79</v>
      </c>
      <c r="D363" s="18">
        <v>0.53210476190476197</v>
      </c>
      <c r="E363" s="18">
        <v>0.46817142857142846</v>
      </c>
      <c r="F363" s="18">
        <v>0.75</v>
      </c>
      <c r="G363" s="16">
        <v>3.27</v>
      </c>
      <c r="H363" s="16">
        <v>2.4</v>
      </c>
    </row>
    <row r="364" spans="1:8" x14ac:dyDescent="0.25">
      <c r="A364" t="s">
        <v>961</v>
      </c>
      <c r="B364" s="16">
        <v>1.47</v>
      </c>
      <c r="C364" s="16">
        <v>1.71</v>
      </c>
      <c r="D364" s="18">
        <v>0.52489130434782605</v>
      </c>
      <c r="E364" s="18">
        <v>0.49223043478260875</v>
      </c>
      <c r="F364" s="18">
        <v>0.75</v>
      </c>
      <c r="G364" s="16">
        <v>3.26</v>
      </c>
      <c r="H364" s="16">
        <v>2.39</v>
      </c>
    </row>
    <row r="365" spans="1:8" x14ac:dyDescent="0.25">
      <c r="A365" t="s">
        <v>962</v>
      </c>
      <c r="B365" s="16">
        <v>1.41</v>
      </c>
      <c r="C365" s="16">
        <v>1.67</v>
      </c>
      <c r="D365" s="18">
        <v>0.58080476190476182</v>
      </c>
      <c r="E365" s="18">
        <v>0.5954857142857144</v>
      </c>
      <c r="F365" s="18">
        <v>0.75</v>
      </c>
      <c r="G365" s="16">
        <v>3.24</v>
      </c>
      <c r="H365" s="16">
        <v>2.4</v>
      </c>
    </row>
    <row r="366" spans="1:8" x14ac:dyDescent="0.25">
      <c r="A366" t="s">
        <v>963</v>
      </c>
      <c r="B366" s="16">
        <v>1.42</v>
      </c>
      <c r="C366" s="16">
        <v>1.67</v>
      </c>
      <c r="D366" s="18">
        <v>0.60381818181818181</v>
      </c>
      <c r="E366" s="18">
        <v>0.65080454545454536</v>
      </c>
      <c r="F366" s="18">
        <v>0.75</v>
      </c>
      <c r="G366" s="16">
        <v>3.28</v>
      </c>
      <c r="H366" s="16">
        <v>2.37</v>
      </c>
    </row>
    <row r="367" spans="1:8" x14ac:dyDescent="0.25">
      <c r="A367" t="s">
        <v>964</v>
      </c>
      <c r="B367" s="16">
        <v>1.41</v>
      </c>
      <c r="C367" s="16">
        <v>1.68</v>
      </c>
      <c r="D367" s="18">
        <v>0.502</v>
      </c>
      <c r="E367" s="18">
        <v>0.53917391304347828</v>
      </c>
      <c r="F367" s="18">
        <v>0.75</v>
      </c>
      <c r="G367" s="16">
        <v>3.29</v>
      </c>
      <c r="H367" s="16">
        <v>2.37</v>
      </c>
    </row>
    <row r="368" spans="1:8" x14ac:dyDescent="0.25">
      <c r="A368" t="s">
        <v>965</v>
      </c>
      <c r="B368" s="16">
        <v>1.4</v>
      </c>
      <c r="C368" s="16">
        <v>1.67</v>
      </c>
      <c r="D368" s="18">
        <v>0.50953999999999999</v>
      </c>
      <c r="E368" s="18">
        <v>0.49424999999999991</v>
      </c>
      <c r="F368" s="18">
        <v>0.75</v>
      </c>
      <c r="G368" s="16">
        <v>3.3</v>
      </c>
      <c r="H368" s="16">
        <v>2.37</v>
      </c>
    </row>
    <row r="369" spans="1:8" x14ac:dyDescent="0.25">
      <c r="A369" t="s">
        <v>966</v>
      </c>
      <c r="B369" s="16">
        <v>1.4</v>
      </c>
      <c r="C369" s="16">
        <v>1.66</v>
      </c>
      <c r="D369" s="18">
        <v>0.1956681818181818</v>
      </c>
      <c r="E369" s="18">
        <v>0.2834681818181819</v>
      </c>
      <c r="F369" s="18">
        <v>0.34772727272727261</v>
      </c>
      <c r="G369" s="16">
        <v>3.21</v>
      </c>
      <c r="H369" s="16">
        <v>2.33</v>
      </c>
    </row>
    <row r="370" spans="1:8" x14ac:dyDescent="0.25">
      <c r="A370" t="s">
        <v>967</v>
      </c>
      <c r="B370" s="16">
        <v>1.38</v>
      </c>
      <c r="C370" s="16">
        <v>1.67</v>
      </c>
      <c r="D370" s="18">
        <v>0.11658181818181818</v>
      </c>
      <c r="E370" s="18">
        <v>0.19867272727272728</v>
      </c>
      <c r="F370" s="18">
        <v>0.10000000000000003</v>
      </c>
      <c r="G370" s="16">
        <v>2.98</v>
      </c>
      <c r="H370" s="16">
        <v>2.21</v>
      </c>
    </row>
    <row r="371" spans="1:8" x14ac:dyDescent="0.25">
      <c r="A371" t="s">
        <v>968</v>
      </c>
      <c r="B371" s="16">
        <v>1.42</v>
      </c>
      <c r="C371" s="16">
        <v>1.7</v>
      </c>
      <c r="D371" s="18">
        <v>2.3600000000000006E-2</v>
      </c>
      <c r="E371" s="18">
        <v>8.4699999999999998E-2</v>
      </c>
      <c r="F371" s="18">
        <v>0.10000000000000002</v>
      </c>
      <c r="G371" s="16">
        <v>2.86</v>
      </c>
      <c r="H371" s="16">
        <v>2.17</v>
      </c>
    </row>
    <row r="372" spans="1:8" x14ac:dyDescent="0.25">
      <c r="A372" t="s">
        <v>969</v>
      </c>
      <c r="B372" s="16">
        <v>1.41</v>
      </c>
      <c r="C372" s="16">
        <v>1.69</v>
      </c>
      <c r="D372" s="18">
        <v>3.1227272727272718E-3</v>
      </c>
      <c r="E372" s="18">
        <v>5.155454545454545E-2</v>
      </c>
      <c r="F372" s="18">
        <v>0.10000000000000003</v>
      </c>
      <c r="G372" s="16">
        <v>2.79</v>
      </c>
      <c r="H372" s="16">
        <v>2.17</v>
      </c>
    </row>
    <row r="373" spans="1:8" x14ac:dyDescent="0.25">
      <c r="A373" t="s">
        <v>970</v>
      </c>
      <c r="B373" s="16">
        <v>1.45</v>
      </c>
      <c r="C373" s="16">
        <v>1.7</v>
      </c>
      <c r="D373" s="18">
        <v>-4.2673913043478257E-2</v>
      </c>
      <c r="E373" s="18">
        <v>-2.789565217391304E-2</v>
      </c>
      <c r="F373" s="18">
        <v>0.10000000000000003</v>
      </c>
      <c r="G373" s="16">
        <v>2.66</v>
      </c>
      <c r="H373" s="16">
        <v>2.16</v>
      </c>
    </row>
    <row r="374" spans="1:8" x14ac:dyDescent="0.25">
      <c r="A374" t="s">
        <v>971</v>
      </c>
      <c r="B374" s="16">
        <v>1.6</v>
      </c>
      <c r="C374" s="16">
        <v>1.79</v>
      </c>
      <c r="D374" s="18">
        <v>-3.0723809523809525E-2</v>
      </c>
      <c r="E374" s="18">
        <v>-5.6761904761904753E-3</v>
      </c>
      <c r="F374" s="18">
        <v>0.10000000000000002</v>
      </c>
      <c r="G374" s="16">
        <v>2.5299999999999998</v>
      </c>
      <c r="H374" s="16">
        <v>2.14</v>
      </c>
    </row>
    <row r="375" spans="1:8" x14ac:dyDescent="0.25">
      <c r="A375" t="s">
        <v>972</v>
      </c>
      <c r="B375" s="16">
        <v>1.75</v>
      </c>
      <c r="C375" s="16">
        <v>1.92</v>
      </c>
      <c r="D375" s="18">
        <v>-6.639090909090907E-2</v>
      </c>
      <c r="E375" s="18">
        <v>-3.3150000000000006E-2</v>
      </c>
      <c r="F375" s="18">
        <v>0.10000000000000003</v>
      </c>
      <c r="G375" s="16">
        <v>2.52</v>
      </c>
      <c r="H375" s="16">
        <v>2.13</v>
      </c>
    </row>
    <row r="376" spans="1:8" x14ac:dyDescent="0.25">
      <c r="A376" t="s">
        <v>973</v>
      </c>
      <c r="B376" s="16">
        <v>1.94</v>
      </c>
      <c r="C376" s="16">
        <v>2.0499999999999998</v>
      </c>
      <c r="D376" s="18">
        <v>-4.7495454545454563E-2</v>
      </c>
      <c r="E376" s="18">
        <v>-5.2000000000000015E-3</v>
      </c>
      <c r="F376" s="18">
        <v>0.10000000000000003</v>
      </c>
      <c r="G376" s="16">
        <v>2.46</v>
      </c>
      <c r="H376" s="16">
        <v>2.12</v>
      </c>
    </row>
    <row r="377" spans="1:8" x14ac:dyDescent="0.25">
      <c r="A377" t="s">
        <v>974</v>
      </c>
      <c r="B377" s="16">
        <v>1.92</v>
      </c>
      <c r="C377" s="16">
        <v>2.0499999999999998</v>
      </c>
      <c r="D377" s="18">
        <v>-1.9104761904761902E-2</v>
      </c>
      <c r="E377" s="18">
        <v>4.7828571428571436E-2</v>
      </c>
      <c r="F377" s="18">
        <v>0.10000000000000002</v>
      </c>
      <c r="G377" s="16">
        <v>2.4500000000000002</v>
      </c>
      <c r="H377" s="16">
        <v>2.12</v>
      </c>
    </row>
    <row r="378" spans="1:8" x14ac:dyDescent="0.25">
      <c r="A378" t="s">
        <v>975</v>
      </c>
      <c r="B378" s="16">
        <v>1.86</v>
      </c>
      <c r="C378" s="16">
        <v>2</v>
      </c>
      <c r="D378" s="18">
        <v>-2.8086956521739127E-2</v>
      </c>
      <c r="E378" s="18">
        <v>2.8626086956521739E-2</v>
      </c>
      <c r="F378" s="18">
        <v>0.10000000000000003</v>
      </c>
      <c r="G378" s="16">
        <v>2.4500000000000002</v>
      </c>
      <c r="H378" s="16">
        <v>2.12</v>
      </c>
    </row>
    <row r="379" spans="1:8" x14ac:dyDescent="0.25">
      <c r="A379" t="s">
        <v>976</v>
      </c>
      <c r="B379" s="16">
        <v>1.75</v>
      </c>
      <c r="C379" s="16">
        <v>1.92</v>
      </c>
      <c r="D379" s="18">
        <v>-5.21952380952381E-2</v>
      </c>
      <c r="E379" s="18">
        <v>2.8471428571428571E-2</v>
      </c>
      <c r="F379" s="18">
        <v>0.10000000000000002</v>
      </c>
      <c r="G379" s="16">
        <v>2.41</v>
      </c>
      <c r="H379" s="16">
        <v>2.09</v>
      </c>
    </row>
    <row r="380" spans="1:8" x14ac:dyDescent="0.25">
      <c r="A380" t="s">
        <v>977</v>
      </c>
      <c r="B380" s="16">
        <v>1.61</v>
      </c>
      <c r="C380" s="16">
        <v>1.8</v>
      </c>
      <c r="D380" s="18">
        <v>3.2719999999999999E-2</v>
      </c>
      <c r="E380" s="18">
        <v>0.22059500000000001</v>
      </c>
      <c r="F380" s="18">
        <v>0.10000000000000002</v>
      </c>
      <c r="G380" s="16">
        <v>2.4300000000000002</v>
      </c>
      <c r="H380" s="16">
        <v>2.09</v>
      </c>
    </row>
    <row r="381" spans="1:8" x14ac:dyDescent="0.25">
      <c r="A381" t="s">
        <v>978</v>
      </c>
      <c r="B381" s="16">
        <v>1.56</v>
      </c>
      <c r="C381" s="16">
        <v>1.74</v>
      </c>
      <c r="D381" s="18">
        <v>0.10110869565217391</v>
      </c>
      <c r="E381" s="18">
        <v>0.40889999999999999</v>
      </c>
      <c r="F381" s="18">
        <v>0.10000000000000003</v>
      </c>
      <c r="G381" s="16">
        <v>2.44</v>
      </c>
      <c r="H381" s="16">
        <v>2.09</v>
      </c>
    </row>
    <row r="382" spans="1:8" x14ac:dyDescent="0.25">
      <c r="A382" t="s">
        <v>979</v>
      </c>
      <c r="B382" s="16">
        <v>1.49</v>
      </c>
      <c r="C382" s="16">
        <v>1.71</v>
      </c>
      <c r="D382" s="18">
        <v>0.11253181818181819</v>
      </c>
      <c r="E382" s="18">
        <v>0.43366363636363636</v>
      </c>
      <c r="F382" s="18">
        <v>0.10000000000000003</v>
      </c>
      <c r="G382" s="16">
        <v>2.42</v>
      </c>
      <c r="H382" s="16">
        <v>2.0699999999999998</v>
      </c>
    </row>
    <row r="383" spans="1:8" x14ac:dyDescent="0.25">
      <c r="A383" t="s">
        <v>980</v>
      </c>
      <c r="B383" s="16">
        <v>1.47</v>
      </c>
      <c r="C383" s="16">
        <v>1.68</v>
      </c>
      <c r="D383" s="18">
        <v>0.13439999999999999</v>
      </c>
      <c r="E383" s="18">
        <v>0.46369999999999995</v>
      </c>
      <c r="F383" s="18">
        <v>0.10000000000000002</v>
      </c>
      <c r="G383" s="16">
        <v>2.5</v>
      </c>
      <c r="H383" s="16">
        <v>2.0699999999999998</v>
      </c>
    </row>
    <row r="384" spans="1:8" x14ac:dyDescent="0.25">
      <c r="A384" t="s">
        <v>981</v>
      </c>
      <c r="B384" s="16">
        <v>1.39</v>
      </c>
      <c r="C384" s="16">
        <v>1.6</v>
      </c>
      <c r="D384" s="18">
        <v>0.17512727272727277</v>
      </c>
      <c r="E384" s="18">
        <v>0.47189545454545456</v>
      </c>
      <c r="F384" s="18">
        <v>0.10000000000000003</v>
      </c>
      <c r="G384" s="16">
        <v>2.5499999999999998</v>
      </c>
      <c r="H384" s="16">
        <v>2.08</v>
      </c>
    </row>
    <row r="385" spans="1:8" x14ac:dyDescent="0.25">
      <c r="A385" t="s">
        <v>982</v>
      </c>
      <c r="B385" s="16">
        <v>1.29</v>
      </c>
      <c r="C385" s="16">
        <v>1.45</v>
      </c>
      <c r="D385" s="18">
        <v>0.20827272727272728</v>
      </c>
      <c r="E385" s="18">
        <v>0.43007272727272733</v>
      </c>
      <c r="F385" s="18">
        <v>0.10000000000000003</v>
      </c>
      <c r="G385" s="16">
        <v>2.5499999999999998</v>
      </c>
      <c r="H385" s="16">
        <v>2.0499999999999998</v>
      </c>
    </row>
    <row r="386" spans="1:8" x14ac:dyDescent="0.25">
      <c r="A386" t="s">
        <v>983</v>
      </c>
      <c r="B386" s="16">
        <v>1.23</v>
      </c>
      <c r="C386" s="16">
        <v>1.39</v>
      </c>
      <c r="D386" s="18">
        <v>0.26039545454545454</v>
      </c>
      <c r="E386" s="18">
        <v>0.43660454545454552</v>
      </c>
      <c r="F386" s="18">
        <v>0.10000000000000003</v>
      </c>
      <c r="G386" s="16">
        <v>2.65</v>
      </c>
      <c r="H386" s="16">
        <v>2.06</v>
      </c>
    </row>
    <row r="387" spans="1:8" x14ac:dyDescent="0.25">
      <c r="A387" t="s">
        <v>984</v>
      </c>
      <c r="B387" s="16">
        <v>1.2</v>
      </c>
      <c r="C387" s="16">
        <v>1.28</v>
      </c>
      <c r="D387" s="18">
        <v>0.35429545454545458</v>
      </c>
      <c r="E387" s="18">
        <v>0.57220000000000004</v>
      </c>
      <c r="F387" s="18">
        <v>0.10000000000000003</v>
      </c>
      <c r="G387" s="16">
        <v>2.65</v>
      </c>
      <c r="H387" s="16">
        <v>2.0499999999999998</v>
      </c>
    </row>
    <row r="388" spans="1:8" x14ac:dyDescent="0.25">
      <c r="A388" t="s">
        <v>985</v>
      </c>
      <c r="B388" s="16">
        <v>1.29</v>
      </c>
      <c r="C388" s="16">
        <v>1.3</v>
      </c>
      <c r="D388" s="18">
        <v>0.77857142857142847</v>
      </c>
      <c r="E388" s="18">
        <v>0.90687142857142855</v>
      </c>
      <c r="F388" s="18">
        <v>0.10000000000000002</v>
      </c>
      <c r="G388" s="16">
        <v>2.66</v>
      </c>
      <c r="H388" s="16">
        <v>2.0299999999999998</v>
      </c>
    </row>
    <row r="389" spans="1:8" x14ac:dyDescent="0.25">
      <c r="A389" t="s">
        <v>986</v>
      </c>
      <c r="B389" s="16">
        <v>1.53</v>
      </c>
      <c r="C389" s="16">
        <v>1.52</v>
      </c>
      <c r="D389" s="18">
        <v>0.89639090909090902</v>
      </c>
      <c r="E389" s="18">
        <v>0.98397272727272744</v>
      </c>
      <c r="F389" s="18">
        <v>0.10000000000000003</v>
      </c>
      <c r="G389" s="16">
        <v>2.7</v>
      </c>
      <c r="H389" s="16">
        <v>2.02</v>
      </c>
    </row>
    <row r="390" spans="1:8" x14ac:dyDescent="0.25">
      <c r="A390" t="s">
        <v>987</v>
      </c>
      <c r="B390" s="16">
        <v>1.57</v>
      </c>
      <c r="C390" s="16">
        <v>1.59</v>
      </c>
      <c r="D390" s="18">
        <v>0.89962173913043486</v>
      </c>
      <c r="E390" s="18">
        <v>0.93178260869565221</v>
      </c>
      <c r="F390" s="18">
        <v>0.17826086956521739</v>
      </c>
      <c r="G390" s="16">
        <v>2.75</v>
      </c>
      <c r="H390" s="16">
        <v>2.0099999999999998</v>
      </c>
    </row>
    <row r="391" spans="1:8" x14ac:dyDescent="0.25">
      <c r="A391" t="s">
        <v>988</v>
      </c>
      <c r="B391" s="16">
        <v>1.64</v>
      </c>
      <c r="C391" s="16">
        <v>1.63</v>
      </c>
      <c r="D391" s="18">
        <v>1.1306333333333332</v>
      </c>
      <c r="E391" s="18">
        <v>1.1859285714285714</v>
      </c>
      <c r="F391" s="18">
        <v>0.25</v>
      </c>
      <c r="G391" s="16">
        <v>2.81</v>
      </c>
      <c r="H391" s="16">
        <v>2.0099999999999998</v>
      </c>
    </row>
    <row r="392" spans="1:8" x14ac:dyDescent="0.25">
      <c r="A392" t="s">
        <v>989</v>
      </c>
      <c r="B392" s="16">
        <v>1.78</v>
      </c>
      <c r="C392" s="16">
        <v>1.79</v>
      </c>
      <c r="D392" s="18">
        <v>1.654685</v>
      </c>
      <c r="E392" s="18">
        <v>1.585215</v>
      </c>
      <c r="F392" s="18">
        <v>0.47499999999999998</v>
      </c>
      <c r="G392" s="16">
        <v>2.95</v>
      </c>
      <c r="H392" s="16">
        <v>2.02</v>
      </c>
    </row>
    <row r="393" spans="1:8" x14ac:dyDescent="0.25">
      <c r="A393" t="s">
        <v>990</v>
      </c>
      <c r="B393" s="16">
        <v>2.14</v>
      </c>
      <c r="C393" s="16">
        <v>2.11</v>
      </c>
      <c r="D393" s="18">
        <v>1.8776652173913042</v>
      </c>
      <c r="E393" s="18">
        <v>1.7631565217391303</v>
      </c>
      <c r="F393" s="18">
        <v>0.61956521739130432</v>
      </c>
      <c r="G393" s="16">
        <v>3.05</v>
      </c>
      <c r="H393" s="16">
        <v>2.0499999999999998</v>
      </c>
    </row>
    <row r="394" spans="1:8" x14ac:dyDescent="0.25">
      <c r="A394" t="s">
        <v>991</v>
      </c>
      <c r="B394" s="16">
        <v>2.35</v>
      </c>
      <c r="C394" s="16">
        <v>2.35</v>
      </c>
      <c r="D394" s="18">
        <v>2.1550523809523807</v>
      </c>
      <c r="E394" s="18">
        <v>2.0562571428571434</v>
      </c>
      <c r="F394" s="18">
        <v>0.75</v>
      </c>
      <c r="G394" s="16">
        <v>3.15</v>
      </c>
      <c r="H394" s="16">
        <v>2.0499999999999998</v>
      </c>
    </row>
    <row r="395" spans="1:8" x14ac:dyDescent="0.25">
      <c r="A395" t="s">
        <v>992</v>
      </c>
      <c r="B395" s="16">
        <v>2.63</v>
      </c>
      <c r="C395" s="16">
        <v>2.62</v>
      </c>
      <c r="D395" s="18">
        <v>2.1848772727272734</v>
      </c>
      <c r="E395" s="18">
        <v>2.0931500000000001</v>
      </c>
      <c r="F395" s="18">
        <v>0.96590909090909094</v>
      </c>
      <c r="G395" s="16">
        <v>3.35</v>
      </c>
      <c r="H395" s="16">
        <v>2.08</v>
      </c>
    </row>
    <row r="396" spans="1:8" x14ac:dyDescent="0.25">
      <c r="A396" t="s">
        <v>993</v>
      </c>
      <c r="B396" s="16">
        <v>2.87</v>
      </c>
      <c r="C396" s="16">
        <v>2.9</v>
      </c>
      <c r="D396" s="18">
        <v>2.7710318181818181</v>
      </c>
      <c r="E396" s="18">
        <v>2.6395681818181815</v>
      </c>
      <c r="F396" s="18">
        <v>1.125</v>
      </c>
      <c r="G396" s="16">
        <v>3.48</v>
      </c>
      <c r="H396" s="16">
        <v>2.12</v>
      </c>
    </row>
    <row r="397" spans="1:8" x14ac:dyDescent="0.25">
      <c r="A397" t="s">
        <v>994</v>
      </c>
      <c r="B397" s="16">
        <v>3.48</v>
      </c>
      <c r="C397" s="16">
        <v>3.43</v>
      </c>
      <c r="D397" s="18">
        <v>2.6440952380952383</v>
      </c>
      <c r="E397" s="18">
        <v>2.391576190476191</v>
      </c>
      <c r="F397" s="18">
        <v>1.25</v>
      </c>
      <c r="G397" s="16">
        <v>3.56</v>
      </c>
      <c r="H397" s="16">
        <v>2.13</v>
      </c>
    </row>
    <row r="398" spans="1:8" x14ac:dyDescent="0.25">
      <c r="A398" t="s">
        <v>995</v>
      </c>
      <c r="B398" s="16">
        <v>3.6</v>
      </c>
      <c r="C398" s="16">
        <v>3.61</v>
      </c>
      <c r="D398" s="18">
        <v>3.1976869565217387</v>
      </c>
      <c r="E398" s="18">
        <v>2.7660913043478259</v>
      </c>
      <c r="F398" s="18">
        <v>1.6847826086956521</v>
      </c>
      <c r="G398" s="16">
        <v>3.87</v>
      </c>
      <c r="H398" s="16">
        <v>2.1800000000000002</v>
      </c>
    </row>
    <row r="399" spans="1:8" x14ac:dyDescent="0.25">
      <c r="A399" t="s">
        <v>996</v>
      </c>
      <c r="B399" s="16">
        <v>4.17</v>
      </c>
      <c r="C399" s="16">
        <v>3.97</v>
      </c>
      <c r="D399" s="18">
        <v>4.4644363636363638</v>
      </c>
      <c r="E399" s="18">
        <v>4.0159045454545454</v>
      </c>
      <c r="F399" s="18">
        <v>1.9090909090909092</v>
      </c>
      <c r="G399" s="16">
        <v>4.08</v>
      </c>
      <c r="H399" s="16">
        <v>2.25</v>
      </c>
    </row>
    <row r="400" spans="1:8" x14ac:dyDescent="0.25">
      <c r="A400" t="s">
        <v>997</v>
      </c>
      <c r="B400" s="16">
        <v>5.99</v>
      </c>
      <c r="C400" s="16">
        <v>5.61</v>
      </c>
      <c r="D400" s="18">
        <v>4.9618000000000011</v>
      </c>
      <c r="E400" s="18">
        <v>4.729171428571429</v>
      </c>
      <c r="F400" s="18">
        <v>2.25</v>
      </c>
      <c r="G400" s="16">
        <v>4.33</v>
      </c>
      <c r="H400" s="16">
        <v>2.29</v>
      </c>
    </row>
    <row r="401" spans="1:8" x14ac:dyDescent="0.25">
      <c r="A401" t="s">
        <v>998</v>
      </c>
      <c r="B401" s="16">
        <v>5.98</v>
      </c>
      <c r="C401" s="16">
        <v>5.5</v>
      </c>
      <c r="D401" s="18">
        <v>4.3443727272727273</v>
      </c>
      <c r="E401" s="18">
        <v>3.9372409090909088</v>
      </c>
      <c r="F401" s="18">
        <v>2.9318181818181817</v>
      </c>
      <c r="G401" s="16">
        <v>4.82</v>
      </c>
      <c r="H401" s="16">
        <v>2.39</v>
      </c>
    </row>
    <row r="402" spans="1:8" x14ac:dyDescent="0.25">
      <c r="A402" t="s">
        <v>999</v>
      </c>
      <c r="B402" s="16">
        <v>5.43</v>
      </c>
      <c r="C402" s="16">
        <v>5.05</v>
      </c>
      <c r="D402" s="18">
        <v>4.3740318181818187</v>
      </c>
      <c r="E402" s="18">
        <v>3.9019318181818177</v>
      </c>
      <c r="F402" s="18">
        <v>3.2727272727272729</v>
      </c>
      <c r="G402" s="16">
        <v>5.14</v>
      </c>
      <c r="H402" s="16">
        <v>2.5099999999999998</v>
      </c>
    </row>
    <row r="403" spans="1:8" x14ac:dyDescent="0.25">
      <c r="A403" t="s">
        <v>1000</v>
      </c>
      <c r="B403" s="16">
        <v>5.14</v>
      </c>
      <c r="C403" s="16">
        <v>4.66</v>
      </c>
      <c r="D403" s="18">
        <v>4.1629409090909091</v>
      </c>
      <c r="E403" s="18">
        <v>3.711327272727273</v>
      </c>
      <c r="F403" s="18">
        <v>3.5</v>
      </c>
      <c r="G403" s="16">
        <v>5.3</v>
      </c>
      <c r="H403" s="16">
        <v>2.5499999999999998</v>
      </c>
    </row>
    <row r="404" spans="1:8" x14ac:dyDescent="0.25">
      <c r="A404" t="s">
        <v>1001</v>
      </c>
      <c r="B404" s="16">
        <v>4.79</v>
      </c>
      <c r="C404" s="16">
        <v>4.3600000000000003</v>
      </c>
      <c r="D404" s="18">
        <v>4.1792999999999996</v>
      </c>
      <c r="E404" s="18">
        <v>3.7281949999999995</v>
      </c>
      <c r="F404" s="18">
        <v>3.9750000000000001</v>
      </c>
      <c r="G404" s="16">
        <v>5.65</v>
      </c>
      <c r="H404" s="16">
        <v>2.65</v>
      </c>
    </row>
    <row r="405" spans="1:8" x14ac:dyDescent="0.25">
      <c r="A405" t="s">
        <v>1002</v>
      </c>
      <c r="B405" s="16">
        <v>4.74</v>
      </c>
      <c r="C405" s="16">
        <v>4.26</v>
      </c>
      <c r="D405" s="18">
        <v>4.2918130434782613</v>
      </c>
      <c r="E405" s="18">
        <v>3.8281869565217397</v>
      </c>
      <c r="F405" s="18">
        <v>4.0760869565217392</v>
      </c>
      <c r="G405" s="16">
        <v>5.79</v>
      </c>
      <c r="H405" s="16">
        <v>2.75</v>
      </c>
    </row>
    <row r="406" spans="1:8" x14ac:dyDescent="0.25">
      <c r="A406" t="s">
        <v>1003</v>
      </c>
      <c r="B406" s="16">
        <v>4.5999999999999996</v>
      </c>
      <c r="C406" s="16">
        <v>4.16</v>
      </c>
      <c r="D406" s="18">
        <v>4.3459450000000004</v>
      </c>
      <c r="E406" s="18">
        <v>3.8564000000000007</v>
      </c>
      <c r="F406" s="18">
        <v>4.25</v>
      </c>
      <c r="G406" s="16">
        <v>5.91</v>
      </c>
      <c r="H406" s="16">
        <v>2.76</v>
      </c>
    </row>
    <row r="407" spans="1:8" x14ac:dyDescent="0.25">
      <c r="A407" t="s">
        <v>1004</v>
      </c>
      <c r="B407" s="16">
        <v>4.72</v>
      </c>
      <c r="C407" s="16">
        <v>4.28</v>
      </c>
      <c r="D407" s="18">
        <v>4.6877086956521747</v>
      </c>
      <c r="E407" s="18">
        <v>4.1703173913043488</v>
      </c>
      <c r="F407" s="18">
        <v>4.4130434782608692</v>
      </c>
      <c r="G407" s="16">
        <v>6.04</v>
      </c>
      <c r="H407" s="16">
        <v>2.83</v>
      </c>
    </row>
    <row r="408" spans="1:8" x14ac:dyDescent="0.25">
      <c r="A408" t="s">
        <v>1005</v>
      </c>
      <c r="B408" s="16">
        <v>5.49</v>
      </c>
      <c r="C408" s="16">
        <v>4.95</v>
      </c>
      <c r="D408" s="18">
        <v>5.5270727272727278</v>
      </c>
      <c r="E408" s="18">
        <v>4.8115409090909091</v>
      </c>
      <c r="F408" s="18">
        <v>4.6590909090909092</v>
      </c>
      <c r="G408" s="16">
        <v>6.32</v>
      </c>
      <c r="H408" s="16">
        <v>2.93</v>
      </c>
    </row>
    <row r="409" spans="1:8" x14ac:dyDescent="0.25">
      <c r="A409" t="s">
        <v>1006</v>
      </c>
      <c r="B409" s="16">
        <v>6.22</v>
      </c>
      <c r="C409" s="16">
        <v>5.71</v>
      </c>
      <c r="D409" s="18">
        <v>5.8429952380952379</v>
      </c>
      <c r="E409" s="18">
        <v>5.0154666666666667</v>
      </c>
      <c r="F409" s="18">
        <v>5</v>
      </c>
      <c r="G409" s="16">
        <v>6.51</v>
      </c>
      <c r="H409" s="16">
        <v>2.98</v>
      </c>
    </row>
    <row r="410" spans="1:8" x14ac:dyDescent="0.25">
      <c r="A410" t="s">
        <v>1007</v>
      </c>
      <c r="B410" s="16">
        <v>6.18</v>
      </c>
      <c r="C410" s="16">
        <v>5.53</v>
      </c>
      <c r="D410" s="18">
        <v>5.6293956521739146</v>
      </c>
      <c r="E410" s="18">
        <v>4.9289130434782598</v>
      </c>
      <c r="F410" s="18">
        <v>5.2282608695652177</v>
      </c>
      <c r="G410" s="16">
        <v>6.71</v>
      </c>
      <c r="H410" s="16">
        <v>3.07</v>
      </c>
    </row>
    <row r="411" spans="1:8" x14ac:dyDescent="0.25">
      <c r="A411" t="s">
        <v>1008</v>
      </c>
      <c r="B411" s="16">
        <v>5.91</v>
      </c>
      <c r="C411" s="16">
        <v>5.24</v>
      </c>
      <c r="D411" s="18">
        <v>5.2958142857142851</v>
      </c>
      <c r="E411" s="18">
        <v>4.6581333333333337</v>
      </c>
      <c r="F411" s="18">
        <v>5.25</v>
      </c>
      <c r="G411" s="16">
        <v>6.81</v>
      </c>
      <c r="H411" s="16">
        <v>3.16</v>
      </c>
    </row>
    <row r="412" spans="1:8" x14ac:dyDescent="0.25">
      <c r="A412" t="s">
        <v>1009</v>
      </c>
      <c r="B412" s="16">
        <v>5.6</v>
      </c>
      <c r="C412" s="16">
        <v>5.0199999999999996</v>
      </c>
      <c r="D412" s="18">
        <v>5.1097136363636366</v>
      </c>
      <c r="E412" s="18">
        <v>4.616281818181819</v>
      </c>
      <c r="F412" s="18">
        <v>5.25</v>
      </c>
      <c r="G412" s="16">
        <v>6.78</v>
      </c>
      <c r="H412" s="16">
        <v>3.22</v>
      </c>
    </row>
    <row r="413" spans="1:8" x14ac:dyDescent="0.25">
      <c r="A413" t="s">
        <v>1010</v>
      </c>
      <c r="B413" s="16">
        <v>5.28</v>
      </c>
      <c r="C413" s="16">
        <v>4.8899999999999997</v>
      </c>
      <c r="D413" s="18">
        <v>4.8017090909090916</v>
      </c>
      <c r="E413" s="18">
        <v>4.2518363636363645</v>
      </c>
      <c r="F413" s="18">
        <v>5.25</v>
      </c>
      <c r="G413" s="16">
        <v>6.8</v>
      </c>
      <c r="H413" s="16">
        <v>3.28</v>
      </c>
    </row>
    <row r="414" spans="1:8" x14ac:dyDescent="0.25">
      <c r="A414" t="s">
        <v>1011</v>
      </c>
      <c r="B414" s="16">
        <v>5.03</v>
      </c>
      <c r="C414" s="16">
        <v>4.68</v>
      </c>
      <c r="D414" s="18">
        <v>4.3527952380952373</v>
      </c>
      <c r="E414" s="18">
        <v>3.7143047619047618</v>
      </c>
      <c r="F414" s="18">
        <v>5.25</v>
      </c>
      <c r="G414" s="16">
        <v>6.82</v>
      </c>
      <c r="H414" s="16">
        <v>3.37</v>
      </c>
    </row>
    <row r="415" spans="1:8" x14ac:dyDescent="0.25">
      <c r="A415" t="s">
        <v>1012</v>
      </c>
      <c r="B415" s="16">
        <v>4.71</v>
      </c>
      <c r="C415" s="16">
        <v>4.43</v>
      </c>
      <c r="D415" s="18">
        <v>4.2352227272727276</v>
      </c>
      <c r="E415" s="18">
        <v>3.6586304347826086</v>
      </c>
      <c r="F415" s="18">
        <v>5.25</v>
      </c>
      <c r="G415" s="16">
        <v>6.84</v>
      </c>
      <c r="H415" s="16">
        <v>3.42</v>
      </c>
    </row>
    <row r="416" spans="1:8" x14ac:dyDescent="0.25">
      <c r="A416" t="s">
        <v>1013</v>
      </c>
      <c r="B416" s="16">
        <v>4.76</v>
      </c>
      <c r="C416" s="16">
        <v>4.41</v>
      </c>
      <c r="D416" s="18">
        <v>4.5164428571428576</v>
      </c>
      <c r="E416" s="18">
        <v>3.9558523809523813</v>
      </c>
      <c r="F416" s="18">
        <v>5.25</v>
      </c>
      <c r="G416" s="16">
        <v>6.85</v>
      </c>
      <c r="H416" s="16">
        <v>3.49</v>
      </c>
    </row>
    <row r="417" spans="1:8" x14ac:dyDescent="0.25">
      <c r="A417" t="s">
        <v>1014</v>
      </c>
      <c r="B417" s="16">
        <v>4.96</v>
      </c>
      <c r="C417" s="16">
        <v>4.53</v>
      </c>
      <c r="D417" s="18">
        <v>4.4896095238095244</v>
      </c>
      <c r="E417" s="18">
        <v>3.9032952380952386</v>
      </c>
      <c r="F417" s="18">
        <v>5.25</v>
      </c>
      <c r="G417" s="16">
        <v>6.88</v>
      </c>
      <c r="H417" s="16">
        <v>3.51</v>
      </c>
    </row>
    <row r="418" spans="1:8" x14ac:dyDescent="0.25">
      <c r="A418" t="s">
        <v>1015</v>
      </c>
      <c r="B418" s="16">
        <v>4.99</v>
      </c>
      <c r="C418" s="16">
        <v>4.51</v>
      </c>
      <c r="D418" s="18">
        <v>4.5939904761904762</v>
      </c>
      <c r="E418" s="18">
        <v>4.0578142857142856</v>
      </c>
      <c r="F418" s="18">
        <v>5.25</v>
      </c>
      <c r="G418" s="16">
        <v>6.87</v>
      </c>
      <c r="H418" s="16">
        <v>3.58</v>
      </c>
    </row>
    <row r="419" spans="1:8" x14ac:dyDescent="0.25">
      <c r="A419" t="s">
        <v>1016</v>
      </c>
      <c r="B419" s="16">
        <v>5.19</v>
      </c>
      <c r="C419" s="16">
        <v>4.67</v>
      </c>
      <c r="D419" s="18">
        <v>4.6281869565217395</v>
      </c>
      <c r="E419" s="18">
        <v>4.0800217391304354</v>
      </c>
      <c r="F419" s="18">
        <v>5.25</v>
      </c>
      <c r="G419" s="16">
        <v>6.88</v>
      </c>
      <c r="H419" s="16">
        <v>3.62</v>
      </c>
    </row>
    <row r="420" spans="1:8" x14ac:dyDescent="0.25">
      <c r="A420" t="s">
        <v>1017</v>
      </c>
      <c r="B420" s="16">
        <v>5.16</v>
      </c>
      <c r="C420" s="16">
        <v>4.6500000000000004</v>
      </c>
      <c r="D420" s="18">
        <v>4.5734473684210517</v>
      </c>
      <c r="E420" s="18">
        <v>4.0032368421052631</v>
      </c>
      <c r="F420" s="18">
        <v>5.25</v>
      </c>
      <c r="G420" s="16">
        <v>6.92</v>
      </c>
      <c r="H420" s="16">
        <v>3.66</v>
      </c>
    </row>
    <row r="421" spans="1:8" x14ac:dyDescent="0.25">
      <c r="A421" t="s">
        <v>1018</v>
      </c>
      <c r="B421" s="16">
        <v>4.99</v>
      </c>
      <c r="C421" s="16">
        <v>4.51</v>
      </c>
      <c r="D421" s="18">
        <v>4.4136954545454543</v>
      </c>
      <c r="E421" s="18">
        <v>3.9109909090909083</v>
      </c>
      <c r="F421" s="18">
        <v>5.25</v>
      </c>
      <c r="G421" s="16">
        <v>6.88</v>
      </c>
      <c r="H421" s="16">
        <v>3.7</v>
      </c>
    </row>
    <row r="422" spans="1:8" x14ac:dyDescent="0.25">
      <c r="A422" t="s">
        <v>1041</v>
      </c>
      <c r="D422" s="18">
        <v>4.0922590909090912</v>
      </c>
      <c r="E422" s="18">
        <v>3.6801863636363632</v>
      </c>
      <c r="F422" s="18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0DDBF-6D7E-4E87-8242-96719523F375}">
  <sheetPr>
    <tabColor rgb="FFC00000"/>
  </sheetPr>
  <dimension ref="A1"/>
  <sheetViews>
    <sheetView workbookViewId="0">
      <selection activeCell="H34" sqref="H3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9</vt:i4>
      </vt:variant>
      <vt:variant>
        <vt:lpstr>Charts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&gt;&gt; CHARTS</vt:lpstr>
      <vt:lpstr>&gt;&gt; DATA</vt:lpstr>
      <vt:lpstr>Chart Data</vt:lpstr>
      <vt:lpstr>DataA</vt:lpstr>
      <vt:lpstr>DataQ</vt:lpstr>
      <vt:lpstr>GMW</vt:lpstr>
      <vt:lpstr>HAVERQ</vt:lpstr>
      <vt:lpstr>HAVERM</vt:lpstr>
      <vt:lpstr>&gt;&gt; NOT USED</vt:lpstr>
      <vt:lpstr>Chart - GDP OE &amp; Consensus</vt:lpstr>
      <vt:lpstr>Chart - Conts to inflation</vt:lpstr>
      <vt:lpstr>Chart - Real wages</vt:lpstr>
      <vt:lpstr>Chart - Interest rates change</vt:lpstr>
      <vt:lpstr>Chart - Mortgage rates fcst</vt:lpstr>
      <vt:lpstr>Chart - GDP vs consensus</vt:lpstr>
      <vt:lpstr>_DLX1.INC</vt:lpstr>
      <vt:lpstr>_DLX2.INC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2024-08-16T16:45:19Z</dcterms:created>
  <dcterms:modified xsi:type="dcterms:W3CDTF">2024-09-02T11:02:02Z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2024-08-16T16:46:53Z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64dd8142-e880-4c8b-8ec6-7296632f3dc7</vt:lpwstr>
  </property>
  <property fmtid="{D5CDD505-2E9C-101B-9397-08002B2CF9AE}" pid="8" name="MSIP_Label_231f5784-19ed-4d1e-9a93-4ea41014d730_ContentBits">
    <vt:lpwstr>0</vt:lpwstr>
  </property>
</Properties>
</file>